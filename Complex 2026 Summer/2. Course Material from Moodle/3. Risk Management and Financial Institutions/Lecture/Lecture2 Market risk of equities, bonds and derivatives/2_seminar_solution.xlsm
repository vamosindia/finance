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2week\"/>
    </mc:Choice>
  </mc:AlternateContent>
  <xr:revisionPtr revIDLastSave="0" documentId="13_ncr:1_{39C7FA7E-28FC-4119-ADA9-3952A4B70064}" xr6:coauthVersionLast="47" xr6:coauthVersionMax="47" xr10:uidLastSave="{00000000-0000-0000-0000-000000000000}"/>
  <bookViews>
    <workbookView xWindow="20" yWindow="20" windowWidth="19180" windowHeight="10180" tabRatio="510" activeTab="6" xr2:uid="{00000000-000D-0000-FFFF-FFFF00000000}"/>
  </bookViews>
  <sheets>
    <sheet name="1_Hist_sim" sheetId="1" r:id="rId1"/>
    <sheet name="1_EW" sheetId="12" r:id="rId2"/>
    <sheet name="1_Delta normal" sheetId="13" r:id="rId3"/>
    <sheet name="2" sheetId="14" r:id="rId4"/>
    <sheet name="3" sheetId="15" r:id="rId5"/>
    <sheet name="4" sheetId="16" r:id="rId6"/>
    <sheet name="5" sheetId="17" r:id="rId7"/>
  </sheets>
  <functionGroups builtInGroupCount="19"/>
  <definedNames>
    <definedName name="_xlnm._FilterDatabase" localSheetId="1" hidden="1">'1_EW'!$N$14:$O$770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5" l="1"/>
  <c r="F18" i="17"/>
  <c r="F11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L12" i="17"/>
  <c r="C12" i="17"/>
  <c r="C11" i="17"/>
  <c r="C10" i="17"/>
  <c r="C9" i="17"/>
  <c r="G8" i="17"/>
  <c r="G11" i="17" s="1"/>
  <c r="G12" i="17" s="1"/>
  <c r="F8" i="17"/>
  <c r="C8" i="17"/>
  <c r="C7" i="17"/>
  <c r="C6" i="17"/>
  <c r="C5" i="17"/>
  <c r="G4" i="17"/>
  <c r="F4" i="17"/>
  <c r="C4" i="17"/>
  <c r="C3" i="17"/>
  <c r="L11" i="17" s="1"/>
  <c r="H5" i="16"/>
  <c r="H4" i="16"/>
  <c r="B12" i="16"/>
  <c r="H2" i="16"/>
  <c r="B8" i="16" s="1"/>
  <c r="E16" i="16"/>
  <c r="B7" i="16"/>
  <c r="E6" i="15"/>
  <c r="M11" i="14"/>
  <c r="H3" i="14"/>
  <c r="H2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D510" i="14"/>
  <c r="D504" i="14"/>
  <c r="D505" i="14"/>
  <c r="D506" i="14"/>
  <c r="D507" i="14"/>
  <c r="D508" i="14"/>
  <c r="D509" i="14"/>
  <c r="D495" i="14"/>
  <c r="D496" i="14"/>
  <c r="D497" i="14"/>
  <c r="D498" i="14"/>
  <c r="D499" i="14"/>
  <c r="D500" i="14"/>
  <c r="D501" i="14"/>
  <c r="D502" i="14"/>
  <c r="D50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E11" i="16"/>
  <c r="B11" i="16" a="1"/>
  <c r="M14" i="17" l="1"/>
  <c r="M15" i="17" s="1"/>
  <c r="M16" i="17" s="1"/>
  <c r="L14" i="17"/>
  <c r="L15" i="17" s="1"/>
  <c r="L16" i="17" s="1"/>
  <c r="F12" i="17"/>
  <c r="E12" i="16"/>
  <c r="E13" i="16" s="1"/>
  <c r="B13" i="16"/>
  <c r="B11" i="16"/>
  <c r="E17" i="16"/>
  <c r="E18" i="16" s="1"/>
  <c r="I4" i="13"/>
  <c r="J4" i="13"/>
  <c r="H4" i="13"/>
  <c r="I3" i="13"/>
  <c r="J3" i="13"/>
  <c r="H3" i="13"/>
  <c r="B17" i="13"/>
  <c r="B13" i="13" a="1"/>
  <c r="B13" i="13" s="1"/>
  <c r="B12" i="13"/>
  <c r="C7" i="13"/>
  <c r="D7" i="13"/>
  <c r="B7" i="13"/>
  <c r="C5" i="13"/>
  <c r="B5" i="13"/>
  <c r="B4" i="13"/>
  <c r="C4" i="13"/>
  <c r="D5" i="13"/>
  <c r="B3" i="13"/>
  <c r="N10" i="12"/>
  <c r="N7" i="12"/>
  <c r="K15" i="12"/>
  <c r="G760" i="12"/>
  <c r="F760" i="12"/>
  <c r="E760" i="12"/>
  <c r="G759" i="12"/>
  <c r="F759" i="12"/>
  <c r="E759" i="12"/>
  <c r="G758" i="12"/>
  <c r="F758" i="12"/>
  <c r="E758" i="12"/>
  <c r="G757" i="12"/>
  <c r="F757" i="12"/>
  <c r="E757" i="12"/>
  <c r="G756" i="12"/>
  <c r="F756" i="12"/>
  <c r="E756" i="12"/>
  <c r="G755" i="12"/>
  <c r="F755" i="12"/>
  <c r="E755" i="12"/>
  <c r="G754" i="12"/>
  <c r="F754" i="12"/>
  <c r="E754" i="12"/>
  <c r="G753" i="12"/>
  <c r="F753" i="12"/>
  <c r="E753" i="12"/>
  <c r="G752" i="12"/>
  <c r="F752" i="12"/>
  <c r="E752" i="12"/>
  <c r="G751" i="12"/>
  <c r="F751" i="12"/>
  <c r="E751" i="12"/>
  <c r="G750" i="12"/>
  <c r="F750" i="12"/>
  <c r="E750" i="12"/>
  <c r="G749" i="12"/>
  <c r="F749" i="12"/>
  <c r="E749" i="12"/>
  <c r="G748" i="12"/>
  <c r="F748" i="12"/>
  <c r="E748" i="12"/>
  <c r="G747" i="12"/>
  <c r="F747" i="12"/>
  <c r="E747" i="12"/>
  <c r="G746" i="12"/>
  <c r="F746" i="12"/>
  <c r="E746" i="12"/>
  <c r="G745" i="12"/>
  <c r="F745" i="12"/>
  <c r="E745" i="12"/>
  <c r="G744" i="12"/>
  <c r="F744" i="12"/>
  <c r="E744" i="12"/>
  <c r="G743" i="12"/>
  <c r="F743" i="12"/>
  <c r="E743" i="12"/>
  <c r="G742" i="12"/>
  <c r="F742" i="12"/>
  <c r="E742" i="12"/>
  <c r="G741" i="12"/>
  <c r="F741" i="12"/>
  <c r="E741" i="12"/>
  <c r="G740" i="12"/>
  <c r="F740" i="12"/>
  <c r="E740" i="12"/>
  <c r="G739" i="12"/>
  <c r="F739" i="12"/>
  <c r="E739" i="12"/>
  <c r="G738" i="12"/>
  <c r="F738" i="12"/>
  <c r="E738" i="12"/>
  <c r="G737" i="12"/>
  <c r="F737" i="12"/>
  <c r="E737" i="12"/>
  <c r="G736" i="12"/>
  <c r="F736" i="12"/>
  <c r="E736" i="12"/>
  <c r="G735" i="12"/>
  <c r="F735" i="12"/>
  <c r="E735" i="12"/>
  <c r="G734" i="12"/>
  <c r="F734" i="12"/>
  <c r="E734" i="12"/>
  <c r="G733" i="12"/>
  <c r="F733" i="12"/>
  <c r="E733" i="12"/>
  <c r="G732" i="12"/>
  <c r="F732" i="12"/>
  <c r="E732" i="12"/>
  <c r="G731" i="12"/>
  <c r="F731" i="12"/>
  <c r="E731" i="12"/>
  <c r="G730" i="12"/>
  <c r="F730" i="12"/>
  <c r="E730" i="12"/>
  <c r="G729" i="12"/>
  <c r="F729" i="12"/>
  <c r="E729" i="12"/>
  <c r="G728" i="12"/>
  <c r="F728" i="12"/>
  <c r="E728" i="12"/>
  <c r="G727" i="12"/>
  <c r="F727" i="12"/>
  <c r="E727" i="12"/>
  <c r="G726" i="12"/>
  <c r="F726" i="12"/>
  <c r="E726" i="12"/>
  <c r="G725" i="12"/>
  <c r="F725" i="12"/>
  <c r="E725" i="12"/>
  <c r="G724" i="12"/>
  <c r="F724" i="12"/>
  <c r="E724" i="12"/>
  <c r="G723" i="12"/>
  <c r="F723" i="12"/>
  <c r="E723" i="12"/>
  <c r="G722" i="12"/>
  <c r="F722" i="12"/>
  <c r="E722" i="12"/>
  <c r="G721" i="12"/>
  <c r="F721" i="12"/>
  <c r="E721" i="12"/>
  <c r="G720" i="12"/>
  <c r="F720" i="12"/>
  <c r="E720" i="12"/>
  <c r="G719" i="12"/>
  <c r="F719" i="12"/>
  <c r="E719" i="12"/>
  <c r="G718" i="12"/>
  <c r="F718" i="12"/>
  <c r="E718" i="12"/>
  <c r="G717" i="12"/>
  <c r="F717" i="12"/>
  <c r="E717" i="12"/>
  <c r="G716" i="12"/>
  <c r="F716" i="12"/>
  <c r="E716" i="12"/>
  <c r="G715" i="12"/>
  <c r="F715" i="12"/>
  <c r="E715" i="12"/>
  <c r="G714" i="12"/>
  <c r="F714" i="12"/>
  <c r="E714" i="12"/>
  <c r="G713" i="12"/>
  <c r="F713" i="12"/>
  <c r="E713" i="12"/>
  <c r="G712" i="12"/>
  <c r="F712" i="12"/>
  <c r="E712" i="12"/>
  <c r="G711" i="12"/>
  <c r="F711" i="12"/>
  <c r="E711" i="12"/>
  <c r="G710" i="12"/>
  <c r="F710" i="12"/>
  <c r="E710" i="12"/>
  <c r="G709" i="12"/>
  <c r="F709" i="12"/>
  <c r="E709" i="12"/>
  <c r="G708" i="12"/>
  <c r="F708" i="12"/>
  <c r="E708" i="12"/>
  <c r="G707" i="12"/>
  <c r="F707" i="12"/>
  <c r="E707" i="12"/>
  <c r="G706" i="12"/>
  <c r="F706" i="12"/>
  <c r="E706" i="12"/>
  <c r="G705" i="12"/>
  <c r="F705" i="12"/>
  <c r="E705" i="12"/>
  <c r="G704" i="12"/>
  <c r="F704" i="12"/>
  <c r="E704" i="12"/>
  <c r="G703" i="12"/>
  <c r="F703" i="12"/>
  <c r="E703" i="12"/>
  <c r="G702" i="12"/>
  <c r="F702" i="12"/>
  <c r="E702" i="12"/>
  <c r="G701" i="12"/>
  <c r="F701" i="12"/>
  <c r="E701" i="12"/>
  <c r="G700" i="12"/>
  <c r="F700" i="12"/>
  <c r="E700" i="12"/>
  <c r="G699" i="12"/>
  <c r="F699" i="12"/>
  <c r="E699" i="12"/>
  <c r="G698" i="12"/>
  <c r="F698" i="12"/>
  <c r="E698" i="12"/>
  <c r="G697" i="12"/>
  <c r="F697" i="12"/>
  <c r="E697" i="12"/>
  <c r="G696" i="12"/>
  <c r="F696" i="12"/>
  <c r="E696" i="12"/>
  <c r="G695" i="12"/>
  <c r="F695" i="12"/>
  <c r="E695" i="12"/>
  <c r="G694" i="12"/>
  <c r="F694" i="12"/>
  <c r="E694" i="12"/>
  <c r="G693" i="12"/>
  <c r="F693" i="12"/>
  <c r="E693" i="12"/>
  <c r="G692" i="12"/>
  <c r="F692" i="12"/>
  <c r="E692" i="12"/>
  <c r="G691" i="12"/>
  <c r="F691" i="12"/>
  <c r="E691" i="12"/>
  <c r="G690" i="12"/>
  <c r="F690" i="12"/>
  <c r="E690" i="12"/>
  <c r="G689" i="12"/>
  <c r="F689" i="12"/>
  <c r="E689" i="12"/>
  <c r="G688" i="12"/>
  <c r="F688" i="12"/>
  <c r="E688" i="12"/>
  <c r="G687" i="12"/>
  <c r="F687" i="12"/>
  <c r="E687" i="12"/>
  <c r="G686" i="12"/>
  <c r="F686" i="12"/>
  <c r="E686" i="12"/>
  <c r="G685" i="12"/>
  <c r="F685" i="12"/>
  <c r="E685" i="12"/>
  <c r="G684" i="12"/>
  <c r="F684" i="12"/>
  <c r="E684" i="12"/>
  <c r="G683" i="12"/>
  <c r="F683" i="12"/>
  <c r="E683" i="12"/>
  <c r="G682" i="12"/>
  <c r="F682" i="12"/>
  <c r="E682" i="12"/>
  <c r="G681" i="12"/>
  <c r="F681" i="12"/>
  <c r="E681" i="12"/>
  <c r="G680" i="12"/>
  <c r="F680" i="12"/>
  <c r="E680" i="12"/>
  <c r="G679" i="12"/>
  <c r="F679" i="12"/>
  <c r="E679" i="12"/>
  <c r="G678" i="12"/>
  <c r="F678" i="12"/>
  <c r="E678" i="12"/>
  <c r="G677" i="12"/>
  <c r="F677" i="12"/>
  <c r="E677" i="12"/>
  <c r="G676" i="12"/>
  <c r="F676" i="12"/>
  <c r="E676" i="12"/>
  <c r="G675" i="12"/>
  <c r="F675" i="12"/>
  <c r="E675" i="12"/>
  <c r="G674" i="12"/>
  <c r="F674" i="12"/>
  <c r="E674" i="12"/>
  <c r="G673" i="12"/>
  <c r="F673" i="12"/>
  <c r="E673" i="12"/>
  <c r="G672" i="12"/>
  <c r="F672" i="12"/>
  <c r="E672" i="12"/>
  <c r="G671" i="12"/>
  <c r="F671" i="12"/>
  <c r="E671" i="12"/>
  <c r="G670" i="12"/>
  <c r="F670" i="12"/>
  <c r="E670" i="12"/>
  <c r="G669" i="12"/>
  <c r="F669" i="12"/>
  <c r="E669" i="12"/>
  <c r="G668" i="12"/>
  <c r="F668" i="12"/>
  <c r="E668" i="12"/>
  <c r="G667" i="12"/>
  <c r="F667" i="12"/>
  <c r="E667" i="12"/>
  <c r="G666" i="12"/>
  <c r="F666" i="12"/>
  <c r="E666" i="12"/>
  <c r="G665" i="12"/>
  <c r="F665" i="12"/>
  <c r="E665" i="12"/>
  <c r="G664" i="12"/>
  <c r="F664" i="12"/>
  <c r="E664" i="12"/>
  <c r="G663" i="12"/>
  <c r="F663" i="12"/>
  <c r="E663" i="12"/>
  <c r="G662" i="12"/>
  <c r="F662" i="12"/>
  <c r="E662" i="12"/>
  <c r="G661" i="12"/>
  <c r="F661" i="12"/>
  <c r="E661" i="12"/>
  <c r="G660" i="12"/>
  <c r="F660" i="12"/>
  <c r="E660" i="12"/>
  <c r="G659" i="12"/>
  <c r="F659" i="12"/>
  <c r="E659" i="12"/>
  <c r="G658" i="12"/>
  <c r="F658" i="12"/>
  <c r="E658" i="12"/>
  <c r="G657" i="12"/>
  <c r="F657" i="12"/>
  <c r="E657" i="12"/>
  <c r="G656" i="12"/>
  <c r="F656" i="12"/>
  <c r="E656" i="12"/>
  <c r="G655" i="12"/>
  <c r="F655" i="12"/>
  <c r="E655" i="12"/>
  <c r="G654" i="12"/>
  <c r="F654" i="12"/>
  <c r="E654" i="12"/>
  <c r="G653" i="12"/>
  <c r="F653" i="12"/>
  <c r="E653" i="12"/>
  <c r="G652" i="12"/>
  <c r="F652" i="12"/>
  <c r="E652" i="12"/>
  <c r="G651" i="12"/>
  <c r="F651" i="12"/>
  <c r="E651" i="12"/>
  <c r="G650" i="12"/>
  <c r="F650" i="12"/>
  <c r="E650" i="12"/>
  <c r="G649" i="12"/>
  <c r="F649" i="12"/>
  <c r="E649" i="12"/>
  <c r="G648" i="12"/>
  <c r="F648" i="12"/>
  <c r="E648" i="12"/>
  <c r="G647" i="12"/>
  <c r="F647" i="12"/>
  <c r="E647" i="12"/>
  <c r="G646" i="12"/>
  <c r="F646" i="12"/>
  <c r="E646" i="12"/>
  <c r="G645" i="12"/>
  <c r="F645" i="12"/>
  <c r="E645" i="12"/>
  <c r="G644" i="12"/>
  <c r="F644" i="12"/>
  <c r="E644" i="12"/>
  <c r="G643" i="12"/>
  <c r="F643" i="12"/>
  <c r="E643" i="12"/>
  <c r="G642" i="12"/>
  <c r="F642" i="12"/>
  <c r="E642" i="12"/>
  <c r="G641" i="12"/>
  <c r="F641" i="12"/>
  <c r="E641" i="12"/>
  <c r="G640" i="12"/>
  <c r="F640" i="12"/>
  <c r="E640" i="12"/>
  <c r="G639" i="12"/>
  <c r="F639" i="12"/>
  <c r="E639" i="12"/>
  <c r="G638" i="12"/>
  <c r="F638" i="12"/>
  <c r="E638" i="12"/>
  <c r="G637" i="12"/>
  <c r="F637" i="12"/>
  <c r="E637" i="12"/>
  <c r="G636" i="12"/>
  <c r="F636" i="12"/>
  <c r="E636" i="12"/>
  <c r="G635" i="12"/>
  <c r="F635" i="12"/>
  <c r="E635" i="12"/>
  <c r="G634" i="12"/>
  <c r="F634" i="12"/>
  <c r="E634" i="12"/>
  <c r="G633" i="12"/>
  <c r="F633" i="12"/>
  <c r="E633" i="12"/>
  <c r="G632" i="12"/>
  <c r="F632" i="12"/>
  <c r="E632" i="12"/>
  <c r="G631" i="12"/>
  <c r="F631" i="12"/>
  <c r="E631" i="12"/>
  <c r="G630" i="12"/>
  <c r="F630" i="12"/>
  <c r="E630" i="12"/>
  <c r="G629" i="12"/>
  <c r="F629" i="12"/>
  <c r="E629" i="12"/>
  <c r="G628" i="12"/>
  <c r="F628" i="12"/>
  <c r="E628" i="12"/>
  <c r="G627" i="12"/>
  <c r="F627" i="12"/>
  <c r="E627" i="12"/>
  <c r="G626" i="12"/>
  <c r="F626" i="12"/>
  <c r="E626" i="12"/>
  <c r="G625" i="12"/>
  <c r="F625" i="12"/>
  <c r="E625" i="12"/>
  <c r="G624" i="12"/>
  <c r="F624" i="12"/>
  <c r="E624" i="12"/>
  <c r="G623" i="12"/>
  <c r="F623" i="12"/>
  <c r="E623" i="12"/>
  <c r="G622" i="12"/>
  <c r="F622" i="12"/>
  <c r="E622" i="12"/>
  <c r="G621" i="12"/>
  <c r="F621" i="12"/>
  <c r="E621" i="12"/>
  <c r="G620" i="12"/>
  <c r="F620" i="12"/>
  <c r="E620" i="12"/>
  <c r="G619" i="12"/>
  <c r="F619" i="12"/>
  <c r="E619" i="12"/>
  <c r="G618" i="12"/>
  <c r="F618" i="12"/>
  <c r="E618" i="12"/>
  <c r="G617" i="12"/>
  <c r="F617" i="12"/>
  <c r="E617" i="12"/>
  <c r="G616" i="12"/>
  <c r="F616" i="12"/>
  <c r="E616" i="12"/>
  <c r="G615" i="12"/>
  <c r="F615" i="12"/>
  <c r="E615" i="12"/>
  <c r="G614" i="12"/>
  <c r="F614" i="12"/>
  <c r="E614" i="12"/>
  <c r="G613" i="12"/>
  <c r="F613" i="12"/>
  <c r="E613" i="12"/>
  <c r="G612" i="12"/>
  <c r="F612" i="12"/>
  <c r="E612" i="12"/>
  <c r="G611" i="12"/>
  <c r="F611" i="12"/>
  <c r="E611" i="12"/>
  <c r="G610" i="12"/>
  <c r="F610" i="12"/>
  <c r="E610" i="12"/>
  <c r="G609" i="12"/>
  <c r="F609" i="12"/>
  <c r="E609" i="12"/>
  <c r="G608" i="12"/>
  <c r="F608" i="12"/>
  <c r="E608" i="12"/>
  <c r="G607" i="12"/>
  <c r="F607" i="12"/>
  <c r="E607" i="12"/>
  <c r="G606" i="12"/>
  <c r="F606" i="12"/>
  <c r="E606" i="12"/>
  <c r="G605" i="12"/>
  <c r="F605" i="12"/>
  <c r="E605" i="12"/>
  <c r="G604" i="12"/>
  <c r="F604" i="12"/>
  <c r="E604" i="12"/>
  <c r="G603" i="12"/>
  <c r="F603" i="12"/>
  <c r="E603" i="12"/>
  <c r="G602" i="12"/>
  <c r="F602" i="12"/>
  <c r="E602" i="12"/>
  <c r="G601" i="12"/>
  <c r="F601" i="12"/>
  <c r="E601" i="12"/>
  <c r="G600" i="12"/>
  <c r="F600" i="12"/>
  <c r="E600" i="12"/>
  <c r="G599" i="12"/>
  <c r="F599" i="12"/>
  <c r="E599" i="12"/>
  <c r="G598" i="12"/>
  <c r="F598" i="12"/>
  <c r="E598" i="12"/>
  <c r="G597" i="12"/>
  <c r="F597" i="12"/>
  <c r="E597" i="12"/>
  <c r="G596" i="12"/>
  <c r="F596" i="12"/>
  <c r="E596" i="12"/>
  <c r="G595" i="12"/>
  <c r="F595" i="12"/>
  <c r="E595" i="12"/>
  <c r="G594" i="12"/>
  <c r="F594" i="12"/>
  <c r="E594" i="12"/>
  <c r="G593" i="12"/>
  <c r="F593" i="12"/>
  <c r="E593" i="12"/>
  <c r="G592" i="12"/>
  <c r="F592" i="12"/>
  <c r="E592" i="12"/>
  <c r="G591" i="12"/>
  <c r="F591" i="12"/>
  <c r="E591" i="12"/>
  <c r="G590" i="12"/>
  <c r="F590" i="12"/>
  <c r="E590" i="12"/>
  <c r="G589" i="12"/>
  <c r="F589" i="12"/>
  <c r="E589" i="12"/>
  <c r="G588" i="12"/>
  <c r="F588" i="12"/>
  <c r="E588" i="12"/>
  <c r="G587" i="12"/>
  <c r="F587" i="12"/>
  <c r="E587" i="12"/>
  <c r="G586" i="12"/>
  <c r="F586" i="12"/>
  <c r="E586" i="12"/>
  <c r="G585" i="12"/>
  <c r="F585" i="12"/>
  <c r="E585" i="12"/>
  <c r="G584" i="12"/>
  <c r="F584" i="12"/>
  <c r="E584" i="12"/>
  <c r="G583" i="12"/>
  <c r="F583" i="12"/>
  <c r="E583" i="12"/>
  <c r="G582" i="12"/>
  <c r="F582" i="12"/>
  <c r="E582" i="12"/>
  <c r="G581" i="12"/>
  <c r="F581" i="12"/>
  <c r="E581" i="12"/>
  <c r="G580" i="12"/>
  <c r="F580" i="12"/>
  <c r="E580" i="12"/>
  <c r="G579" i="12"/>
  <c r="F579" i="12"/>
  <c r="E579" i="12"/>
  <c r="G578" i="12"/>
  <c r="F578" i="12"/>
  <c r="E578" i="12"/>
  <c r="G577" i="12"/>
  <c r="F577" i="12"/>
  <c r="E577" i="12"/>
  <c r="G576" i="12"/>
  <c r="F576" i="12"/>
  <c r="E576" i="12"/>
  <c r="G575" i="12"/>
  <c r="F575" i="12"/>
  <c r="E575" i="12"/>
  <c r="G574" i="12"/>
  <c r="F574" i="12"/>
  <c r="E574" i="12"/>
  <c r="G573" i="12"/>
  <c r="F573" i="12"/>
  <c r="E573" i="12"/>
  <c r="G572" i="12"/>
  <c r="F572" i="12"/>
  <c r="E572" i="12"/>
  <c r="G571" i="12"/>
  <c r="F571" i="12"/>
  <c r="E571" i="12"/>
  <c r="G570" i="12"/>
  <c r="F570" i="12"/>
  <c r="E570" i="12"/>
  <c r="G569" i="12"/>
  <c r="F569" i="12"/>
  <c r="E569" i="12"/>
  <c r="G568" i="12"/>
  <c r="F568" i="12"/>
  <c r="E568" i="12"/>
  <c r="G567" i="12"/>
  <c r="F567" i="12"/>
  <c r="E567" i="12"/>
  <c r="G566" i="12"/>
  <c r="F566" i="12"/>
  <c r="E566" i="12"/>
  <c r="G565" i="12"/>
  <c r="F565" i="12"/>
  <c r="E565" i="12"/>
  <c r="G564" i="12"/>
  <c r="F564" i="12"/>
  <c r="E564" i="12"/>
  <c r="G563" i="12"/>
  <c r="F563" i="12"/>
  <c r="E563" i="12"/>
  <c r="G562" i="12"/>
  <c r="F562" i="12"/>
  <c r="E562" i="12"/>
  <c r="G561" i="12"/>
  <c r="F561" i="12"/>
  <c r="E561" i="12"/>
  <c r="G560" i="12"/>
  <c r="F560" i="12"/>
  <c r="E560" i="12"/>
  <c r="G559" i="12"/>
  <c r="F559" i="12"/>
  <c r="E559" i="12"/>
  <c r="G558" i="12"/>
  <c r="F558" i="12"/>
  <c r="E558" i="12"/>
  <c r="G557" i="12"/>
  <c r="F557" i="12"/>
  <c r="E557" i="12"/>
  <c r="G556" i="12"/>
  <c r="F556" i="12"/>
  <c r="E556" i="12"/>
  <c r="G555" i="12"/>
  <c r="F555" i="12"/>
  <c r="E555" i="12"/>
  <c r="G554" i="12"/>
  <c r="F554" i="12"/>
  <c r="E554" i="12"/>
  <c r="G553" i="12"/>
  <c r="F553" i="12"/>
  <c r="E553" i="12"/>
  <c r="G552" i="12"/>
  <c r="F552" i="12"/>
  <c r="E552" i="12"/>
  <c r="G551" i="12"/>
  <c r="F551" i="12"/>
  <c r="E551" i="12"/>
  <c r="G550" i="12"/>
  <c r="F550" i="12"/>
  <c r="E550" i="12"/>
  <c r="G549" i="12"/>
  <c r="F549" i="12"/>
  <c r="E549" i="12"/>
  <c r="G548" i="12"/>
  <c r="F548" i="12"/>
  <c r="E548" i="12"/>
  <c r="G547" i="12"/>
  <c r="F547" i="12"/>
  <c r="E547" i="12"/>
  <c r="G546" i="12"/>
  <c r="F546" i="12"/>
  <c r="E546" i="12"/>
  <c r="G545" i="12"/>
  <c r="F545" i="12"/>
  <c r="E545" i="12"/>
  <c r="G544" i="12"/>
  <c r="F544" i="12"/>
  <c r="E544" i="12"/>
  <c r="G543" i="12"/>
  <c r="F543" i="12"/>
  <c r="E543" i="12"/>
  <c r="G542" i="12"/>
  <c r="F542" i="12"/>
  <c r="E542" i="12"/>
  <c r="G541" i="12"/>
  <c r="F541" i="12"/>
  <c r="E541" i="12"/>
  <c r="G540" i="12"/>
  <c r="F540" i="12"/>
  <c r="E540" i="12"/>
  <c r="G539" i="12"/>
  <c r="F539" i="12"/>
  <c r="E539" i="12"/>
  <c r="G538" i="12"/>
  <c r="F538" i="12"/>
  <c r="E538" i="12"/>
  <c r="G537" i="12"/>
  <c r="F537" i="12"/>
  <c r="E537" i="12"/>
  <c r="G536" i="12"/>
  <c r="F536" i="12"/>
  <c r="E536" i="12"/>
  <c r="G535" i="12"/>
  <c r="F535" i="12"/>
  <c r="E535" i="12"/>
  <c r="G534" i="12"/>
  <c r="F534" i="12"/>
  <c r="E534" i="12"/>
  <c r="G533" i="12"/>
  <c r="F533" i="12"/>
  <c r="E533" i="12"/>
  <c r="G532" i="12"/>
  <c r="F532" i="12"/>
  <c r="E532" i="12"/>
  <c r="G531" i="12"/>
  <c r="F531" i="12"/>
  <c r="E531" i="12"/>
  <c r="G530" i="12"/>
  <c r="F530" i="12"/>
  <c r="E530" i="12"/>
  <c r="G529" i="12"/>
  <c r="F529" i="12"/>
  <c r="E529" i="12"/>
  <c r="G528" i="12"/>
  <c r="F528" i="12"/>
  <c r="E528" i="12"/>
  <c r="G527" i="12"/>
  <c r="F527" i="12"/>
  <c r="E527" i="12"/>
  <c r="G526" i="12"/>
  <c r="F526" i="12"/>
  <c r="E526" i="12"/>
  <c r="G525" i="12"/>
  <c r="F525" i="12"/>
  <c r="E525" i="12"/>
  <c r="G524" i="12"/>
  <c r="F524" i="12"/>
  <c r="E524" i="12"/>
  <c r="G523" i="12"/>
  <c r="F523" i="12"/>
  <c r="E523" i="12"/>
  <c r="G522" i="12"/>
  <c r="F522" i="12"/>
  <c r="E522" i="12"/>
  <c r="G521" i="12"/>
  <c r="F521" i="12"/>
  <c r="E521" i="12"/>
  <c r="G520" i="12"/>
  <c r="F520" i="12"/>
  <c r="E520" i="12"/>
  <c r="G519" i="12"/>
  <c r="F519" i="12"/>
  <c r="E519" i="12"/>
  <c r="G518" i="12"/>
  <c r="F518" i="12"/>
  <c r="E518" i="12"/>
  <c r="G517" i="12"/>
  <c r="F517" i="12"/>
  <c r="E517" i="12"/>
  <c r="G516" i="12"/>
  <c r="F516" i="12"/>
  <c r="E516" i="12"/>
  <c r="G515" i="12"/>
  <c r="F515" i="12"/>
  <c r="E515" i="12"/>
  <c r="G514" i="12"/>
  <c r="F514" i="12"/>
  <c r="E514" i="12"/>
  <c r="G513" i="12"/>
  <c r="F513" i="12"/>
  <c r="E513" i="12"/>
  <c r="G512" i="12"/>
  <c r="F512" i="12"/>
  <c r="E512" i="12"/>
  <c r="G511" i="12"/>
  <c r="F511" i="12"/>
  <c r="E511" i="12"/>
  <c r="G510" i="12"/>
  <c r="F510" i="12"/>
  <c r="E510" i="12"/>
  <c r="G509" i="12"/>
  <c r="F509" i="12"/>
  <c r="E509" i="12"/>
  <c r="G508" i="12"/>
  <c r="F508" i="12"/>
  <c r="E508" i="12"/>
  <c r="G507" i="12"/>
  <c r="F507" i="12"/>
  <c r="E507" i="12"/>
  <c r="G506" i="12"/>
  <c r="F506" i="12"/>
  <c r="E506" i="12"/>
  <c r="G505" i="12"/>
  <c r="F505" i="12"/>
  <c r="E505" i="12"/>
  <c r="G504" i="12"/>
  <c r="F504" i="12"/>
  <c r="E504" i="12"/>
  <c r="G503" i="12"/>
  <c r="F503" i="12"/>
  <c r="E503" i="12"/>
  <c r="G502" i="12"/>
  <c r="F502" i="12"/>
  <c r="E502" i="12"/>
  <c r="G501" i="12"/>
  <c r="F501" i="12"/>
  <c r="E501" i="12"/>
  <c r="G500" i="12"/>
  <c r="F500" i="12"/>
  <c r="E500" i="12"/>
  <c r="G499" i="12"/>
  <c r="F499" i="12"/>
  <c r="E499" i="12"/>
  <c r="G498" i="12"/>
  <c r="F498" i="12"/>
  <c r="E498" i="12"/>
  <c r="G497" i="12"/>
  <c r="F497" i="12"/>
  <c r="E497" i="12"/>
  <c r="G496" i="12"/>
  <c r="F496" i="12"/>
  <c r="E496" i="12"/>
  <c r="G495" i="12"/>
  <c r="F495" i="12"/>
  <c r="E495" i="12"/>
  <c r="G494" i="12"/>
  <c r="F494" i="12"/>
  <c r="E494" i="12"/>
  <c r="G493" i="12"/>
  <c r="F493" i="12"/>
  <c r="E493" i="12"/>
  <c r="G492" i="12"/>
  <c r="F492" i="12"/>
  <c r="E492" i="12"/>
  <c r="G491" i="12"/>
  <c r="F491" i="12"/>
  <c r="E491" i="12"/>
  <c r="G490" i="12"/>
  <c r="F490" i="12"/>
  <c r="E490" i="12"/>
  <c r="G489" i="12"/>
  <c r="F489" i="12"/>
  <c r="E489" i="12"/>
  <c r="G488" i="12"/>
  <c r="F488" i="12"/>
  <c r="E488" i="12"/>
  <c r="G487" i="12"/>
  <c r="F487" i="12"/>
  <c r="E487" i="12"/>
  <c r="G486" i="12"/>
  <c r="F486" i="12"/>
  <c r="E486" i="12"/>
  <c r="G485" i="12"/>
  <c r="F485" i="12"/>
  <c r="E485" i="12"/>
  <c r="G484" i="12"/>
  <c r="F484" i="12"/>
  <c r="E484" i="12"/>
  <c r="G483" i="12"/>
  <c r="F483" i="12"/>
  <c r="E483" i="12"/>
  <c r="G482" i="12"/>
  <c r="F482" i="12"/>
  <c r="E482" i="12"/>
  <c r="G481" i="12"/>
  <c r="F481" i="12"/>
  <c r="E481" i="12"/>
  <c r="G480" i="12"/>
  <c r="F480" i="12"/>
  <c r="E480" i="12"/>
  <c r="G479" i="12"/>
  <c r="F479" i="12"/>
  <c r="E479" i="12"/>
  <c r="G478" i="12"/>
  <c r="F478" i="12"/>
  <c r="E478" i="12"/>
  <c r="G477" i="12"/>
  <c r="F477" i="12"/>
  <c r="E477" i="12"/>
  <c r="G476" i="12"/>
  <c r="F476" i="12"/>
  <c r="E476" i="12"/>
  <c r="G475" i="12"/>
  <c r="F475" i="12"/>
  <c r="E475" i="12"/>
  <c r="G474" i="12"/>
  <c r="F474" i="12"/>
  <c r="E474" i="12"/>
  <c r="G473" i="12"/>
  <c r="F473" i="12"/>
  <c r="E473" i="12"/>
  <c r="G472" i="12"/>
  <c r="F472" i="12"/>
  <c r="E472" i="12"/>
  <c r="G471" i="12"/>
  <c r="F471" i="12"/>
  <c r="E471" i="12"/>
  <c r="G470" i="12"/>
  <c r="F470" i="12"/>
  <c r="E470" i="12"/>
  <c r="G469" i="12"/>
  <c r="F469" i="12"/>
  <c r="E469" i="12"/>
  <c r="G468" i="12"/>
  <c r="F468" i="12"/>
  <c r="E468" i="12"/>
  <c r="G467" i="12"/>
  <c r="F467" i="12"/>
  <c r="E467" i="12"/>
  <c r="G466" i="12"/>
  <c r="F466" i="12"/>
  <c r="E466" i="12"/>
  <c r="G465" i="12"/>
  <c r="F465" i="12"/>
  <c r="E465" i="12"/>
  <c r="G464" i="12"/>
  <c r="F464" i="12"/>
  <c r="E464" i="12"/>
  <c r="G463" i="12"/>
  <c r="F463" i="12"/>
  <c r="E463" i="12"/>
  <c r="G462" i="12"/>
  <c r="F462" i="12"/>
  <c r="E462" i="12"/>
  <c r="G461" i="12"/>
  <c r="F461" i="12"/>
  <c r="E461" i="12"/>
  <c r="G460" i="12"/>
  <c r="F460" i="12"/>
  <c r="E460" i="12"/>
  <c r="G459" i="12"/>
  <c r="F459" i="12"/>
  <c r="E459" i="12"/>
  <c r="G458" i="12"/>
  <c r="F458" i="12"/>
  <c r="E458" i="12"/>
  <c r="G457" i="12"/>
  <c r="F457" i="12"/>
  <c r="E457" i="12"/>
  <c r="G456" i="12"/>
  <c r="F456" i="12"/>
  <c r="E456" i="12"/>
  <c r="G455" i="12"/>
  <c r="F455" i="12"/>
  <c r="E455" i="12"/>
  <c r="G454" i="12"/>
  <c r="F454" i="12"/>
  <c r="E454" i="12"/>
  <c r="G453" i="12"/>
  <c r="F453" i="12"/>
  <c r="E453" i="12"/>
  <c r="G452" i="12"/>
  <c r="F452" i="12"/>
  <c r="E452" i="12"/>
  <c r="G451" i="12"/>
  <c r="F451" i="12"/>
  <c r="E451" i="12"/>
  <c r="G450" i="12"/>
  <c r="F450" i="12"/>
  <c r="E450" i="12"/>
  <c r="G449" i="12"/>
  <c r="F449" i="12"/>
  <c r="E449" i="12"/>
  <c r="G448" i="12"/>
  <c r="F448" i="12"/>
  <c r="E448" i="12"/>
  <c r="G447" i="12"/>
  <c r="F447" i="12"/>
  <c r="E447" i="12"/>
  <c r="G446" i="12"/>
  <c r="F446" i="12"/>
  <c r="E446" i="12"/>
  <c r="G445" i="12"/>
  <c r="F445" i="12"/>
  <c r="E445" i="12"/>
  <c r="G444" i="12"/>
  <c r="F444" i="12"/>
  <c r="E444" i="12"/>
  <c r="G443" i="12"/>
  <c r="F443" i="12"/>
  <c r="E443" i="12"/>
  <c r="G442" i="12"/>
  <c r="F442" i="12"/>
  <c r="E442" i="12"/>
  <c r="G441" i="12"/>
  <c r="F441" i="12"/>
  <c r="E441" i="12"/>
  <c r="G440" i="12"/>
  <c r="F440" i="12"/>
  <c r="E440" i="12"/>
  <c r="G439" i="12"/>
  <c r="F439" i="12"/>
  <c r="E439" i="12"/>
  <c r="G438" i="12"/>
  <c r="F438" i="12"/>
  <c r="E438" i="12"/>
  <c r="G437" i="12"/>
  <c r="F437" i="12"/>
  <c r="E437" i="12"/>
  <c r="G436" i="12"/>
  <c r="F436" i="12"/>
  <c r="E436" i="12"/>
  <c r="G435" i="12"/>
  <c r="F435" i="12"/>
  <c r="E435" i="12"/>
  <c r="G434" i="12"/>
  <c r="F434" i="12"/>
  <c r="E434" i="12"/>
  <c r="G433" i="12"/>
  <c r="F433" i="12"/>
  <c r="E433" i="12"/>
  <c r="G432" i="12"/>
  <c r="F432" i="12"/>
  <c r="E432" i="12"/>
  <c r="G431" i="12"/>
  <c r="F431" i="12"/>
  <c r="E431" i="12"/>
  <c r="G430" i="12"/>
  <c r="F430" i="12"/>
  <c r="E430" i="12"/>
  <c r="G429" i="12"/>
  <c r="F429" i="12"/>
  <c r="E429" i="12"/>
  <c r="G428" i="12"/>
  <c r="F428" i="12"/>
  <c r="E428" i="12"/>
  <c r="G427" i="12"/>
  <c r="F427" i="12"/>
  <c r="E427" i="12"/>
  <c r="G426" i="12"/>
  <c r="F426" i="12"/>
  <c r="E426" i="12"/>
  <c r="G425" i="12"/>
  <c r="F425" i="12"/>
  <c r="E425" i="12"/>
  <c r="G424" i="12"/>
  <c r="F424" i="12"/>
  <c r="E424" i="12"/>
  <c r="G423" i="12"/>
  <c r="F423" i="12"/>
  <c r="E423" i="12"/>
  <c r="G422" i="12"/>
  <c r="F422" i="12"/>
  <c r="E422" i="12"/>
  <c r="G421" i="12"/>
  <c r="F421" i="12"/>
  <c r="E421" i="12"/>
  <c r="G420" i="12"/>
  <c r="F420" i="12"/>
  <c r="E420" i="12"/>
  <c r="G419" i="12"/>
  <c r="F419" i="12"/>
  <c r="E419" i="12"/>
  <c r="G418" i="12"/>
  <c r="F418" i="12"/>
  <c r="E418" i="12"/>
  <c r="G417" i="12"/>
  <c r="F417" i="12"/>
  <c r="E417" i="12"/>
  <c r="G416" i="12"/>
  <c r="F416" i="12"/>
  <c r="E416" i="12"/>
  <c r="G415" i="12"/>
  <c r="F415" i="12"/>
  <c r="E415" i="12"/>
  <c r="G414" i="12"/>
  <c r="F414" i="12"/>
  <c r="E414" i="12"/>
  <c r="G413" i="12"/>
  <c r="F413" i="12"/>
  <c r="E413" i="12"/>
  <c r="G412" i="12"/>
  <c r="F412" i="12"/>
  <c r="E412" i="12"/>
  <c r="G411" i="12"/>
  <c r="F411" i="12"/>
  <c r="E411" i="12"/>
  <c r="G410" i="12"/>
  <c r="F410" i="12"/>
  <c r="E410" i="12"/>
  <c r="G409" i="12"/>
  <c r="F409" i="12"/>
  <c r="E409" i="12"/>
  <c r="G408" i="12"/>
  <c r="F408" i="12"/>
  <c r="E408" i="12"/>
  <c r="G407" i="12"/>
  <c r="F407" i="12"/>
  <c r="E407" i="12"/>
  <c r="G406" i="12"/>
  <c r="F406" i="12"/>
  <c r="E406" i="12"/>
  <c r="G405" i="12"/>
  <c r="F405" i="12"/>
  <c r="E405" i="12"/>
  <c r="G404" i="12"/>
  <c r="F404" i="12"/>
  <c r="E404" i="12"/>
  <c r="G403" i="12"/>
  <c r="F403" i="12"/>
  <c r="E403" i="12"/>
  <c r="G402" i="12"/>
  <c r="F402" i="12"/>
  <c r="E402" i="12"/>
  <c r="G401" i="12"/>
  <c r="F401" i="12"/>
  <c r="E401" i="12"/>
  <c r="G400" i="12"/>
  <c r="F400" i="12"/>
  <c r="E400" i="12"/>
  <c r="G399" i="12"/>
  <c r="F399" i="12"/>
  <c r="E399" i="12"/>
  <c r="G398" i="12"/>
  <c r="F398" i="12"/>
  <c r="E398" i="12"/>
  <c r="G397" i="12"/>
  <c r="F397" i="12"/>
  <c r="E397" i="12"/>
  <c r="G396" i="12"/>
  <c r="F396" i="12"/>
  <c r="E396" i="12"/>
  <c r="G395" i="12"/>
  <c r="F395" i="12"/>
  <c r="E395" i="12"/>
  <c r="G394" i="12"/>
  <c r="F394" i="12"/>
  <c r="E394" i="12"/>
  <c r="G393" i="12"/>
  <c r="F393" i="12"/>
  <c r="E393" i="12"/>
  <c r="G392" i="12"/>
  <c r="F392" i="12"/>
  <c r="E392" i="12"/>
  <c r="G391" i="12"/>
  <c r="F391" i="12"/>
  <c r="E391" i="12"/>
  <c r="G390" i="12"/>
  <c r="F390" i="12"/>
  <c r="E390" i="12"/>
  <c r="G389" i="12"/>
  <c r="F389" i="12"/>
  <c r="E389" i="12"/>
  <c r="G388" i="12"/>
  <c r="F388" i="12"/>
  <c r="E388" i="12"/>
  <c r="G387" i="12"/>
  <c r="F387" i="12"/>
  <c r="E387" i="12"/>
  <c r="G386" i="12"/>
  <c r="F386" i="12"/>
  <c r="E386" i="12"/>
  <c r="G385" i="12"/>
  <c r="F385" i="12"/>
  <c r="E385" i="12"/>
  <c r="G384" i="12"/>
  <c r="F384" i="12"/>
  <c r="E384" i="12"/>
  <c r="G383" i="12"/>
  <c r="F383" i="12"/>
  <c r="E383" i="12"/>
  <c r="G382" i="12"/>
  <c r="F382" i="12"/>
  <c r="E382" i="12"/>
  <c r="G381" i="12"/>
  <c r="F381" i="12"/>
  <c r="E381" i="12"/>
  <c r="G380" i="12"/>
  <c r="F380" i="12"/>
  <c r="E380" i="12"/>
  <c r="G379" i="12"/>
  <c r="F379" i="12"/>
  <c r="E379" i="12"/>
  <c r="G378" i="12"/>
  <c r="F378" i="12"/>
  <c r="E378" i="12"/>
  <c r="G377" i="12"/>
  <c r="F377" i="12"/>
  <c r="E377" i="12"/>
  <c r="G376" i="12"/>
  <c r="F376" i="12"/>
  <c r="E376" i="12"/>
  <c r="G375" i="12"/>
  <c r="F375" i="12"/>
  <c r="E375" i="12"/>
  <c r="G374" i="12"/>
  <c r="F374" i="12"/>
  <c r="E374" i="12"/>
  <c r="G373" i="12"/>
  <c r="F373" i="12"/>
  <c r="E373" i="12"/>
  <c r="G372" i="12"/>
  <c r="F372" i="12"/>
  <c r="E372" i="12"/>
  <c r="G371" i="12"/>
  <c r="F371" i="12"/>
  <c r="E371" i="12"/>
  <c r="G370" i="12"/>
  <c r="F370" i="12"/>
  <c r="E370" i="12"/>
  <c r="G369" i="12"/>
  <c r="F369" i="12"/>
  <c r="E369" i="12"/>
  <c r="G368" i="12"/>
  <c r="F368" i="12"/>
  <c r="E368" i="12"/>
  <c r="G367" i="12"/>
  <c r="F367" i="12"/>
  <c r="E367" i="12"/>
  <c r="G366" i="12"/>
  <c r="F366" i="12"/>
  <c r="E366" i="12"/>
  <c r="G365" i="12"/>
  <c r="F365" i="12"/>
  <c r="E365" i="12"/>
  <c r="G364" i="12"/>
  <c r="F364" i="12"/>
  <c r="E364" i="12"/>
  <c r="G363" i="12"/>
  <c r="F363" i="12"/>
  <c r="E363" i="12"/>
  <c r="G362" i="12"/>
  <c r="F362" i="12"/>
  <c r="E362" i="12"/>
  <c r="G361" i="12"/>
  <c r="F361" i="12"/>
  <c r="E361" i="12"/>
  <c r="G360" i="12"/>
  <c r="F360" i="12"/>
  <c r="E360" i="12"/>
  <c r="G359" i="12"/>
  <c r="F359" i="12"/>
  <c r="E359" i="12"/>
  <c r="G358" i="12"/>
  <c r="F358" i="12"/>
  <c r="E358" i="12"/>
  <c r="G357" i="12"/>
  <c r="F357" i="12"/>
  <c r="E357" i="12"/>
  <c r="G356" i="12"/>
  <c r="F356" i="12"/>
  <c r="E356" i="12"/>
  <c r="G355" i="12"/>
  <c r="F355" i="12"/>
  <c r="E355" i="12"/>
  <c r="G354" i="12"/>
  <c r="F354" i="12"/>
  <c r="E354" i="12"/>
  <c r="G353" i="12"/>
  <c r="F353" i="12"/>
  <c r="E353" i="12"/>
  <c r="G352" i="12"/>
  <c r="F352" i="12"/>
  <c r="E352" i="12"/>
  <c r="G351" i="12"/>
  <c r="F351" i="12"/>
  <c r="E351" i="12"/>
  <c r="G350" i="12"/>
  <c r="F350" i="12"/>
  <c r="E350" i="12"/>
  <c r="G349" i="12"/>
  <c r="F349" i="12"/>
  <c r="E349" i="12"/>
  <c r="G348" i="12"/>
  <c r="F348" i="12"/>
  <c r="E348" i="12"/>
  <c r="G347" i="12"/>
  <c r="F347" i="12"/>
  <c r="E347" i="12"/>
  <c r="G346" i="12"/>
  <c r="F346" i="12"/>
  <c r="E346" i="12"/>
  <c r="G345" i="12"/>
  <c r="F345" i="12"/>
  <c r="E345" i="12"/>
  <c r="G344" i="12"/>
  <c r="F344" i="12"/>
  <c r="E344" i="12"/>
  <c r="G343" i="12"/>
  <c r="F343" i="12"/>
  <c r="E343" i="12"/>
  <c r="G342" i="12"/>
  <c r="F342" i="12"/>
  <c r="E342" i="12"/>
  <c r="G341" i="12"/>
  <c r="F341" i="12"/>
  <c r="E341" i="12"/>
  <c r="G340" i="12"/>
  <c r="F340" i="12"/>
  <c r="E340" i="12"/>
  <c r="G339" i="12"/>
  <c r="F339" i="12"/>
  <c r="E339" i="12"/>
  <c r="G338" i="12"/>
  <c r="F338" i="12"/>
  <c r="E338" i="12"/>
  <c r="G337" i="12"/>
  <c r="F337" i="12"/>
  <c r="E337" i="12"/>
  <c r="G336" i="12"/>
  <c r="F336" i="12"/>
  <c r="E336" i="12"/>
  <c r="G335" i="12"/>
  <c r="F335" i="12"/>
  <c r="E335" i="12"/>
  <c r="G334" i="12"/>
  <c r="F334" i="12"/>
  <c r="E334" i="12"/>
  <c r="G333" i="12"/>
  <c r="F333" i="12"/>
  <c r="E333" i="12"/>
  <c r="G332" i="12"/>
  <c r="F332" i="12"/>
  <c r="E332" i="12"/>
  <c r="G331" i="12"/>
  <c r="F331" i="12"/>
  <c r="E331" i="12"/>
  <c r="G330" i="12"/>
  <c r="F330" i="12"/>
  <c r="E330" i="12"/>
  <c r="G329" i="12"/>
  <c r="F329" i="12"/>
  <c r="E329" i="12"/>
  <c r="G328" i="12"/>
  <c r="F328" i="12"/>
  <c r="E328" i="12"/>
  <c r="G327" i="12"/>
  <c r="F327" i="12"/>
  <c r="E327" i="12"/>
  <c r="G326" i="12"/>
  <c r="F326" i="12"/>
  <c r="E326" i="12"/>
  <c r="G325" i="12"/>
  <c r="F325" i="12"/>
  <c r="E325" i="12"/>
  <c r="G324" i="12"/>
  <c r="F324" i="12"/>
  <c r="E324" i="12"/>
  <c r="G323" i="12"/>
  <c r="F323" i="12"/>
  <c r="E323" i="12"/>
  <c r="G322" i="12"/>
  <c r="F322" i="12"/>
  <c r="E322" i="12"/>
  <c r="G321" i="12"/>
  <c r="F321" i="12"/>
  <c r="E321" i="12"/>
  <c r="G320" i="12"/>
  <c r="F320" i="12"/>
  <c r="E320" i="12"/>
  <c r="G319" i="12"/>
  <c r="F319" i="12"/>
  <c r="E319" i="12"/>
  <c r="G318" i="12"/>
  <c r="F318" i="12"/>
  <c r="E318" i="12"/>
  <c r="G317" i="12"/>
  <c r="F317" i="12"/>
  <c r="E317" i="12"/>
  <c r="G316" i="12"/>
  <c r="F316" i="12"/>
  <c r="E316" i="12"/>
  <c r="G315" i="12"/>
  <c r="F315" i="12"/>
  <c r="E315" i="12"/>
  <c r="G314" i="12"/>
  <c r="F314" i="12"/>
  <c r="E314" i="12"/>
  <c r="G313" i="12"/>
  <c r="F313" i="12"/>
  <c r="E313" i="12"/>
  <c r="G312" i="12"/>
  <c r="F312" i="12"/>
  <c r="E312" i="12"/>
  <c r="G311" i="12"/>
  <c r="F311" i="12"/>
  <c r="E311" i="12"/>
  <c r="G310" i="12"/>
  <c r="F310" i="12"/>
  <c r="E310" i="12"/>
  <c r="G309" i="12"/>
  <c r="F309" i="12"/>
  <c r="E309" i="12"/>
  <c r="G308" i="12"/>
  <c r="F308" i="12"/>
  <c r="E308" i="12"/>
  <c r="G307" i="12"/>
  <c r="F307" i="12"/>
  <c r="E307" i="12"/>
  <c r="G306" i="12"/>
  <c r="F306" i="12"/>
  <c r="E306" i="12"/>
  <c r="G305" i="12"/>
  <c r="F305" i="12"/>
  <c r="E305" i="12"/>
  <c r="G304" i="12"/>
  <c r="F304" i="12"/>
  <c r="E304" i="12"/>
  <c r="G303" i="12"/>
  <c r="F303" i="12"/>
  <c r="E303" i="12"/>
  <c r="G302" i="12"/>
  <c r="F302" i="12"/>
  <c r="E302" i="12"/>
  <c r="G301" i="12"/>
  <c r="F301" i="12"/>
  <c r="E301" i="12"/>
  <c r="G300" i="12"/>
  <c r="F300" i="12"/>
  <c r="E300" i="12"/>
  <c r="G299" i="12"/>
  <c r="F299" i="12"/>
  <c r="E299" i="12"/>
  <c r="G298" i="12"/>
  <c r="F298" i="12"/>
  <c r="E298" i="12"/>
  <c r="G297" i="12"/>
  <c r="F297" i="12"/>
  <c r="E297" i="12"/>
  <c r="G296" i="12"/>
  <c r="F296" i="12"/>
  <c r="E296" i="12"/>
  <c r="G295" i="12"/>
  <c r="F295" i="12"/>
  <c r="E295" i="12"/>
  <c r="G294" i="12"/>
  <c r="F294" i="12"/>
  <c r="E294" i="12"/>
  <c r="G293" i="12"/>
  <c r="F293" i="12"/>
  <c r="E293" i="12"/>
  <c r="G292" i="12"/>
  <c r="F292" i="12"/>
  <c r="E292" i="12"/>
  <c r="G291" i="12"/>
  <c r="F291" i="12"/>
  <c r="E291" i="12"/>
  <c r="G290" i="12"/>
  <c r="F290" i="12"/>
  <c r="E290" i="12"/>
  <c r="G289" i="12"/>
  <c r="F289" i="12"/>
  <c r="E289" i="12"/>
  <c r="G288" i="12"/>
  <c r="F288" i="12"/>
  <c r="E288" i="12"/>
  <c r="G287" i="12"/>
  <c r="F287" i="12"/>
  <c r="E287" i="12"/>
  <c r="G286" i="12"/>
  <c r="F286" i="12"/>
  <c r="E286" i="12"/>
  <c r="G285" i="12"/>
  <c r="F285" i="12"/>
  <c r="E285" i="12"/>
  <c r="G284" i="12"/>
  <c r="F284" i="12"/>
  <c r="E284" i="12"/>
  <c r="G283" i="12"/>
  <c r="F283" i="12"/>
  <c r="E283" i="12"/>
  <c r="G282" i="12"/>
  <c r="F282" i="12"/>
  <c r="E282" i="12"/>
  <c r="G281" i="12"/>
  <c r="F281" i="12"/>
  <c r="E281" i="12"/>
  <c r="G280" i="12"/>
  <c r="F280" i="12"/>
  <c r="E280" i="12"/>
  <c r="G279" i="12"/>
  <c r="F279" i="12"/>
  <c r="E279" i="12"/>
  <c r="G278" i="12"/>
  <c r="F278" i="12"/>
  <c r="E278" i="12"/>
  <c r="G277" i="12"/>
  <c r="F277" i="12"/>
  <c r="E277" i="12"/>
  <c r="G276" i="12"/>
  <c r="F276" i="12"/>
  <c r="E276" i="12"/>
  <c r="G275" i="12"/>
  <c r="F275" i="12"/>
  <c r="E275" i="12"/>
  <c r="G274" i="12"/>
  <c r="F274" i="12"/>
  <c r="E274" i="12"/>
  <c r="G273" i="12"/>
  <c r="F273" i="12"/>
  <c r="E273" i="12"/>
  <c r="G272" i="12"/>
  <c r="F272" i="12"/>
  <c r="E272" i="12"/>
  <c r="G271" i="12"/>
  <c r="F271" i="12"/>
  <c r="E271" i="12"/>
  <c r="G270" i="12"/>
  <c r="F270" i="12"/>
  <c r="E270" i="12"/>
  <c r="G269" i="12"/>
  <c r="F269" i="12"/>
  <c r="E269" i="12"/>
  <c r="G268" i="12"/>
  <c r="F268" i="12"/>
  <c r="E268" i="12"/>
  <c r="G267" i="12"/>
  <c r="F267" i="12"/>
  <c r="E267" i="12"/>
  <c r="G266" i="12"/>
  <c r="F266" i="12"/>
  <c r="E266" i="12"/>
  <c r="G265" i="12"/>
  <c r="F265" i="12"/>
  <c r="E265" i="12"/>
  <c r="G264" i="12"/>
  <c r="F264" i="12"/>
  <c r="E264" i="12"/>
  <c r="G263" i="12"/>
  <c r="F263" i="12"/>
  <c r="E263" i="12"/>
  <c r="G262" i="12"/>
  <c r="F262" i="12"/>
  <c r="E262" i="12"/>
  <c r="G261" i="12"/>
  <c r="F261" i="12"/>
  <c r="E261" i="12"/>
  <c r="G260" i="12"/>
  <c r="F260" i="12"/>
  <c r="E260" i="12"/>
  <c r="G259" i="12"/>
  <c r="F259" i="12"/>
  <c r="E259" i="12"/>
  <c r="G258" i="12"/>
  <c r="F258" i="12"/>
  <c r="E258" i="12"/>
  <c r="G257" i="12"/>
  <c r="F257" i="12"/>
  <c r="E257" i="12"/>
  <c r="G256" i="12"/>
  <c r="F256" i="12"/>
  <c r="E256" i="12"/>
  <c r="G255" i="12"/>
  <c r="F255" i="12"/>
  <c r="E255" i="12"/>
  <c r="G254" i="12"/>
  <c r="F254" i="12"/>
  <c r="E254" i="12"/>
  <c r="G253" i="12"/>
  <c r="F253" i="12"/>
  <c r="E253" i="12"/>
  <c r="G252" i="12"/>
  <c r="F252" i="12"/>
  <c r="E252" i="12"/>
  <c r="G251" i="12"/>
  <c r="F251" i="12"/>
  <c r="E251" i="12"/>
  <c r="G250" i="12"/>
  <c r="F250" i="12"/>
  <c r="E250" i="12"/>
  <c r="G249" i="12"/>
  <c r="F249" i="12"/>
  <c r="E249" i="12"/>
  <c r="G248" i="12"/>
  <c r="F248" i="12"/>
  <c r="E248" i="12"/>
  <c r="G247" i="12"/>
  <c r="F247" i="12"/>
  <c r="E247" i="12"/>
  <c r="G246" i="12"/>
  <c r="F246" i="12"/>
  <c r="E246" i="12"/>
  <c r="G245" i="12"/>
  <c r="F245" i="12"/>
  <c r="E245" i="12"/>
  <c r="G244" i="12"/>
  <c r="F244" i="12"/>
  <c r="E244" i="12"/>
  <c r="G243" i="12"/>
  <c r="F243" i="12"/>
  <c r="E243" i="12"/>
  <c r="G242" i="12"/>
  <c r="F242" i="12"/>
  <c r="E242" i="12"/>
  <c r="G241" i="12"/>
  <c r="F241" i="12"/>
  <c r="E241" i="12"/>
  <c r="G240" i="12"/>
  <c r="F240" i="12"/>
  <c r="E240" i="12"/>
  <c r="G239" i="12"/>
  <c r="F239" i="12"/>
  <c r="E239" i="12"/>
  <c r="G238" i="12"/>
  <c r="F238" i="12"/>
  <c r="E238" i="12"/>
  <c r="G237" i="12"/>
  <c r="F237" i="12"/>
  <c r="E237" i="12"/>
  <c r="G236" i="12"/>
  <c r="F236" i="12"/>
  <c r="E236" i="12"/>
  <c r="G235" i="12"/>
  <c r="F235" i="12"/>
  <c r="E235" i="12"/>
  <c r="G234" i="12"/>
  <c r="F234" i="12"/>
  <c r="E234" i="12"/>
  <c r="G233" i="12"/>
  <c r="F233" i="12"/>
  <c r="E233" i="12"/>
  <c r="G232" i="12"/>
  <c r="F232" i="12"/>
  <c r="E232" i="12"/>
  <c r="G231" i="12"/>
  <c r="F231" i="12"/>
  <c r="E231" i="12"/>
  <c r="G230" i="12"/>
  <c r="F230" i="12"/>
  <c r="E230" i="12"/>
  <c r="G229" i="12"/>
  <c r="F229" i="12"/>
  <c r="E229" i="12"/>
  <c r="G228" i="12"/>
  <c r="F228" i="12"/>
  <c r="E228" i="12"/>
  <c r="G227" i="12"/>
  <c r="F227" i="12"/>
  <c r="E227" i="12"/>
  <c r="G226" i="12"/>
  <c r="F226" i="12"/>
  <c r="E226" i="12"/>
  <c r="G225" i="12"/>
  <c r="F225" i="12"/>
  <c r="E225" i="12"/>
  <c r="G224" i="12"/>
  <c r="F224" i="12"/>
  <c r="E224" i="12"/>
  <c r="G223" i="12"/>
  <c r="F223" i="12"/>
  <c r="E223" i="12"/>
  <c r="G222" i="12"/>
  <c r="F222" i="12"/>
  <c r="E222" i="12"/>
  <c r="G221" i="12"/>
  <c r="F221" i="12"/>
  <c r="E221" i="12"/>
  <c r="G220" i="12"/>
  <c r="F220" i="12"/>
  <c r="E220" i="12"/>
  <c r="G219" i="12"/>
  <c r="F219" i="12"/>
  <c r="E219" i="12"/>
  <c r="G218" i="12"/>
  <c r="F218" i="12"/>
  <c r="E218" i="12"/>
  <c r="G217" i="12"/>
  <c r="F217" i="12"/>
  <c r="E217" i="12"/>
  <c r="G216" i="12"/>
  <c r="F216" i="12"/>
  <c r="E216" i="12"/>
  <c r="G215" i="12"/>
  <c r="F215" i="12"/>
  <c r="E215" i="12"/>
  <c r="G214" i="12"/>
  <c r="F214" i="12"/>
  <c r="E214" i="12"/>
  <c r="G213" i="12"/>
  <c r="F213" i="12"/>
  <c r="E213" i="12"/>
  <c r="G212" i="12"/>
  <c r="F212" i="12"/>
  <c r="E212" i="12"/>
  <c r="G211" i="12"/>
  <c r="F211" i="12"/>
  <c r="E211" i="12"/>
  <c r="G210" i="12"/>
  <c r="F210" i="12"/>
  <c r="E210" i="12"/>
  <c r="G209" i="12"/>
  <c r="F209" i="12"/>
  <c r="E209" i="12"/>
  <c r="G208" i="12"/>
  <c r="F208" i="12"/>
  <c r="E208" i="12"/>
  <c r="G207" i="12"/>
  <c r="F207" i="12"/>
  <c r="E207" i="12"/>
  <c r="G206" i="12"/>
  <c r="F206" i="12"/>
  <c r="E206" i="12"/>
  <c r="G205" i="12"/>
  <c r="F205" i="12"/>
  <c r="E205" i="12"/>
  <c r="G204" i="12"/>
  <c r="F204" i="12"/>
  <c r="E204" i="12"/>
  <c r="G203" i="12"/>
  <c r="F203" i="12"/>
  <c r="E203" i="12"/>
  <c r="G202" i="12"/>
  <c r="F202" i="12"/>
  <c r="E202" i="12"/>
  <c r="G201" i="12"/>
  <c r="F201" i="12"/>
  <c r="E201" i="12"/>
  <c r="G200" i="12"/>
  <c r="F200" i="12"/>
  <c r="E200" i="12"/>
  <c r="G199" i="12"/>
  <c r="F199" i="12"/>
  <c r="E199" i="12"/>
  <c r="G198" i="12"/>
  <c r="F198" i="12"/>
  <c r="E198" i="12"/>
  <c r="G197" i="12"/>
  <c r="F197" i="12"/>
  <c r="E197" i="12"/>
  <c r="G196" i="12"/>
  <c r="F196" i="12"/>
  <c r="E196" i="12"/>
  <c r="G195" i="12"/>
  <c r="F195" i="12"/>
  <c r="E195" i="12"/>
  <c r="G194" i="12"/>
  <c r="F194" i="12"/>
  <c r="E194" i="12"/>
  <c r="G193" i="12"/>
  <c r="F193" i="12"/>
  <c r="E193" i="12"/>
  <c r="G192" i="12"/>
  <c r="F192" i="12"/>
  <c r="E192" i="12"/>
  <c r="G191" i="12"/>
  <c r="F191" i="12"/>
  <c r="E191" i="12"/>
  <c r="G190" i="12"/>
  <c r="F190" i="12"/>
  <c r="E190" i="12"/>
  <c r="G189" i="12"/>
  <c r="F189" i="12"/>
  <c r="E189" i="12"/>
  <c r="G188" i="12"/>
  <c r="F188" i="12"/>
  <c r="E188" i="12"/>
  <c r="G187" i="12"/>
  <c r="F187" i="12"/>
  <c r="E187" i="12"/>
  <c r="G186" i="12"/>
  <c r="F186" i="12"/>
  <c r="E186" i="12"/>
  <c r="G185" i="12"/>
  <c r="F185" i="12"/>
  <c r="E185" i="12"/>
  <c r="G184" i="12"/>
  <c r="F184" i="12"/>
  <c r="E184" i="12"/>
  <c r="G183" i="12"/>
  <c r="F183" i="12"/>
  <c r="E183" i="12"/>
  <c r="G182" i="12"/>
  <c r="F182" i="12"/>
  <c r="E182" i="12"/>
  <c r="G181" i="12"/>
  <c r="F181" i="12"/>
  <c r="E181" i="12"/>
  <c r="G180" i="12"/>
  <c r="F180" i="12"/>
  <c r="E180" i="12"/>
  <c r="G179" i="12"/>
  <c r="F179" i="12"/>
  <c r="E179" i="12"/>
  <c r="G178" i="12"/>
  <c r="F178" i="12"/>
  <c r="E178" i="12"/>
  <c r="G177" i="12"/>
  <c r="F177" i="12"/>
  <c r="E177" i="12"/>
  <c r="G176" i="12"/>
  <c r="F176" i="12"/>
  <c r="E176" i="12"/>
  <c r="G175" i="12"/>
  <c r="F175" i="12"/>
  <c r="E175" i="12"/>
  <c r="G174" i="12"/>
  <c r="F174" i="12"/>
  <c r="E174" i="12"/>
  <c r="G173" i="12"/>
  <c r="F173" i="12"/>
  <c r="E173" i="12"/>
  <c r="G172" i="12"/>
  <c r="F172" i="12"/>
  <c r="E172" i="12"/>
  <c r="G171" i="12"/>
  <c r="F171" i="12"/>
  <c r="E171" i="12"/>
  <c r="G170" i="12"/>
  <c r="F170" i="12"/>
  <c r="E170" i="12"/>
  <c r="G169" i="12"/>
  <c r="F169" i="12"/>
  <c r="E169" i="12"/>
  <c r="G168" i="12"/>
  <c r="F168" i="12"/>
  <c r="E168" i="12"/>
  <c r="G167" i="12"/>
  <c r="F167" i="12"/>
  <c r="E167" i="12"/>
  <c r="G166" i="12"/>
  <c r="F166" i="12"/>
  <c r="E166" i="12"/>
  <c r="G165" i="12"/>
  <c r="F165" i="12"/>
  <c r="E165" i="12"/>
  <c r="G164" i="12"/>
  <c r="F164" i="12"/>
  <c r="E164" i="12"/>
  <c r="G163" i="12"/>
  <c r="F163" i="12"/>
  <c r="E163" i="12"/>
  <c r="G162" i="12"/>
  <c r="F162" i="12"/>
  <c r="E162" i="12"/>
  <c r="G161" i="12"/>
  <c r="F161" i="12"/>
  <c r="E161" i="12"/>
  <c r="G160" i="12"/>
  <c r="F160" i="12"/>
  <c r="E160" i="12"/>
  <c r="G159" i="12"/>
  <c r="F159" i="12"/>
  <c r="E159" i="12"/>
  <c r="G158" i="12"/>
  <c r="F158" i="12"/>
  <c r="E158" i="12"/>
  <c r="G157" i="12"/>
  <c r="F157" i="12"/>
  <c r="E157" i="12"/>
  <c r="G156" i="12"/>
  <c r="F156" i="12"/>
  <c r="E156" i="12"/>
  <c r="G155" i="12"/>
  <c r="F155" i="12"/>
  <c r="E155" i="12"/>
  <c r="G154" i="12"/>
  <c r="F154" i="12"/>
  <c r="E154" i="12"/>
  <c r="G153" i="12"/>
  <c r="F153" i="12"/>
  <c r="E153" i="12"/>
  <c r="G152" i="12"/>
  <c r="F152" i="12"/>
  <c r="E152" i="12"/>
  <c r="G151" i="12"/>
  <c r="F151" i="12"/>
  <c r="E151" i="12"/>
  <c r="G150" i="12"/>
  <c r="F150" i="12"/>
  <c r="E150" i="12"/>
  <c r="G149" i="12"/>
  <c r="F149" i="12"/>
  <c r="E149" i="12"/>
  <c r="G148" i="12"/>
  <c r="F148" i="12"/>
  <c r="E148" i="12"/>
  <c r="G147" i="12"/>
  <c r="F147" i="12"/>
  <c r="E147" i="12"/>
  <c r="G146" i="12"/>
  <c r="F146" i="12"/>
  <c r="E146" i="12"/>
  <c r="G145" i="12"/>
  <c r="F145" i="12"/>
  <c r="E145" i="12"/>
  <c r="G144" i="12"/>
  <c r="F144" i="12"/>
  <c r="E144" i="12"/>
  <c r="G143" i="12"/>
  <c r="F143" i="12"/>
  <c r="E143" i="12"/>
  <c r="G142" i="12"/>
  <c r="F142" i="12"/>
  <c r="E142" i="12"/>
  <c r="G141" i="12"/>
  <c r="F141" i="12"/>
  <c r="E141" i="12"/>
  <c r="G140" i="12"/>
  <c r="F140" i="12"/>
  <c r="E140" i="12"/>
  <c r="G139" i="12"/>
  <c r="F139" i="12"/>
  <c r="E139" i="12"/>
  <c r="G138" i="12"/>
  <c r="F138" i="12"/>
  <c r="E138" i="12"/>
  <c r="G137" i="12"/>
  <c r="F137" i="12"/>
  <c r="E137" i="12"/>
  <c r="G136" i="12"/>
  <c r="F136" i="12"/>
  <c r="E136" i="12"/>
  <c r="G135" i="12"/>
  <c r="F135" i="12"/>
  <c r="E135" i="12"/>
  <c r="G134" i="12"/>
  <c r="F134" i="12"/>
  <c r="E134" i="12"/>
  <c r="G133" i="12"/>
  <c r="F133" i="12"/>
  <c r="E133" i="12"/>
  <c r="G132" i="12"/>
  <c r="F132" i="12"/>
  <c r="E132" i="12"/>
  <c r="G131" i="12"/>
  <c r="F131" i="12"/>
  <c r="E131" i="12"/>
  <c r="G130" i="12"/>
  <c r="F130" i="12"/>
  <c r="E130" i="12"/>
  <c r="G129" i="12"/>
  <c r="F129" i="12"/>
  <c r="E129" i="12"/>
  <c r="G128" i="12"/>
  <c r="F128" i="12"/>
  <c r="E128" i="12"/>
  <c r="G127" i="12"/>
  <c r="F127" i="12"/>
  <c r="E127" i="12"/>
  <c r="G126" i="12"/>
  <c r="F126" i="12"/>
  <c r="E126" i="12"/>
  <c r="G125" i="12"/>
  <c r="F125" i="12"/>
  <c r="E125" i="12"/>
  <c r="G124" i="12"/>
  <c r="F124" i="12"/>
  <c r="E124" i="12"/>
  <c r="G123" i="12"/>
  <c r="F123" i="12"/>
  <c r="E123" i="12"/>
  <c r="G122" i="12"/>
  <c r="F122" i="12"/>
  <c r="E122" i="12"/>
  <c r="G121" i="12"/>
  <c r="F121" i="12"/>
  <c r="E121" i="12"/>
  <c r="G120" i="12"/>
  <c r="F120" i="12"/>
  <c r="E120" i="12"/>
  <c r="G119" i="12"/>
  <c r="F119" i="12"/>
  <c r="E119" i="12"/>
  <c r="G118" i="12"/>
  <c r="F118" i="12"/>
  <c r="E118" i="12"/>
  <c r="G117" i="12"/>
  <c r="F117" i="12"/>
  <c r="E117" i="12"/>
  <c r="G116" i="12"/>
  <c r="F116" i="12"/>
  <c r="E116" i="12"/>
  <c r="G115" i="12"/>
  <c r="F115" i="12"/>
  <c r="E115" i="12"/>
  <c r="G114" i="12"/>
  <c r="F114" i="12"/>
  <c r="E114" i="12"/>
  <c r="G113" i="12"/>
  <c r="F113" i="12"/>
  <c r="E113" i="12"/>
  <c r="G112" i="12"/>
  <c r="F112" i="12"/>
  <c r="E112" i="12"/>
  <c r="G111" i="12"/>
  <c r="F111" i="12"/>
  <c r="E111" i="12"/>
  <c r="G110" i="12"/>
  <c r="F110" i="12"/>
  <c r="E110" i="12"/>
  <c r="G109" i="12"/>
  <c r="F109" i="12"/>
  <c r="E109" i="12"/>
  <c r="G108" i="12"/>
  <c r="F108" i="12"/>
  <c r="E108" i="12"/>
  <c r="G107" i="12"/>
  <c r="F107" i="12"/>
  <c r="E107" i="12"/>
  <c r="G106" i="12"/>
  <c r="F106" i="12"/>
  <c r="E106" i="12"/>
  <c r="G105" i="12"/>
  <c r="F105" i="12"/>
  <c r="E105" i="12"/>
  <c r="G104" i="12"/>
  <c r="F104" i="12"/>
  <c r="E104" i="12"/>
  <c r="G103" i="12"/>
  <c r="F103" i="12"/>
  <c r="E103" i="12"/>
  <c r="G102" i="12"/>
  <c r="F102" i="12"/>
  <c r="E102" i="12"/>
  <c r="G101" i="12"/>
  <c r="F101" i="12"/>
  <c r="E101" i="12"/>
  <c r="G100" i="12"/>
  <c r="F100" i="12"/>
  <c r="E100" i="12"/>
  <c r="G99" i="12"/>
  <c r="F99" i="12"/>
  <c r="E99" i="12"/>
  <c r="G98" i="12"/>
  <c r="F98" i="12"/>
  <c r="E98" i="12"/>
  <c r="G97" i="12"/>
  <c r="F97" i="12"/>
  <c r="E97" i="12"/>
  <c r="G96" i="12"/>
  <c r="F96" i="12"/>
  <c r="E96" i="12"/>
  <c r="G95" i="12"/>
  <c r="F95" i="12"/>
  <c r="E95" i="12"/>
  <c r="G94" i="12"/>
  <c r="F94" i="12"/>
  <c r="E94" i="12"/>
  <c r="G93" i="12"/>
  <c r="F93" i="12"/>
  <c r="E93" i="12"/>
  <c r="G92" i="12"/>
  <c r="F92" i="12"/>
  <c r="E92" i="12"/>
  <c r="G91" i="12"/>
  <c r="F91" i="12"/>
  <c r="E91" i="12"/>
  <c r="G90" i="12"/>
  <c r="F90" i="12"/>
  <c r="E90" i="12"/>
  <c r="G89" i="12"/>
  <c r="F89" i="12"/>
  <c r="E89" i="12"/>
  <c r="G88" i="12"/>
  <c r="F88" i="12"/>
  <c r="E88" i="12"/>
  <c r="G87" i="12"/>
  <c r="F87" i="12"/>
  <c r="E87" i="12"/>
  <c r="G86" i="12"/>
  <c r="F86" i="12"/>
  <c r="E86" i="12"/>
  <c r="G85" i="12"/>
  <c r="F85" i="12"/>
  <c r="E85" i="12"/>
  <c r="G84" i="12"/>
  <c r="F84" i="12"/>
  <c r="E84" i="12"/>
  <c r="G83" i="12"/>
  <c r="F83" i="12"/>
  <c r="E83" i="12"/>
  <c r="G82" i="12"/>
  <c r="F82" i="12"/>
  <c r="E82" i="12"/>
  <c r="G81" i="12"/>
  <c r="F81" i="12"/>
  <c r="E81" i="12"/>
  <c r="G80" i="12"/>
  <c r="F80" i="12"/>
  <c r="E80" i="12"/>
  <c r="G79" i="12"/>
  <c r="F79" i="12"/>
  <c r="E79" i="12"/>
  <c r="G78" i="12"/>
  <c r="F78" i="12"/>
  <c r="E78" i="12"/>
  <c r="G77" i="12"/>
  <c r="F77" i="12"/>
  <c r="E77" i="12"/>
  <c r="G76" i="12"/>
  <c r="F76" i="12"/>
  <c r="E76" i="12"/>
  <c r="G75" i="12"/>
  <c r="F75" i="12"/>
  <c r="E75" i="12"/>
  <c r="G74" i="12"/>
  <c r="F74" i="12"/>
  <c r="E74" i="12"/>
  <c r="G73" i="12"/>
  <c r="F73" i="12"/>
  <c r="E73" i="12"/>
  <c r="G72" i="12"/>
  <c r="F72" i="12"/>
  <c r="E72" i="12"/>
  <c r="G71" i="12"/>
  <c r="F71" i="12"/>
  <c r="E71" i="12"/>
  <c r="G70" i="12"/>
  <c r="F70" i="12"/>
  <c r="E70" i="12"/>
  <c r="G69" i="12"/>
  <c r="F69" i="12"/>
  <c r="E69" i="12"/>
  <c r="G68" i="12"/>
  <c r="F68" i="12"/>
  <c r="E68" i="12"/>
  <c r="G67" i="12"/>
  <c r="F67" i="12"/>
  <c r="E67" i="12"/>
  <c r="G66" i="12"/>
  <c r="F66" i="12"/>
  <c r="E66" i="12"/>
  <c r="G65" i="12"/>
  <c r="F65" i="12"/>
  <c r="E65" i="12"/>
  <c r="G64" i="12"/>
  <c r="F64" i="12"/>
  <c r="E64" i="12"/>
  <c r="G63" i="12"/>
  <c r="F63" i="12"/>
  <c r="E63" i="12"/>
  <c r="G62" i="12"/>
  <c r="F62" i="12"/>
  <c r="E62" i="12"/>
  <c r="G61" i="12"/>
  <c r="F61" i="12"/>
  <c r="E61" i="12"/>
  <c r="G60" i="12"/>
  <c r="F60" i="12"/>
  <c r="E60" i="12"/>
  <c r="G59" i="12"/>
  <c r="F59" i="12"/>
  <c r="E59" i="12"/>
  <c r="G58" i="12"/>
  <c r="F58" i="12"/>
  <c r="E58" i="12"/>
  <c r="G57" i="12"/>
  <c r="F57" i="12"/>
  <c r="E57" i="12"/>
  <c r="G56" i="12"/>
  <c r="F56" i="12"/>
  <c r="E56" i="12"/>
  <c r="G55" i="12"/>
  <c r="F55" i="12"/>
  <c r="E55" i="12"/>
  <c r="G54" i="12"/>
  <c r="F54" i="12"/>
  <c r="E54" i="12"/>
  <c r="G53" i="12"/>
  <c r="F53" i="12"/>
  <c r="E53" i="12"/>
  <c r="G52" i="12"/>
  <c r="F52" i="12"/>
  <c r="E52" i="12"/>
  <c r="G51" i="12"/>
  <c r="F51" i="12"/>
  <c r="E51" i="12"/>
  <c r="G50" i="12"/>
  <c r="F50" i="12"/>
  <c r="E50" i="12"/>
  <c r="G49" i="12"/>
  <c r="F49" i="12"/>
  <c r="E49" i="12"/>
  <c r="G48" i="12"/>
  <c r="F48" i="12"/>
  <c r="E48" i="12"/>
  <c r="G47" i="12"/>
  <c r="F47" i="12"/>
  <c r="E47" i="12"/>
  <c r="G46" i="12"/>
  <c r="F46" i="12"/>
  <c r="E46" i="12"/>
  <c r="G45" i="12"/>
  <c r="F45" i="12"/>
  <c r="E45" i="12"/>
  <c r="G44" i="12"/>
  <c r="F44" i="12"/>
  <c r="E44" i="12"/>
  <c r="G43" i="12"/>
  <c r="F43" i="12"/>
  <c r="E43" i="12"/>
  <c r="G42" i="12"/>
  <c r="F42" i="12"/>
  <c r="E42" i="12"/>
  <c r="G41" i="12"/>
  <c r="F41" i="12"/>
  <c r="E41" i="12"/>
  <c r="G40" i="12"/>
  <c r="F40" i="12"/>
  <c r="E40" i="12"/>
  <c r="G39" i="12"/>
  <c r="F39" i="12"/>
  <c r="E39" i="12"/>
  <c r="G38" i="12"/>
  <c r="F38" i="12"/>
  <c r="E38" i="12"/>
  <c r="G37" i="12"/>
  <c r="F37" i="12"/>
  <c r="E37" i="12"/>
  <c r="G36" i="12"/>
  <c r="F36" i="12"/>
  <c r="E36" i="12"/>
  <c r="G35" i="12"/>
  <c r="F35" i="12"/>
  <c r="E35" i="12"/>
  <c r="G34" i="12"/>
  <c r="F34" i="12"/>
  <c r="E34" i="12"/>
  <c r="G33" i="12"/>
  <c r="F33" i="12"/>
  <c r="E33" i="12"/>
  <c r="G32" i="12"/>
  <c r="F32" i="12"/>
  <c r="E32" i="12"/>
  <c r="G31" i="12"/>
  <c r="F31" i="12"/>
  <c r="E31" i="12"/>
  <c r="G30" i="12"/>
  <c r="F30" i="12"/>
  <c r="E30" i="12"/>
  <c r="G29" i="12"/>
  <c r="F29" i="12"/>
  <c r="E29" i="12"/>
  <c r="G28" i="12"/>
  <c r="F28" i="12"/>
  <c r="E28" i="12"/>
  <c r="G27" i="12"/>
  <c r="F27" i="12"/>
  <c r="E27" i="12"/>
  <c r="G26" i="12"/>
  <c r="F26" i="12"/>
  <c r="E26" i="12"/>
  <c r="G25" i="12"/>
  <c r="F25" i="12"/>
  <c r="E25" i="12"/>
  <c r="G24" i="12"/>
  <c r="F24" i="12"/>
  <c r="E24" i="12"/>
  <c r="G23" i="12"/>
  <c r="F23" i="12"/>
  <c r="E23" i="12"/>
  <c r="G22" i="12"/>
  <c r="F22" i="12"/>
  <c r="E22" i="12"/>
  <c r="G21" i="12"/>
  <c r="F21" i="12"/>
  <c r="E21" i="12"/>
  <c r="G20" i="12"/>
  <c r="F20" i="12"/>
  <c r="E20" i="12"/>
  <c r="G19" i="12"/>
  <c r="F19" i="12"/>
  <c r="E19" i="12"/>
  <c r="G18" i="12"/>
  <c r="F18" i="12"/>
  <c r="E18" i="12"/>
  <c r="G17" i="12"/>
  <c r="F17" i="12"/>
  <c r="E17" i="12"/>
  <c r="G16" i="12"/>
  <c r="F16" i="12"/>
  <c r="E16" i="12"/>
  <c r="G15" i="12"/>
  <c r="F15" i="12"/>
  <c r="E15" i="12"/>
  <c r="G14" i="12"/>
  <c r="F14" i="12"/>
  <c r="E14" i="12"/>
  <c r="G13" i="12"/>
  <c r="F13" i="12"/>
  <c r="E13" i="12"/>
  <c r="G12" i="12"/>
  <c r="F12" i="12"/>
  <c r="E12" i="12"/>
  <c r="G11" i="12"/>
  <c r="F11" i="12"/>
  <c r="E11" i="12"/>
  <c r="G10" i="12"/>
  <c r="F10" i="12"/>
  <c r="E10" i="12"/>
  <c r="G9" i="12"/>
  <c r="F9" i="12"/>
  <c r="E9" i="12"/>
  <c r="G8" i="12"/>
  <c r="F8" i="12"/>
  <c r="E8" i="12"/>
  <c r="G7" i="12"/>
  <c r="F7" i="12"/>
  <c r="E7" i="12"/>
  <c r="G6" i="12"/>
  <c r="F6" i="12"/>
  <c r="E6" i="12"/>
  <c r="G5" i="12"/>
  <c r="F5" i="12"/>
  <c r="E5" i="12"/>
  <c r="K10" i="1"/>
  <c r="L7" i="1"/>
  <c r="M7" i="1"/>
  <c r="K7" i="1"/>
  <c r="B14" i="16" a="1"/>
  <c r="E19" i="16"/>
  <c r="B14" i="16" l="1"/>
  <c r="B15" i="16" s="1"/>
  <c r="E20" i="16"/>
  <c r="E21" i="16" s="1"/>
  <c r="E3" i="15"/>
  <c r="C743" i="14" l="1"/>
  <c r="C742" i="14"/>
  <c r="C741" i="14"/>
  <c r="C740" i="14"/>
  <c r="C739" i="14"/>
  <c r="C738" i="14"/>
  <c r="C737" i="14"/>
  <c r="C736" i="14"/>
  <c r="C735" i="14"/>
  <c r="C734" i="14"/>
  <c r="C733" i="14"/>
  <c r="C732" i="14"/>
  <c r="C731" i="14"/>
  <c r="C730" i="14"/>
  <c r="C729" i="14"/>
  <c r="C728" i="14"/>
  <c r="C727" i="14"/>
  <c r="C726" i="14"/>
  <c r="C725" i="14"/>
  <c r="C724" i="14"/>
  <c r="C723" i="14"/>
  <c r="C722" i="14"/>
  <c r="C721" i="14"/>
  <c r="C720" i="14"/>
  <c r="C719" i="14"/>
  <c r="C718" i="14"/>
  <c r="C717" i="14"/>
  <c r="C716" i="14"/>
  <c r="C715" i="14"/>
  <c r="C714" i="14"/>
  <c r="C713" i="14"/>
  <c r="C712" i="14"/>
  <c r="C711" i="14"/>
  <c r="C710" i="14"/>
  <c r="C709" i="14"/>
  <c r="C708" i="14"/>
  <c r="C707" i="14"/>
  <c r="C706" i="14"/>
  <c r="C705" i="14"/>
  <c r="C704" i="14"/>
  <c r="C703" i="14"/>
  <c r="C702" i="14"/>
  <c r="C701" i="14"/>
  <c r="C700" i="14"/>
  <c r="C699" i="14"/>
  <c r="C698" i="14"/>
  <c r="C697" i="14"/>
  <c r="C696" i="14"/>
  <c r="C695" i="14"/>
  <c r="C694" i="14"/>
  <c r="C693" i="14"/>
  <c r="C692" i="14"/>
  <c r="C691" i="14"/>
  <c r="C690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673" i="14"/>
  <c r="C672" i="14"/>
  <c r="C671" i="14"/>
  <c r="C670" i="14"/>
  <c r="C669" i="14"/>
  <c r="C668" i="14"/>
  <c r="C667" i="14"/>
  <c r="C666" i="14"/>
  <c r="C665" i="14"/>
  <c r="C664" i="14"/>
  <c r="C663" i="14"/>
  <c r="C662" i="14"/>
  <c r="C661" i="14"/>
  <c r="C660" i="14"/>
  <c r="C659" i="14"/>
  <c r="C658" i="14"/>
  <c r="C657" i="14"/>
  <c r="C656" i="14"/>
  <c r="C655" i="14"/>
  <c r="C654" i="14"/>
  <c r="C653" i="14"/>
  <c r="C652" i="14"/>
  <c r="C651" i="14"/>
  <c r="C650" i="14"/>
  <c r="C649" i="14"/>
  <c r="C648" i="14"/>
  <c r="C647" i="14"/>
  <c r="C646" i="14"/>
  <c r="C645" i="14"/>
  <c r="C644" i="14"/>
  <c r="C643" i="14"/>
  <c r="C642" i="14"/>
  <c r="C641" i="14"/>
  <c r="C640" i="14"/>
  <c r="C639" i="14"/>
  <c r="C638" i="14"/>
  <c r="C637" i="14"/>
  <c r="C636" i="14"/>
  <c r="C635" i="14"/>
  <c r="C634" i="14"/>
  <c r="C633" i="14"/>
  <c r="C632" i="14"/>
  <c r="C631" i="14"/>
  <c r="C630" i="14"/>
  <c r="C629" i="14"/>
  <c r="C628" i="14"/>
  <c r="C627" i="14"/>
  <c r="C626" i="14"/>
  <c r="C625" i="14"/>
  <c r="C624" i="14"/>
  <c r="C623" i="14"/>
  <c r="C622" i="14"/>
  <c r="C621" i="14"/>
  <c r="C620" i="14"/>
  <c r="C619" i="14"/>
  <c r="C618" i="14"/>
  <c r="C617" i="14"/>
  <c r="C616" i="14"/>
  <c r="C615" i="14"/>
  <c r="C614" i="14"/>
  <c r="C613" i="14"/>
  <c r="C612" i="14"/>
  <c r="C611" i="14"/>
  <c r="C610" i="14"/>
  <c r="C609" i="14"/>
  <c r="C608" i="14"/>
  <c r="C607" i="14"/>
  <c r="C606" i="14"/>
  <c r="C605" i="14"/>
  <c r="C604" i="14"/>
  <c r="C603" i="14"/>
  <c r="C602" i="14"/>
  <c r="C601" i="14"/>
  <c r="C600" i="14"/>
  <c r="C599" i="14"/>
  <c r="C598" i="14"/>
  <c r="C597" i="14"/>
  <c r="C596" i="14"/>
  <c r="C595" i="14"/>
  <c r="C594" i="14"/>
  <c r="C593" i="14"/>
  <c r="C592" i="14"/>
  <c r="C591" i="14"/>
  <c r="C590" i="14"/>
  <c r="C589" i="14"/>
  <c r="C588" i="14"/>
  <c r="C587" i="14"/>
  <c r="C586" i="14"/>
  <c r="C585" i="14"/>
  <c r="C584" i="14"/>
  <c r="C583" i="14"/>
  <c r="C582" i="14"/>
  <c r="C581" i="14"/>
  <c r="C580" i="14"/>
  <c r="C579" i="14"/>
  <c r="C578" i="14"/>
  <c r="C577" i="14"/>
  <c r="C576" i="14"/>
  <c r="C575" i="14"/>
  <c r="C574" i="14"/>
  <c r="C573" i="14"/>
  <c r="C572" i="14"/>
  <c r="C571" i="14"/>
  <c r="C570" i="14"/>
  <c r="C569" i="14"/>
  <c r="C568" i="14"/>
  <c r="C567" i="14"/>
  <c r="C566" i="14"/>
  <c r="C565" i="14"/>
  <c r="C564" i="14"/>
  <c r="C563" i="14"/>
  <c r="C562" i="14"/>
  <c r="C561" i="14"/>
  <c r="C560" i="14"/>
  <c r="C559" i="14"/>
  <c r="C558" i="14"/>
  <c r="C557" i="14"/>
  <c r="C556" i="14"/>
  <c r="C555" i="14"/>
  <c r="C554" i="14"/>
  <c r="C553" i="14"/>
  <c r="C552" i="14"/>
  <c r="C551" i="14"/>
  <c r="C550" i="14"/>
  <c r="C549" i="14"/>
  <c r="C548" i="14"/>
  <c r="C547" i="14"/>
  <c r="C546" i="14"/>
  <c r="C545" i="14"/>
  <c r="C544" i="14"/>
  <c r="C543" i="14"/>
  <c r="C542" i="14"/>
  <c r="C541" i="14"/>
  <c r="C540" i="14"/>
  <c r="C539" i="14"/>
  <c r="C538" i="14"/>
  <c r="C537" i="14"/>
  <c r="C536" i="14"/>
  <c r="C535" i="14"/>
  <c r="C534" i="14"/>
  <c r="C533" i="14"/>
  <c r="C532" i="14"/>
  <c r="C531" i="14"/>
  <c r="C530" i="14"/>
  <c r="C529" i="14"/>
  <c r="C528" i="14"/>
  <c r="C527" i="14"/>
  <c r="C526" i="14"/>
  <c r="C525" i="14"/>
  <c r="C524" i="14"/>
  <c r="C523" i="14"/>
  <c r="C522" i="14"/>
  <c r="C521" i="14"/>
  <c r="C520" i="14"/>
  <c r="C519" i="14"/>
  <c r="C518" i="14"/>
  <c r="C517" i="14"/>
  <c r="C516" i="14"/>
  <c r="C515" i="14"/>
  <c r="C514" i="14"/>
  <c r="C513" i="14"/>
  <c r="C512" i="14"/>
  <c r="C511" i="14"/>
  <c r="C510" i="14"/>
  <c r="C509" i="14"/>
  <c r="C508" i="14"/>
  <c r="C507" i="14"/>
  <c r="C506" i="14"/>
  <c r="C505" i="14"/>
  <c r="C504" i="14"/>
  <c r="C503" i="14"/>
  <c r="C502" i="14"/>
  <c r="E494" i="14" s="1"/>
  <c r="C501" i="14"/>
  <c r="C500" i="14"/>
  <c r="C499" i="14"/>
  <c r="C498" i="14"/>
  <c r="C497" i="14"/>
  <c r="C496" i="14"/>
  <c r="C495" i="14"/>
  <c r="D494" i="14"/>
  <c r="C494" i="14"/>
  <c r="C493" i="14"/>
  <c r="C492" i="14"/>
  <c r="C491" i="14"/>
  <c r="C490" i="14"/>
  <c r="C489" i="14"/>
  <c r="C488" i="14"/>
  <c r="D484" i="14" s="1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E458" i="14" s="1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E426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D391" i="14" s="1"/>
  <c r="C402" i="14"/>
  <c r="C401" i="14"/>
  <c r="C400" i="14"/>
  <c r="C399" i="14"/>
  <c r="C398" i="14"/>
  <c r="C397" i="14"/>
  <c r="C396" i="14"/>
  <c r="C395" i="14"/>
  <c r="C394" i="14"/>
  <c r="E394" i="14" s="1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D337" i="14" s="1"/>
  <c r="C347" i="14"/>
  <c r="C346" i="14"/>
  <c r="C345" i="14"/>
  <c r="C344" i="14"/>
  <c r="C343" i="14"/>
  <c r="C342" i="14"/>
  <c r="C341" i="14"/>
  <c r="C340" i="14"/>
  <c r="E340" i="14" s="1"/>
  <c r="C339" i="14"/>
  <c r="C338" i="14"/>
  <c r="C337" i="14"/>
  <c r="C336" i="14"/>
  <c r="C335" i="14"/>
  <c r="E335" i="14" s="1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C314" i="14"/>
  <c r="C313" i="14"/>
  <c r="C312" i="14"/>
  <c r="D312" i="14" s="1"/>
  <c r="C311" i="14"/>
  <c r="C310" i="14"/>
  <c r="C309" i="14"/>
  <c r="E309" i="14" s="1"/>
  <c r="C308" i="14"/>
  <c r="C307" i="14"/>
  <c r="C306" i="14"/>
  <c r="C305" i="14"/>
  <c r="C304" i="14"/>
  <c r="C303" i="14"/>
  <c r="D296" i="14" s="1"/>
  <c r="C302" i="14"/>
  <c r="C301" i="14"/>
  <c r="C300" i="14"/>
  <c r="C299" i="14"/>
  <c r="C298" i="14"/>
  <c r="C297" i="14"/>
  <c r="C296" i="14"/>
  <c r="C295" i="14"/>
  <c r="C294" i="14"/>
  <c r="C293" i="14"/>
  <c r="C292" i="14"/>
  <c r="C291" i="14"/>
  <c r="C290" i="14"/>
  <c r="C289" i="14"/>
  <c r="C288" i="14"/>
  <c r="C287" i="14"/>
  <c r="C286" i="14"/>
  <c r="C285" i="14"/>
  <c r="C284" i="14"/>
  <c r="C283" i="14"/>
  <c r="C282" i="14"/>
  <c r="C281" i="14"/>
  <c r="C280" i="14"/>
  <c r="C279" i="14"/>
  <c r="C278" i="14"/>
  <c r="C277" i="14"/>
  <c r="C276" i="14"/>
  <c r="D276" i="14" s="1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D174" i="14" s="1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E97" i="14" s="1"/>
  <c r="C96" i="14"/>
  <c r="C95" i="14"/>
  <c r="C94" i="14"/>
  <c r="C93" i="14"/>
  <c r="C92" i="14"/>
  <c r="C91" i="14"/>
  <c r="C90" i="14"/>
  <c r="D89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E44" i="14" s="1"/>
  <c r="C49" i="14"/>
  <c r="C48" i="14"/>
  <c r="C47" i="14"/>
  <c r="C46" i="14"/>
  <c r="C45" i="14"/>
  <c r="C44" i="14"/>
  <c r="C43" i="14"/>
  <c r="C42" i="14"/>
  <c r="C41" i="14"/>
  <c r="E41" i="14" s="1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L21" i="14"/>
  <c r="C21" i="14"/>
  <c r="C20" i="14"/>
  <c r="C19" i="14"/>
  <c r="C18" i="14"/>
  <c r="C17" i="14"/>
  <c r="C16" i="14"/>
  <c r="C15" i="14"/>
  <c r="C14" i="14"/>
  <c r="C13" i="14"/>
  <c r="E13" i="14" s="1"/>
  <c r="C12" i="14"/>
  <c r="C11" i="14"/>
  <c r="C10" i="14"/>
  <c r="C9" i="14"/>
  <c r="L8" i="14"/>
  <c r="C8" i="14"/>
  <c r="C7" i="14"/>
  <c r="D7" i="14" s="1"/>
  <c r="C6" i="14"/>
  <c r="C5" i="14"/>
  <c r="C4" i="14"/>
  <c r="D4" i="13"/>
  <c r="D3" i="13"/>
  <c r="C3" i="13"/>
  <c r="E442" i="14" l="1"/>
  <c r="E8" i="14"/>
  <c r="E14" i="14"/>
  <c r="E57" i="14"/>
  <c r="D78" i="14"/>
  <c r="D138" i="14"/>
  <c r="D439" i="14"/>
  <c r="E474" i="14"/>
  <c r="E487" i="14"/>
  <c r="E16" i="14"/>
  <c r="E49" i="14"/>
  <c r="E77" i="14"/>
  <c r="E85" i="14"/>
  <c r="D195" i="14"/>
  <c r="E306" i="14"/>
  <c r="D343" i="14"/>
  <c r="E60" i="14"/>
  <c r="D32" i="14"/>
  <c r="D40" i="14"/>
  <c r="D54" i="14"/>
  <c r="D70" i="14"/>
  <c r="E93" i="14"/>
  <c r="E131" i="14"/>
  <c r="D329" i="14"/>
  <c r="E492" i="14"/>
  <c r="E105" i="14"/>
  <c r="D455" i="14"/>
  <c r="D18" i="14"/>
  <c r="E25" i="14"/>
  <c r="E33" i="14"/>
  <c r="E322" i="14"/>
  <c r="E375" i="14"/>
  <c r="E391" i="14"/>
  <c r="D492" i="14"/>
  <c r="E10" i="14"/>
  <c r="D190" i="14"/>
  <c r="D206" i="14"/>
  <c r="E378" i="14"/>
  <c r="E493" i="14"/>
  <c r="E12" i="14"/>
  <c r="D57" i="14"/>
  <c r="F57" i="14" s="1"/>
  <c r="G57" i="14" s="1"/>
  <c r="D73" i="14"/>
  <c r="D81" i="14"/>
  <c r="D375" i="14"/>
  <c r="E410" i="14"/>
  <c r="E439" i="14"/>
  <c r="E455" i="14"/>
  <c r="D160" i="14"/>
  <c r="D471" i="14"/>
  <c r="D108" i="14"/>
  <c r="E217" i="14"/>
  <c r="D366" i="14"/>
  <c r="E407" i="14"/>
  <c r="E423" i="14"/>
  <c r="D13" i="14"/>
  <c r="F13" i="14" s="1"/>
  <c r="G13" i="14" s="1"/>
  <c r="E73" i="14"/>
  <c r="E348" i="14"/>
  <c r="D407" i="14"/>
  <c r="E65" i="14"/>
  <c r="D10" i="14"/>
  <c r="E28" i="14"/>
  <c r="D86" i="14"/>
  <c r="E212" i="14"/>
  <c r="E36" i="14"/>
  <c r="D322" i="14"/>
  <c r="D423" i="14"/>
  <c r="E471" i="14"/>
  <c r="E100" i="14"/>
  <c r="D100" i="14"/>
  <c r="D96" i="14"/>
  <c r="E101" i="14"/>
  <c r="D101" i="14"/>
  <c r="E125" i="14"/>
  <c r="D125" i="14"/>
  <c r="E126" i="14"/>
  <c r="D121" i="14"/>
  <c r="E119" i="14"/>
  <c r="D126" i="14"/>
  <c r="E124" i="14"/>
  <c r="E31" i="14"/>
  <c r="E47" i="14"/>
  <c r="E50" i="14"/>
  <c r="D51" i="14"/>
  <c r="E63" i="14"/>
  <c r="E66" i="14"/>
  <c r="D67" i="14"/>
  <c r="E78" i="14"/>
  <c r="F78" i="14" s="1"/>
  <c r="E81" i="14"/>
  <c r="F81" i="14" s="1"/>
  <c r="G81" i="14" s="1"/>
  <c r="E86" i="14"/>
  <c r="E89" i="14"/>
  <c r="F89" i="14" s="1"/>
  <c r="G89" i="14" s="1"/>
  <c r="E94" i="14"/>
  <c r="E109" i="14"/>
  <c r="D109" i="14"/>
  <c r="E110" i="14"/>
  <c r="E103" i="14"/>
  <c r="D105" i="14"/>
  <c r="F105" i="14" s="1"/>
  <c r="G105" i="14" s="1"/>
  <c r="D110" i="14"/>
  <c r="E108" i="14"/>
  <c r="D122" i="14"/>
  <c r="E154" i="14"/>
  <c r="E153" i="14"/>
  <c r="D154" i="14"/>
  <c r="E198" i="14"/>
  <c r="E274" i="14"/>
  <c r="D274" i="14"/>
  <c r="D269" i="14"/>
  <c r="D266" i="14"/>
  <c r="E261" i="14"/>
  <c r="E255" i="14"/>
  <c r="D248" i="14"/>
  <c r="E244" i="14"/>
  <c r="E241" i="14"/>
  <c r="F241" i="14" s="1"/>
  <c r="G241" i="14" s="1"/>
  <c r="D238" i="14"/>
  <c r="E264" i="14"/>
  <c r="E251" i="14"/>
  <c r="D241" i="14"/>
  <c r="D5" i="14"/>
  <c r="E5" i="14"/>
  <c r="D19" i="14"/>
  <c r="E45" i="14"/>
  <c r="D45" i="14"/>
  <c r="D48" i="14"/>
  <c r="E51" i="14"/>
  <c r="F51" i="14" s="1"/>
  <c r="E61" i="14"/>
  <c r="D61" i="14"/>
  <c r="D64" i="14"/>
  <c r="E67" i="14"/>
  <c r="D94" i="14"/>
  <c r="D106" i="14"/>
  <c r="D131" i="14"/>
  <c r="F131" i="14" s="1"/>
  <c r="G131" i="14" s="1"/>
  <c r="E139" i="14"/>
  <c r="D141" i="14"/>
  <c r="E135" i="14"/>
  <c r="E144" i="14"/>
  <c r="E142" i="14"/>
  <c r="D137" i="14"/>
  <c r="D144" i="14"/>
  <c r="D142" i="14"/>
  <c r="E140" i="14"/>
  <c r="D155" i="14"/>
  <c r="E164" i="14"/>
  <c r="D165" i="14"/>
  <c r="D164" i="14"/>
  <c r="E165" i="14"/>
  <c r="E196" i="14"/>
  <c r="D225" i="14"/>
  <c r="D236" i="14"/>
  <c r="D237" i="14"/>
  <c r="E236" i="14"/>
  <c r="E233" i="14"/>
  <c r="D230" i="14"/>
  <c r="E235" i="14"/>
  <c r="D232" i="14"/>
  <c r="E216" i="14"/>
  <c r="E213" i="14"/>
  <c r="D201" i="14"/>
  <c r="D193" i="14"/>
  <c r="D185" i="14"/>
  <c r="D175" i="14"/>
  <c r="E170" i="14"/>
  <c r="D168" i="14"/>
  <c r="E7" i="14"/>
  <c r="F7" i="14" s="1"/>
  <c r="G7" i="14" s="1"/>
  <c r="E9" i="14"/>
  <c r="E11" i="14"/>
  <c r="E15" i="14"/>
  <c r="D15" i="14"/>
  <c r="D17" i="14"/>
  <c r="E19" i="14"/>
  <c r="F19" i="14" s="1"/>
  <c r="G19" i="14" s="1"/>
  <c r="D21" i="14"/>
  <c r="E46" i="14"/>
  <c r="E62" i="14"/>
  <c r="D115" i="14"/>
  <c r="E123" i="14"/>
  <c r="D136" i="14"/>
  <c r="E187" i="14"/>
  <c r="E192" i="14"/>
  <c r="E225" i="14"/>
  <c r="E237" i="14"/>
  <c r="F237" i="14" s="1"/>
  <c r="G237" i="14" s="1"/>
  <c r="F10" i="14"/>
  <c r="G10" i="14" s="1"/>
  <c r="E29" i="14"/>
  <c r="D29" i="14"/>
  <c r="D46" i="14"/>
  <c r="E52" i="14"/>
  <c r="D65" i="14"/>
  <c r="F65" i="14" s="1"/>
  <c r="G65" i="14" s="1"/>
  <c r="E82" i="14"/>
  <c r="E83" i="14"/>
  <c r="D80" i="14"/>
  <c r="D83" i="14"/>
  <c r="E107" i="14"/>
  <c r="E115" i="14"/>
  <c r="D120" i="14"/>
  <c r="E128" i="14"/>
  <c r="D140" i="14"/>
  <c r="E167" i="14"/>
  <c r="D167" i="14"/>
  <c r="E166" i="14"/>
  <c r="D166" i="14"/>
  <c r="D182" i="14"/>
  <c r="D187" i="14"/>
  <c r="D198" i="14"/>
  <c r="E203" i="14"/>
  <c r="D209" i="14"/>
  <c r="E220" i="14"/>
  <c r="E248" i="14"/>
  <c r="F248" i="14" s="1"/>
  <c r="G248" i="14" s="1"/>
  <c r="D11" i="14"/>
  <c r="E23" i="14"/>
  <c r="D23" i="14"/>
  <c r="E24" i="14"/>
  <c r="D49" i="14"/>
  <c r="F49" i="14" s="1"/>
  <c r="G49" i="14" s="1"/>
  <c r="D62" i="14"/>
  <c r="E68" i="14"/>
  <c r="E74" i="14"/>
  <c r="D74" i="14"/>
  <c r="E75" i="14"/>
  <c r="D75" i="14"/>
  <c r="E90" i="14"/>
  <c r="E91" i="14"/>
  <c r="D88" i="14"/>
  <c r="D91" i="14"/>
  <c r="D99" i="14"/>
  <c r="E136" i="14"/>
  <c r="E4" i="14"/>
  <c r="D8" i="14"/>
  <c r="F8" i="14" s="1"/>
  <c r="G8" i="14" s="1"/>
  <c r="D24" i="14"/>
  <c r="E26" i="14"/>
  <c r="E34" i="14"/>
  <c r="E42" i="14"/>
  <c r="D43" i="14"/>
  <c r="E55" i="14"/>
  <c r="E58" i="14"/>
  <c r="D59" i="14"/>
  <c r="E71" i="14"/>
  <c r="E99" i="14"/>
  <c r="D104" i="14"/>
  <c r="E112" i="14"/>
  <c r="E120" i="14"/>
  <c r="D124" i="14"/>
  <c r="D129" i="14"/>
  <c r="E146" i="14"/>
  <c r="E145" i="14"/>
  <c r="D146" i="14"/>
  <c r="E172" i="14"/>
  <c r="D177" i="14"/>
  <c r="E209" i="14"/>
  <c r="E221" i="14"/>
  <c r="D31" i="14"/>
  <c r="E32" i="14"/>
  <c r="F32" i="14" s="1"/>
  <c r="G32" i="14" s="1"/>
  <c r="E37" i="14"/>
  <c r="D37" i="14"/>
  <c r="E39" i="14"/>
  <c r="D39" i="14"/>
  <c r="E40" i="14"/>
  <c r="F40" i="14" s="1"/>
  <c r="G40" i="14" s="1"/>
  <c r="D4" i="14"/>
  <c r="E6" i="14"/>
  <c r="D22" i="14"/>
  <c r="D27" i="14"/>
  <c r="D30" i="14"/>
  <c r="D35" i="14"/>
  <c r="D38" i="14"/>
  <c r="E43" i="14"/>
  <c r="E53" i="14"/>
  <c r="D53" i="14"/>
  <c r="D56" i="14"/>
  <c r="E59" i="14"/>
  <c r="E69" i="14"/>
  <c r="D69" i="14"/>
  <c r="D72" i="14"/>
  <c r="E76" i="14"/>
  <c r="E79" i="14"/>
  <c r="E84" i="14"/>
  <c r="E87" i="14"/>
  <c r="E92" i="14"/>
  <c r="E95" i="14"/>
  <c r="E104" i="14"/>
  <c r="D113" i="14"/>
  <c r="E129" i="14"/>
  <c r="F129" i="14" s="1"/>
  <c r="G129" i="14" s="1"/>
  <c r="E132" i="14"/>
  <c r="D132" i="14"/>
  <c r="E133" i="14"/>
  <c r="D133" i="14"/>
  <c r="E137" i="14"/>
  <c r="D147" i="14"/>
  <c r="D149" i="14"/>
  <c r="E147" i="14"/>
  <c r="E152" i="14"/>
  <c r="E150" i="14"/>
  <c r="D152" i="14"/>
  <c r="D150" i="14"/>
  <c r="D148" i="14"/>
  <c r="E168" i="14"/>
  <c r="F168" i="14" s="1"/>
  <c r="G168" i="14" s="1"/>
  <c r="E188" i="14"/>
  <c r="E204" i="14"/>
  <c r="D234" i="14"/>
  <c r="D20" i="14"/>
  <c r="E21" i="14"/>
  <c r="F21" i="14" s="1"/>
  <c r="G21" i="14" s="1"/>
  <c r="E17" i="14"/>
  <c r="F17" i="14" s="1"/>
  <c r="G17" i="14" s="1"/>
  <c r="D14" i="14"/>
  <c r="F14" i="14" s="1"/>
  <c r="G14" i="14" s="1"/>
  <c r="D16" i="14"/>
  <c r="F16" i="14" s="1"/>
  <c r="G16" i="14" s="1"/>
  <c r="E18" i="14"/>
  <c r="F18" i="14" s="1"/>
  <c r="G18" i="14" s="1"/>
  <c r="E20" i="14"/>
  <c r="E22" i="14"/>
  <c r="D25" i="14"/>
  <c r="F25" i="14" s="1"/>
  <c r="G25" i="14" s="1"/>
  <c r="E27" i="14"/>
  <c r="E30" i="14"/>
  <c r="D33" i="14"/>
  <c r="F33" i="14" s="1"/>
  <c r="G33" i="14" s="1"/>
  <c r="E35" i="14"/>
  <c r="F35" i="14" s="1"/>
  <c r="G35" i="14" s="1"/>
  <c r="E38" i="14"/>
  <c r="D41" i="14"/>
  <c r="F41" i="14" s="1"/>
  <c r="G41" i="14" s="1"/>
  <c r="G51" i="14"/>
  <c r="E54" i="14"/>
  <c r="F54" i="14" s="1"/>
  <c r="G54" i="14" s="1"/>
  <c r="E70" i="14"/>
  <c r="F70" i="14" s="1"/>
  <c r="G70" i="14" s="1"/>
  <c r="D97" i="14"/>
  <c r="F97" i="14" s="1"/>
  <c r="G97" i="14" s="1"/>
  <c r="E113" i="14"/>
  <c r="E116" i="14"/>
  <c r="D116" i="14"/>
  <c r="D112" i="14"/>
  <c r="E117" i="14"/>
  <c r="D117" i="14"/>
  <c r="E121" i="14"/>
  <c r="D158" i="14"/>
  <c r="D162" i="14"/>
  <c r="E163" i="14"/>
  <c r="E161" i="14"/>
  <c r="D163" i="14"/>
  <c r="E158" i="14"/>
  <c r="D156" i="14"/>
  <c r="E184" i="14"/>
  <c r="E195" i="14"/>
  <c r="F195" i="14" s="1"/>
  <c r="E200" i="14"/>
  <c r="E228" i="14"/>
  <c r="E240" i="14"/>
  <c r="E245" i="14"/>
  <c r="D103" i="14"/>
  <c r="D119" i="14"/>
  <c r="D135" i="14"/>
  <c r="D161" i="14"/>
  <c r="E169" i="14"/>
  <c r="D170" i="14"/>
  <c r="E175" i="14"/>
  <c r="F175" i="14" s="1"/>
  <c r="E180" i="14"/>
  <c r="E182" i="14"/>
  <c r="F182" i="14" s="1"/>
  <c r="G182" i="14" s="1"/>
  <c r="E190" i="14"/>
  <c r="F190" i="14" s="1"/>
  <c r="G190" i="14" s="1"/>
  <c r="E210" i="14"/>
  <c r="D210" i="14"/>
  <c r="D208" i="14"/>
  <c r="D212" i="14"/>
  <c r="F212" i="14" s="1"/>
  <c r="G212" i="14" s="1"/>
  <c r="D213" i="14"/>
  <c r="D216" i="14"/>
  <c r="E219" i="14"/>
  <c r="D222" i="14"/>
  <c r="D281" i="14"/>
  <c r="E280" i="14"/>
  <c r="E277" i="14"/>
  <c r="E275" i="14"/>
  <c r="E279" i="14"/>
  <c r="D277" i="14"/>
  <c r="E281" i="14"/>
  <c r="D280" i="14"/>
  <c r="F322" i="14"/>
  <c r="G322" i="14" s="1"/>
  <c r="F439" i="14"/>
  <c r="G439" i="14" s="1"/>
  <c r="E98" i="14"/>
  <c r="E114" i="14"/>
  <c r="D128" i="14"/>
  <c r="D178" i="14"/>
  <c r="E177" i="14"/>
  <c r="F177" i="14" s="1"/>
  <c r="E207" i="14"/>
  <c r="D207" i="14"/>
  <c r="E226" i="14"/>
  <c r="D226" i="14"/>
  <c r="D224" i="14"/>
  <c r="D228" i="14"/>
  <c r="D229" i="14"/>
  <c r="E302" i="14"/>
  <c r="E303" i="14"/>
  <c r="D303" i="14"/>
  <c r="E301" i="14"/>
  <c r="D302" i="14"/>
  <c r="E299" i="14"/>
  <c r="E130" i="14"/>
  <c r="E48" i="14"/>
  <c r="F48" i="14" s="1"/>
  <c r="G48" i="14" s="1"/>
  <c r="E56" i="14"/>
  <c r="E64" i="14"/>
  <c r="F64" i="14" s="1"/>
  <c r="G64" i="14" s="1"/>
  <c r="E72" i="14"/>
  <c r="F72" i="14" s="1"/>
  <c r="G72" i="14" s="1"/>
  <c r="D77" i="14"/>
  <c r="F77" i="14" s="1"/>
  <c r="G77" i="14" s="1"/>
  <c r="G78" i="14"/>
  <c r="E80" i="14"/>
  <c r="F80" i="14" s="1"/>
  <c r="G80" i="14" s="1"/>
  <c r="D85" i="14"/>
  <c r="F85" i="14" s="1"/>
  <c r="G85" i="14" s="1"/>
  <c r="E88" i="14"/>
  <c r="F88" i="14" s="1"/>
  <c r="G88" i="14" s="1"/>
  <c r="D93" i="14"/>
  <c r="F93" i="14" s="1"/>
  <c r="G93" i="14" s="1"/>
  <c r="E96" i="14"/>
  <c r="F96" i="14" s="1"/>
  <c r="G96" i="14" s="1"/>
  <c r="D98" i="14"/>
  <c r="D107" i="14"/>
  <c r="D114" i="14"/>
  <c r="D123" i="14"/>
  <c r="D130" i="14"/>
  <c r="D139" i="14"/>
  <c r="D159" i="14"/>
  <c r="D171" i="14"/>
  <c r="D173" i="14"/>
  <c r="E178" i="14"/>
  <c r="E183" i="14"/>
  <c r="D183" i="14"/>
  <c r="E191" i="14"/>
  <c r="D191" i="14"/>
  <c r="E199" i="14"/>
  <c r="D199" i="14"/>
  <c r="E214" i="14"/>
  <c r="E223" i="14"/>
  <c r="D223" i="14"/>
  <c r="E229" i="14"/>
  <c r="E232" i="14"/>
  <c r="F232" i="14" s="1"/>
  <c r="E242" i="14"/>
  <c r="D242" i="14"/>
  <c r="D240" i="14"/>
  <c r="D264" i="14"/>
  <c r="D6" i="14"/>
  <c r="D9" i="14"/>
  <c r="D12" i="14"/>
  <c r="F12" i="14" s="1"/>
  <c r="G12" i="14" s="1"/>
  <c r="D26" i="14"/>
  <c r="D34" i="14"/>
  <c r="D42" i="14"/>
  <c r="D50" i="14"/>
  <c r="D58" i="14"/>
  <c r="D66" i="14"/>
  <c r="D82" i="14"/>
  <c r="D90" i="14"/>
  <c r="D145" i="14"/>
  <c r="E148" i="14"/>
  <c r="F148" i="14" s="1"/>
  <c r="G148" i="14" s="1"/>
  <c r="D153" i="14"/>
  <c r="E156" i="14"/>
  <c r="D157" i="14"/>
  <c r="E159" i="14"/>
  <c r="E171" i="14"/>
  <c r="E173" i="14"/>
  <c r="G177" i="14"/>
  <c r="D176" i="14"/>
  <c r="E181" i="14"/>
  <c r="E186" i="14"/>
  <c r="E185" i="14"/>
  <c r="F185" i="14" s="1"/>
  <c r="G185" i="14" s="1"/>
  <c r="E194" i="14"/>
  <c r="G195" i="14"/>
  <c r="E193" i="14"/>
  <c r="F193" i="14" s="1"/>
  <c r="E202" i="14"/>
  <c r="E201" i="14"/>
  <c r="F201" i="14" s="1"/>
  <c r="G201" i="14" s="1"/>
  <c r="E211" i="14"/>
  <c r="D214" i="14"/>
  <c r="E230" i="14"/>
  <c r="F230" i="14" s="1"/>
  <c r="G230" i="14" s="1"/>
  <c r="E239" i="14"/>
  <c r="D239" i="14"/>
  <c r="D253" i="14"/>
  <c r="E292" i="14"/>
  <c r="F375" i="14"/>
  <c r="G375" i="14" s="1"/>
  <c r="D47" i="14"/>
  <c r="D55" i="14"/>
  <c r="D63" i="14"/>
  <c r="D71" i="14"/>
  <c r="D79" i="14"/>
  <c r="D87" i="14"/>
  <c r="D95" i="14"/>
  <c r="D102" i="14"/>
  <c r="D111" i="14"/>
  <c r="D118" i="14"/>
  <c r="D127" i="14"/>
  <c r="D134" i="14"/>
  <c r="D143" i="14"/>
  <c r="D151" i="14"/>
  <c r="E155" i="14"/>
  <c r="F155" i="14" s="1"/>
  <c r="G155" i="14" s="1"/>
  <c r="E157" i="14"/>
  <c r="E162" i="14"/>
  <c r="F162" i="14" s="1"/>
  <c r="G162" i="14" s="1"/>
  <c r="E176" i="14"/>
  <c r="D179" i="14"/>
  <c r="D181" i="14"/>
  <c r="D186" i="14"/>
  <c r="D188" i="14"/>
  <c r="D189" i="14"/>
  <c r="G193" i="14"/>
  <c r="D194" i="14"/>
  <c r="D196" i="14"/>
  <c r="D197" i="14"/>
  <c r="D202" i="14"/>
  <c r="D204" i="14"/>
  <c r="D205" i="14"/>
  <c r="E208" i="14"/>
  <c r="F208" i="14" s="1"/>
  <c r="G208" i="14" s="1"/>
  <c r="E218" i="14"/>
  <c r="D217" i="14"/>
  <c r="F217" i="14" s="1"/>
  <c r="G217" i="14" s="1"/>
  <c r="E227" i="14"/>
  <c r="E246" i="14"/>
  <c r="E250" i="14"/>
  <c r="E249" i="14"/>
  <c r="F249" i="14" s="1"/>
  <c r="G249" i="14" s="1"/>
  <c r="D249" i="14"/>
  <c r="D252" i="14"/>
  <c r="E258" i="14"/>
  <c r="D278" i="14"/>
  <c r="D298" i="14"/>
  <c r="E325" i="14"/>
  <c r="E321" i="14"/>
  <c r="D324" i="14"/>
  <c r="D325" i="14"/>
  <c r="D320" i="14"/>
  <c r="E323" i="14"/>
  <c r="E315" i="14"/>
  <c r="D314" i="14"/>
  <c r="D28" i="14"/>
  <c r="F28" i="14" s="1"/>
  <c r="G28" i="14" s="1"/>
  <c r="D36" i="14"/>
  <c r="D44" i="14"/>
  <c r="F44" i="14" s="1"/>
  <c r="G44" i="14" s="1"/>
  <c r="D52" i="14"/>
  <c r="D60" i="14"/>
  <c r="F60" i="14" s="1"/>
  <c r="G60" i="14" s="1"/>
  <c r="D68" i="14"/>
  <c r="D76" i="14"/>
  <c r="D84" i="14"/>
  <c r="D92" i="14"/>
  <c r="E102" i="14"/>
  <c r="E106" i="14"/>
  <c r="F106" i="14" s="1"/>
  <c r="G106" i="14" s="1"/>
  <c r="E111" i="14"/>
  <c r="F111" i="14" s="1"/>
  <c r="G111" i="14" s="1"/>
  <c r="E118" i="14"/>
  <c r="F118" i="14" s="1"/>
  <c r="G118" i="14" s="1"/>
  <c r="E122" i="14"/>
  <c r="F122" i="14" s="1"/>
  <c r="G122" i="14" s="1"/>
  <c r="E127" i="14"/>
  <c r="E134" i="14"/>
  <c r="E138" i="14"/>
  <c r="F138" i="14" s="1"/>
  <c r="G138" i="14" s="1"/>
  <c r="E141" i="14"/>
  <c r="F141" i="14" s="1"/>
  <c r="G141" i="14" s="1"/>
  <c r="E143" i="14"/>
  <c r="F143" i="14" s="1"/>
  <c r="G143" i="14" s="1"/>
  <c r="E149" i="14"/>
  <c r="F149" i="14" s="1"/>
  <c r="G149" i="14" s="1"/>
  <c r="E151" i="14"/>
  <c r="E160" i="14"/>
  <c r="F160" i="14" s="1"/>
  <c r="G160" i="14" s="1"/>
  <c r="D169" i="14"/>
  <c r="E174" i="14"/>
  <c r="F174" i="14" s="1"/>
  <c r="G174" i="14" s="1"/>
  <c r="E179" i="14"/>
  <c r="D184" i="14"/>
  <c r="E189" i="14"/>
  <c r="F189" i="14" s="1"/>
  <c r="G189" i="14" s="1"/>
  <c r="D192" i="14"/>
  <c r="E197" i="14"/>
  <c r="F197" i="14" s="1"/>
  <c r="G197" i="14" s="1"/>
  <c r="D200" i="14"/>
  <c r="E205" i="14"/>
  <c r="D218" i="14"/>
  <c r="D220" i="14"/>
  <c r="D221" i="14"/>
  <c r="E224" i="14"/>
  <c r="F224" i="14" s="1"/>
  <c r="G224" i="14" s="1"/>
  <c r="E234" i="14"/>
  <c r="F234" i="14" s="1"/>
  <c r="G234" i="14" s="1"/>
  <c r="D233" i="14"/>
  <c r="E243" i="14"/>
  <c r="D246" i="14"/>
  <c r="D250" i="14"/>
  <c r="E253" i="14"/>
  <c r="F253" i="14" s="1"/>
  <c r="G253" i="14" s="1"/>
  <c r="D258" i="14"/>
  <c r="D273" i="14"/>
  <c r="D268" i="14"/>
  <c r="E272" i="14"/>
  <c r="D272" i="14"/>
  <c r="E273" i="14"/>
  <c r="D292" i="14"/>
  <c r="D293" i="14"/>
  <c r="E291" i="14"/>
  <c r="D288" i="14"/>
  <c r="D290" i="14"/>
  <c r="E289" i="14"/>
  <c r="E308" i="14"/>
  <c r="F391" i="14"/>
  <c r="G391" i="14" s="1"/>
  <c r="F455" i="14"/>
  <c r="G455" i="14" s="1"/>
  <c r="F492" i="14"/>
  <c r="G492" i="14" s="1"/>
  <c r="D172" i="14"/>
  <c r="G175" i="14"/>
  <c r="D203" i="14"/>
  <c r="D219" i="14"/>
  <c r="D235" i="14"/>
  <c r="D251" i="14"/>
  <c r="E259" i="14"/>
  <c r="D262" i="14"/>
  <c r="E266" i="14"/>
  <c r="F266" i="14" s="1"/>
  <c r="G266" i="14" s="1"/>
  <c r="E269" i="14"/>
  <c r="E286" i="14"/>
  <c r="F286" i="14" s="1"/>
  <c r="E287" i="14"/>
  <c r="D287" i="14"/>
  <c r="E285" i="14"/>
  <c r="D282" i="14"/>
  <c r="D286" i="14"/>
  <c r="E293" i="14"/>
  <c r="D308" i="14"/>
  <c r="D309" i="14"/>
  <c r="F309" i="14" s="1"/>
  <c r="G309" i="14" s="1"/>
  <c r="E307" i="14"/>
  <c r="D304" i="14"/>
  <c r="D306" i="14"/>
  <c r="F306" i="14" s="1"/>
  <c r="G306" i="14" s="1"/>
  <c r="E305" i="14"/>
  <c r="E356" i="14"/>
  <c r="D356" i="14"/>
  <c r="E350" i="14"/>
  <c r="D349" i="14"/>
  <c r="D350" i="14"/>
  <c r="E331" i="14"/>
  <c r="E327" i="14"/>
  <c r="F407" i="14"/>
  <c r="G407" i="14" s="1"/>
  <c r="F471" i="14"/>
  <c r="G471" i="14" s="1"/>
  <c r="E206" i="14"/>
  <c r="F206" i="14" s="1"/>
  <c r="G206" i="14" s="1"/>
  <c r="E215" i="14"/>
  <c r="F215" i="14" s="1"/>
  <c r="G215" i="14" s="1"/>
  <c r="D215" i="14"/>
  <c r="E222" i="14"/>
  <c r="F222" i="14" s="1"/>
  <c r="G222" i="14" s="1"/>
  <c r="E231" i="14"/>
  <c r="G232" i="14"/>
  <c r="D231" i="14"/>
  <c r="E238" i="14"/>
  <c r="F238" i="14" s="1"/>
  <c r="G238" i="14" s="1"/>
  <c r="E247" i="14"/>
  <c r="D247" i="14"/>
  <c r="E260" i="14"/>
  <c r="D267" i="14"/>
  <c r="E283" i="14"/>
  <c r="D294" i="14"/>
  <c r="E318" i="14"/>
  <c r="E319" i="14"/>
  <c r="D319" i="14"/>
  <c r="E317" i="14"/>
  <c r="D318" i="14"/>
  <c r="D244" i="14"/>
  <c r="D257" i="14"/>
  <c r="E256" i="14"/>
  <c r="D256" i="14"/>
  <c r="E257" i="14"/>
  <c r="D260" i="14"/>
  <c r="E267" i="14"/>
  <c r="D310" i="14"/>
  <c r="F423" i="14"/>
  <c r="G423" i="14" s="1"/>
  <c r="D180" i="14"/>
  <c r="D211" i="14"/>
  <c r="D227" i="14"/>
  <c r="D243" i="14"/>
  <c r="D245" i="14"/>
  <c r="E271" i="14"/>
  <c r="E276" i="14"/>
  <c r="F276" i="14" s="1"/>
  <c r="G276" i="14" s="1"/>
  <c r="E290" i="14"/>
  <c r="F290" i="14" s="1"/>
  <c r="G290" i="14" s="1"/>
  <c r="E339" i="14"/>
  <c r="E254" i="14"/>
  <c r="D255" i="14"/>
  <c r="E270" i="14"/>
  <c r="D271" i="14"/>
  <c r="D283" i="14"/>
  <c r="D299" i="14"/>
  <c r="D315" i="14"/>
  <c r="E355" i="14"/>
  <c r="D355" i="14"/>
  <c r="E354" i="14"/>
  <c r="E353" i="14"/>
  <c r="D351" i="14"/>
  <c r="E352" i="14"/>
  <c r="D372" i="14"/>
  <c r="E377" i="14"/>
  <c r="D388" i="14"/>
  <c r="E393" i="14"/>
  <c r="D404" i="14"/>
  <c r="E409" i="14"/>
  <c r="D420" i="14"/>
  <c r="E425" i="14"/>
  <c r="D436" i="14"/>
  <c r="E441" i="14"/>
  <c r="D452" i="14"/>
  <c r="E457" i="14"/>
  <c r="D468" i="14"/>
  <c r="E473" i="14"/>
  <c r="E491" i="14"/>
  <c r="D491" i="14"/>
  <c r="E490" i="14"/>
  <c r="D265" i="14"/>
  <c r="E284" i="14"/>
  <c r="E300" i="14"/>
  <c r="E316" i="14"/>
  <c r="E341" i="14"/>
  <c r="D345" i="14"/>
  <c r="E363" i="14"/>
  <c r="D363" i="14"/>
  <c r="E362" i="14"/>
  <c r="E359" i="14"/>
  <c r="D357" i="14"/>
  <c r="E361" i="14"/>
  <c r="E360" i="14"/>
  <c r="D374" i="14"/>
  <c r="D390" i="14"/>
  <c r="D406" i="14"/>
  <c r="D422" i="14"/>
  <c r="D438" i="14"/>
  <c r="D454" i="14"/>
  <c r="D470" i="14"/>
  <c r="E252" i="14"/>
  <c r="F252" i="14" s="1"/>
  <c r="G252" i="14" s="1"/>
  <c r="E262" i="14"/>
  <c r="F262" i="14" s="1"/>
  <c r="G262" i="14" s="1"/>
  <c r="D263" i="14"/>
  <c r="E265" i="14"/>
  <c r="E278" i="14"/>
  <c r="D279" i="14"/>
  <c r="D291" i="14"/>
  <c r="E297" i="14"/>
  <c r="D307" i="14"/>
  <c r="E313" i="14"/>
  <c r="E332" i="14"/>
  <c r="E336" i="14"/>
  <c r="D346" i="14"/>
  <c r="E346" i="14"/>
  <c r="E345" i="14"/>
  <c r="E343" i="14"/>
  <c r="F343" i="14" s="1"/>
  <c r="G343" i="14" s="1"/>
  <c r="E364" i="14"/>
  <c r="D364" i="14"/>
  <c r="D254" i="14"/>
  <c r="D259" i="14"/>
  <c r="D261" i="14"/>
  <c r="E263" i="14"/>
  <c r="E268" i="14"/>
  <c r="D270" i="14"/>
  <c r="D275" i="14"/>
  <c r="E282" i="14"/>
  <c r="D284" i="14"/>
  <c r="G286" i="14"/>
  <c r="D285" i="14"/>
  <c r="D300" i="14"/>
  <c r="D301" i="14"/>
  <c r="D316" i="14"/>
  <c r="D317" i="14"/>
  <c r="E333" i="14"/>
  <c r="D333" i="14"/>
  <c r="D358" i="14"/>
  <c r="E381" i="14"/>
  <c r="E397" i="14"/>
  <c r="E413" i="14"/>
  <c r="E429" i="14"/>
  <c r="E445" i="14"/>
  <c r="E461" i="14"/>
  <c r="E477" i="14"/>
  <c r="E294" i="14"/>
  <c r="E295" i="14"/>
  <c r="D295" i="14"/>
  <c r="E298" i="14"/>
  <c r="F298" i="14" s="1"/>
  <c r="G298" i="14" s="1"/>
  <c r="E310" i="14"/>
  <c r="E311" i="14"/>
  <c r="D311" i="14"/>
  <c r="E314" i="14"/>
  <c r="F314" i="14" s="1"/>
  <c r="G314" i="14" s="1"/>
  <c r="E324" i="14"/>
  <c r="E328" i="14"/>
  <c r="D348" i="14"/>
  <c r="F348" i="14" s="1"/>
  <c r="G348" i="14" s="1"/>
  <c r="E371" i="14"/>
  <c r="D371" i="14"/>
  <c r="E370" i="14"/>
  <c r="E367" i="14"/>
  <c r="D365" i="14"/>
  <c r="E369" i="14"/>
  <c r="E368" i="14"/>
  <c r="E387" i="14"/>
  <c r="D387" i="14"/>
  <c r="E383" i="14"/>
  <c r="E386" i="14"/>
  <c r="D383" i="14"/>
  <c r="D380" i="14"/>
  <c r="E385" i="14"/>
  <c r="D382" i="14"/>
  <c r="E403" i="14"/>
  <c r="D403" i="14"/>
  <c r="E399" i="14"/>
  <c r="E402" i="14"/>
  <c r="D399" i="14"/>
  <c r="D396" i="14"/>
  <c r="E401" i="14"/>
  <c r="D398" i="14"/>
  <c r="E419" i="14"/>
  <c r="D419" i="14"/>
  <c r="E415" i="14"/>
  <c r="E418" i="14"/>
  <c r="D415" i="14"/>
  <c r="D412" i="14"/>
  <c r="E417" i="14"/>
  <c r="D414" i="14"/>
  <c r="E435" i="14"/>
  <c r="D435" i="14"/>
  <c r="E431" i="14"/>
  <c r="E434" i="14"/>
  <c r="D431" i="14"/>
  <c r="D428" i="14"/>
  <c r="E433" i="14"/>
  <c r="D430" i="14"/>
  <c r="E451" i="14"/>
  <c r="D451" i="14"/>
  <c r="E447" i="14"/>
  <c r="E450" i="14"/>
  <c r="D447" i="14"/>
  <c r="D444" i="14"/>
  <c r="E449" i="14"/>
  <c r="D446" i="14"/>
  <c r="E467" i="14"/>
  <c r="D467" i="14"/>
  <c r="E463" i="14"/>
  <c r="E466" i="14"/>
  <c r="D463" i="14"/>
  <c r="D460" i="14"/>
  <c r="E465" i="14"/>
  <c r="D462" i="14"/>
  <c r="E483" i="14"/>
  <c r="D483" i="14"/>
  <c r="E479" i="14"/>
  <c r="E482" i="14"/>
  <c r="D479" i="14"/>
  <c r="D476" i="14"/>
  <c r="E481" i="14"/>
  <c r="D478" i="14"/>
  <c r="E288" i="14"/>
  <c r="E296" i="14"/>
  <c r="F296" i="14" s="1"/>
  <c r="G296" i="14" s="1"/>
  <c r="E304" i="14"/>
  <c r="F304" i="14" s="1"/>
  <c r="G304" i="14" s="1"/>
  <c r="E312" i="14"/>
  <c r="F312" i="14" s="1"/>
  <c r="G312" i="14" s="1"/>
  <c r="E320" i="14"/>
  <c r="D327" i="14"/>
  <c r="D331" i="14"/>
  <c r="D335" i="14"/>
  <c r="F335" i="14" s="1"/>
  <c r="G335" i="14" s="1"/>
  <c r="D339" i="14"/>
  <c r="D341" i="14"/>
  <c r="E358" i="14"/>
  <c r="E366" i="14"/>
  <c r="F366" i="14" s="1"/>
  <c r="G366" i="14" s="1"/>
  <c r="E372" i="14"/>
  <c r="E388" i="14"/>
  <c r="E404" i="14"/>
  <c r="E420" i="14"/>
  <c r="E436" i="14"/>
  <c r="E452" i="14"/>
  <c r="E468" i="14"/>
  <c r="E484" i="14"/>
  <c r="F484" i="14" s="1"/>
  <c r="G484" i="14" s="1"/>
  <c r="E329" i="14"/>
  <c r="F329" i="14" s="1"/>
  <c r="G329" i="14" s="1"/>
  <c r="E337" i="14"/>
  <c r="F337" i="14" s="1"/>
  <c r="G337" i="14" s="1"/>
  <c r="D352" i="14"/>
  <c r="D353" i="14"/>
  <c r="D360" i="14"/>
  <c r="D361" i="14"/>
  <c r="D368" i="14"/>
  <c r="D369" i="14"/>
  <c r="E382" i="14"/>
  <c r="F382" i="14" s="1"/>
  <c r="G382" i="14" s="1"/>
  <c r="E384" i="14"/>
  <c r="D384" i="14"/>
  <c r="D385" i="14"/>
  <c r="E398" i="14"/>
  <c r="E400" i="14"/>
  <c r="D400" i="14"/>
  <c r="D401" i="14"/>
  <c r="E414" i="14"/>
  <c r="F414" i="14" s="1"/>
  <c r="G414" i="14" s="1"/>
  <c r="E416" i="14"/>
  <c r="D416" i="14"/>
  <c r="D417" i="14"/>
  <c r="E430" i="14"/>
  <c r="E432" i="14"/>
  <c r="D432" i="14"/>
  <c r="D433" i="14"/>
  <c r="E446" i="14"/>
  <c r="F446" i="14" s="1"/>
  <c r="G446" i="14" s="1"/>
  <c r="E448" i="14"/>
  <c r="D448" i="14"/>
  <c r="D449" i="14"/>
  <c r="E462" i="14"/>
  <c r="E464" i="14"/>
  <c r="D464" i="14"/>
  <c r="D465" i="14"/>
  <c r="E478" i="14"/>
  <c r="F478" i="14" s="1"/>
  <c r="G478" i="14" s="1"/>
  <c r="E480" i="14"/>
  <c r="D480" i="14"/>
  <c r="D481" i="14"/>
  <c r="E326" i="14"/>
  <c r="E334" i="14"/>
  <c r="E342" i="14"/>
  <c r="E349" i="14"/>
  <c r="F349" i="14" s="1"/>
  <c r="G349" i="14" s="1"/>
  <c r="E373" i="14"/>
  <c r="E379" i="14"/>
  <c r="D379" i="14"/>
  <c r="E389" i="14"/>
  <c r="E395" i="14"/>
  <c r="D395" i="14"/>
  <c r="E405" i="14"/>
  <c r="E411" i="14"/>
  <c r="D411" i="14"/>
  <c r="E421" i="14"/>
  <c r="E427" i="14"/>
  <c r="D427" i="14"/>
  <c r="E437" i="14"/>
  <c r="E443" i="14"/>
  <c r="D443" i="14"/>
  <c r="E453" i="14"/>
  <c r="E459" i="14"/>
  <c r="D459" i="14"/>
  <c r="E469" i="14"/>
  <c r="E475" i="14"/>
  <c r="D475" i="14"/>
  <c r="E485" i="14"/>
  <c r="E488" i="14"/>
  <c r="D488" i="14"/>
  <c r="D489" i="14"/>
  <c r="D487" i="14"/>
  <c r="F487" i="14" s="1"/>
  <c r="G487" i="14" s="1"/>
  <c r="D289" i="14"/>
  <c r="D297" i="14"/>
  <c r="D305" i="14"/>
  <c r="D313" i="14"/>
  <c r="D321" i="14"/>
  <c r="D326" i="14"/>
  <c r="D330" i="14"/>
  <c r="D332" i="14"/>
  <c r="D334" i="14"/>
  <c r="D338" i="14"/>
  <c r="D340" i="14"/>
  <c r="F340" i="14" s="1"/>
  <c r="G340" i="14" s="1"/>
  <c r="D342" i="14"/>
  <c r="E344" i="14"/>
  <c r="E351" i="14"/>
  <c r="F351" i="14" s="1"/>
  <c r="G351" i="14" s="1"/>
  <c r="D354" i="14"/>
  <c r="E357" i="14"/>
  <c r="F357" i="14" s="1"/>
  <c r="G357" i="14" s="1"/>
  <c r="D359" i="14"/>
  <c r="D362" i="14"/>
  <c r="E365" i="14"/>
  <c r="D367" i="14"/>
  <c r="E380" i="14"/>
  <c r="F380" i="14" s="1"/>
  <c r="G380" i="14" s="1"/>
  <c r="E396" i="14"/>
  <c r="F396" i="14" s="1"/>
  <c r="G396" i="14" s="1"/>
  <c r="E412" i="14"/>
  <c r="F412" i="14" s="1"/>
  <c r="G412" i="14" s="1"/>
  <c r="E428" i="14"/>
  <c r="E444" i="14"/>
  <c r="E460" i="14"/>
  <c r="E476" i="14"/>
  <c r="E489" i="14"/>
  <c r="D328" i="14"/>
  <c r="E330" i="14"/>
  <c r="D336" i="14"/>
  <c r="E338" i="14"/>
  <c r="E347" i="14"/>
  <c r="D347" i="14"/>
  <c r="E486" i="14"/>
  <c r="F494" i="14"/>
  <c r="G494" i="14" s="1"/>
  <c r="D323" i="14"/>
  <c r="D344" i="14"/>
  <c r="E374" i="14"/>
  <c r="E376" i="14"/>
  <c r="D373" i="14"/>
  <c r="D376" i="14"/>
  <c r="D377" i="14"/>
  <c r="E390" i="14"/>
  <c r="F390" i="14" s="1"/>
  <c r="G390" i="14" s="1"/>
  <c r="E392" i="14"/>
  <c r="F392" i="14" s="1"/>
  <c r="G392" i="14" s="1"/>
  <c r="D392" i="14"/>
  <c r="D393" i="14"/>
  <c r="E406" i="14"/>
  <c r="F406" i="14" s="1"/>
  <c r="G406" i="14" s="1"/>
  <c r="E408" i="14"/>
  <c r="D408" i="14"/>
  <c r="D409" i="14"/>
  <c r="E422" i="14"/>
  <c r="F422" i="14" s="1"/>
  <c r="E424" i="14"/>
  <c r="D424" i="14"/>
  <c r="D425" i="14"/>
  <c r="E438" i="14"/>
  <c r="E440" i="14"/>
  <c r="D440" i="14"/>
  <c r="D441" i="14"/>
  <c r="E454" i="14"/>
  <c r="F454" i="14" s="1"/>
  <c r="G454" i="14" s="1"/>
  <c r="E456" i="14"/>
  <c r="D456" i="14"/>
  <c r="D457" i="14"/>
  <c r="E470" i="14"/>
  <c r="E472" i="14"/>
  <c r="D472" i="14"/>
  <c r="D473" i="14"/>
  <c r="D486" i="14"/>
  <c r="D381" i="14"/>
  <c r="D389" i="14"/>
  <c r="D397" i="14"/>
  <c r="D405" i="14"/>
  <c r="D413" i="14"/>
  <c r="D421" i="14"/>
  <c r="G422" i="14"/>
  <c r="D429" i="14"/>
  <c r="D437" i="14"/>
  <c r="D445" i="14"/>
  <c r="D453" i="14"/>
  <c r="D461" i="14"/>
  <c r="D469" i="14"/>
  <c r="D477" i="14"/>
  <c r="D485" i="14"/>
  <c r="D493" i="14"/>
  <c r="F493" i="14" s="1"/>
  <c r="G493" i="14" s="1"/>
  <c r="D370" i="14"/>
  <c r="D378" i="14"/>
  <c r="F378" i="14" s="1"/>
  <c r="G378" i="14" s="1"/>
  <c r="D386" i="14"/>
  <c r="D394" i="14"/>
  <c r="F394" i="14" s="1"/>
  <c r="G394" i="14" s="1"/>
  <c r="D402" i="14"/>
  <c r="D410" i="14"/>
  <c r="F410" i="14" s="1"/>
  <c r="G410" i="14" s="1"/>
  <c r="D418" i="14"/>
  <c r="D426" i="14"/>
  <c r="F426" i="14" s="1"/>
  <c r="G426" i="14" s="1"/>
  <c r="D434" i="14"/>
  <c r="D442" i="14"/>
  <c r="F442" i="14" s="1"/>
  <c r="G442" i="14" s="1"/>
  <c r="D450" i="14"/>
  <c r="D458" i="14"/>
  <c r="F458" i="14" s="1"/>
  <c r="G458" i="14" s="1"/>
  <c r="D466" i="14"/>
  <c r="D474" i="14"/>
  <c r="F474" i="14" s="1"/>
  <c r="G474" i="14" s="1"/>
  <c r="D482" i="14"/>
  <c r="D490" i="14"/>
  <c r="K9" i="12"/>
  <c r="L9" i="12"/>
  <c r="M9" i="12"/>
  <c r="G760" i="1"/>
  <c r="F760" i="1"/>
  <c r="E760" i="1"/>
  <c r="G759" i="1"/>
  <c r="F759" i="1"/>
  <c r="E759" i="1"/>
  <c r="G758" i="1"/>
  <c r="F758" i="1"/>
  <c r="E758" i="1"/>
  <c r="G757" i="1"/>
  <c r="F757" i="1"/>
  <c r="E757" i="1"/>
  <c r="G756" i="1"/>
  <c r="F756" i="1"/>
  <c r="E756" i="1"/>
  <c r="G755" i="1"/>
  <c r="F755" i="1"/>
  <c r="E755" i="1"/>
  <c r="G754" i="1"/>
  <c r="F754" i="1"/>
  <c r="E754" i="1"/>
  <c r="G753" i="1"/>
  <c r="F753" i="1"/>
  <c r="E753" i="1"/>
  <c r="G752" i="1"/>
  <c r="F752" i="1"/>
  <c r="E752" i="1"/>
  <c r="G751" i="1"/>
  <c r="F751" i="1"/>
  <c r="E751" i="1"/>
  <c r="G750" i="1"/>
  <c r="F750" i="1"/>
  <c r="E750" i="1"/>
  <c r="G749" i="1"/>
  <c r="F749" i="1"/>
  <c r="E749" i="1"/>
  <c r="G748" i="1"/>
  <c r="F748" i="1"/>
  <c r="E748" i="1"/>
  <c r="G747" i="1"/>
  <c r="F747" i="1"/>
  <c r="E747" i="1"/>
  <c r="G746" i="1"/>
  <c r="F746" i="1"/>
  <c r="E746" i="1"/>
  <c r="G745" i="1"/>
  <c r="F745" i="1"/>
  <c r="E745" i="1"/>
  <c r="G744" i="1"/>
  <c r="F744" i="1"/>
  <c r="E744" i="1"/>
  <c r="G743" i="1"/>
  <c r="F743" i="1"/>
  <c r="E743" i="1"/>
  <c r="G742" i="1"/>
  <c r="F742" i="1"/>
  <c r="E742" i="1"/>
  <c r="G741" i="1"/>
  <c r="F741" i="1"/>
  <c r="E741" i="1"/>
  <c r="G740" i="1"/>
  <c r="F740" i="1"/>
  <c r="E740" i="1"/>
  <c r="G739" i="1"/>
  <c r="F739" i="1"/>
  <c r="E739" i="1"/>
  <c r="G738" i="1"/>
  <c r="F738" i="1"/>
  <c r="E738" i="1"/>
  <c r="G737" i="1"/>
  <c r="F737" i="1"/>
  <c r="E737" i="1"/>
  <c r="G736" i="1"/>
  <c r="F736" i="1"/>
  <c r="E736" i="1"/>
  <c r="G735" i="1"/>
  <c r="F735" i="1"/>
  <c r="E735" i="1"/>
  <c r="G734" i="1"/>
  <c r="F734" i="1"/>
  <c r="E734" i="1"/>
  <c r="G733" i="1"/>
  <c r="F733" i="1"/>
  <c r="E733" i="1"/>
  <c r="G732" i="1"/>
  <c r="F732" i="1"/>
  <c r="E732" i="1"/>
  <c r="G731" i="1"/>
  <c r="F731" i="1"/>
  <c r="E731" i="1"/>
  <c r="G730" i="1"/>
  <c r="F730" i="1"/>
  <c r="E730" i="1"/>
  <c r="G729" i="1"/>
  <c r="F729" i="1"/>
  <c r="E729" i="1"/>
  <c r="G728" i="1"/>
  <c r="F728" i="1"/>
  <c r="E728" i="1"/>
  <c r="G727" i="1"/>
  <c r="F727" i="1"/>
  <c r="E727" i="1"/>
  <c r="G726" i="1"/>
  <c r="F726" i="1"/>
  <c r="E726" i="1"/>
  <c r="G725" i="1"/>
  <c r="F725" i="1"/>
  <c r="E725" i="1"/>
  <c r="G724" i="1"/>
  <c r="F724" i="1"/>
  <c r="E724" i="1"/>
  <c r="G723" i="1"/>
  <c r="F723" i="1"/>
  <c r="E723" i="1"/>
  <c r="G722" i="1"/>
  <c r="F722" i="1"/>
  <c r="E722" i="1"/>
  <c r="G721" i="1"/>
  <c r="F721" i="1"/>
  <c r="E721" i="1"/>
  <c r="G720" i="1"/>
  <c r="F720" i="1"/>
  <c r="E720" i="1"/>
  <c r="G719" i="1"/>
  <c r="F719" i="1"/>
  <c r="E719" i="1"/>
  <c r="G718" i="1"/>
  <c r="F718" i="1"/>
  <c r="E718" i="1"/>
  <c r="G717" i="1"/>
  <c r="F717" i="1"/>
  <c r="E717" i="1"/>
  <c r="G716" i="1"/>
  <c r="F716" i="1"/>
  <c r="E716" i="1"/>
  <c r="G715" i="1"/>
  <c r="F715" i="1"/>
  <c r="E715" i="1"/>
  <c r="G714" i="1"/>
  <c r="F714" i="1"/>
  <c r="E714" i="1"/>
  <c r="G713" i="1"/>
  <c r="F713" i="1"/>
  <c r="E713" i="1"/>
  <c r="G712" i="1"/>
  <c r="F712" i="1"/>
  <c r="E712" i="1"/>
  <c r="G711" i="1"/>
  <c r="F711" i="1"/>
  <c r="E711" i="1"/>
  <c r="G710" i="1"/>
  <c r="F710" i="1"/>
  <c r="E710" i="1"/>
  <c r="G709" i="1"/>
  <c r="F709" i="1"/>
  <c r="E709" i="1"/>
  <c r="G708" i="1"/>
  <c r="F708" i="1"/>
  <c r="E708" i="1"/>
  <c r="G707" i="1"/>
  <c r="F707" i="1"/>
  <c r="E707" i="1"/>
  <c r="G706" i="1"/>
  <c r="F706" i="1"/>
  <c r="E706" i="1"/>
  <c r="G705" i="1"/>
  <c r="F705" i="1"/>
  <c r="E705" i="1"/>
  <c r="G704" i="1"/>
  <c r="F704" i="1"/>
  <c r="E704" i="1"/>
  <c r="G703" i="1"/>
  <c r="F703" i="1"/>
  <c r="E703" i="1"/>
  <c r="G702" i="1"/>
  <c r="F702" i="1"/>
  <c r="E702" i="1"/>
  <c r="G701" i="1"/>
  <c r="F701" i="1"/>
  <c r="E701" i="1"/>
  <c r="G700" i="1"/>
  <c r="F700" i="1"/>
  <c r="E700" i="1"/>
  <c r="G699" i="1"/>
  <c r="F699" i="1"/>
  <c r="E699" i="1"/>
  <c r="G698" i="1"/>
  <c r="F698" i="1"/>
  <c r="E698" i="1"/>
  <c r="G697" i="1"/>
  <c r="F697" i="1"/>
  <c r="E697" i="1"/>
  <c r="G696" i="1"/>
  <c r="F696" i="1"/>
  <c r="E696" i="1"/>
  <c r="G695" i="1"/>
  <c r="F695" i="1"/>
  <c r="E695" i="1"/>
  <c r="G694" i="1"/>
  <c r="F694" i="1"/>
  <c r="E694" i="1"/>
  <c r="G693" i="1"/>
  <c r="F693" i="1"/>
  <c r="E693" i="1"/>
  <c r="G692" i="1"/>
  <c r="F692" i="1"/>
  <c r="E692" i="1"/>
  <c r="G691" i="1"/>
  <c r="F691" i="1"/>
  <c r="E691" i="1"/>
  <c r="G690" i="1"/>
  <c r="F690" i="1"/>
  <c r="E690" i="1"/>
  <c r="G689" i="1"/>
  <c r="F689" i="1"/>
  <c r="E689" i="1"/>
  <c r="G688" i="1"/>
  <c r="F688" i="1"/>
  <c r="E688" i="1"/>
  <c r="G687" i="1"/>
  <c r="F687" i="1"/>
  <c r="E687" i="1"/>
  <c r="G686" i="1"/>
  <c r="F686" i="1"/>
  <c r="E686" i="1"/>
  <c r="G685" i="1"/>
  <c r="F685" i="1"/>
  <c r="E685" i="1"/>
  <c r="G684" i="1"/>
  <c r="F684" i="1"/>
  <c r="E684" i="1"/>
  <c r="G683" i="1"/>
  <c r="F683" i="1"/>
  <c r="E683" i="1"/>
  <c r="G682" i="1"/>
  <c r="F682" i="1"/>
  <c r="E682" i="1"/>
  <c r="G681" i="1"/>
  <c r="F681" i="1"/>
  <c r="E681" i="1"/>
  <c r="G680" i="1"/>
  <c r="F680" i="1"/>
  <c r="E680" i="1"/>
  <c r="G679" i="1"/>
  <c r="F679" i="1"/>
  <c r="E679" i="1"/>
  <c r="G678" i="1"/>
  <c r="F678" i="1"/>
  <c r="E678" i="1"/>
  <c r="G677" i="1"/>
  <c r="F677" i="1"/>
  <c r="E677" i="1"/>
  <c r="G676" i="1"/>
  <c r="F676" i="1"/>
  <c r="E676" i="1"/>
  <c r="G675" i="1"/>
  <c r="F675" i="1"/>
  <c r="E675" i="1"/>
  <c r="G674" i="1"/>
  <c r="F674" i="1"/>
  <c r="E674" i="1"/>
  <c r="G673" i="1"/>
  <c r="F673" i="1"/>
  <c r="E673" i="1"/>
  <c r="G672" i="1"/>
  <c r="F672" i="1"/>
  <c r="E672" i="1"/>
  <c r="G671" i="1"/>
  <c r="F671" i="1"/>
  <c r="E671" i="1"/>
  <c r="G670" i="1"/>
  <c r="F670" i="1"/>
  <c r="E670" i="1"/>
  <c r="G669" i="1"/>
  <c r="F669" i="1"/>
  <c r="E669" i="1"/>
  <c r="G668" i="1"/>
  <c r="F668" i="1"/>
  <c r="E668" i="1"/>
  <c r="G667" i="1"/>
  <c r="F667" i="1"/>
  <c r="E667" i="1"/>
  <c r="G666" i="1"/>
  <c r="F666" i="1"/>
  <c r="E666" i="1"/>
  <c r="G665" i="1"/>
  <c r="F665" i="1"/>
  <c r="E665" i="1"/>
  <c r="G664" i="1"/>
  <c r="F664" i="1"/>
  <c r="E664" i="1"/>
  <c r="G663" i="1"/>
  <c r="F663" i="1"/>
  <c r="E663" i="1"/>
  <c r="G662" i="1"/>
  <c r="F662" i="1"/>
  <c r="E662" i="1"/>
  <c r="G661" i="1"/>
  <c r="F661" i="1"/>
  <c r="E661" i="1"/>
  <c r="G660" i="1"/>
  <c r="F660" i="1"/>
  <c r="E660" i="1"/>
  <c r="G659" i="1"/>
  <c r="F659" i="1"/>
  <c r="E659" i="1"/>
  <c r="G658" i="1"/>
  <c r="F658" i="1"/>
  <c r="E658" i="1"/>
  <c r="G657" i="1"/>
  <c r="F657" i="1"/>
  <c r="E657" i="1"/>
  <c r="G656" i="1"/>
  <c r="F656" i="1"/>
  <c r="E656" i="1"/>
  <c r="G655" i="1"/>
  <c r="F655" i="1"/>
  <c r="E655" i="1"/>
  <c r="G654" i="1"/>
  <c r="F654" i="1"/>
  <c r="E654" i="1"/>
  <c r="G653" i="1"/>
  <c r="F653" i="1"/>
  <c r="E653" i="1"/>
  <c r="G652" i="1"/>
  <c r="F652" i="1"/>
  <c r="E652" i="1"/>
  <c r="G651" i="1"/>
  <c r="F651" i="1"/>
  <c r="E651" i="1"/>
  <c r="G650" i="1"/>
  <c r="F650" i="1"/>
  <c r="E650" i="1"/>
  <c r="G649" i="1"/>
  <c r="F649" i="1"/>
  <c r="E649" i="1"/>
  <c r="G648" i="1"/>
  <c r="F648" i="1"/>
  <c r="E648" i="1"/>
  <c r="G647" i="1"/>
  <c r="F647" i="1"/>
  <c r="E647" i="1"/>
  <c r="G646" i="1"/>
  <c r="F646" i="1"/>
  <c r="E646" i="1"/>
  <c r="G645" i="1"/>
  <c r="F645" i="1"/>
  <c r="E645" i="1"/>
  <c r="G644" i="1"/>
  <c r="F644" i="1"/>
  <c r="E644" i="1"/>
  <c r="G643" i="1"/>
  <c r="F643" i="1"/>
  <c r="E643" i="1"/>
  <c r="G642" i="1"/>
  <c r="F642" i="1"/>
  <c r="E642" i="1"/>
  <c r="G641" i="1"/>
  <c r="F641" i="1"/>
  <c r="E641" i="1"/>
  <c r="G640" i="1"/>
  <c r="F640" i="1"/>
  <c r="E640" i="1"/>
  <c r="G639" i="1"/>
  <c r="F639" i="1"/>
  <c r="E639" i="1"/>
  <c r="G638" i="1"/>
  <c r="F638" i="1"/>
  <c r="E638" i="1"/>
  <c r="G637" i="1"/>
  <c r="F637" i="1"/>
  <c r="E637" i="1"/>
  <c r="G636" i="1"/>
  <c r="F636" i="1"/>
  <c r="E636" i="1"/>
  <c r="G635" i="1"/>
  <c r="F635" i="1"/>
  <c r="E635" i="1"/>
  <c r="G634" i="1"/>
  <c r="F634" i="1"/>
  <c r="E634" i="1"/>
  <c r="G633" i="1"/>
  <c r="F633" i="1"/>
  <c r="E633" i="1"/>
  <c r="G632" i="1"/>
  <c r="F632" i="1"/>
  <c r="E632" i="1"/>
  <c r="G631" i="1"/>
  <c r="F631" i="1"/>
  <c r="E631" i="1"/>
  <c r="G630" i="1"/>
  <c r="F630" i="1"/>
  <c r="E630" i="1"/>
  <c r="G629" i="1"/>
  <c r="F629" i="1"/>
  <c r="E629" i="1"/>
  <c r="G628" i="1"/>
  <c r="F628" i="1"/>
  <c r="E628" i="1"/>
  <c r="G627" i="1"/>
  <c r="F627" i="1"/>
  <c r="E627" i="1"/>
  <c r="G626" i="1"/>
  <c r="F626" i="1"/>
  <c r="E626" i="1"/>
  <c r="G625" i="1"/>
  <c r="F625" i="1"/>
  <c r="E625" i="1"/>
  <c r="G624" i="1"/>
  <c r="F624" i="1"/>
  <c r="E624" i="1"/>
  <c r="G623" i="1"/>
  <c r="F623" i="1"/>
  <c r="E623" i="1"/>
  <c r="G622" i="1"/>
  <c r="F622" i="1"/>
  <c r="E622" i="1"/>
  <c r="G621" i="1"/>
  <c r="F621" i="1"/>
  <c r="E621" i="1"/>
  <c r="G620" i="1"/>
  <c r="F620" i="1"/>
  <c r="E620" i="1"/>
  <c r="G619" i="1"/>
  <c r="F619" i="1"/>
  <c r="E619" i="1"/>
  <c r="G618" i="1"/>
  <c r="F618" i="1"/>
  <c r="E618" i="1"/>
  <c r="G617" i="1"/>
  <c r="F617" i="1"/>
  <c r="E617" i="1"/>
  <c r="G616" i="1"/>
  <c r="F616" i="1"/>
  <c r="E616" i="1"/>
  <c r="G615" i="1"/>
  <c r="F615" i="1"/>
  <c r="E615" i="1"/>
  <c r="G614" i="1"/>
  <c r="F614" i="1"/>
  <c r="E614" i="1"/>
  <c r="G613" i="1"/>
  <c r="F613" i="1"/>
  <c r="E613" i="1"/>
  <c r="G612" i="1"/>
  <c r="F612" i="1"/>
  <c r="E612" i="1"/>
  <c r="G611" i="1"/>
  <c r="F611" i="1"/>
  <c r="E611" i="1"/>
  <c r="G610" i="1"/>
  <c r="F610" i="1"/>
  <c r="E610" i="1"/>
  <c r="G609" i="1"/>
  <c r="F609" i="1"/>
  <c r="E609" i="1"/>
  <c r="G608" i="1"/>
  <c r="F608" i="1"/>
  <c r="E608" i="1"/>
  <c r="G607" i="1"/>
  <c r="F607" i="1"/>
  <c r="E607" i="1"/>
  <c r="G606" i="1"/>
  <c r="F606" i="1"/>
  <c r="E606" i="1"/>
  <c r="G605" i="1"/>
  <c r="F605" i="1"/>
  <c r="E605" i="1"/>
  <c r="G604" i="1"/>
  <c r="F604" i="1"/>
  <c r="E604" i="1"/>
  <c r="G603" i="1"/>
  <c r="F603" i="1"/>
  <c r="E603" i="1"/>
  <c r="G602" i="1"/>
  <c r="F602" i="1"/>
  <c r="E602" i="1"/>
  <c r="G601" i="1"/>
  <c r="F601" i="1"/>
  <c r="E601" i="1"/>
  <c r="G600" i="1"/>
  <c r="F600" i="1"/>
  <c r="E600" i="1"/>
  <c r="G599" i="1"/>
  <c r="F599" i="1"/>
  <c r="E599" i="1"/>
  <c r="G598" i="1"/>
  <c r="F598" i="1"/>
  <c r="E598" i="1"/>
  <c r="G597" i="1"/>
  <c r="F597" i="1"/>
  <c r="E597" i="1"/>
  <c r="G596" i="1"/>
  <c r="F596" i="1"/>
  <c r="E596" i="1"/>
  <c r="G595" i="1"/>
  <c r="F595" i="1"/>
  <c r="E595" i="1"/>
  <c r="G594" i="1"/>
  <c r="F594" i="1"/>
  <c r="E594" i="1"/>
  <c r="G593" i="1"/>
  <c r="F593" i="1"/>
  <c r="E593" i="1"/>
  <c r="G592" i="1"/>
  <c r="F592" i="1"/>
  <c r="E592" i="1"/>
  <c r="G591" i="1"/>
  <c r="F591" i="1"/>
  <c r="E591" i="1"/>
  <c r="G590" i="1"/>
  <c r="F590" i="1"/>
  <c r="E590" i="1"/>
  <c r="G589" i="1"/>
  <c r="F589" i="1"/>
  <c r="E589" i="1"/>
  <c r="G588" i="1"/>
  <c r="F588" i="1"/>
  <c r="E588" i="1"/>
  <c r="G587" i="1"/>
  <c r="F587" i="1"/>
  <c r="E587" i="1"/>
  <c r="G586" i="1"/>
  <c r="F586" i="1"/>
  <c r="E586" i="1"/>
  <c r="G585" i="1"/>
  <c r="F585" i="1"/>
  <c r="E585" i="1"/>
  <c r="G584" i="1"/>
  <c r="F584" i="1"/>
  <c r="E584" i="1"/>
  <c r="G583" i="1"/>
  <c r="F583" i="1"/>
  <c r="E583" i="1"/>
  <c r="G582" i="1"/>
  <c r="F582" i="1"/>
  <c r="E582" i="1"/>
  <c r="G581" i="1"/>
  <c r="F581" i="1"/>
  <c r="E581" i="1"/>
  <c r="G580" i="1"/>
  <c r="F580" i="1"/>
  <c r="E580" i="1"/>
  <c r="G579" i="1"/>
  <c r="F579" i="1"/>
  <c r="E579" i="1"/>
  <c r="G578" i="1"/>
  <c r="F578" i="1"/>
  <c r="E578" i="1"/>
  <c r="G577" i="1"/>
  <c r="F577" i="1"/>
  <c r="E577" i="1"/>
  <c r="G576" i="1"/>
  <c r="F576" i="1"/>
  <c r="E576" i="1"/>
  <c r="G575" i="1"/>
  <c r="F575" i="1"/>
  <c r="E575" i="1"/>
  <c r="G574" i="1"/>
  <c r="F574" i="1"/>
  <c r="E574" i="1"/>
  <c r="G573" i="1"/>
  <c r="F573" i="1"/>
  <c r="E573" i="1"/>
  <c r="G572" i="1"/>
  <c r="F572" i="1"/>
  <c r="E572" i="1"/>
  <c r="G571" i="1"/>
  <c r="F571" i="1"/>
  <c r="E571" i="1"/>
  <c r="G570" i="1"/>
  <c r="F570" i="1"/>
  <c r="E570" i="1"/>
  <c r="G569" i="1"/>
  <c r="F569" i="1"/>
  <c r="E569" i="1"/>
  <c r="G568" i="1"/>
  <c r="F568" i="1"/>
  <c r="E568" i="1"/>
  <c r="G567" i="1"/>
  <c r="F567" i="1"/>
  <c r="E567" i="1"/>
  <c r="G566" i="1"/>
  <c r="F566" i="1"/>
  <c r="E566" i="1"/>
  <c r="G565" i="1"/>
  <c r="F565" i="1"/>
  <c r="E565" i="1"/>
  <c r="G564" i="1"/>
  <c r="F564" i="1"/>
  <c r="E564" i="1"/>
  <c r="G563" i="1"/>
  <c r="F563" i="1"/>
  <c r="E563" i="1"/>
  <c r="G562" i="1"/>
  <c r="F562" i="1"/>
  <c r="E562" i="1"/>
  <c r="G561" i="1"/>
  <c r="F561" i="1"/>
  <c r="E561" i="1"/>
  <c r="G560" i="1"/>
  <c r="F560" i="1"/>
  <c r="E560" i="1"/>
  <c r="G559" i="1"/>
  <c r="F559" i="1"/>
  <c r="E559" i="1"/>
  <c r="G558" i="1"/>
  <c r="F558" i="1"/>
  <c r="E558" i="1"/>
  <c r="G557" i="1"/>
  <c r="F557" i="1"/>
  <c r="E557" i="1"/>
  <c r="G556" i="1"/>
  <c r="F556" i="1"/>
  <c r="E556" i="1"/>
  <c r="G555" i="1"/>
  <c r="F555" i="1"/>
  <c r="E555" i="1"/>
  <c r="G554" i="1"/>
  <c r="F554" i="1"/>
  <c r="E554" i="1"/>
  <c r="G553" i="1"/>
  <c r="F553" i="1"/>
  <c r="E553" i="1"/>
  <c r="G552" i="1"/>
  <c r="F552" i="1"/>
  <c r="E552" i="1"/>
  <c r="G551" i="1"/>
  <c r="F551" i="1"/>
  <c r="E551" i="1"/>
  <c r="G550" i="1"/>
  <c r="F550" i="1"/>
  <c r="E550" i="1"/>
  <c r="G549" i="1"/>
  <c r="F549" i="1"/>
  <c r="E549" i="1"/>
  <c r="G548" i="1"/>
  <c r="F548" i="1"/>
  <c r="E548" i="1"/>
  <c r="G547" i="1"/>
  <c r="F547" i="1"/>
  <c r="E547" i="1"/>
  <c r="G546" i="1"/>
  <c r="F546" i="1"/>
  <c r="E546" i="1"/>
  <c r="G545" i="1"/>
  <c r="F545" i="1"/>
  <c r="E545" i="1"/>
  <c r="G544" i="1"/>
  <c r="F544" i="1"/>
  <c r="E544" i="1"/>
  <c r="G543" i="1"/>
  <c r="F543" i="1"/>
  <c r="E543" i="1"/>
  <c r="G542" i="1"/>
  <c r="F542" i="1"/>
  <c r="E542" i="1"/>
  <c r="G541" i="1"/>
  <c r="F541" i="1"/>
  <c r="E541" i="1"/>
  <c r="G540" i="1"/>
  <c r="F540" i="1"/>
  <c r="E540" i="1"/>
  <c r="G539" i="1"/>
  <c r="F539" i="1"/>
  <c r="E539" i="1"/>
  <c r="G538" i="1"/>
  <c r="F538" i="1"/>
  <c r="E538" i="1"/>
  <c r="G537" i="1"/>
  <c r="F537" i="1"/>
  <c r="E537" i="1"/>
  <c r="G536" i="1"/>
  <c r="F536" i="1"/>
  <c r="E536" i="1"/>
  <c r="G535" i="1"/>
  <c r="F535" i="1"/>
  <c r="E535" i="1"/>
  <c r="G534" i="1"/>
  <c r="F534" i="1"/>
  <c r="E534" i="1"/>
  <c r="G533" i="1"/>
  <c r="F533" i="1"/>
  <c r="E533" i="1"/>
  <c r="G532" i="1"/>
  <c r="F532" i="1"/>
  <c r="E532" i="1"/>
  <c r="G531" i="1"/>
  <c r="F531" i="1"/>
  <c r="E531" i="1"/>
  <c r="G530" i="1"/>
  <c r="F530" i="1"/>
  <c r="E530" i="1"/>
  <c r="G529" i="1"/>
  <c r="F529" i="1"/>
  <c r="E529" i="1"/>
  <c r="G528" i="1"/>
  <c r="F528" i="1"/>
  <c r="E528" i="1"/>
  <c r="G527" i="1"/>
  <c r="F527" i="1"/>
  <c r="E527" i="1"/>
  <c r="G526" i="1"/>
  <c r="F526" i="1"/>
  <c r="E526" i="1"/>
  <c r="G525" i="1"/>
  <c r="F525" i="1"/>
  <c r="E525" i="1"/>
  <c r="G524" i="1"/>
  <c r="F524" i="1"/>
  <c r="E524" i="1"/>
  <c r="G523" i="1"/>
  <c r="F523" i="1"/>
  <c r="E523" i="1"/>
  <c r="G522" i="1"/>
  <c r="F522" i="1"/>
  <c r="E522" i="1"/>
  <c r="G521" i="1"/>
  <c r="F521" i="1"/>
  <c r="E521" i="1"/>
  <c r="G520" i="1"/>
  <c r="F520" i="1"/>
  <c r="E520" i="1"/>
  <c r="G519" i="1"/>
  <c r="F519" i="1"/>
  <c r="E519" i="1"/>
  <c r="G518" i="1"/>
  <c r="F518" i="1"/>
  <c r="E518" i="1"/>
  <c r="G517" i="1"/>
  <c r="F517" i="1"/>
  <c r="E517" i="1"/>
  <c r="G516" i="1"/>
  <c r="F516" i="1"/>
  <c r="E516" i="1"/>
  <c r="G515" i="1"/>
  <c r="F515" i="1"/>
  <c r="E515" i="1"/>
  <c r="G514" i="1"/>
  <c r="F514" i="1"/>
  <c r="E514" i="1"/>
  <c r="G513" i="1"/>
  <c r="F513" i="1"/>
  <c r="E513" i="1"/>
  <c r="G512" i="1"/>
  <c r="F512" i="1"/>
  <c r="E512" i="1"/>
  <c r="G511" i="1"/>
  <c r="F511" i="1"/>
  <c r="E511" i="1"/>
  <c r="G510" i="1"/>
  <c r="F510" i="1"/>
  <c r="E510" i="1"/>
  <c r="G509" i="1"/>
  <c r="F509" i="1"/>
  <c r="E509" i="1"/>
  <c r="G508" i="1"/>
  <c r="F508" i="1"/>
  <c r="E508" i="1"/>
  <c r="G507" i="1"/>
  <c r="F507" i="1"/>
  <c r="E507" i="1"/>
  <c r="G506" i="1"/>
  <c r="F506" i="1"/>
  <c r="E506" i="1"/>
  <c r="G505" i="1"/>
  <c r="F505" i="1"/>
  <c r="E505" i="1"/>
  <c r="G504" i="1"/>
  <c r="F504" i="1"/>
  <c r="E504" i="1"/>
  <c r="G503" i="1"/>
  <c r="F503" i="1"/>
  <c r="E503" i="1"/>
  <c r="G502" i="1"/>
  <c r="F502" i="1"/>
  <c r="E502" i="1"/>
  <c r="G501" i="1"/>
  <c r="F501" i="1"/>
  <c r="E501" i="1"/>
  <c r="G500" i="1"/>
  <c r="F500" i="1"/>
  <c r="E500" i="1"/>
  <c r="G499" i="1"/>
  <c r="F499" i="1"/>
  <c r="E499" i="1"/>
  <c r="G498" i="1"/>
  <c r="F498" i="1"/>
  <c r="E498" i="1"/>
  <c r="G497" i="1"/>
  <c r="F497" i="1"/>
  <c r="E497" i="1"/>
  <c r="G496" i="1"/>
  <c r="F496" i="1"/>
  <c r="E496" i="1"/>
  <c r="G495" i="1"/>
  <c r="F495" i="1"/>
  <c r="E495" i="1"/>
  <c r="G494" i="1"/>
  <c r="F494" i="1"/>
  <c r="E494" i="1"/>
  <c r="G493" i="1"/>
  <c r="F493" i="1"/>
  <c r="E493" i="1"/>
  <c r="G492" i="1"/>
  <c r="F492" i="1"/>
  <c r="E492" i="1"/>
  <c r="G491" i="1"/>
  <c r="F491" i="1"/>
  <c r="E491" i="1"/>
  <c r="G490" i="1"/>
  <c r="F490" i="1"/>
  <c r="E490" i="1"/>
  <c r="G489" i="1"/>
  <c r="F489" i="1"/>
  <c r="E489" i="1"/>
  <c r="G488" i="1"/>
  <c r="F488" i="1"/>
  <c r="E488" i="1"/>
  <c r="G487" i="1"/>
  <c r="F487" i="1"/>
  <c r="E487" i="1"/>
  <c r="G486" i="1"/>
  <c r="F486" i="1"/>
  <c r="E486" i="1"/>
  <c r="G485" i="1"/>
  <c r="F485" i="1"/>
  <c r="E485" i="1"/>
  <c r="G484" i="1"/>
  <c r="F484" i="1"/>
  <c r="E484" i="1"/>
  <c r="G483" i="1"/>
  <c r="F483" i="1"/>
  <c r="E483" i="1"/>
  <c r="G482" i="1"/>
  <c r="F482" i="1"/>
  <c r="E482" i="1"/>
  <c r="G481" i="1"/>
  <c r="F481" i="1"/>
  <c r="E481" i="1"/>
  <c r="G480" i="1"/>
  <c r="F480" i="1"/>
  <c r="E480" i="1"/>
  <c r="G479" i="1"/>
  <c r="F479" i="1"/>
  <c r="E479" i="1"/>
  <c r="G478" i="1"/>
  <c r="F478" i="1"/>
  <c r="E478" i="1"/>
  <c r="G477" i="1"/>
  <c r="F477" i="1"/>
  <c r="E477" i="1"/>
  <c r="G476" i="1"/>
  <c r="F476" i="1"/>
  <c r="E476" i="1"/>
  <c r="G475" i="1"/>
  <c r="F475" i="1"/>
  <c r="E475" i="1"/>
  <c r="G474" i="1"/>
  <c r="F474" i="1"/>
  <c r="E474" i="1"/>
  <c r="G473" i="1"/>
  <c r="F473" i="1"/>
  <c r="E473" i="1"/>
  <c r="G472" i="1"/>
  <c r="F472" i="1"/>
  <c r="E472" i="1"/>
  <c r="G471" i="1"/>
  <c r="F471" i="1"/>
  <c r="E471" i="1"/>
  <c r="G470" i="1"/>
  <c r="F470" i="1"/>
  <c r="E470" i="1"/>
  <c r="G469" i="1"/>
  <c r="F469" i="1"/>
  <c r="E469" i="1"/>
  <c r="G468" i="1"/>
  <c r="F468" i="1"/>
  <c r="E468" i="1"/>
  <c r="G467" i="1"/>
  <c r="F467" i="1"/>
  <c r="E467" i="1"/>
  <c r="G466" i="1"/>
  <c r="F466" i="1"/>
  <c r="E466" i="1"/>
  <c r="G465" i="1"/>
  <c r="F465" i="1"/>
  <c r="E465" i="1"/>
  <c r="G464" i="1"/>
  <c r="F464" i="1"/>
  <c r="E464" i="1"/>
  <c r="G463" i="1"/>
  <c r="F463" i="1"/>
  <c r="E463" i="1"/>
  <c r="G462" i="1"/>
  <c r="F462" i="1"/>
  <c r="E462" i="1"/>
  <c r="G461" i="1"/>
  <c r="F461" i="1"/>
  <c r="E461" i="1"/>
  <c r="G460" i="1"/>
  <c r="F460" i="1"/>
  <c r="E460" i="1"/>
  <c r="G459" i="1"/>
  <c r="F459" i="1"/>
  <c r="E459" i="1"/>
  <c r="G458" i="1"/>
  <c r="F458" i="1"/>
  <c r="E458" i="1"/>
  <c r="G457" i="1"/>
  <c r="F457" i="1"/>
  <c r="E457" i="1"/>
  <c r="G456" i="1"/>
  <c r="F456" i="1"/>
  <c r="E456" i="1"/>
  <c r="G455" i="1"/>
  <c r="F455" i="1"/>
  <c r="E455" i="1"/>
  <c r="G454" i="1"/>
  <c r="F454" i="1"/>
  <c r="E454" i="1"/>
  <c r="G453" i="1"/>
  <c r="F453" i="1"/>
  <c r="E453" i="1"/>
  <c r="G452" i="1"/>
  <c r="F452" i="1"/>
  <c r="E452" i="1"/>
  <c r="G451" i="1"/>
  <c r="F451" i="1"/>
  <c r="E451" i="1"/>
  <c r="G450" i="1"/>
  <c r="F450" i="1"/>
  <c r="E450" i="1"/>
  <c r="G449" i="1"/>
  <c r="F449" i="1"/>
  <c r="E449" i="1"/>
  <c r="G448" i="1"/>
  <c r="F448" i="1"/>
  <c r="E448" i="1"/>
  <c r="G447" i="1"/>
  <c r="F447" i="1"/>
  <c r="E447" i="1"/>
  <c r="G446" i="1"/>
  <c r="F446" i="1"/>
  <c r="E446" i="1"/>
  <c r="G445" i="1"/>
  <c r="F445" i="1"/>
  <c r="E445" i="1"/>
  <c r="G444" i="1"/>
  <c r="F444" i="1"/>
  <c r="E444" i="1"/>
  <c r="G443" i="1"/>
  <c r="F443" i="1"/>
  <c r="E443" i="1"/>
  <c r="G442" i="1"/>
  <c r="F442" i="1"/>
  <c r="E442" i="1"/>
  <c r="G441" i="1"/>
  <c r="F441" i="1"/>
  <c r="E441" i="1"/>
  <c r="G440" i="1"/>
  <c r="F440" i="1"/>
  <c r="E440" i="1"/>
  <c r="G439" i="1"/>
  <c r="F439" i="1"/>
  <c r="E439" i="1"/>
  <c r="G438" i="1"/>
  <c r="F438" i="1"/>
  <c r="E438" i="1"/>
  <c r="G437" i="1"/>
  <c r="F437" i="1"/>
  <c r="E437" i="1"/>
  <c r="G436" i="1"/>
  <c r="F436" i="1"/>
  <c r="E436" i="1"/>
  <c r="G435" i="1"/>
  <c r="F435" i="1"/>
  <c r="E435" i="1"/>
  <c r="G434" i="1"/>
  <c r="F434" i="1"/>
  <c r="E434" i="1"/>
  <c r="G433" i="1"/>
  <c r="F433" i="1"/>
  <c r="E433" i="1"/>
  <c r="G432" i="1"/>
  <c r="F432" i="1"/>
  <c r="E432" i="1"/>
  <c r="G431" i="1"/>
  <c r="F431" i="1"/>
  <c r="E431" i="1"/>
  <c r="G430" i="1"/>
  <c r="F430" i="1"/>
  <c r="E430" i="1"/>
  <c r="G429" i="1"/>
  <c r="F429" i="1"/>
  <c r="E429" i="1"/>
  <c r="G428" i="1"/>
  <c r="F428" i="1"/>
  <c r="E428" i="1"/>
  <c r="G427" i="1"/>
  <c r="F427" i="1"/>
  <c r="E427" i="1"/>
  <c r="G426" i="1"/>
  <c r="F426" i="1"/>
  <c r="E426" i="1"/>
  <c r="G425" i="1"/>
  <c r="F425" i="1"/>
  <c r="E425" i="1"/>
  <c r="G424" i="1"/>
  <c r="F424" i="1"/>
  <c r="E424" i="1"/>
  <c r="G423" i="1"/>
  <c r="F423" i="1"/>
  <c r="E423" i="1"/>
  <c r="G422" i="1"/>
  <c r="F422" i="1"/>
  <c r="E422" i="1"/>
  <c r="G421" i="1"/>
  <c r="F421" i="1"/>
  <c r="E421" i="1"/>
  <c r="G420" i="1"/>
  <c r="F420" i="1"/>
  <c r="E420" i="1"/>
  <c r="G419" i="1"/>
  <c r="F419" i="1"/>
  <c r="E419" i="1"/>
  <c r="G418" i="1"/>
  <c r="F418" i="1"/>
  <c r="E418" i="1"/>
  <c r="G417" i="1"/>
  <c r="F417" i="1"/>
  <c r="E417" i="1"/>
  <c r="G416" i="1"/>
  <c r="F416" i="1"/>
  <c r="E416" i="1"/>
  <c r="G415" i="1"/>
  <c r="F415" i="1"/>
  <c r="E415" i="1"/>
  <c r="G414" i="1"/>
  <c r="F414" i="1"/>
  <c r="E414" i="1"/>
  <c r="G413" i="1"/>
  <c r="F413" i="1"/>
  <c r="E413" i="1"/>
  <c r="G412" i="1"/>
  <c r="F412" i="1"/>
  <c r="E412" i="1"/>
  <c r="G411" i="1"/>
  <c r="F411" i="1"/>
  <c r="E411" i="1"/>
  <c r="G410" i="1"/>
  <c r="F410" i="1"/>
  <c r="E410" i="1"/>
  <c r="G409" i="1"/>
  <c r="F409" i="1"/>
  <c r="E409" i="1"/>
  <c r="G408" i="1"/>
  <c r="F408" i="1"/>
  <c r="E408" i="1"/>
  <c r="G407" i="1"/>
  <c r="F407" i="1"/>
  <c r="E407" i="1"/>
  <c r="G406" i="1"/>
  <c r="F406" i="1"/>
  <c r="E406" i="1"/>
  <c r="G405" i="1"/>
  <c r="F405" i="1"/>
  <c r="E405" i="1"/>
  <c r="G404" i="1"/>
  <c r="F404" i="1"/>
  <c r="E404" i="1"/>
  <c r="G403" i="1"/>
  <c r="F403" i="1"/>
  <c r="E403" i="1"/>
  <c r="G402" i="1"/>
  <c r="F402" i="1"/>
  <c r="E402" i="1"/>
  <c r="G401" i="1"/>
  <c r="F401" i="1"/>
  <c r="E401" i="1"/>
  <c r="G400" i="1"/>
  <c r="F400" i="1"/>
  <c r="E400" i="1"/>
  <c r="G399" i="1"/>
  <c r="F399" i="1"/>
  <c r="E399" i="1"/>
  <c r="G398" i="1"/>
  <c r="F398" i="1"/>
  <c r="E398" i="1"/>
  <c r="G397" i="1"/>
  <c r="F397" i="1"/>
  <c r="E397" i="1"/>
  <c r="G396" i="1"/>
  <c r="F396" i="1"/>
  <c r="E396" i="1"/>
  <c r="G395" i="1"/>
  <c r="F395" i="1"/>
  <c r="E395" i="1"/>
  <c r="G394" i="1"/>
  <c r="F394" i="1"/>
  <c r="E394" i="1"/>
  <c r="G393" i="1"/>
  <c r="F393" i="1"/>
  <c r="E393" i="1"/>
  <c r="G392" i="1"/>
  <c r="F392" i="1"/>
  <c r="E392" i="1"/>
  <c r="G391" i="1"/>
  <c r="F391" i="1"/>
  <c r="E391" i="1"/>
  <c r="G390" i="1"/>
  <c r="F390" i="1"/>
  <c r="E390" i="1"/>
  <c r="G389" i="1"/>
  <c r="F389" i="1"/>
  <c r="E389" i="1"/>
  <c r="G388" i="1"/>
  <c r="F388" i="1"/>
  <c r="E388" i="1"/>
  <c r="G387" i="1"/>
  <c r="F387" i="1"/>
  <c r="E387" i="1"/>
  <c r="G386" i="1"/>
  <c r="F386" i="1"/>
  <c r="E386" i="1"/>
  <c r="G385" i="1"/>
  <c r="F385" i="1"/>
  <c r="E385" i="1"/>
  <c r="G384" i="1"/>
  <c r="F384" i="1"/>
  <c r="E384" i="1"/>
  <c r="G383" i="1"/>
  <c r="F383" i="1"/>
  <c r="E383" i="1"/>
  <c r="G382" i="1"/>
  <c r="F382" i="1"/>
  <c r="E382" i="1"/>
  <c r="G381" i="1"/>
  <c r="F381" i="1"/>
  <c r="E381" i="1"/>
  <c r="G380" i="1"/>
  <c r="F380" i="1"/>
  <c r="E380" i="1"/>
  <c r="G379" i="1"/>
  <c r="F379" i="1"/>
  <c r="E379" i="1"/>
  <c r="G378" i="1"/>
  <c r="F378" i="1"/>
  <c r="E378" i="1"/>
  <c r="G377" i="1"/>
  <c r="F377" i="1"/>
  <c r="E377" i="1"/>
  <c r="G376" i="1"/>
  <c r="F376" i="1"/>
  <c r="E376" i="1"/>
  <c r="G375" i="1"/>
  <c r="F375" i="1"/>
  <c r="E375" i="1"/>
  <c r="G374" i="1"/>
  <c r="F374" i="1"/>
  <c r="E374" i="1"/>
  <c r="G373" i="1"/>
  <c r="F373" i="1"/>
  <c r="E373" i="1"/>
  <c r="G372" i="1"/>
  <c r="F372" i="1"/>
  <c r="E372" i="1"/>
  <c r="G371" i="1"/>
  <c r="F371" i="1"/>
  <c r="E371" i="1"/>
  <c r="G370" i="1"/>
  <c r="F370" i="1"/>
  <c r="E370" i="1"/>
  <c r="G369" i="1"/>
  <c r="F369" i="1"/>
  <c r="E369" i="1"/>
  <c r="G368" i="1"/>
  <c r="F368" i="1"/>
  <c r="E368" i="1"/>
  <c r="G367" i="1"/>
  <c r="F367" i="1"/>
  <c r="E367" i="1"/>
  <c r="G366" i="1"/>
  <c r="F366" i="1"/>
  <c r="E366" i="1"/>
  <c r="G365" i="1"/>
  <c r="F365" i="1"/>
  <c r="E365" i="1"/>
  <c r="G364" i="1"/>
  <c r="F364" i="1"/>
  <c r="E364" i="1"/>
  <c r="G363" i="1"/>
  <c r="F363" i="1"/>
  <c r="E363" i="1"/>
  <c r="G362" i="1"/>
  <c r="F362" i="1"/>
  <c r="E362" i="1"/>
  <c r="G361" i="1"/>
  <c r="F361" i="1"/>
  <c r="E361" i="1"/>
  <c r="G360" i="1"/>
  <c r="F360" i="1"/>
  <c r="E360" i="1"/>
  <c r="G359" i="1"/>
  <c r="F359" i="1"/>
  <c r="E359" i="1"/>
  <c r="G358" i="1"/>
  <c r="F358" i="1"/>
  <c r="E358" i="1"/>
  <c r="G357" i="1"/>
  <c r="F357" i="1"/>
  <c r="E357" i="1"/>
  <c r="G356" i="1"/>
  <c r="F356" i="1"/>
  <c r="E356" i="1"/>
  <c r="G355" i="1"/>
  <c r="F355" i="1"/>
  <c r="E355" i="1"/>
  <c r="G354" i="1"/>
  <c r="F354" i="1"/>
  <c r="E354" i="1"/>
  <c r="G353" i="1"/>
  <c r="F353" i="1"/>
  <c r="E353" i="1"/>
  <c r="G352" i="1"/>
  <c r="F352" i="1"/>
  <c r="E352" i="1"/>
  <c r="G351" i="1"/>
  <c r="F351" i="1"/>
  <c r="E351" i="1"/>
  <c r="G350" i="1"/>
  <c r="F350" i="1"/>
  <c r="E350" i="1"/>
  <c r="G349" i="1"/>
  <c r="F349" i="1"/>
  <c r="E349" i="1"/>
  <c r="G348" i="1"/>
  <c r="F348" i="1"/>
  <c r="E348" i="1"/>
  <c r="G347" i="1"/>
  <c r="F347" i="1"/>
  <c r="E347" i="1"/>
  <c r="G346" i="1"/>
  <c r="F346" i="1"/>
  <c r="E346" i="1"/>
  <c r="G345" i="1"/>
  <c r="F345" i="1"/>
  <c r="E345" i="1"/>
  <c r="G344" i="1"/>
  <c r="F344" i="1"/>
  <c r="E344" i="1"/>
  <c r="G343" i="1"/>
  <c r="F343" i="1"/>
  <c r="E343" i="1"/>
  <c r="G342" i="1"/>
  <c r="F342" i="1"/>
  <c r="E342" i="1"/>
  <c r="G341" i="1"/>
  <c r="F341" i="1"/>
  <c r="E341" i="1"/>
  <c r="G340" i="1"/>
  <c r="F340" i="1"/>
  <c r="E340" i="1"/>
  <c r="G339" i="1"/>
  <c r="F339" i="1"/>
  <c r="E339" i="1"/>
  <c r="G338" i="1"/>
  <c r="F338" i="1"/>
  <c r="E338" i="1"/>
  <c r="G337" i="1"/>
  <c r="F337" i="1"/>
  <c r="E337" i="1"/>
  <c r="G336" i="1"/>
  <c r="F336" i="1"/>
  <c r="E336" i="1"/>
  <c r="G335" i="1"/>
  <c r="F335" i="1"/>
  <c r="E335" i="1"/>
  <c r="G334" i="1"/>
  <c r="F334" i="1"/>
  <c r="E334" i="1"/>
  <c r="G333" i="1"/>
  <c r="F333" i="1"/>
  <c r="E333" i="1"/>
  <c r="G332" i="1"/>
  <c r="F332" i="1"/>
  <c r="E332" i="1"/>
  <c r="G331" i="1"/>
  <c r="F331" i="1"/>
  <c r="E331" i="1"/>
  <c r="G330" i="1"/>
  <c r="F330" i="1"/>
  <c r="E330" i="1"/>
  <c r="G329" i="1"/>
  <c r="F329" i="1"/>
  <c r="E329" i="1"/>
  <c r="G328" i="1"/>
  <c r="F328" i="1"/>
  <c r="E328" i="1"/>
  <c r="G327" i="1"/>
  <c r="F327" i="1"/>
  <c r="E327" i="1"/>
  <c r="G326" i="1"/>
  <c r="F326" i="1"/>
  <c r="E326" i="1"/>
  <c r="G325" i="1"/>
  <c r="F325" i="1"/>
  <c r="E325" i="1"/>
  <c r="G324" i="1"/>
  <c r="F324" i="1"/>
  <c r="E324" i="1"/>
  <c r="G323" i="1"/>
  <c r="F323" i="1"/>
  <c r="E323" i="1"/>
  <c r="G322" i="1"/>
  <c r="F322" i="1"/>
  <c r="E322" i="1"/>
  <c r="G321" i="1"/>
  <c r="F321" i="1"/>
  <c r="E321" i="1"/>
  <c r="G320" i="1"/>
  <c r="F320" i="1"/>
  <c r="E320" i="1"/>
  <c r="G319" i="1"/>
  <c r="F319" i="1"/>
  <c r="E319" i="1"/>
  <c r="G318" i="1"/>
  <c r="F318" i="1"/>
  <c r="E318" i="1"/>
  <c r="G317" i="1"/>
  <c r="F317" i="1"/>
  <c r="E317" i="1"/>
  <c r="G316" i="1"/>
  <c r="F316" i="1"/>
  <c r="E316" i="1"/>
  <c r="G315" i="1"/>
  <c r="F315" i="1"/>
  <c r="E315" i="1"/>
  <c r="G314" i="1"/>
  <c r="F314" i="1"/>
  <c r="E314" i="1"/>
  <c r="G313" i="1"/>
  <c r="F313" i="1"/>
  <c r="E313" i="1"/>
  <c r="G312" i="1"/>
  <c r="F312" i="1"/>
  <c r="E312" i="1"/>
  <c r="G311" i="1"/>
  <c r="F311" i="1"/>
  <c r="E311" i="1"/>
  <c r="G310" i="1"/>
  <c r="F310" i="1"/>
  <c r="E310" i="1"/>
  <c r="G309" i="1"/>
  <c r="F309" i="1"/>
  <c r="E309" i="1"/>
  <c r="G308" i="1"/>
  <c r="F308" i="1"/>
  <c r="E308" i="1"/>
  <c r="G307" i="1"/>
  <c r="F307" i="1"/>
  <c r="E307" i="1"/>
  <c r="G306" i="1"/>
  <c r="F306" i="1"/>
  <c r="E306" i="1"/>
  <c r="G305" i="1"/>
  <c r="F305" i="1"/>
  <c r="E305" i="1"/>
  <c r="G304" i="1"/>
  <c r="F304" i="1"/>
  <c r="E304" i="1"/>
  <c r="G303" i="1"/>
  <c r="F303" i="1"/>
  <c r="E303" i="1"/>
  <c r="G302" i="1"/>
  <c r="F302" i="1"/>
  <c r="E302" i="1"/>
  <c r="G301" i="1"/>
  <c r="F301" i="1"/>
  <c r="E301" i="1"/>
  <c r="G300" i="1"/>
  <c r="F300" i="1"/>
  <c r="E300" i="1"/>
  <c r="G299" i="1"/>
  <c r="F299" i="1"/>
  <c r="E299" i="1"/>
  <c r="G298" i="1"/>
  <c r="F298" i="1"/>
  <c r="E298" i="1"/>
  <c r="G297" i="1"/>
  <c r="F297" i="1"/>
  <c r="E297" i="1"/>
  <c r="G296" i="1"/>
  <c r="F296" i="1"/>
  <c r="E296" i="1"/>
  <c r="G295" i="1"/>
  <c r="F295" i="1"/>
  <c r="E295" i="1"/>
  <c r="G294" i="1"/>
  <c r="F294" i="1"/>
  <c r="E294" i="1"/>
  <c r="G293" i="1"/>
  <c r="F293" i="1"/>
  <c r="E293" i="1"/>
  <c r="G292" i="1"/>
  <c r="F292" i="1"/>
  <c r="E292" i="1"/>
  <c r="G291" i="1"/>
  <c r="F291" i="1"/>
  <c r="E291" i="1"/>
  <c r="G290" i="1"/>
  <c r="F290" i="1"/>
  <c r="E290" i="1"/>
  <c r="G289" i="1"/>
  <c r="F289" i="1"/>
  <c r="E289" i="1"/>
  <c r="G288" i="1"/>
  <c r="F288" i="1"/>
  <c r="E288" i="1"/>
  <c r="G287" i="1"/>
  <c r="F287" i="1"/>
  <c r="E287" i="1"/>
  <c r="G286" i="1"/>
  <c r="F286" i="1"/>
  <c r="E286" i="1"/>
  <c r="G285" i="1"/>
  <c r="F285" i="1"/>
  <c r="E285" i="1"/>
  <c r="G284" i="1"/>
  <c r="F284" i="1"/>
  <c r="E284" i="1"/>
  <c r="G283" i="1"/>
  <c r="F283" i="1"/>
  <c r="E283" i="1"/>
  <c r="G282" i="1"/>
  <c r="F282" i="1"/>
  <c r="E282" i="1"/>
  <c r="G281" i="1"/>
  <c r="F281" i="1"/>
  <c r="E281" i="1"/>
  <c r="G280" i="1"/>
  <c r="F280" i="1"/>
  <c r="E280" i="1"/>
  <c r="G279" i="1"/>
  <c r="F279" i="1"/>
  <c r="E279" i="1"/>
  <c r="G278" i="1"/>
  <c r="F278" i="1"/>
  <c r="E278" i="1"/>
  <c r="G277" i="1"/>
  <c r="F277" i="1"/>
  <c r="E277" i="1"/>
  <c r="G276" i="1"/>
  <c r="F276" i="1"/>
  <c r="E276" i="1"/>
  <c r="G275" i="1"/>
  <c r="F275" i="1"/>
  <c r="E275" i="1"/>
  <c r="G274" i="1"/>
  <c r="F274" i="1"/>
  <c r="E274" i="1"/>
  <c r="G273" i="1"/>
  <c r="F273" i="1"/>
  <c r="E273" i="1"/>
  <c r="G272" i="1"/>
  <c r="F272" i="1"/>
  <c r="E272" i="1"/>
  <c r="G271" i="1"/>
  <c r="F271" i="1"/>
  <c r="E271" i="1"/>
  <c r="G270" i="1"/>
  <c r="F270" i="1"/>
  <c r="E270" i="1"/>
  <c r="G269" i="1"/>
  <c r="F269" i="1"/>
  <c r="E269" i="1"/>
  <c r="G268" i="1"/>
  <c r="F268" i="1"/>
  <c r="E268" i="1"/>
  <c r="G267" i="1"/>
  <c r="F267" i="1"/>
  <c r="E267" i="1"/>
  <c r="G266" i="1"/>
  <c r="F266" i="1"/>
  <c r="E266" i="1"/>
  <c r="G265" i="1"/>
  <c r="F265" i="1"/>
  <c r="E265" i="1"/>
  <c r="G264" i="1"/>
  <c r="F264" i="1"/>
  <c r="E264" i="1"/>
  <c r="G263" i="1"/>
  <c r="F263" i="1"/>
  <c r="E263" i="1"/>
  <c r="G262" i="1"/>
  <c r="F262" i="1"/>
  <c r="E262" i="1"/>
  <c r="G261" i="1"/>
  <c r="F261" i="1"/>
  <c r="E261" i="1"/>
  <c r="G260" i="1"/>
  <c r="F260" i="1"/>
  <c r="E260" i="1"/>
  <c r="G259" i="1"/>
  <c r="F259" i="1"/>
  <c r="E259" i="1"/>
  <c r="G258" i="1"/>
  <c r="F258" i="1"/>
  <c r="E258" i="1"/>
  <c r="G257" i="1"/>
  <c r="F257" i="1"/>
  <c r="E257" i="1"/>
  <c r="G256" i="1"/>
  <c r="F256" i="1"/>
  <c r="E256" i="1"/>
  <c r="G255" i="1"/>
  <c r="F255" i="1"/>
  <c r="E255" i="1"/>
  <c r="G254" i="1"/>
  <c r="F254" i="1"/>
  <c r="E254" i="1"/>
  <c r="G253" i="1"/>
  <c r="F253" i="1"/>
  <c r="E253" i="1"/>
  <c r="G252" i="1"/>
  <c r="F252" i="1"/>
  <c r="E252" i="1"/>
  <c r="G251" i="1"/>
  <c r="F251" i="1"/>
  <c r="E251" i="1"/>
  <c r="G250" i="1"/>
  <c r="F250" i="1"/>
  <c r="E250" i="1"/>
  <c r="G249" i="1"/>
  <c r="F249" i="1"/>
  <c r="E249" i="1"/>
  <c r="G248" i="1"/>
  <c r="F248" i="1"/>
  <c r="E248" i="1"/>
  <c r="G247" i="1"/>
  <c r="F247" i="1"/>
  <c r="E247" i="1"/>
  <c r="G246" i="1"/>
  <c r="F246" i="1"/>
  <c r="E246" i="1"/>
  <c r="G245" i="1"/>
  <c r="F245" i="1"/>
  <c r="E245" i="1"/>
  <c r="G244" i="1"/>
  <c r="F244" i="1"/>
  <c r="E244" i="1"/>
  <c r="G243" i="1"/>
  <c r="F243" i="1"/>
  <c r="E243" i="1"/>
  <c r="G242" i="1"/>
  <c r="F242" i="1"/>
  <c r="E242" i="1"/>
  <c r="G241" i="1"/>
  <c r="F241" i="1"/>
  <c r="E241" i="1"/>
  <c r="G240" i="1"/>
  <c r="F240" i="1"/>
  <c r="E240" i="1"/>
  <c r="G239" i="1"/>
  <c r="F239" i="1"/>
  <c r="E239" i="1"/>
  <c r="G238" i="1"/>
  <c r="F238" i="1"/>
  <c r="E238" i="1"/>
  <c r="G237" i="1"/>
  <c r="F237" i="1"/>
  <c r="E237" i="1"/>
  <c r="G236" i="1"/>
  <c r="F236" i="1"/>
  <c r="E236" i="1"/>
  <c r="G235" i="1"/>
  <c r="F235" i="1"/>
  <c r="E235" i="1"/>
  <c r="G234" i="1"/>
  <c r="F234" i="1"/>
  <c r="E234" i="1"/>
  <c r="G233" i="1"/>
  <c r="F233" i="1"/>
  <c r="E233" i="1"/>
  <c r="G232" i="1"/>
  <c r="F232" i="1"/>
  <c r="E232" i="1"/>
  <c r="G231" i="1"/>
  <c r="F231" i="1"/>
  <c r="E231" i="1"/>
  <c r="G230" i="1"/>
  <c r="F230" i="1"/>
  <c r="E230" i="1"/>
  <c r="G229" i="1"/>
  <c r="F229" i="1"/>
  <c r="E229" i="1"/>
  <c r="G228" i="1"/>
  <c r="F228" i="1"/>
  <c r="E228" i="1"/>
  <c r="G227" i="1"/>
  <c r="F227" i="1"/>
  <c r="E227" i="1"/>
  <c r="G226" i="1"/>
  <c r="F226" i="1"/>
  <c r="E226" i="1"/>
  <c r="G225" i="1"/>
  <c r="F225" i="1"/>
  <c r="E225" i="1"/>
  <c r="G224" i="1"/>
  <c r="F224" i="1"/>
  <c r="E224" i="1"/>
  <c r="G223" i="1"/>
  <c r="F223" i="1"/>
  <c r="E223" i="1"/>
  <c r="G222" i="1"/>
  <c r="F222" i="1"/>
  <c r="E222" i="1"/>
  <c r="G221" i="1"/>
  <c r="F221" i="1"/>
  <c r="E221" i="1"/>
  <c r="G220" i="1"/>
  <c r="F220" i="1"/>
  <c r="E220" i="1"/>
  <c r="G219" i="1"/>
  <c r="F219" i="1"/>
  <c r="E219" i="1"/>
  <c r="G218" i="1"/>
  <c r="F218" i="1"/>
  <c r="E218" i="1"/>
  <c r="G217" i="1"/>
  <c r="F217" i="1"/>
  <c r="E217" i="1"/>
  <c r="G216" i="1"/>
  <c r="F216" i="1"/>
  <c r="E216" i="1"/>
  <c r="G215" i="1"/>
  <c r="F215" i="1"/>
  <c r="E215" i="1"/>
  <c r="G214" i="1"/>
  <c r="F214" i="1"/>
  <c r="E214" i="1"/>
  <c r="G213" i="1"/>
  <c r="F213" i="1"/>
  <c r="E213" i="1"/>
  <c r="G212" i="1"/>
  <c r="F212" i="1"/>
  <c r="E212" i="1"/>
  <c r="G211" i="1"/>
  <c r="F211" i="1"/>
  <c r="E211" i="1"/>
  <c r="G210" i="1"/>
  <c r="F210" i="1"/>
  <c r="E210" i="1"/>
  <c r="G209" i="1"/>
  <c r="F209" i="1"/>
  <c r="E209" i="1"/>
  <c r="G208" i="1"/>
  <c r="F208" i="1"/>
  <c r="E208" i="1"/>
  <c r="G207" i="1"/>
  <c r="F207" i="1"/>
  <c r="E207" i="1"/>
  <c r="G206" i="1"/>
  <c r="F206" i="1"/>
  <c r="E206" i="1"/>
  <c r="G205" i="1"/>
  <c r="F205" i="1"/>
  <c r="E205" i="1"/>
  <c r="G204" i="1"/>
  <c r="F204" i="1"/>
  <c r="E204" i="1"/>
  <c r="G203" i="1"/>
  <c r="F203" i="1"/>
  <c r="E203" i="1"/>
  <c r="G202" i="1"/>
  <c r="F202" i="1"/>
  <c r="E202" i="1"/>
  <c r="G201" i="1"/>
  <c r="F201" i="1"/>
  <c r="E201" i="1"/>
  <c r="G200" i="1"/>
  <c r="F200" i="1"/>
  <c r="E200" i="1"/>
  <c r="G199" i="1"/>
  <c r="F199" i="1"/>
  <c r="E199" i="1"/>
  <c r="G198" i="1"/>
  <c r="F198" i="1"/>
  <c r="E198" i="1"/>
  <c r="G197" i="1"/>
  <c r="F197" i="1"/>
  <c r="E197" i="1"/>
  <c r="G196" i="1"/>
  <c r="F196" i="1"/>
  <c r="E196" i="1"/>
  <c r="G195" i="1"/>
  <c r="F195" i="1"/>
  <c r="E195" i="1"/>
  <c r="G194" i="1"/>
  <c r="F194" i="1"/>
  <c r="E194" i="1"/>
  <c r="G193" i="1"/>
  <c r="F193" i="1"/>
  <c r="E193" i="1"/>
  <c r="G192" i="1"/>
  <c r="F192" i="1"/>
  <c r="E192" i="1"/>
  <c r="G191" i="1"/>
  <c r="F191" i="1"/>
  <c r="E191" i="1"/>
  <c r="G190" i="1"/>
  <c r="F190" i="1"/>
  <c r="E190" i="1"/>
  <c r="G189" i="1"/>
  <c r="F189" i="1"/>
  <c r="E189" i="1"/>
  <c r="G188" i="1"/>
  <c r="F188" i="1"/>
  <c r="E188" i="1"/>
  <c r="G187" i="1"/>
  <c r="F187" i="1"/>
  <c r="E187" i="1"/>
  <c r="G186" i="1"/>
  <c r="F186" i="1"/>
  <c r="E186" i="1"/>
  <c r="G185" i="1"/>
  <c r="F185" i="1"/>
  <c r="E185" i="1"/>
  <c r="G184" i="1"/>
  <c r="F184" i="1"/>
  <c r="E184" i="1"/>
  <c r="G183" i="1"/>
  <c r="F183" i="1"/>
  <c r="E183" i="1"/>
  <c r="G182" i="1"/>
  <c r="F182" i="1"/>
  <c r="E182" i="1"/>
  <c r="G181" i="1"/>
  <c r="F181" i="1"/>
  <c r="E181" i="1"/>
  <c r="G180" i="1"/>
  <c r="F180" i="1"/>
  <c r="E180" i="1"/>
  <c r="G179" i="1"/>
  <c r="F179" i="1"/>
  <c r="E179" i="1"/>
  <c r="G178" i="1"/>
  <c r="F178" i="1"/>
  <c r="E178" i="1"/>
  <c r="G177" i="1"/>
  <c r="F177" i="1"/>
  <c r="E177" i="1"/>
  <c r="G176" i="1"/>
  <c r="F176" i="1"/>
  <c r="E176" i="1"/>
  <c r="G175" i="1"/>
  <c r="F175" i="1"/>
  <c r="E175" i="1"/>
  <c r="G174" i="1"/>
  <c r="F174" i="1"/>
  <c r="E174" i="1"/>
  <c r="G173" i="1"/>
  <c r="F173" i="1"/>
  <c r="E173" i="1"/>
  <c r="G172" i="1"/>
  <c r="F172" i="1"/>
  <c r="E172" i="1"/>
  <c r="G171" i="1"/>
  <c r="F171" i="1"/>
  <c r="E171" i="1"/>
  <c r="G170" i="1"/>
  <c r="F170" i="1"/>
  <c r="E170" i="1"/>
  <c r="G169" i="1"/>
  <c r="F169" i="1"/>
  <c r="E169" i="1"/>
  <c r="G168" i="1"/>
  <c r="F168" i="1"/>
  <c r="E168" i="1"/>
  <c r="G167" i="1"/>
  <c r="F167" i="1"/>
  <c r="E167" i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4" i="1"/>
  <c r="F154" i="1"/>
  <c r="E154" i="1"/>
  <c r="G153" i="1"/>
  <c r="F153" i="1"/>
  <c r="E153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40" i="1"/>
  <c r="F140" i="1"/>
  <c r="E140" i="1"/>
  <c r="G139" i="1"/>
  <c r="F139" i="1"/>
  <c r="E139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G133" i="1"/>
  <c r="F133" i="1"/>
  <c r="E133" i="1"/>
  <c r="G132" i="1"/>
  <c r="F132" i="1"/>
  <c r="E132" i="1"/>
  <c r="G131" i="1"/>
  <c r="F131" i="1"/>
  <c r="E131" i="1"/>
  <c r="G130" i="1"/>
  <c r="F130" i="1"/>
  <c r="E130" i="1"/>
  <c r="G129" i="1"/>
  <c r="F129" i="1"/>
  <c r="E129" i="1"/>
  <c r="G128" i="1"/>
  <c r="F128" i="1"/>
  <c r="E128" i="1"/>
  <c r="G127" i="1"/>
  <c r="F127" i="1"/>
  <c r="E127" i="1"/>
  <c r="G126" i="1"/>
  <c r="F126" i="1"/>
  <c r="E126" i="1"/>
  <c r="G125" i="1"/>
  <c r="F125" i="1"/>
  <c r="E125" i="1"/>
  <c r="G124" i="1"/>
  <c r="F124" i="1"/>
  <c r="E124" i="1"/>
  <c r="G123" i="1"/>
  <c r="F123" i="1"/>
  <c r="E123" i="1"/>
  <c r="G122" i="1"/>
  <c r="F122" i="1"/>
  <c r="E122" i="1"/>
  <c r="G121" i="1"/>
  <c r="F121" i="1"/>
  <c r="E121" i="1"/>
  <c r="G120" i="1"/>
  <c r="F120" i="1"/>
  <c r="E120" i="1"/>
  <c r="G119" i="1"/>
  <c r="F119" i="1"/>
  <c r="E119" i="1"/>
  <c r="G118" i="1"/>
  <c r="F118" i="1"/>
  <c r="E118" i="1"/>
  <c r="G117" i="1"/>
  <c r="F117" i="1"/>
  <c r="E117" i="1"/>
  <c r="G116" i="1"/>
  <c r="F116" i="1"/>
  <c r="E116" i="1"/>
  <c r="G115" i="1"/>
  <c r="F115" i="1"/>
  <c r="E115" i="1"/>
  <c r="G114" i="1"/>
  <c r="F114" i="1"/>
  <c r="E114" i="1"/>
  <c r="G113" i="1"/>
  <c r="F113" i="1"/>
  <c r="E113" i="1"/>
  <c r="G112" i="1"/>
  <c r="F112" i="1"/>
  <c r="E112" i="1"/>
  <c r="G111" i="1"/>
  <c r="F111" i="1"/>
  <c r="E111" i="1"/>
  <c r="G110" i="1"/>
  <c r="F110" i="1"/>
  <c r="E110" i="1"/>
  <c r="G109" i="1"/>
  <c r="F109" i="1"/>
  <c r="E109" i="1"/>
  <c r="G108" i="1"/>
  <c r="F108" i="1"/>
  <c r="E108" i="1"/>
  <c r="G107" i="1"/>
  <c r="F107" i="1"/>
  <c r="E107" i="1"/>
  <c r="G106" i="1"/>
  <c r="F106" i="1"/>
  <c r="E106" i="1"/>
  <c r="G105" i="1"/>
  <c r="F105" i="1"/>
  <c r="E105" i="1"/>
  <c r="G104" i="1"/>
  <c r="F104" i="1"/>
  <c r="E104" i="1"/>
  <c r="G103" i="1"/>
  <c r="F103" i="1"/>
  <c r="E103" i="1"/>
  <c r="G102" i="1"/>
  <c r="F102" i="1"/>
  <c r="E102" i="1"/>
  <c r="G101" i="1"/>
  <c r="F101" i="1"/>
  <c r="E101" i="1"/>
  <c r="G100" i="1"/>
  <c r="F100" i="1"/>
  <c r="E100" i="1"/>
  <c r="G99" i="1"/>
  <c r="F99" i="1"/>
  <c r="E99" i="1"/>
  <c r="H99" i="1" s="1"/>
  <c r="G98" i="1"/>
  <c r="F98" i="1"/>
  <c r="E98" i="1"/>
  <c r="G97" i="1"/>
  <c r="F97" i="1"/>
  <c r="E97" i="1"/>
  <c r="G96" i="1"/>
  <c r="F96" i="1"/>
  <c r="E96" i="1"/>
  <c r="G95" i="1"/>
  <c r="F95" i="1"/>
  <c r="E95" i="1"/>
  <c r="G94" i="1"/>
  <c r="F94" i="1"/>
  <c r="E94" i="1"/>
  <c r="G93" i="1"/>
  <c r="F93" i="1"/>
  <c r="E93" i="1"/>
  <c r="G92" i="1"/>
  <c r="F92" i="1"/>
  <c r="E92" i="1"/>
  <c r="G91" i="1"/>
  <c r="F91" i="1"/>
  <c r="E91" i="1"/>
  <c r="G90" i="1"/>
  <c r="F90" i="1"/>
  <c r="E90" i="1"/>
  <c r="G89" i="1"/>
  <c r="F89" i="1"/>
  <c r="E89" i="1"/>
  <c r="G88" i="1"/>
  <c r="F88" i="1"/>
  <c r="E88" i="1"/>
  <c r="G87" i="1"/>
  <c r="F87" i="1"/>
  <c r="E87" i="1"/>
  <c r="G86" i="1"/>
  <c r="F86" i="1"/>
  <c r="E86" i="1"/>
  <c r="G85" i="1"/>
  <c r="F85" i="1"/>
  <c r="E85" i="1"/>
  <c r="G84" i="1"/>
  <c r="F84" i="1"/>
  <c r="E84" i="1"/>
  <c r="G83" i="1"/>
  <c r="F83" i="1"/>
  <c r="E83" i="1"/>
  <c r="G82" i="1"/>
  <c r="F82" i="1"/>
  <c r="E82" i="1"/>
  <c r="G81" i="1"/>
  <c r="F81" i="1"/>
  <c r="E81" i="1"/>
  <c r="G80" i="1"/>
  <c r="F80" i="1"/>
  <c r="E80" i="1"/>
  <c r="G79" i="1"/>
  <c r="F79" i="1"/>
  <c r="E79" i="1"/>
  <c r="G78" i="1"/>
  <c r="F78" i="1"/>
  <c r="E78" i="1"/>
  <c r="G77" i="1"/>
  <c r="F77" i="1"/>
  <c r="E77" i="1"/>
  <c r="G76" i="1"/>
  <c r="F76" i="1"/>
  <c r="E76" i="1"/>
  <c r="G75" i="1"/>
  <c r="F75" i="1"/>
  <c r="E75" i="1"/>
  <c r="G74" i="1"/>
  <c r="F74" i="1"/>
  <c r="E74" i="1"/>
  <c r="G73" i="1"/>
  <c r="F73" i="1"/>
  <c r="E73" i="1"/>
  <c r="G72" i="1"/>
  <c r="F72" i="1"/>
  <c r="E72" i="1"/>
  <c r="G71" i="1"/>
  <c r="F71" i="1"/>
  <c r="E71" i="1"/>
  <c r="G70" i="1"/>
  <c r="F70" i="1"/>
  <c r="E70" i="1"/>
  <c r="G69" i="1"/>
  <c r="F69" i="1"/>
  <c r="E69" i="1"/>
  <c r="G68" i="1"/>
  <c r="F68" i="1"/>
  <c r="E68" i="1"/>
  <c r="G67" i="1"/>
  <c r="F67" i="1"/>
  <c r="E67" i="1"/>
  <c r="G66" i="1"/>
  <c r="F66" i="1"/>
  <c r="E66" i="1"/>
  <c r="G65" i="1"/>
  <c r="F65" i="1"/>
  <c r="E65" i="1"/>
  <c r="G64" i="1"/>
  <c r="F64" i="1"/>
  <c r="E64" i="1"/>
  <c r="G63" i="1"/>
  <c r="F63" i="1"/>
  <c r="E63" i="1"/>
  <c r="G62" i="1"/>
  <c r="F62" i="1"/>
  <c r="E62" i="1"/>
  <c r="G61" i="1"/>
  <c r="F61" i="1"/>
  <c r="E61" i="1"/>
  <c r="G60" i="1"/>
  <c r="F60" i="1"/>
  <c r="E60" i="1"/>
  <c r="G59" i="1"/>
  <c r="F59" i="1"/>
  <c r="E59" i="1"/>
  <c r="G58" i="1"/>
  <c r="F58" i="1"/>
  <c r="E58" i="1"/>
  <c r="G57" i="1"/>
  <c r="F57" i="1"/>
  <c r="E57" i="1"/>
  <c r="G56" i="1"/>
  <c r="F56" i="1"/>
  <c r="E56" i="1"/>
  <c r="G55" i="1"/>
  <c r="F55" i="1"/>
  <c r="E55" i="1"/>
  <c r="G54" i="1"/>
  <c r="F54" i="1"/>
  <c r="E54" i="1"/>
  <c r="G53" i="1"/>
  <c r="F53" i="1"/>
  <c r="E53" i="1"/>
  <c r="G52" i="1"/>
  <c r="F52" i="1"/>
  <c r="E52" i="1"/>
  <c r="G51" i="1"/>
  <c r="F51" i="1"/>
  <c r="E51" i="1"/>
  <c r="G50" i="1"/>
  <c r="F50" i="1"/>
  <c r="E50" i="1"/>
  <c r="G49" i="1"/>
  <c r="F49" i="1"/>
  <c r="E49" i="1"/>
  <c r="G48" i="1"/>
  <c r="F48" i="1"/>
  <c r="E48" i="1"/>
  <c r="G47" i="1"/>
  <c r="F47" i="1"/>
  <c r="E47" i="1"/>
  <c r="G46" i="1"/>
  <c r="F46" i="1"/>
  <c r="E46" i="1"/>
  <c r="G45" i="1"/>
  <c r="F45" i="1"/>
  <c r="E45" i="1"/>
  <c r="G44" i="1"/>
  <c r="F44" i="1"/>
  <c r="E44" i="1"/>
  <c r="G43" i="1"/>
  <c r="F43" i="1"/>
  <c r="E43" i="1"/>
  <c r="G42" i="1"/>
  <c r="F42" i="1"/>
  <c r="E42" i="1"/>
  <c r="G41" i="1"/>
  <c r="F41" i="1"/>
  <c r="E41" i="1"/>
  <c r="G40" i="1"/>
  <c r="F40" i="1"/>
  <c r="E40" i="1"/>
  <c r="G39" i="1"/>
  <c r="F39" i="1"/>
  <c r="E39" i="1"/>
  <c r="G38" i="1"/>
  <c r="F38" i="1"/>
  <c r="E38" i="1"/>
  <c r="G37" i="1"/>
  <c r="F37" i="1"/>
  <c r="E37" i="1"/>
  <c r="G36" i="1"/>
  <c r="F36" i="1"/>
  <c r="E36" i="1"/>
  <c r="G35" i="1"/>
  <c r="F35" i="1"/>
  <c r="E35" i="1"/>
  <c r="G34" i="1"/>
  <c r="F34" i="1"/>
  <c r="E34" i="1"/>
  <c r="G33" i="1"/>
  <c r="F33" i="1"/>
  <c r="E33" i="1"/>
  <c r="G32" i="1"/>
  <c r="F32" i="1"/>
  <c r="E32" i="1"/>
  <c r="G31" i="1"/>
  <c r="F31" i="1"/>
  <c r="E31" i="1"/>
  <c r="G30" i="1"/>
  <c r="F30" i="1"/>
  <c r="E30" i="1"/>
  <c r="G29" i="1"/>
  <c r="F29" i="1"/>
  <c r="E29" i="1"/>
  <c r="G28" i="1"/>
  <c r="F28" i="1"/>
  <c r="E28" i="1"/>
  <c r="G27" i="1"/>
  <c r="F27" i="1"/>
  <c r="E27" i="1"/>
  <c r="G26" i="1"/>
  <c r="F26" i="1"/>
  <c r="E26" i="1"/>
  <c r="G25" i="1"/>
  <c r="F25" i="1"/>
  <c r="E25" i="1"/>
  <c r="G24" i="1"/>
  <c r="F24" i="1"/>
  <c r="E24" i="1"/>
  <c r="G23" i="1"/>
  <c r="F23" i="1"/>
  <c r="E23" i="1"/>
  <c r="G22" i="1"/>
  <c r="F22" i="1"/>
  <c r="E22" i="1"/>
  <c r="G21" i="1"/>
  <c r="F21" i="1"/>
  <c r="E21" i="1"/>
  <c r="G20" i="1"/>
  <c r="F20" i="1"/>
  <c r="E20" i="1"/>
  <c r="G19" i="1"/>
  <c r="F19" i="1"/>
  <c r="E19" i="1"/>
  <c r="G18" i="1"/>
  <c r="F18" i="1"/>
  <c r="E18" i="1"/>
  <c r="G17" i="1"/>
  <c r="F17" i="1"/>
  <c r="E17" i="1"/>
  <c r="G16" i="1"/>
  <c r="F16" i="1"/>
  <c r="E16" i="1"/>
  <c r="G15" i="1"/>
  <c r="F15" i="1"/>
  <c r="E15" i="1"/>
  <c r="G14" i="1"/>
  <c r="F14" i="1"/>
  <c r="E14" i="1"/>
  <c r="G13" i="1"/>
  <c r="F13" i="1"/>
  <c r="E13" i="1"/>
  <c r="G12" i="1"/>
  <c r="F12" i="1"/>
  <c r="E12" i="1"/>
  <c r="G11" i="1"/>
  <c r="F11" i="1"/>
  <c r="E11" i="1"/>
  <c r="G10" i="1"/>
  <c r="F10" i="1"/>
  <c r="E10" i="1"/>
  <c r="M9" i="1"/>
  <c r="L9" i="1"/>
  <c r="C9" i="13" s="1"/>
  <c r="K9" i="1"/>
  <c r="G9" i="1"/>
  <c r="F9" i="1"/>
  <c r="E9" i="1"/>
  <c r="G8" i="1"/>
  <c r="F8" i="1"/>
  <c r="E8" i="1"/>
  <c r="G7" i="1"/>
  <c r="F7" i="1"/>
  <c r="E7" i="1"/>
  <c r="G6" i="1"/>
  <c r="F6" i="1"/>
  <c r="L8" i="1" s="1"/>
  <c r="E6" i="1"/>
  <c r="G5" i="1"/>
  <c r="F5" i="1"/>
  <c r="E5" i="1"/>
  <c r="K3" i="1"/>
  <c r="K3" i="12"/>
  <c r="F27" i="14" l="1"/>
  <c r="G27" i="14" s="1"/>
  <c r="F476" i="14"/>
  <c r="G476" i="14" s="1"/>
  <c r="F365" i="14"/>
  <c r="G365" i="14" s="1"/>
  <c r="F400" i="14"/>
  <c r="G400" i="14" s="1"/>
  <c r="F383" i="14"/>
  <c r="G383" i="14" s="1"/>
  <c r="F319" i="14"/>
  <c r="G319" i="14" s="1"/>
  <c r="F325" i="14"/>
  <c r="G325" i="14" s="1"/>
  <c r="F173" i="14"/>
  <c r="G173" i="14" s="1"/>
  <c r="F56" i="14"/>
  <c r="G56" i="14" s="1"/>
  <c r="F117" i="14"/>
  <c r="G117" i="14" s="1"/>
  <c r="F150" i="14"/>
  <c r="G150" i="14" s="1"/>
  <c r="F144" i="14"/>
  <c r="G144" i="14" s="1"/>
  <c r="F5" i="14"/>
  <c r="G5" i="14" s="1"/>
  <c r="F110" i="14"/>
  <c r="G110" i="14" s="1"/>
  <c r="F488" i="14"/>
  <c r="G488" i="14" s="1"/>
  <c r="F326" i="14"/>
  <c r="G326" i="14" s="1"/>
  <c r="F345" i="14"/>
  <c r="G345" i="14" s="1"/>
  <c r="F107" i="14"/>
  <c r="G107" i="14" s="1"/>
  <c r="F364" i="14"/>
  <c r="G364" i="14" s="1"/>
  <c r="F440" i="14"/>
  <c r="G440" i="14" s="1"/>
  <c r="F408" i="14"/>
  <c r="G408" i="14" s="1"/>
  <c r="F347" i="14"/>
  <c r="G347" i="14" s="1"/>
  <c r="F444" i="14"/>
  <c r="G444" i="14" s="1"/>
  <c r="F205" i="14"/>
  <c r="G205" i="14" s="1"/>
  <c r="F239" i="14"/>
  <c r="G239" i="14" s="1"/>
  <c r="F130" i="14"/>
  <c r="G130" i="14" s="1"/>
  <c r="F420" i="14"/>
  <c r="G420" i="14" s="1"/>
  <c r="F223" i="14"/>
  <c r="G223" i="14" s="1"/>
  <c r="F178" i="14"/>
  <c r="G178" i="14" s="1"/>
  <c r="F151" i="14"/>
  <c r="G151" i="14" s="1"/>
  <c r="F156" i="14"/>
  <c r="G156" i="14" s="1"/>
  <c r="F108" i="14"/>
  <c r="G108" i="14" s="1"/>
  <c r="F363" i="14"/>
  <c r="G363" i="14" s="1"/>
  <c r="F226" i="14"/>
  <c r="G226" i="14" s="1"/>
  <c r="F36" i="14"/>
  <c r="G36" i="14" s="1"/>
  <c r="F73" i="14"/>
  <c r="G73" i="14" s="1"/>
  <c r="F330" i="14"/>
  <c r="G330" i="14" s="1"/>
  <c r="F443" i="14"/>
  <c r="G443" i="14" s="1"/>
  <c r="F464" i="14"/>
  <c r="G464" i="14" s="1"/>
  <c r="F432" i="14"/>
  <c r="G432" i="14" s="1"/>
  <c r="F449" i="14"/>
  <c r="G449" i="14" s="1"/>
  <c r="F328" i="14"/>
  <c r="G328" i="14" s="1"/>
  <c r="F295" i="14"/>
  <c r="G295" i="14" s="1"/>
  <c r="F381" i="14"/>
  <c r="G381" i="14" s="1"/>
  <c r="F361" i="14"/>
  <c r="G361" i="14" s="1"/>
  <c r="F267" i="14"/>
  <c r="G267" i="14" s="1"/>
  <c r="F260" i="14"/>
  <c r="G260" i="14" s="1"/>
  <c r="F307" i="14"/>
  <c r="G307" i="14" s="1"/>
  <c r="F243" i="14"/>
  <c r="G243" i="14" s="1"/>
  <c r="F258" i="14"/>
  <c r="G258" i="14" s="1"/>
  <c r="F191" i="14"/>
  <c r="G191" i="14" s="1"/>
  <c r="F98" i="14"/>
  <c r="G98" i="14" s="1"/>
  <c r="F133" i="14"/>
  <c r="G133" i="14" s="1"/>
  <c r="F59" i="14"/>
  <c r="G59" i="14" s="1"/>
  <c r="F37" i="14"/>
  <c r="G37" i="14" s="1"/>
  <c r="F62" i="14"/>
  <c r="G62" i="14" s="1"/>
  <c r="F9" i="14"/>
  <c r="G9" i="14" s="1"/>
  <c r="F213" i="14"/>
  <c r="G213" i="14" s="1"/>
  <c r="F140" i="14"/>
  <c r="G140" i="14" s="1"/>
  <c r="F126" i="14"/>
  <c r="G126" i="14" s="1"/>
  <c r="F263" i="14"/>
  <c r="G263" i="14" s="1"/>
  <c r="F229" i="14"/>
  <c r="G229" i="14" s="1"/>
  <c r="F489" i="14"/>
  <c r="G489" i="14" s="1"/>
  <c r="F475" i="14"/>
  <c r="G475" i="14" s="1"/>
  <c r="F477" i="14"/>
  <c r="G477" i="14" s="1"/>
  <c r="F359" i="14"/>
  <c r="G359" i="14" s="1"/>
  <c r="F247" i="14"/>
  <c r="G247" i="14" s="1"/>
  <c r="F157" i="14"/>
  <c r="G157" i="14" s="1"/>
  <c r="F210" i="14"/>
  <c r="G210" i="14" s="1"/>
  <c r="F163" i="14"/>
  <c r="G163" i="14" s="1"/>
  <c r="F20" i="14"/>
  <c r="G20" i="14" s="1"/>
  <c r="F152" i="14"/>
  <c r="G152" i="14" s="1"/>
  <c r="F86" i="14"/>
  <c r="G86" i="14" s="1"/>
  <c r="F466" i="14"/>
  <c r="G466" i="14" s="1"/>
  <c r="F200" i="14"/>
  <c r="G200" i="14" s="1"/>
  <c r="F113" i="14"/>
  <c r="G113" i="14" s="1"/>
  <c r="F38" i="14"/>
  <c r="G38" i="14" s="1"/>
  <c r="F147" i="14"/>
  <c r="G147" i="14" s="1"/>
  <c r="F79" i="14"/>
  <c r="G79" i="14" s="1"/>
  <c r="F379" i="14"/>
  <c r="G379" i="14" s="1"/>
  <c r="F416" i="14"/>
  <c r="G416" i="14" s="1"/>
  <c r="F358" i="14"/>
  <c r="G358" i="14" s="1"/>
  <c r="F431" i="14"/>
  <c r="G431" i="14" s="1"/>
  <c r="F415" i="14"/>
  <c r="G415" i="14" s="1"/>
  <c r="F402" i="14"/>
  <c r="G402" i="14" s="1"/>
  <c r="F370" i="14"/>
  <c r="G370" i="14" s="1"/>
  <c r="F333" i="14"/>
  <c r="G333" i="14" s="1"/>
  <c r="F336" i="14"/>
  <c r="G336" i="14" s="1"/>
  <c r="F265" i="14"/>
  <c r="G265" i="14" s="1"/>
  <c r="F355" i="14"/>
  <c r="G355" i="14" s="1"/>
  <c r="F339" i="14"/>
  <c r="G339" i="14" s="1"/>
  <c r="F256" i="14"/>
  <c r="G256" i="14" s="1"/>
  <c r="F356" i="14"/>
  <c r="G356" i="14" s="1"/>
  <c r="F214" i="14"/>
  <c r="G214" i="14" s="1"/>
  <c r="F120" i="14"/>
  <c r="G120" i="14" s="1"/>
  <c r="F136" i="14"/>
  <c r="G136" i="14" s="1"/>
  <c r="F115" i="14"/>
  <c r="G115" i="14" s="1"/>
  <c r="F187" i="14"/>
  <c r="G187" i="14" s="1"/>
  <c r="F67" i="14"/>
  <c r="G67" i="14" s="1"/>
  <c r="F259" i="14"/>
  <c r="G259" i="14" s="1"/>
  <c r="F376" i="14"/>
  <c r="G376" i="14" s="1"/>
  <c r="F338" i="14"/>
  <c r="G338" i="14" s="1"/>
  <c r="F344" i="14"/>
  <c r="G344" i="14" s="1"/>
  <c r="F411" i="14"/>
  <c r="G411" i="14" s="1"/>
  <c r="F483" i="14"/>
  <c r="G483" i="14" s="1"/>
  <c r="F467" i="14"/>
  <c r="G467" i="14" s="1"/>
  <c r="F435" i="14"/>
  <c r="G435" i="14" s="1"/>
  <c r="F413" i="14"/>
  <c r="G413" i="14" s="1"/>
  <c r="F313" i="14"/>
  <c r="G313" i="14" s="1"/>
  <c r="F283" i="14"/>
  <c r="G283" i="14" s="1"/>
  <c r="F227" i="14"/>
  <c r="G227" i="14" s="1"/>
  <c r="F202" i="14"/>
  <c r="G202" i="14" s="1"/>
  <c r="F199" i="14"/>
  <c r="G199" i="14" s="1"/>
  <c r="F30" i="14"/>
  <c r="G30" i="14" s="1"/>
  <c r="F137" i="14"/>
  <c r="G137" i="14" s="1"/>
  <c r="F39" i="14"/>
  <c r="G39" i="14" s="1"/>
  <c r="F68" i="14"/>
  <c r="G68" i="14" s="1"/>
  <c r="F15" i="14"/>
  <c r="G15" i="14" s="1"/>
  <c r="F236" i="14"/>
  <c r="G236" i="14" s="1"/>
  <c r="F164" i="14"/>
  <c r="G164" i="14" s="1"/>
  <c r="F135" i="14"/>
  <c r="G135" i="14" s="1"/>
  <c r="F419" i="14"/>
  <c r="G419" i="14" s="1"/>
  <c r="F273" i="14"/>
  <c r="G273" i="14" s="1"/>
  <c r="F99" i="14"/>
  <c r="G99" i="14" s="1"/>
  <c r="F29" i="14"/>
  <c r="G29" i="14" s="1"/>
  <c r="H760" i="12"/>
  <c r="H758" i="12"/>
  <c r="H756" i="12"/>
  <c r="H754" i="12"/>
  <c r="H752" i="12"/>
  <c r="H750" i="12"/>
  <c r="H748" i="12"/>
  <c r="H746" i="12"/>
  <c r="H744" i="12"/>
  <c r="H742" i="12"/>
  <c r="H740" i="12"/>
  <c r="H738" i="12"/>
  <c r="H736" i="12"/>
  <c r="H734" i="12"/>
  <c r="H732" i="12"/>
  <c r="H730" i="12"/>
  <c r="H728" i="12"/>
  <c r="H726" i="12"/>
  <c r="H724" i="12"/>
  <c r="H722" i="12"/>
  <c r="H720" i="12"/>
  <c r="H718" i="12"/>
  <c r="H716" i="12"/>
  <c r="H714" i="12"/>
  <c r="H712" i="12"/>
  <c r="H710" i="12"/>
  <c r="H708" i="12"/>
  <c r="H706" i="12"/>
  <c r="H704" i="12"/>
  <c r="H702" i="12"/>
  <c r="H700" i="12"/>
  <c r="H698" i="12"/>
  <c r="H696" i="12"/>
  <c r="H694" i="12"/>
  <c r="H692" i="12"/>
  <c r="H690" i="12"/>
  <c r="H688" i="12"/>
  <c r="H686" i="12"/>
  <c r="H684" i="12"/>
  <c r="H682" i="12"/>
  <c r="H680" i="12"/>
  <c r="H678" i="12"/>
  <c r="H676" i="12"/>
  <c r="H674" i="12"/>
  <c r="H672" i="12"/>
  <c r="H670" i="12"/>
  <c r="H668" i="12"/>
  <c r="H666" i="12"/>
  <c r="H664" i="12"/>
  <c r="H662" i="12"/>
  <c r="H660" i="12"/>
  <c r="H658" i="12"/>
  <c r="H656" i="12"/>
  <c r="H654" i="12"/>
  <c r="H652" i="12"/>
  <c r="H650" i="12"/>
  <c r="H648" i="12"/>
  <c r="H646" i="12"/>
  <c r="H644" i="12"/>
  <c r="H642" i="12"/>
  <c r="H640" i="12"/>
  <c r="H638" i="12"/>
  <c r="H636" i="12"/>
  <c r="H634" i="12"/>
  <c r="H632" i="12"/>
  <c r="H630" i="12"/>
  <c r="H628" i="12"/>
  <c r="H626" i="12"/>
  <c r="H624" i="12"/>
  <c r="H622" i="12"/>
  <c r="H620" i="12"/>
  <c r="H618" i="12"/>
  <c r="H616" i="12"/>
  <c r="H614" i="12"/>
  <c r="H612" i="12"/>
  <c r="H610" i="12"/>
  <c r="H608" i="12"/>
  <c r="H606" i="12"/>
  <c r="H604" i="12"/>
  <c r="H602" i="12"/>
  <c r="H600" i="12"/>
  <c r="H598" i="12"/>
  <c r="H596" i="12"/>
  <c r="H594" i="12"/>
  <c r="H592" i="12"/>
  <c r="H757" i="12"/>
  <c r="H755" i="12"/>
  <c r="H753" i="12"/>
  <c r="H751" i="12"/>
  <c r="H749" i="12"/>
  <c r="H747" i="12"/>
  <c r="H745" i="12"/>
  <c r="H743" i="12"/>
  <c r="H741" i="12"/>
  <c r="H739" i="12"/>
  <c r="H737" i="12"/>
  <c r="H735" i="12"/>
  <c r="H733" i="12"/>
  <c r="H731" i="12"/>
  <c r="H729" i="12"/>
  <c r="H727" i="12"/>
  <c r="H725" i="12"/>
  <c r="H723" i="12"/>
  <c r="H721" i="12"/>
  <c r="H719" i="12"/>
  <c r="H717" i="12"/>
  <c r="H715" i="12"/>
  <c r="H713" i="12"/>
  <c r="H711" i="12"/>
  <c r="H709" i="12"/>
  <c r="H707" i="12"/>
  <c r="H705" i="12"/>
  <c r="H703" i="12"/>
  <c r="H701" i="12"/>
  <c r="H699" i="12"/>
  <c r="H697" i="12"/>
  <c r="H695" i="12"/>
  <c r="H693" i="12"/>
  <c r="H691" i="12"/>
  <c r="H689" i="12"/>
  <c r="H687" i="12"/>
  <c r="H685" i="12"/>
  <c r="H683" i="12"/>
  <c r="H681" i="12"/>
  <c r="H679" i="12"/>
  <c r="H677" i="12"/>
  <c r="H675" i="12"/>
  <c r="H673" i="12"/>
  <c r="H671" i="12"/>
  <c r="H669" i="12"/>
  <c r="H667" i="12"/>
  <c r="H665" i="12"/>
  <c r="H663" i="12"/>
  <c r="H661" i="12"/>
  <c r="H659" i="12"/>
  <c r="H657" i="12"/>
  <c r="H655" i="12"/>
  <c r="H653" i="12"/>
  <c r="H651" i="12"/>
  <c r="H649" i="12"/>
  <c r="H647" i="12"/>
  <c r="H645" i="12"/>
  <c r="H643" i="12"/>
  <c r="H641" i="12"/>
  <c r="H639" i="12"/>
  <c r="H637" i="12"/>
  <c r="H635" i="12"/>
  <c r="H633" i="12"/>
  <c r="H631" i="12"/>
  <c r="H629" i="12"/>
  <c r="H627" i="12"/>
  <c r="H625" i="12"/>
  <c r="H623" i="12"/>
  <c r="H621" i="12"/>
  <c r="H619" i="12"/>
  <c r="H607" i="12"/>
  <c r="H591" i="12"/>
  <c r="H589" i="12"/>
  <c r="H587" i="12"/>
  <c r="H585" i="12"/>
  <c r="H583" i="12"/>
  <c r="H581" i="12"/>
  <c r="H579" i="12"/>
  <c r="H577" i="12"/>
  <c r="H575" i="12"/>
  <c r="H573" i="12"/>
  <c r="H571" i="12"/>
  <c r="H569" i="12"/>
  <c r="H567" i="12"/>
  <c r="H565" i="12"/>
  <c r="H563" i="12"/>
  <c r="H561" i="12"/>
  <c r="H559" i="12"/>
  <c r="H557" i="12"/>
  <c r="H555" i="12"/>
  <c r="H553" i="12"/>
  <c r="H551" i="12"/>
  <c r="H549" i="12"/>
  <c r="H547" i="12"/>
  <c r="H545" i="12"/>
  <c r="H543" i="12"/>
  <c r="H541" i="12"/>
  <c r="H539" i="12"/>
  <c r="H537" i="12"/>
  <c r="H535" i="12"/>
  <c r="H533" i="12"/>
  <c r="H531" i="12"/>
  <c r="H529" i="12"/>
  <c r="H527" i="12"/>
  <c r="H525" i="12"/>
  <c r="H523" i="12"/>
  <c r="H521" i="12"/>
  <c r="H519" i="12"/>
  <c r="H517" i="12"/>
  <c r="H515" i="12"/>
  <c r="H513" i="12"/>
  <c r="H511" i="12"/>
  <c r="H509" i="12"/>
  <c r="H507" i="12"/>
  <c r="H505" i="12"/>
  <c r="H503" i="12"/>
  <c r="H501" i="12"/>
  <c r="H499" i="12"/>
  <c r="H497" i="12"/>
  <c r="H495" i="12"/>
  <c r="H493" i="12"/>
  <c r="H491" i="12"/>
  <c r="H489" i="12"/>
  <c r="H487" i="12"/>
  <c r="H485" i="12"/>
  <c r="H483" i="12"/>
  <c r="H481" i="12"/>
  <c r="H479" i="12"/>
  <c r="H477" i="12"/>
  <c r="H475" i="12"/>
  <c r="H473" i="12"/>
  <c r="H471" i="12"/>
  <c r="H469" i="12"/>
  <c r="H467" i="12"/>
  <c r="H465" i="12"/>
  <c r="H463" i="12"/>
  <c r="H461" i="12"/>
  <c r="H459" i="12"/>
  <c r="H457" i="12"/>
  <c r="H455" i="12"/>
  <c r="H453" i="12"/>
  <c r="H451" i="12"/>
  <c r="H449" i="12"/>
  <c r="H447" i="12"/>
  <c r="H445" i="12"/>
  <c r="H443" i="12"/>
  <c r="H441" i="12"/>
  <c r="H439" i="12"/>
  <c r="H437" i="12"/>
  <c r="H435" i="12"/>
  <c r="H433" i="12"/>
  <c r="H431" i="12"/>
  <c r="H429" i="12"/>
  <c r="H427" i="12"/>
  <c r="H425" i="12"/>
  <c r="H423" i="12"/>
  <c r="H421" i="12"/>
  <c r="H419" i="12"/>
  <c r="H417" i="12"/>
  <c r="H415" i="12"/>
  <c r="H413" i="12"/>
  <c r="H411" i="12"/>
  <c r="H409" i="12"/>
  <c r="H407" i="12"/>
  <c r="H405" i="12"/>
  <c r="H403" i="12"/>
  <c r="H401" i="12"/>
  <c r="H399" i="12"/>
  <c r="H397" i="12"/>
  <c r="H395" i="12"/>
  <c r="H393" i="12"/>
  <c r="H391" i="12"/>
  <c r="H389" i="12"/>
  <c r="H387" i="12"/>
  <c r="H385" i="12"/>
  <c r="H383" i="12"/>
  <c r="H381" i="12"/>
  <c r="H379" i="12"/>
  <c r="H377" i="12"/>
  <c r="H375" i="12"/>
  <c r="H373" i="12"/>
  <c r="H371" i="12"/>
  <c r="H369" i="12"/>
  <c r="H367" i="12"/>
  <c r="H365" i="12"/>
  <c r="H363" i="12"/>
  <c r="H361" i="12"/>
  <c r="H359" i="12"/>
  <c r="H357" i="12"/>
  <c r="H355" i="12"/>
  <c r="H353" i="12"/>
  <c r="H351" i="12"/>
  <c r="H349" i="12"/>
  <c r="H347" i="12"/>
  <c r="H345" i="12"/>
  <c r="H343" i="12"/>
  <c r="H341" i="12"/>
  <c r="H339" i="12"/>
  <c r="H337" i="12"/>
  <c r="H335" i="12"/>
  <c r="H333" i="12"/>
  <c r="H331" i="12"/>
  <c r="H329" i="12"/>
  <c r="H327" i="12"/>
  <c r="H325" i="12"/>
  <c r="H323" i="12"/>
  <c r="H321" i="12"/>
  <c r="H319" i="12"/>
  <c r="H317" i="12"/>
  <c r="H315" i="12"/>
  <c r="H313" i="12"/>
  <c r="H311" i="12"/>
  <c r="H309" i="12"/>
  <c r="H307" i="12"/>
  <c r="H305" i="12"/>
  <c r="H303" i="12"/>
  <c r="H301" i="12"/>
  <c r="H299" i="12"/>
  <c r="H297" i="12"/>
  <c r="H295" i="12"/>
  <c r="H293" i="12"/>
  <c r="H291" i="12"/>
  <c r="H289" i="12"/>
  <c r="H287" i="12"/>
  <c r="H285" i="12"/>
  <c r="H283" i="12"/>
  <c r="H281" i="12"/>
  <c r="H279" i="12"/>
  <c r="H277" i="12"/>
  <c r="H275" i="12"/>
  <c r="H273" i="12"/>
  <c r="H271" i="12"/>
  <c r="H269" i="12"/>
  <c r="H267" i="12"/>
  <c r="H265" i="12"/>
  <c r="H263" i="12"/>
  <c r="H261" i="12"/>
  <c r="H259" i="12"/>
  <c r="H257" i="12"/>
  <c r="H255" i="12"/>
  <c r="H609" i="12"/>
  <c r="H593" i="12"/>
  <c r="H611" i="12"/>
  <c r="H595" i="12"/>
  <c r="H613" i="12"/>
  <c r="H597" i="12"/>
  <c r="H615" i="12"/>
  <c r="H599" i="12"/>
  <c r="H590" i="12"/>
  <c r="H588" i="12"/>
  <c r="H586" i="12"/>
  <c r="H584" i="12"/>
  <c r="H582" i="12"/>
  <c r="H580" i="12"/>
  <c r="H578" i="12"/>
  <c r="H576" i="12"/>
  <c r="H574" i="12"/>
  <c r="H572" i="12"/>
  <c r="H570" i="12"/>
  <c r="H568" i="12"/>
  <c r="H566" i="12"/>
  <c r="H564" i="12"/>
  <c r="H562" i="12"/>
  <c r="H560" i="12"/>
  <c r="H558" i="12"/>
  <c r="H556" i="12"/>
  <c r="H554" i="12"/>
  <c r="H552" i="12"/>
  <c r="H550" i="12"/>
  <c r="H548" i="12"/>
  <c r="H546" i="12"/>
  <c r="H544" i="12"/>
  <c r="H542" i="12"/>
  <c r="H540" i="12"/>
  <c r="H538" i="12"/>
  <c r="H536" i="12"/>
  <c r="H534" i="12"/>
  <c r="H532" i="12"/>
  <c r="H530" i="12"/>
  <c r="H528" i="12"/>
  <c r="H526" i="12"/>
  <c r="H524" i="12"/>
  <c r="H522" i="12"/>
  <c r="H520" i="12"/>
  <c r="H518" i="12"/>
  <c r="H516" i="12"/>
  <c r="H514" i="12"/>
  <c r="H512" i="12"/>
  <c r="H510" i="12"/>
  <c r="H508" i="12"/>
  <c r="H506" i="12"/>
  <c r="H504" i="12"/>
  <c r="H502" i="12"/>
  <c r="H500" i="12"/>
  <c r="H498" i="12"/>
  <c r="H496" i="12"/>
  <c r="H494" i="12"/>
  <c r="H492" i="12"/>
  <c r="H490" i="12"/>
  <c r="H488" i="12"/>
  <c r="H486" i="12"/>
  <c r="H484" i="12"/>
  <c r="H482" i="12"/>
  <c r="H480" i="12"/>
  <c r="H478" i="12"/>
  <c r="H476" i="12"/>
  <c r="H474" i="12"/>
  <c r="H472" i="12"/>
  <c r="H470" i="12"/>
  <c r="H468" i="12"/>
  <c r="H466" i="12"/>
  <c r="H464" i="12"/>
  <c r="H462" i="12"/>
  <c r="H460" i="12"/>
  <c r="H458" i="12"/>
  <c r="H617" i="12"/>
  <c r="H601" i="12"/>
  <c r="H603" i="12"/>
  <c r="H605" i="12"/>
  <c r="H456" i="12"/>
  <c r="H440" i="12"/>
  <c r="H424" i="12"/>
  <c r="H408" i="12"/>
  <c r="H392" i="12"/>
  <c r="H376" i="12"/>
  <c r="H360" i="12"/>
  <c r="H344" i="12"/>
  <c r="H328" i="12"/>
  <c r="H312" i="12"/>
  <c r="H296" i="12"/>
  <c r="H280" i="12"/>
  <c r="H264" i="12"/>
  <c r="H210" i="12"/>
  <c r="H190" i="12"/>
  <c r="H182" i="12"/>
  <c r="H174" i="12"/>
  <c r="H164" i="12"/>
  <c r="H158" i="12"/>
  <c r="H150" i="12"/>
  <c r="H140" i="12"/>
  <c r="H132" i="12"/>
  <c r="H126" i="12"/>
  <c r="H118" i="12"/>
  <c r="H110" i="12"/>
  <c r="H102" i="12"/>
  <c r="H94" i="12"/>
  <c r="H86" i="12"/>
  <c r="H78" i="12"/>
  <c r="H72" i="12"/>
  <c r="H64" i="12"/>
  <c r="H56" i="12"/>
  <c r="H48" i="12"/>
  <c r="H40" i="12"/>
  <c r="H30" i="12"/>
  <c r="H22" i="12"/>
  <c r="H16" i="12"/>
  <c r="H8" i="12"/>
  <c r="H213" i="12"/>
  <c r="H173" i="12"/>
  <c r="H147" i="12"/>
  <c r="H125" i="12"/>
  <c r="H107" i="12"/>
  <c r="H89" i="12"/>
  <c r="H75" i="12"/>
  <c r="H57" i="12"/>
  <c r="H43" i="12"/>
  <c r="H29" i="12"/>
  <c r="H15" i="12"/>
  <c r="H442" i="12"/>
  <c r="H426" i="12"/>
  <c r="H410" i="12"/>
  <c r="H394" i="12"/>
  <c r="H378" i="12"/>
  <c r="H362" i="12"/>
  <c r="H346" i="12"/>
  <c r="H330" i="12"/>
  <c r="H314" i="12"/>
  <c r="H298" i="12"/>
  <c r="H282" i="12"/>
  <c r="H266" i="12"/>
  <c r="H212" i="12"/>
  <c r="H194" i="12"/>
  <c r="H184" i="12"/>
  <c r="H176" i="12"/>
  <c r="H168" i="12"/>
  <c r="H160" i="12"/>
  <c r="H152" i="12"/>
  <c r="H146" i="12"/>
  <c r="H138" i="12"/>
  <c r="H130" i="12"/>
  <c r="H122" i="12"/>
  <c r="H114" i="12"/>
  <c r="H106" i="12"/>
  <c r="H98" i="12"/>
  <c r="H90" i="12"/>
  <c r="H82" i="12"/>
  <c r="H74" i="12"/>
  <c r="H66" i="12"/>
  <c r="H58" i="12"/>
  <c r="H50" i="12"/>
  <c r="H42" i="12"/>
  <c r="H34" i="12"/>
  <c r="H26" i="12"/>
  <c r="H18" i="12"/>
  <c r="H12" i="12"/>
  <c r="H358" i="12"/>
  <c r="H235" i="12"/>
  <c r="H215" i="12"/>
  <c r="H197" i="12"/>
  <c r="H185" i="12"/>
  <c r="H169" i="12"/>
  <c r="H157" i="12"/>
  <c r="H141" i="12"/>
  <c r="H127" i="12"/>
  <c r="H113" i="12"/>
  <c r="H99" i="12"/>
  <c r="H85" i="12"/>
  <c r="H71" i="12"/>
  <c r="H59" i="12"/>
  <c r="H45" i="12"/>
  <c r="H31" i="12"/>
  <c r="H17" i="12"/>
  <c r="H444" i="12"/>
  <c r="H428" i="12"/>
  <c r="H412" i="12"/>
  <c r="H396" i="12"/>
  <c r="H380" i="12"/>
  <c r="H364" i="12"/>
  <c r="H348" i="12"/>
  <c r="H332" i="12"/>
  <c r="H316" i="12"/>
  <c r="H300" i="12"/>
  <c r="H284" i="12"/>
  <c r="H268" i="12"/>
  <c r="H206" i="12"/>
  <c r="H188" i="12"/>
  <c r="H180" i="12"/>
  <c r="H172" i="12"/>
  <c r="H166" i="12"/>
  <c r="H156" i="12"/>
  <c r="H148" i="12"/>
  <c r="H142" i="12"/>
  <c r="H134" i="12"/>
  <c r="H124" i="12"/>
  <c r="H116" i="12"/>
  <c r="H108" i="12"/>
  <c r="H100" i="12"/>
  <c r="H92" i="12"/>
  <c r="H84" i="12"/>
  <c r="H76" i="12"/>
  <c r="H68" i="12"/>
  <c r="H60" i="12"/>
  <c r="H52" i="12"/>
  <c r="H44" i="12"/>
  <c r="H38" i="12"/>
  <c r="H32" i="12"/>
  <c r="H24" i="12"/>
  <c r="H14" i="12"/>
  <c r="H6" i="12"/>
  <c r="H231" i="12"/>
  <c r="H205" i="12"/>
  <c r="H189" i="12"/>
  <c r="H177" i="12"/>
  <c r="H163" i="12"/>
  <c r="H151" i="12"/>
  <c r="H135" i="12"/>
  <c r="H123" i="12"/>
  <c r="H111" i="12"/>
  <c r="H97" i="12"/>
  <c r="H83" i="12"/>
  <c r="H69" i="12"/>
  <c r="H55" i="12"/>
  <c r="H41" i="12"/>
  <c r="H27" i="12"/>
  <c r="H7" i="12"/>
  <c r="H446" i="12"/>
  <c r="H430" i="12"/>
  <c r="H414" i="12"/>
  <c r="H398" i="12"/>
  <c r="H382" i="12"/>
  <c r="H366" i="12"/>
  <c r="H350" i="12"/>
  <c r="H334" i="12"/>
  <c r="H318" i="12"/>
  <c r="H302" i="12"/>
  <c r="H286" i="12"/>
  <c r="H270" i="12"/>
  <c r="H254" i="12"/>
  <c r="H252" i="12"/>
  <c r="H250" i="12"/>
  <c r="H248" i="12"/>
  <c r="H246" i="12"/>
  <c r="H244" i="12"/>
  <c r="H242" i="12"/>
  <c r="H240" i="12"/>
  <c r="H238" i="12"/>
  <c r="H236" i="12"/>
  <c r="H234" i="12"/>
  <c r="H232" i="12"/>
  <c r="H230" i="12"/>
  <c r="H228" i="12"/>
  <c r="H226" i="12"/>
  <c r="H224" i="12"/>
  <c r="H222" i="12"/>
  <c r="H220" i="12"/>
  <c r="H218" i="12"/>
  <c r="H216" i="12"/>
  <c r="H214" i="12"/>
  <c r="H208" i="12"/>
  <c r="H204" i="12"/>
  <c r="H202" i="12"/>
  <c r="H200" i="12"/>
  <c r="H198" i="12"/>
  <c r="H196" i="12"/>
  <c r="H192" i="12"/>
  <c r="H186" i="12"/>
  <c r="H178" i="12"/>
  <c r="H170" i="12"/>
  <c r="H162" i="12"/>
  <c r="H154" i="12"/>
  <c r="H144" i="12"/>
  <c r="H136" i="12"/>
  <c r="H128" i="12"/>
  <c r="H120" i="12"/>
  <c r="H112" i="12"/>
  <c r="H104" i="12"/>
  <c r="H96" i="12"/>
  <c r="H88" i="12"/>
  <c r="H80" i="12"/>
  <c r="H70" i="12"/>
  <c r="H62" i="12"/>
  <c r="H54" i="12"/>
  <c r="H46" i="12"/>
  <c r="H36" i="12"/>
  <c r="H28" i="12"/>
  <c r="H20" i="12"/>
  <c r="H10" i="12"/>
  <c r="H241" i="12"/>
  <c r="H217" i="12"/>
  <c r="H199" i="12"/>
  <c r="H181" i="12"/>
  <c r="H167" i="12"/>
  <c r="H155" i="12"/>
  <c r="H139" i="12"/>
  <c r="H129" i="12"/>
  <c r="H115" i="12"/>
  <c r="H101" i="12"/>
  <c r="H87" i="12"/>
  <c r="H73" i="12"/>
  <c r="H61" i="12"/>
  <c r="H47" i="12"/>
  <c r="H33" i="12"/>
  <c r="H19" i="12"/>
  <c r="H448" i="12"/>
  <c r="H432" i="12"/>
  <c r="H416" i="12"/>
  <c r="H400" i="12"/>
  <c r="H384" i="12"/>
  <c r="H368" i="12"/>
  <c r="H352" i="12"/>
  <c r="H336" i="12"/>
  <c r="H320" i="12"/>
  <c r="H304" i="12"/>
  <c r="H288" i="12"/>
  <c r="H272" i="12"/>
  <c r="H256" i="12"/>
  <c r="H370" i="12"/>
  <c r="H306" i="12"/>
  <c r="H274" i="12"/>
  <c r="H149" i="12"/>
  <c r="H13" i="12"/>
  <c r="H450" i="12"/>
  <c r="H434" i="12"/>
  <c r="H418" i="12"/>
  <c r="H402" i="12"/>
  <c r="H386" i="12"/>
  <c r="H354" i="12"/>
  <c r="H338" i="12"/>
  <c r="H322" i="12"/>
  <c r="H290" i="12"/>
  <c r="H258" i="12"/>
  <c r="H422" i="12"/>
  <c r="H406" i="12"/>
  <c r="H374" i="12"/>
  <c r="H342" i="12"/>
  <c r="H310" i="12"/>
  <c r="H251" i="12"/>
  <c r="H247" i="12"/>
  <c r="H237" i="12"/>
  <c r="H227" i="12"/>
  <c r="H221" i="12"/>
  <c r="H211" i="12"/>
  <c r="H201" i="12"/>
  <c r="H191" i="12"/>
  <c r="H183" i="12"/>
  <c r="H171" i="12"/>
  <c r="H159" i="12"/>
  <c r="H143" i="12"/>
  <c r="H131" i="12"/>
  <c r="H119" i="12"/>
  <c r="H103" i="12"/>
  <c r="H91" i="12"/>
  <c r="H79" i="12"/>
  <c r="H65" i="12"/>
  <c r="H49" i="12"/>
  <c r="H35" i="12"/>
  <c r="H23" i="12"/>
  <c r="H11" i="12"/>
  <c r="H452" i="12"/>
  <c r="H436" i="12"/>
  <c r="H420" i="12"/>
  <c r="H404" i="12"/>
  <c r="H388" i="12"/>
  <c r="H372" i="12"/>
  <c r="H356" i="12"/>
  <c r="H340" i="12"/>
  <c r="H324" i="12"/>
  <c r="H308" i="12"/>
  <c r="H292" i="12"/>
  <c r="H276" i="12"/>
  <c r="H260" i="12"/>
  <c r="H438" i="12"/>
  <c r="H390" i="12"/>
  <c r="H326" i="12"/>
  <c r="H294" i="12"/>
  <c r="H262" i="12"/>
  <c r="H249" i="12"/>
  <c r="H245" i="12"/>
  <c r="H239" i="12"/>
  <c r="H229" i="12"/>
  <c r="H223" i="12"/>
  <c r="H209" i="12"/>
  <c r="H203" i="12"/>
  <c r="H193" i="12"/>
  <c r="H187" i="12"/>
  <c r="H175" i="12"/>
  <c r="H161" i="12"/>
  <c r="H145" i="12"/>
  <c r="H133" i="12"/>
  <c r="H117" i="12"/>
  <c r="H105" i="12"/>
  <c r="H93" i="12"/>
  <c r="H77" i="12"/>
  <c r="H63" i="12"/>
  <c r="H51" i="12"/>
  <c r="H37" i="12"/>
  <c r="H25" i="12"/>
  <c r="H9" i="12"/>
  <c r="H454" i="12"/>
  <c r="H278" i="12"/>
  <c r="H253" i="12"/>
  <c r="H243" i="12"/>
  <c r="H233" i="12"/>
  <c r="H225" i="12"/>
  <c r="H219" i="12"/>
  <c r="H207" i="12"/>
  <c r="H195" i="12"/>
  <c r="H179" i="12"/>
  <c r="H165" i="12"/>
  <c r="H153" i="12"/>
  <c r="H137" i="12"/>
  <c r="H121" i="12"/>
  <c r="H109" i="12"/>
  <c r="H95" i="12"/>
  <c r="H81" i="12"/>
  <c r="H67" i="12"/>
  <c r="H53" i="12"/>
  <c r="H39" i="12"/>
  <c r="H21" i="12"/>
  <c r="H5" i="12"/>
  <c r="K1" i="12" s="1"/>
  <c r="H759" i="12"/>
  <c r="N8" i="12"/>
  <c r="H48" i="1"/>
  <c r="H23" i="1"/>
  <c r="H10" i="1"/>
  <c r="H149" i="1"/>
  <c r="H117" i="1"/>
  <c r="H18" i="1"/>
  <c r="H181" i="1"/>
  <c r="H423" i="1"/>
  <c r="H253" i="1"/>
  <c r="B9" i="13"/>
  <c r="H15" i="1"/>
  <c r="H26" i="1"/>
  <c r="H213" i="1"/>
  <c r="H268" i="1"/>
  <c r="H13" i="1"/>
  <c r="H16" i="1"/>
  <c r="H34" i="1"/>
  <c r="H187" i="1"/>
  <c r="D9" i="13"/>
  <c r="H11" i="1"/>
  <c r="H24" i="1"/>
  <c r="H31" i="1"/>
  <c r="H42" i="1"/>
  <c r="H131" i="1"/>
  <c r="K8" i="1"/>
  <c r="M8" i="1"/>
  <c r="H32" i="1"/>
  <c r="H37" i="1"/>
  <c r="H39" i="1"/>
  <c r="H163" i="1"/>
  <c r="H6" i="1"/>
  <c r="H40" i="1"/>
  <c r="H85" i="1"/>
  <c r="H195" i="1"/>
  <c r="H472" i="1"/>
  <c r="F58" i="14"/>
  <c r="G58" i="14" s="1"/>
  <c r="F264" i="14"/>
  <c r="G264" i="14" s="1"/>
  <c r="F456" i="14"/>
  <c r="G456" i="14" s="1"/>
  <c r="F486" i="14"/>
  <c r="G486" i="14" s="1"/>
  <c r="F460" i="14"/>
  <c r="G460" i="14" s="1"/>
  <c r="F342" i="14"/>
  <c r="G342" i="14" s="1"/>
  <c r="F480" i="14"/>
  <c r="G480" i="14" s="1"/>
  <c r="F430" i="14"/>
  <c r="G430" i="14" s="1"/>
  <c r="F468" i="14"/>
  <c r="G468" i="14" s="1"/>
  <c r="F404" i="14"/>
  <c r="G404" i="14" s="1"/>
  <c r="F482" i="14"/>
  <c r="G482" i="14" s="1"/>
  <c r="F433" i="14"/>
  <c r="G433" i="14" s="1"/>
  <c r="F294" i="14"/>
  <c r="G294" i="14" s="1"/>
  <c r="F332" i="14"/>
  <c r="G332" i="14" s="1"/>
  <c r="F490" i="14"/>
  <c r="G490" i="14" s="1"/>
  <c r="F441" i="14"/>
  <c r="G441" i="14" s="1"/>
  <c r="F377" i="14"/>
  <c r="G377" i="14" s="1"/>
  <c r="F285" i="14"/>
  <c r="G285" i="14" s="1"/>
  <c r="F291" i="14"/>
  <c r="G291" i="14" s="1"/>
  <c r="F246" i="14"/>
  <c r="G246" i="14" s="1"/>
  <c r="F194" i="14"/>
  <c r="G194" i="14" s="1"/>
  <c r="F171" i="14"/>
  <c r="G171" i="14" s="1"/>
  <c r="F114" i="14"/>
  <c r="G114" i="14" s="1"/>
  <c r="F281" i="14"/>
  <c r="G281" i="14" s="1"/>
  <c r="F116" i="14"/>
  <c r="G116" i="14" s="1"/>
  <c r="F188" i="14"/>
  <c r="G188" i="14" s="1"/>
  <c r="F76" i="14"/>
  <c r="G76" i="14" s="1"/>
  <c r="F6" i="14"/>
  <c r="G6" i="14" s="1"/>
  <c r="F145" i="14"/>
  <c r="G145" i="14" s="1"/>
  <c r="F55" i="14"/>
  <c r="G55" i="14" s="1"/>
  <c r="F91" i="14"/>
  <c r="G91" i="14" s="1"/>
  <c r="F220" i="14"/>
  <c r="G220" i="14" s="1"/>
  <c r="F166" i="14"/>
  <c r="G166" i="14" s="1"/>
  <c r="F225" i="14"/>
  <c r="G225" i="14" s="1"/>
  <c r="F216" i="14"/>
  <c r="G216" i="14" s="1"/>
  <c r="F103" i="14"/>
  <c r="G103" i="14" s="1"/>
  <c r="F50" i="14"/>
  <c r="G50" i="14" s="1"/>
  <c r="F100" i="14"/>
  <c r="G100" i="14" s="1"/>
  <c r="F341" i="14"/>
  <c r="G341" i="14" s="1"/>
  <c r="F417" i="14"/>
  <c r="G417" i="14" s="1"/>
  <c r="F403" i="14"/>
  <c r="G403" i="14" s="1"/>
  <c r="F278" i="14"/>
  <c r="G278" i="14" s="1"/>
  <c r="F270" i="14"/>
  <c r="G270" i="14" s="1"/>
  <c r="F271" i="14"/>
  <c r="G271" i="14" s="1"/>
  <c r="F159" i="14"/>
  <c r="G159" i="14" s="1"/>
  <c r="F303" i="14"/>
  <c r="G303" i="14" s="1"/>
  <c r="F219" i="14"/>
  <c r="G219" i="14" s="1"/>
  <c r="F184" i="14"/>
  <c r="G184" i="14" s="1"/>
  <c r="F22" i="14"/>
  <c r="G22" i="14" s="1"/>
  <c r="F53" i="14"/>
  <c r="G53" i="14" s="1"/>
  <c r="F146" i="14"/>
  <c r="G146" i="14" s="1"/>
  <c r="F90" i="14"/>
  <c r="G90" i="14" s="1"/>
  <c r="F192" i="14"/>
  <c r="G192" i="14" s="1"/>
  <c r="F139" i="14"/>
  <c r="G139" i="14" s="1"/>
  <c r="F45" i="14"/>
  <c r="G45" i="14" s="1"/>
  <c r="F153" i="14"/>
  <c r="G153" i="14" s="1"/>
  <c r="F47" i="14"/>
  <c r="G47" i="14" s="1"/>
  <c r="F459" i="14"/>
  <c r="G459" i="14" s="1"/>
  <c r="F316" i="14"/>
  <c r="G316" i="14" s="1"/>
  <c r="F424" i="14"/>
  <c r="G424" i="14" s="1"/>
  <c r="F485" i="14"/>
  <c r="G485" i="14" s="1"/>
  <c r="F453" i="14"/>
  <c r="G453" i="14" s="1"/>
  <c r="F421" i="14"/>
  <c r="G421" i="14" s="1"/>
  <c r="F389" i="14"/>
  <c r="G389" i="14" s="1"/>
  <c r="F334" i="14"/>
  <c r="G334" i="14" s="1"/>
  <c r="F448" i="14"/>
  <c r="G448" i="14" s="1"/>
  <c r="F398" i="14"/>
  <c r="G398" i="14" s="1"/>
  <c r="F452" i="14"/>
  <c r="G452" i="14" s="1"/>
  <c r="F388" i="14"/>
  <c r="G388" i="14" s="1"/>
  <c r="F288" i="14"/>
  <c r="G288" i="14" s="1"/>
  <c r="F463" i="14"/>
  <c r="G463" i="14" s="1"/>
  <c r="F450" i="14"/>
  <c r="G450" i="14" s="1"/>
  <c r="F401" i="14"/>
  <c r="G401" i="14" s="1"/>
  <c r="F387" i="14"/>
  <c r="G387" i="14" s="1"/>
  <c r="F371" i="14"/>
  <c r="G371" i="14" s="1"/>
  <c r="F311" i="14"/>
  <c r="G311" i="14" s="1"/>
  <c r="F461" i="14"/>
  <c r="G461" i="14" s="1"/>
  <c r="F268" i="14"/>
  <c r="G268" i="14" s="1"/>
  <c r="F362" i="14"/>
  <c r="G362" i="14" s="1"/>
  <c r="F425" i="14"/>
  <c r="G425" i="14" s="1"/>
  <c r="F352" i="14"/>
  <c r="G352" i="14" s="1"/>
  <c r="F317" i="14"/>
  <c r="G317" i="14" s="1"/>
  <c r="F350" i="14"/>
  <c r="G350" i="14" s="1"/>
  <c r="F134" i="14"/>
  <c r="G134" i="14" s="1"/>
  <c r="F102" i="14"/>
  <c r="G102" i="14" s="1"/>
  <c r="F321" i="14"/>
  <c r="G321" i="14" s="1"/>
  <c r="F242" i="14"/>
  <c r="G242" i="14" s="1"/>
  <c r="F183" i="14"/>
  <c r="G183" i="14" s="1"/>
  <c r="F302" i="14"/>
  <c r="G302" i="14" s="1"/>
  <c r="F207" i="14"/>
  <c r="G207" i="14" s="1"/>
  <c r="F279" i="14"/>
  <c r="G279" i="14" s="1"/>
  <c r="F180" i="14"/>
  <c r="G180" i="14" s="1"/>
  <c r="F104" i="14"/>
  <c r="G104" i="14" s="1"/>
  <c r="F43" i="14"/>
  <c r="G43" i="14" s="1"/>
  <c r="F4" i="14"/>
  <c r="F24" i="14"/>
  <c r="G24" i="14" s="1"/>
  <c r="F203" i="14"/>
  <c r="G203" i="14" s="1"/>
  <c r="F167" i="14"/>
  <c r="G167" i="14" s="1"/>
  <c r="F170" i="14"/>
  <c r="G170" i="14" s="1"/>
  <c r="F235" i="14"/>
  <c r="G235" i="14" s="1"/>
  <c r="F196" i="14"/>
  <c r="G196" i="14" s="1"/>
  <c r="F244" i="14"/>
  <c r="G244" i="14" s="1"/>
  <c r="F274" i="14"/>
  <c r="G274" i="14" s="1"/>
  <c r="F154" i="14"/>
  <c r="G154" i="14" s="1"/>
  <c r="F31" i="14"/>
  <c r="G31" i="14" s="1"/>
  <c r="F125" i="14"/>
  <c r="G125" i="14" s="1"/>
  <c r="F395" i="14"/>
  <c r="G395" i="14" s="1"/>
  <c r="F479" i="14"/>
  <c r="G479" i="14" s="1"/>
  <c r="F472" i="14"/>
  <c r="G472" i="14" s="1"/>
  <c r="F374" i="14"/>
  <c r="G374" i="14" s="1"/>
  <c r="F447" i="14"/>
  <c r="G447" i="14" s="1"/>
  <c r="F434" i="14"/>
  <c r="G434" i="14" s="1"/>
  <c r="F385" i="14"/>
  <c r="G385" i="14" s="1"/>
  <c r="F368" i="14"/>
  <c r="G368" i="14" s="1"/>
  <c r="F310" i="14"/>
  <c r="G310" i="14" s="1"/>
  <c r="F445" i="14"/>
  <c r="G445" i="14" s="1"/>
  <c r="F300" i="14"/>
  <c r="G300" i="14" s="1"/>
  <c r="F491" i="14"/>
  <c r="G491" i="14" s="1"/>
  <c r="F257" i="14"/>
  <c r="G257" i="14" s="1"/>
  <c r="F231" i="14"/>
  <c r="G231" i="14" s="1"/>
  <c r="F287" i="14"/>
  <c r="G287" i="14" s="1"/>
  <c r="F127" i="14"/>
  <c r="G127" i="14" s="1"/>
  <c r="F218" i="14"/>
  <c r="G218" i="14" s="1"/>
  <c r="F292" i="14"/>
  <c r="G292" i="14" s="1"/>
  <c r="F211" i="14"/>
  <c r="G211" i="14" s="1"/>
  <c r="F186" i="14"/>
  <c r="G186" i="14" s="1"/>
  <c r="F275" i="14"/>
  <c r="G275" i="14" s="1"/>
  <c r="F121" i="14"/>
  <c r="G121" i="14" s="1"/>
  <c r="F95" i="14"/>
  <c r="G95" i="14" s="1"/>
  <c r="F221" i="14"/>
  <c r="G221" i="14" s="1"/>
  <c r="F42" i="14"/>
  <c r="G42" i="14" s="1"/>
  <c r="F83" i="14"/>
  <c r="G83" i="14" s="1"/>
  <c r="F165" i="14"/>
  <c r="G165" i="14" s="1"/>
  <c r="F109" i="14"/>
  <c r="G109" i="14" s="1"/>
  <c r="F204" i="14"/>
  <c r="G204" i="14" s="1"/>
  <c r="F427" i="14"/>
  <c r="G427" i="14" s="1"/>
  <c r="F470" i="14"/>
  <c r="G470" i="14" s="1"/>
  <c r="F428" i="14"/>
  <c r="G428" i="14" s="1"/>
  <c r="F436" i="14"/>
  <c r="G436" i="14" s="1"/>
  <c r="F372" i="14"/>
  <c r="G372" i="14" s="1"/>
  <c r="F418" i="14"/>
  <c r="G418" i="14" s="1"/>
  <c r="F369" i="14"/>
  <c r="G369" i="14" s="1"/>
  <c r="F429" i="14"/>
  <c r="G429" i="14" s="1"/>
  <c r="F346" i="14"/>
  <c r="G346" i="14" s="1"/>
  <c r="F297" i="14"/>
  <c r="G297" i="14" s="1"/>
  <c r="F473" i="14"/>
  <c r="G473" i="14" s="1"/>
  <c r="F409" i="14"/>
  <c r="G409" i="14" s="1"/>
  <c r="F353" i="14"/>
  <c r="G353" i="14" s="1"/>
  <c r="F254" i="14"/>
  <c r="G254" i="14" s="1"/>
  <c r="F308" i="14"/>
  <c r="G308" i="14" s="1"/>
  <c r="F181" i="14"/>
  <c r="G181" i="14" s="1"/>
  <c r="F299" i="14"/>
  <c r="G299" i="14" s="1"/>
  <c r="F277" i="14"/>
  <c r="G277" i="14" s="1"/>
  <c r="F245" i="14"/>
  <c r="G245" i="14" s="1"/>
  <c r="F158" i="14"/>
  <c r="G158" i="14" s="1"/>
  <c r="F92" i="14"/>
  <c r="G92" i="14" s="1"/>
  <c r="F69" i="14"/>
  <c r="G69" i="14" s="1"/>
  <c r="F209" i="14"/>
  <c r="G209" i="14" s="1"/>
  <c r="F71" i="14"/>
  <c r="G71" i="14" s="1"/>
  <c r="F34" i="14"/>
  <c r="G34" i="14" s="1"/>
  <c r="F75" i="14"/>
  <c r="G75" i="14" s="1"/>
  <c r="F23" i="14"/>
  <c r="G23" i="14" s="1"/>
  <c r="F128" i="14"/>
  <c r="G128" i="14" s="1"/>
  <c r="F82" i="14"/>
  <c r="G82" i="14" s="1"/>
  <c r="F46" i="14"/>
  <c r="G46" i="14" s="1"/>
  <c r="F61" i="14"/>
  <c r="G61" i="14" s="1"/>
  <c r="F255" i="14"/>
  <c r="G255" i="14" s="1"/>
  <c r="F66" i="14"/>
  <c r="G66" i="14" s="1"/>
  <c r="F124" i="14"/>
  <c r="G124" i="14" s="1"/>
  <c r="F481" i="14"/>
  <c r="G481" i="14" s="1"/>
  <c r="F284" i="14"/>
  <c r="G284" i="14" s="1"/>
  <c r="F354" i="14"/>
  <c r="G354" i="14" s="1"/>
  <c r="F327" i="14"/>
  <c r="G327" i="14" s="1"/>
  <c r="F293" i="14"/>
  <c r="G293" i="14" s="1"/>
  <c r="F269" i="14"/>
  <c r="G269" i="14" s="1"/>
  <c r="F289" i="14"/>
  <c r="G289" i="14" s="1"/>
  <c r="F315" i="14"/>
  <c r="G315" i="14" s="1"/>
  <c r="F280" i="14"/>
  <c r="G280" i="14" s="1"/>
  <c r="F169" i="14"/>
  <c r="G169" i="14" s="1"/>
  <c r="F240" i="14"/>
  <c r="G240" i="14" s="1"/>
  <c r="F87" i="14"/>
  <c r="G87" i="14" s="1"/>
  <c r="F26" i="14"/>
  <c r="G26" i="14" s="1"/>
  <c r="F123" i="14"/>
  <c r="G123" i="14" s="1"/>
  <c r="F233" i="14"/>
  <c r="G233" i="14" s="1"/>
  <c r="F142" i="14"/>
  <c r="G142" i="14" s="1"/>
  <c r="F261" i="14"/>
  <c r="G261" i="14" s="1"/>
  <c r="F198" i="14"/>
  <c r="G198" i="14" s="1"/>
  <c r="F94" i="14"/>
  <c r="G94" i="14" s="1"/>
  <c r="F63" i="14"/>
  <c r="G63" i="14" s="1"/>
  <c r="F101" i="14"/>
  <c r="G101" i="14" s="1"/>
  <c r="F438" i="14"/>
  <c r="G438" i="14" s="1"/>
  <c r="F469" i="14"/>
  <c r="G469" i="14" s="1"/>
  <c r="F437" i="14"/>
  <c r="G437" i="14" s="1"/>
  <c r="F405" i="14"/>
  <c r="G405" i="14" s="1"/>
  <c r="F373" i="14"/>
  <c r="G373" i="14" s="1"/>
  <c r="F462" i="14"/>
  <c r="G462" i="14" s="1"/>
  <c r="F384" i="14"/>
  <c r="G384" i="14" s="1"/>
  <c r="F320" i="14"/>
  <c r="G320" i="14" s="1"/>
  <c r="F465" i="14"/>
  <c r="G465" i="14" s="1"/>
  <c r="F451" i="14"/>
  <c r="G451" i="14" s="1"/>
  <c r="F399" i="14"/>
  <c r="G399" i="14" s="1"/>
  <c r="F386" i="14"/>
  <c r="G386" i="14" s="1"/>
  <c r="F367" i="14"/>
  <c r="G367" i="14" s="1"/>
  <c r="F324" i="14"/>
  <c r="G324" i="14" s="1"/>
  <c r="F397" i="14"/>
  <c r="G397" i="14" s="1"/>
  <c r="F282" i="14"/>
  <c r="G282" i="14" s="1"/>
  <c r="F360" i="14"/>
  <c r="G360" i="14" s="1"/>
  <c r="F457" i="14"/>
  <c r="G457" i="14" s="1"/>
  <c r="F393" i="14"/>
  <c r="G393" i="14" s="1"/>
  <c r="F318" i="14"/>
  <c r="G318" i="14" s="1"/>
  <c r="F331" i="14"/>
  <c r="G331" i="14" s="1"/>
  <c r="F305" i="14"/>
  <c r="G305" i="14" s="1"/>
  <c r="F272" i="14"/>
  <c r="G272" i="14" s="1"/>
  <c r="F179" i="14"/>
  <c r="G179" i="14" s="1"/>
  <c r="F323" i="14"/>
  <c r="G323" i="14" s="1"/>
  <c r="F250" i="14"/>
  <c r="G250" i="14" s="1"/>
  <c r="F176" i="14"/>
  <c r="G176" i="14" s="1"/>
  <c r="F301" i="14"/>
  <c r="G301" i="14" s="1"/>
  <c r="F228" i="14"/>
  <c r="G228" i="14" s="1"/>
  <c r="F161" i="14"/>
  <c r="G161" i="14" s="1"/>
  <c r="F132" i="14"/>
  <c r="G132" i="14" s="1"/>
  <c r="F84" i="14"/>
  <c r="G84" i="14" s="1"/>
  <c r="F172" i="14"/>
  <c r="G172" i="14" s="1"/>
  <c r="F112" i="14"/>
  <c r="G112" i="14" s="1"/>
  <c r="F74" i="14"/>
  <c r="G74" i="14" s="1"/>
  <c r="F52" i="14"/>
  <c r="G52" i="14" s="1"/>
  <c r="F11" i="14"/>
  <c r="G11" i="14" s="1"/>
  <c r="F251" i="14"/>
  <c r="G251" i="14" s="1"/>
  <c r="F119" i="14"/>
  <c r="G119" i="14" s="1"/>
  <c r="H5" i="1"/>
  <c r="H7" i="1"/>
  <c r="H8" i="1"/>
  <c r="H9" i="1"/>
  <c r="H20" i="1"/>
  <c r="H28" i="1"/>
  <c r="H36" i="1"/>
  <c r="H45" i="1"/>
  <c r="H49" i="1"/>
  <c r="H53" i="1"/>
  <c r="H59" i="1"/>
  <c r="H66" i="1"/>
  <c r="H69" i="1"/>
  <c r="H75" i="1"/>
  <c r="H100" i="1"/>
  <c r="H105" i="1"/>
  <c r="H110" i="1"/>
  <c r="H132" i="1"/>
  <c r="H164" i="1"/>
  <c r="H169" i="1"/>
  <c r="H196" i="1"/>
  <c r="H201" i="1"/>
  <c r="H231" i="1"/>
  <c r="H295" i="1"/>
  <c r="H756" i="1"/>
  <c r="H748" i="1"/>
  <c r="H740" i="1"/>
  <c r="H732" i="1"/>
  <c r="H724" i="1"/>
  <c r="H716" i="1"/>
  <c r="H708" i="1"/>
  <c r="H700" i="1"/>
  <c r="H692" i="1"/>
  <c r="H684" i="1"/>
  <c r="H676" i="1"/>
  <c r="H668" i="1"/>
  <c r="H660" i="1"/>
  <c r="H652" i="1"/>
  <c r="H644" i="1"/>
  <c r="H636" i="1"/>
  <c r="H628" i="1"/>
  <c r="H620" i="1"/>
  <c r="H612" i="1"/>
  <c r="H604" i="1"/>
  <c r="H596" i="1"/>
  <c r="H588" i="1"/>
  <c r="H580" i="1"/>
  <c r="H572" i="1"/>
  <c r="H564" i="1"/>
  <c r="H556" i="1"/>
  <c r="H548" i="1"/>
  <c r="H540" i="1"/>
  <c r="H532" i="1"/>
  <c r="H524" i="1"/>
  <c r="H516" i="1"/>
  <c r="H508" i="1"/>
  <c r="H500" i="1"/>
  <c r="H492" i="1"/>
  <c r="H484" i="1"/>
  <c r="H476" i="1"/>
  <c r="H567" i="1"/>
  <c r="H559" i="1"/>
  <c r="H757" i="1"/>
  <c r="H749" i="1"/>
  <c r="H741" i="1"/>
  <c r="H733" i="1"/>
  <c r="H725" i="1"/>
  <c r="H717" i="1"/>
  <c r="H709" i="1"/>
  <c r="H701" i="1"/>
  <c r="H693" i="1"/>
  <c r="H685" i="1"/>
  <c r="H677" i="1"/>
  <c r="H669" i="1"/>
  <c r="H661" i="1"/>
  <c r="H653" i="1"/>
  <c r="H645" i="1"/>
  <c r="H637" i="1"/>
  <c r="H629" i="1"/>
  <c r="H621" i="1"/>
  <c r="H613" i="1"/>
  <c r="H605" i="1"/>
  <c r="H597" i="1"/>
  <c r="H589" i="1"/>
  <c r="H581" i="1"/>
  <c r="H573" i="1"/>
  <c r="H565" i="1"/>
  <c r="H557" i="1"/>
  <c r="H549" i="1"/>
  <c r="H541" i="1"/>
  <c r="H533" i="1"/>
  <c r="H525" i="1"/>
  <c r="H517" i="1"/>
  <c r="H509" i="1"/>
  <c r="H501" i="1"/>
  <c r="H493" i="1"/>
  <c r="H485" i="1"/>
  <c r="H477" i="1"/>
  <c r="H760" i="1"/>
  <c r="H752" i="1"/>
  <c r="H744" i="1"/>
  <c r="H736" i="1"/>
  <c r="H728" i="1"/>
  <c r="H720" i="1"/>
  <c r="H712" i="1"/>
  <c r="H704" i="1"/>
  <c r="H696" i="1"/>
  <c r="H688" i="1"/>
  <c r="H680" i="1"/>
  <c r="H672" i="1"/>
  <c r="H664" i="1"/>
  <c r="H656" i="1"/>
  <c r="H648" i="1"/>
  <c r="H640" i="1"/>
  <c r="H632" i="1"/>
  <c r="H624" i="1"/>
  <c r="H616" i="1"/>
  <c r="H608" i="1"/>
  <c r="H600" i="1"/>
  <c r="H592" i="1"/>
  <c r="H584" i="1"/>
  <c r="H576" i="1"/>
  <c r="H568" i="1"/>
  <c r="H560" i="1"/>
  <c r="H552" i="1"/>
  <c r="H544" i="1"/>
  <c r="H536" i="1"/>
  <c r="H528" i="1"/>
  <c r="H520" i="1"/>
  <c r="H512" i="1"/>
  <c r="H504" i="1"/>
  <c r="H496" i="1"/>
  <c r="H488" i="1"/>
  <c r="H480" i="1"/>
  <c r="H755" i="1"/>
  <c r="H747" i="1"/>
  <c r="H739" i="1"/>
  <c r="H731" i="1"/>
  <c r="H723" i="1"/>
  <c r="H715" i="1"/>
  <c r="H707" i="1"/>
  <c r="H699" i="1"/>
  <c r="H691" i="1"/>
  <c r="H683" i="1"/>
  <c r="H675" i="1"/>
  <c r="H667" i="1"/>
  <c r="H659" i="1"/>
  <c r="H651" i="1"/>
  <c r="H643" i="1"/>
  <c r="H635" i="1"/>
  <c r="H627" i="1"/>
  <c r="H619" i="1"/>
  <c r="H611" i="1"/>
  <c r="H603" i="1"/>
  <c r="H595" i="1"/>
  <c r="H587" i="1"/>
  <c r="H579" i="1"/>
  <c r="H571" i="1"/>
  <c r="H563" i="1"/>
  <c r="H718" i="1"/>
  <c r="H710" i="1"/>
  <c r="H702" i="1"/>
  <c r="H694" i="1"/>
  <c r="H686" i="1"/>
  <c r="H678" i="1"/>
  <c r="H670" i="1"/>
  <c r="H662" i="1"/>
  <c r="H654" i="1"/>
  <c r="H646" i="1"/>
  <c r="H638" i="1"/>
  <c r="H630" i="1"/>
  <c r="H622" i="1"/>
  <c r="H614" i="1"/>
  <c r="H606" i="1"/>
  <c r="H598" i="1"/>
  <c r="H590" i="1"/>
  <c r="H582" i="1"/>
  <c r="H574" i="1"/>
  <c r="H566" i="1"/>
  <c r="H558" i="1"/>
  <c r="H550" i="1"/>
  <c r="H542" i="1"/>
  <c r="H534" i="1"/>
  <c r="H526" i="1"/>
  <c r="H518" i="1"/>
  <c r="H510" i="1"/>
  <c r="H502" i="1"/>
  <c r="H494" i="1"/>
  <c r="H486" i="1"/>
  <c r="H478" i="1"/>
  <c r="H729" i="1"/>
  <c r="H697" i="1"/>
  <c r="H665" i="1"/>
  <c r="H633" i="1"/>
  <c r="H601" i="1"/>
  <c r="H569" i="1"/>
  <c r="H537" i="1"/>
  <c r="H505" i="1"/>
  <c r="H464" i="1"/>
  <c r="H462" i="1"/>
  <c r="H455" i="1"/>
  <c r="H435" i="1"/>
  <c r="H427" i="1"/>
  <c r="H419" i="1"/>
  <c r="H411" i="1"/>
  <c r="H403" i="1"/>
  <c r="H395" i="1"/>
  <c r="H387" i="1"/>
  <c r="H379" i="1"/>
  <c r="H371" i="1"/>
  <c r="H363" i="1"/>
  <c r="H355" i="1"/>
  <c r="H347" i="1"/>
  <c r="H460" i="1"/>
  <c r="H406" i="1"/>
  <c r="H398" i="1"/>
  <c r="H390" i="1"/>
  <c r="H382" i="1"/>
  <c r="H374" i="1"/>
  <c r="H366" i="1"/>
  <c r="H358" i="1"/>
  <c r="H350" i="1"/>
  <c r="H318" i="1"/>
  <c r="H310" i="1"/>
  <c r="H302" i="1"/>
  <c r="H270" i="1"/>
  <c r="H254" i="1"/>
  <c r="H246" i="1"/>
  <c r="H238" i="1"/>
  <c r="H230" i="1"/>
  <c r="H222" i="1"/>
  <c r="H753" i="1"/>
  <c r="H721" i="1"/>
  <c r="H689" i="1"/>
  <c r="H657" i="1"/>
  <c r="H625" i="1"/>
  <c r="H593" i="1"/>
  <c r="H561" i="1"/>
  <c r="H529" i="1"/>
  <c r="H497" i="1"/>
  <c r="H473" i="1"/>
  <c r="H469" i="1"/>
  <c r="H337" i="1"/>
  <c r="H329" i="1"/>
  <c r="H321" i="1"/>
  <c r="H313" i="1"/>
  <c r="H305" i="1"/>
  <c r="H225" i="1"/>
  <c r="H465" i="1"/>
  <c r="H456" i="1"/>
  <c r="H451" i="1"/>
  <c r="H446" i="1"/>
  <c r="H436" i="1"/>
  <c r="H428" i="1"/>
  <c r="H420" i="1"/>
  <c r="H412" i="1"/>
  <c r="H404" i="1"/>
  <c r="H396" i="1"/>
  <c r="H388" i="1"/>
  <c r="H380" i="1"/>
  <c r="H372" i="1"/>
  <c r="H364" i="1"/>
  <c r="H356" i="1"/>
  <c r="H348" i="1"/>
  <c r="H745" i="1"/>
  <c r="H713" i="1"/>
  <c r="H681" i="1"/>
  <c r="H649" i="1"/>
  <c r="H617" i="1"/>
  <c r="H585" i="1"/>
  <c r="H553" i="1"/>
  <c r="H521" i="1"/>
  <c r="H489" i="1"/>
  <c r="H449" i="1"/>
  <c r="H444" i="1"/>
  <c r="H454" i="1"/>
  <c r="H434" i="1"/>
  <c r="H426" i="1"/>
  <c r="H418" i="1"/>
  <c r="H410" i="1"/>
  <c r="H402" i="1"/>
  <c r="H394" i="1"/>
  <c r="H386" i="1"/>
  <c r="H378" i="1"/>
  <c r="H370" i="1"/>
  <c r="H362" i="1"/>
  <c r="H354" i="1"/>
  <c r="H346" i="1"/>
  <c r="H338" i="1"/>
  <c r="H737" i="1"/>
  <c r="H705" i="1"/>
  <c r="H673" i="1"/>
  <c r="H641" i="1"/>
  <c r="H609" i="1"/>
  <c r="H577" i="1"/>
  <c r="H545" i="1"/>
  <c r="H513" i="1"/>
  <c r="H481" i="1"/>
  <c r="H470" i="1"/>
  <c r="H459" i="1"/>
  <c r="H457" i="1"/>
  <c r="H452" i="1"/>
  <c r="H447" i="1"/>
  <c r="H437" i="1"/>
  <c r="H429" i="1"/>
  <c r="H421" i="1"/>
  <c r="H413" i="1"/>
  <c r="H405" i="1"/>
  <c r="H397" i="1"/>
  <c r="H389" i="1"/>
  <c r="H381" i="1"/>
  <c r="H373" i="1"/>
  <c r="H365" i="1"/>
  <c r="H357" i="1"/>
  <c r="H349" i="1"/>
  <c r="H341" i="1"/>
  <c r="H333" i="1"/>
  <c r="H325" i="1"/>
  <c r="H317" i="1"/>
  <c r="H331" i="1"/>
  <c r="H323" i="1"/>
  <c r="H315" i="1"/>
  <c r="H298" i="1"/>
  <c r="H296" i="1"/>
  <c r="H283" i="1"/>
  <c r="H266" i="1"/>
  <c r="H264" i="1"/>
  <c r="H251" i="1"/>
  <c r="H234" i="1"/>
  <c r="H232" i="1"/>
  <c r="H219" i="1"/>
  <c r="H214" i="1"/>
  <c r="H206" i="1"/>
  <c r="H198" i="1"/>
  <c r="H190" i="1"/>
  <c r="H182" i="1"/>
  <c r="H174" i="1"/>
  <c r="H166" i="1"/>
  <c r="H158" i="1"/>
  <c r="H150" i="1"/>
  <c r="H142" i="1"/>
  <c r="H134" i="1"/>
  <c r="H126" i="1"/>
  <c r="H78" i="1"/>
  <c r="H62" i="1"/>
  <c r="H54" i="1"/>
  <c r="H46" i="1"/>
  <c r="H424" i="1"/>
  <c r="H392" i="1"/>
  <c r="H360" i="1"/>
  <c r="H339" i="1"/>
  <c r="H309" i="1"/>
  <c r="H292" i="1"/>
  <c r="H277" i="1"/>
  <c r="H260" i="1"/>
  <c r="H245" i="1"/>
  <c r="H228" i="1"/>
  <c r="H217" i="1"/>
  <c r="H209" i="1"/>
  <c r="H137" i="1"/>
  <c r="H121" i="1"/>
  <c r="H307" i="1"/>
  <c r="H288" i="1"/>
  <c r="H275" i="1"/>
  <c r="H256" i="1"/>
  <c r="H243" i="1"/>
  <c r="H224" i="1"/>
  <c r="H76" i="1"/>
  <c r="H416" i="1"/>
  <c r="H384" i="1"/>
  <c r="H352" i="1"/>
  <c r="H336" i="1"/>
  <c r="H332" i="1"/>
  <c r="H328" i="1"/>
  <c r="H324" i="1"/>
  <c r="H320" i="1"/>
  <c r="H316" i="1"/>
  <c r="H301" i="1"/>
  <c r="H284" i="1"/>
  <c r="H269" i="1"/>
  <c r="H252" i="1"/>
  <c r="H237" i="1"/>
  <c r="H220" i="1"/>
  <c r="H215" i="1"/>
  <c r="H207" i="1"/>
  <c r="H199" i="1"/>
  <c r="H191" i="1"/>
  <c r="H183" i="1"/>
  <c r="H175" i="1"/>
  <c r="H167" i="1"/>
  <c r="H159" i="1"/>
  <c r="H151" i="1"/>
  <c r="H143" i="1"/>
  <c r="H135" i="1"/>
  <c r="H127" i="1"/>
  <c r="H119" i="1"/>
  <c r="H111" i="1"/>
  <c r="H103" i="1"/>
  <c r="H95" i="1"/>
  <c r="H87" i="1"/>
  <c r="H79" i="1"/>
  <c r="H71" i="1"/>
  <c r="H63" i="1"/>
  <c r="H55" i="1"/>
  <c r="H468" i="1"/>
  <c r="H340" i="1"/>
  <c r="H330" i="1"/>
  <c r="H322" i="1"/>
  <c r="H314" i="1"/>
  <c r="H312" i="1"/>
  <c r="H299" i="1"/>
  <c r="H282" i="1"/>
  <c r="H280" i="1"/>
  <c r="H267" i="1"/>
  <c r="H250" i="1"/>
  <c r="H248" i="1"/>
  <c r="H235" i="1"/>
  <c r="H218" i="1"/>
  <c r="H210" i="1"/>
  <c r="H202" i="1"/>
  <c r="H194" i="1"/>
  <c r="H186" i="1"/>
  <c r="H178" i="1"/>
  <c r="H170" i="1"/>
  <c r="H162" i="1"/>
  <c r="H154" i="1"/>
  <c r="H146" i="1"/>
  <c r="H138" i="1"/>
  <c r="H130" i="1"/>
  <c r="H122" i="1"/>
  <c r="H114" i="1"/>
  <c r="H106" i="1"/>
  <c r="H98" i="1"/>
  <c r="H90" i="1"/>
  <c r="H82" i="1"/>
  <c r="H445" i="1"/>
  <c r="H440" i="1"/>
  <c r="H408" i="1"/>
  <c r="H376" i="1"/>
  <c r="H344" i="1"/>
  <c r="H308" i="1"/>
  <c r="H293" i="1"/>
  <c r="H276" i="1"/>
  <c r="H261" i="1"/>
  <c r="H244" i="1"/>
  <c r="H229" i="1"/>
  <c r="H306" i="1"/>
  <c r="H304" i="1"/>
  <c r="H291" i="1"/>
  <c r="H274" i="1"/>
  <c r="H272" i="1"/>
  <c r="H259" i="1"/>
  <c r="H242" i="1"/>
  <c r="H240" i="1"/>
  <c r="H227" i="1"/>
  <c r="H216" i="1"/>
  <c r="H208" i="1"/>
  <c r="H200" i="1"/>
  <c r="H192" i="1"/>
  <c r="H184" i="1"/>
  <c r="H176" i="1"/>
  <c r="H168" i="1"/>
  <c r="H160" i="1"/>
  <c r="H152" i="1"/>
  <c r="H144" i="1"/>
  <c r="H136" i="1"/>
  <c r="H128" i="1"/>
  <c r="H120" i="1"/>
  <c r="H112" i="1"/>
  <c r="H104" i="1"/>
  <c r="H96" i="1"/>
  <c r="H88" i="1"/>
  <c r="H80" i="1"/>
  <c r="H72" i="1"/>
  <c r="H64" i="1"/>
  <c r="H56" i="1"/>
  <c r="H17" i="1"/>
  <c r="H25" i="1"/>
  <c r="H33" i="1"/>
  <c r="H41" i="1"/>
  <c r="H60" i="1"/>
  <c r="H93" i="1"/>
  <c r="H107" i="1"/>
  <c r="H125" i="1"/>
  <c r="H139" i="1"/>
  <c r="H157" i="1"/>
  <c r="H171" i="1"/>
  <c r="H189" i="1"/>
  <c r="H203" i="1"/>
  <c r="H226" i="1"/>
  <c r="H290" i="1"/>
  <c r="H463" i="1"/>
  <c r="H22" i="1"/>
  <c r="H30" i="1"/>
  <c r="H38" i="1"/>
  <c r="H65" i="1"/>
  <c r="H81" i="1"/>
  <c r="H86" i="1"/>
  <c r="H108" i="1"/>
  <c r="H113" i="1"/>
  <c r="H118" i="1"/>
  <c r="H140" i="1"/>
  <c r="H145" i="1"/>
  <c r="H172" i="1"/>
  <c r="H177" i="1"/>
  <c r="H204" i="1"/>
  <c r="H368" i="1"/>
  <c r="H12" i="1"/>
  <c r="H14" i="1"/>
  <c r="H19" i="1"/>
  <c r="H27" i="1"/>
  <c r="H35" i="1"/>
  <c r="H43" i="1"/>
  <c r="H47" i="1"/>
  <c r="H51" i="1"/>
  <c r="H83" i="1"/>
  <c r="H101" i="1"/>
  <c r="H115" i="1"/>
  <c r="H133" i="1"/>
  <c r="H147" i="1"/>
  <c r="H165" i="1"/>
  <c r="H179" i="1"/>
  <c r="H197" i="1"/>
  <c r="H211" i="1"/>
  <c r="H236" i="1"/>
  <c r="H278" i="1"/>
  <c r="H300" i="1"/>
  <c r="H359" i="1"/>
  <c r="H58" i="1"/>
  <c r="H61" i="1"/>
  <c r="H67" i="1"/>
  <c r="H70" i="1"/>
  <c r="H74" i="1"/>
  <c r="H77" i="1"/>
  <c r="H84" i="1"/>
  <c r="H89" i="1"/>
  <c r="H94" i="1"/>
  <c r="H116" i="1"/>
  <c r="H148" i="1"/>
  <c r="H153" i="1"/>
  <c r="H180" i="1"/>
  <c r="H185" i="1"/>
  <c r="H212" i="1"/>
  <c r="H221" i="1"/>
  <c r="H263" i="1"/>
  <c r="H285" i="1"/>
  <c r="H400" i="1"/>
  <c r="H21" i="1"/>
  <c r="H29" i="1"/>
  <c r="H44" i="1"/>
  <c r="H52" i="1"/>
  <c r="H68" i="1"/>
  <c r="H91" i="1"/>
  <c r="H109" i="1"/>
  <c r="H123" i="1"/>
  <c r="H141" i="1"/>
  <c r="H155" i="1"/>
  <c r="H173" i="1"/>
  <c r="H205" i="1"/>
  <c r="H258" i="1"/>
  <c r="H391" i="1"/>
  <c r="H50" i="1"/>
  <c r="H57" i="1"/>
  <c r="H73" i="1"/>
  <c r="H92" i="1"/>
  <c r="H97" i="1"/>
  <c r="H102" i="1"/>
  <c r="H124" i="1"/>
  <c r="H129" i="1"/>
  <c r="H156" i="1"/>
  <c r="H161" i="1"/>
  <c r="H188" i="1"/>
  <c r="H193" i="1"/>
  <c r="H432" i="1"/>
  <c r="H233" i="1"/>
  <c r="H265" i="1"/>
  <c r="H297" i="1"/>
  <c r="H326" i="1"/>
  <c r="H334" i="1"/>
  <c r="H369" i="1"/>
  <c r="H401" i="1"/>
  <c r="H433" i="1"/>
  <c r="H438" i="1"/>
  <c r="H443" i="1"/>
  <c r="H448" i="1"/>
  <c r="H453" i="1"/>
  <c r="H239" i="1"/>
  <c r="H271" i="1"/>
  <c r="H286" i="1"/>
  <c r="H303" i="1"/>
  <c r="H367" i="1"/>
  <c r="H399" i="1"/>
  <c r="H431" i="1"/>
  <c r="H461" i="1"/>
  <c r="H241" i="1"/>
  <c r="H273" i="1"/>
  <c r="H343" i="1"/>
  <c r="H345" i="1"/>
  <c r="H377" i="1"/>
  <c r="H409" i="1"/>
  <c r="H414" i="1"/>
  <c r="H441" i="1"/>
  <c r="H479" i="1"/>
  <c r="H511" i="1"/>
  <c r="H543" i="1"/>
  <c r="H575" i="1"/>
  <c r="H607" i="1"/>
  <c r="H639" i="1"/>
  <c r="H671" i="1"/>
  <c r="H703" i="1"/>
  <c r="H735" i="1"/>
  <c r="H247" i="1"/>
  <c r="H262" i="1"/>
  <c r="H279" i="1"/>
  <c r="H294" i="1"/>
  <c r="H311" i="1"/>
  <c r="H375" i="1"/>
  <c r="H407" i="1"/>
  <c r="H439" i="1"/>
  <c r="H506" i="1"/>
  <c r="H538" i="1"/>
  <c r="H570" i="1"/>
  <c r="H602" i="1"/>
  <c r="H634" i="1"/>
  <c r="H666" i="1"/>
  <c r="H698" i="1"/>
  <c r="H730" i="1"/>
  <c r="H249" i="1"/>
  <c r="H281" i="1"/>
  <c r="H319" i="1"/>
  <c r="H327" i="1"/>
  <c r="H335" i="1"/>
  <c r="H353" i="1"/>
  <c r="H385" i="1"/>
  <c r="H417" i="1"/>
  <c r="H422" i="1"/>
  <c r="H223" i="1"/>
  <c r="H255" i="1"/>
  <c r="H287" i="1"/>
  <c r="H351" i="1"/>
  <c r="H383" i="1"/>
  <c r="H415" i="1"/>
  <c r="H257" i="1"/>
  <c r="H289" i="1"/>
  <c r="H342" i="1"/>
  <c r="H361" i="1"/>
  <c r="H393" i="1"/>
  <c r="H425" i="1"/>
  <c r="H430" i="1"/>
  <c r="H467" i="1"/>
  <c r="H499" i="1"/>
  <c r="H531" i="1"/>
  <c r="H750" i="1"/>
  <c r="H471" i="1"/>
  <c r="H475" i="1"/>
  <c r="H482" i="1"/>
  <c r="H487" i="1"/>
  <c r="H514" i="1"/>
  <c r="H519" i="1"/>
  <c r="H546" i="1"/>
  <c r="H551" i="1"/>
  <c r="H578" i="1"/>
  <c r="H583" i="1"/>
  <c r="H610" i="1"/>
  <c r="H615" i="1"/>
  <c r="H642" i="1"/>
  <c r="H647" i="1"/>
  <c r="H674" i="1"/>
  <c r="H679" i="1"/>
  <c r="H706" i="1"/>
  <c r="H711" i="1"/>
  <c r="H738" i="1"/>
  <c r="H743" i="1"/>
  <c r="H458" i="1"/>
  <c r="H507" i="1"/>
  <c r="H539" i="1"/>
  <c r="H726" i="1"/>
  <c r="H758" i="1"/>
  <c r="H490" i="1"/>
  <c r="H495" i="1"/>
  <c r="H522" i="1"/>
  <c r="H527" i="1"/>
  <c r="H554" i="1"/>
  <c r="H586" i="1"/>
  <c r="H591" i="1"/>
  <c r="H618" i="1"/>
  <c r="H623" i="1"/>
  <c r="H650" i="1"/>
  <c r="H655" i="1"/>
  <c r="H682" i="1"/>
  <c r="H687" i="1"/>
  <c r="H714" i="1"/>
  <c r="H719" i="1"/>
  <c r="H746" i="1"/>
  <c r="H751" i="1"/>
  <c r="H450" i="1"/>
  <c r="H483" i="1"/>
  <c r="H515" i="1"/>
  <c r="H547" i="1"/>
  <c r="H734" i="1"/>
  <c r="H466" i="1"/>
  <c r="H498" i="1"/>
  <c r="H503" i="1"/>
  <c r="H530" i="1"/>
  <c r="H535" i="1"/>
  <c r="H562" i="1"/>
  <c r="H594" i="1"/>
  <c r="H599" i="1"/>
  <c r="H626" i="1"/>
  <c r="H631" i="1"/>
  <c r="H658" i="1"/>
  <c r="H663" i="1"/>
  <c r="H690" i="1"/>
  <c r="H695" i="1"/>
  <c r="H722" i="1"/>
  <c r="H727" i="1"/>
  <c r="H754" i="1"/>
  <c r="H759" i="1"/>
  <c r="H442" i="1"/>
  <c r="H474" i="1"/>
  <c r="H491" i="1"/>
  <c r="H523" i="1"/>
  <c r="H555" i="1"/>
  <c r="H742" i="1"/>
  <c r="H4" i="14" l="1"/>
  <c r="J15" i="12"/>
  <c r="J16" i="12" s="1"/>
  <c r="J17" i="12" s="1"/>
  <c r="J18" i="12" s="1"/>
  <c r="J19" i="12" s="1"/>
  <c r="J20" i="12" s="1"/>
  <c r="J21" i="12" s="1"/>
  <c r="J22" i="12" s="1"/>
  <c r="J23" i="12" s="1"/>
  <c r="J24" i="12" s="1"/>
  <c r="J25" i="12" s="1"/>
  <c r="J26" i="12" s="1"/>
  <c r="J27" i="12" s="1"/>
  <c r="J28" i="12" s="1"/>
  <c r="J29" i="12" s="1"/>
  <c r="J30" i="12" s="1"/>
  <c r="J31" i="12" s="1"/>
  <c r="B14" i="13"/>
  <c r="H5" i="13"/>
  <c r="H6" i="13"/>
  <c r="I6" i="13"/>
  <c r="I5" i="13"/>
  <c r="J6" i="13"/>
  <c r="J5" i="13"/>
  <c r="N7" i="1"/>
  <c r="N8" i="1" s="1"/>
  <c r="K1" i="1"/>
  <c r="L19" i="14" l="1"/>
  <c r="K23" i="12"/>
  <c r="K22" i="12"/>
  <c r="K18" i="12"/>
  <c r="K24" i="12"/>
  <c r="K29" i="12"/>
  <c r="K27" i="12"/>
  <c r="J32" i="12"/>
  <c r="K31" i="12"/>
  <c r="K16" i="12"/>
  <c r="K21" i="12"/>
  <c r="K26" i="12"/>
  <c r="K28" i="12"/>
  <c r="K20" i="12"/>
  <c r="K25" i="12"/>
  <c r="K30" i="12"/>
  <c r="K19" i="12"/>
  <c r="K17" i="12"/>
  <c r="B16" i="13"/>
  <c r="I767" i="1"/>
  <c r="I759" i="1"/>
  <c r="I751" i="1"/>
  <c r="I743" i="1"/>
  <c r="I735" i="1"/>
  <c r="I727" i="1"/>
  <c r="I719" i="1"/>
  <c r="I711" i="1"/>
  <c r="I703" i="1"/>
  <c r="I695" i="1"/>
  <c r="I687" i="1"/>
  <c r="I679" i="1"/>
  <c r="I671" i="1"/>
  <c r="I663" i="1"/>
  <c r="I655" i="1"/>
  <c r="I647" i="1"/>
  <c r="I639" i="1"/>
  <c r="I631" i="1"/>
  <c r="I623" i="1"/>
  <c r="I615" i="1"/>
  <c r="I607" i="1"/>
  <c r="I599" i="1"/>
  <c r="I591" i="1"/>
  <c r="I583" i="1"/>
  <c r="I575" i="1"/>
  <c r="I567" i="1"/>
  <c r="I559" i="1"/>
  <c r="I551" i="1"/>
  <c r="I543" i="1"/>
  <c r="I535" i="1"/>
  <c r="I527" i="1"/>
  <c r="I519" i="1"/>
  <c r="I511" i="1"/>
  <c r="I503" i="1"/>
  <c r="I495" i="1"/>
  <c r="I487" i="1"/>
  <c r="I479" i="1"/>
  <c r="I471" i="1"/>
  <c r="I770" i="1"/>
  <c r="I762" i="1"/>
  <c r="I754" i="1"/>
  <c r="I746" i="1"/>
  <c r="I738" i="1"/>
  <c r="I730" i="1"/>
  <c r="I722" i="1"/>
  <c r="I714" i="1"/>
  <c r="I706" i="1"/>
  <c r="I698" i="1"/>
  <c r="I690" i="1"/>
  <c r="I682" i="1"/>
  <c r="I674" i="1"/>
  <c r="I666" i="1"/>
  <c r="I658" i="1"/>
  <c r="I650" i="1"/>
  <c r="I642" i="1"/>
  <c r="I634" i="1"/>
  <c r="I626" i="1"/>
  <c r="I618" i="1"/>
  <c r="I610" i="1"/>
  <c r="I602" i="1"/>
  <c r="I594" i="1"/>
  <c r="I586" i="1"/>
  <c r="I578" i="1"/>
  <c r="I570" i="1"/>
  <c r="I562" i="1"/>
  <c r="I554" i="1"/>
  <c r="I546" i="1"/>
  <c r="I538" i="1"/>
  <c r="I530" i="1"/>
  <c r="I522" i="1"/>
  <c r="I514" i="1"/>
  <c r="I506" i="1"/>
  <c r="I498" i="1"/>
  <c r="I490" i="1"/>
  <c r="I482" i="1"/>
  <c r="I474" i="1"/>
  <c r="I466" i="1"/>
  <c r="I458" i="1"/>
  <c r="I765" i="1"/>
  <c r="I757" i="1"/>
  <c r="I749" i="1"/>
  <c r="I741" i="1"/>
  <c r="I733" i="1"/>
  <c r="I725" i="1"/>
  <c r="I717" i="1"/>
  <c r="I709" i="1"/>
  <c r="I701" i="1"/>
  <c r="I693" i="1"/>
  <c r="I685" i="1"/>
  <c r="I677" i="1"/>
  <c r="I669" i="1"/>
  <c r="I661" i="1"/>
  <c r="I653" i="1"/>
  <c r="I645" i="1"/>
  <c r="I637" i="1"/>
  <c r="I629" i="1"/>
  <c r="I621" i="1"/>
  <c r="I613" i="1"/>
  <c r="I605" i="1"/>
  <c r="I597" i="1"/>
  <c r="I589" i="1"/>
  <c r="I581" i="1"/>
  <c r="I573" i="1"/>
  <c r="I565" i="1"/>
  <c r="I557" i="1"/>
  <c r="I549" i="1"/>
  <c r="I541" i="1"/>
  <c r="I533" i="1"/>
  <c r="I525" i="1"/>
  <c r="I517" i="1"/>
  <c r="I509" i="1"/>
  <c r="I501" i="1"/>
  <c r="I493" i="1"/>
  <c r="I485" i="1"/>
  <c r="I477" i="1"/>
  <c r="I469" i="1"/>
  <c r="I461" i="1"/>
  <c r="I453" i="1"/>
  <c r="I445" i="1"/>
  <c r="I768" i="1"/>
  <c r="I760" i="1"/>
  <c r="I752" i="1"/>
  <c r="I744" i="1"/>
  <c r="I736" i="1"/>
  <c r="I728" i="1"/>
  <c r="I720" i="1"/>
  <c r="I712" i="1"/>
  <c r="I704" i="1"/>
  <c r="I696" i="1"/>
  <c r="I688" i="1"/>
  <c r="I680" i="1"/>
  <c r="I672" i="1"/>
  <c r="I664" i="1"/>
  <c r="I656" i="1"/>
  <c r="I648" i="1"/>
  <c r="I640" i="1"/>
  <c r="I632" i="1"/>
  <c r="I624" i="1"/>
  <c r="I616" i="1"/>
  <c r="I608" i="1"/>
  <c r="I600" i="1"/>
  <c r="I592" i="1"/>
  <c r="I584" i="1"/>
  <c r="I576" i="1"/>
  <c r="I568" i="1"/>
  <c r="I560" i="1"/>
  <c r="I552" i="1"/>
  <c r="I544" i="1"/>
  <c r="I536" i="1"/>
  <c r="I528" i="1"/>
  <c r="I520" i="1"/>
  <c r="I512" i="1"/>
  <c r="I504" i="1"/>
  <c r="I496" i="1"/>
  <c r="I488" i="1"/>
  <c r="I480" i="1"/>
  <c r="I763" i="1"/>
  <c r="I755" i="1"/>
  <c r="I747" i="1"/>
  <c r="I739" i="1"/>
  <c r="I731" i="1"/>
  <c r="I723" i="1"/>
  <c r="I715" i="1"/>
  <c r="I707" i="1"/>
  <c r="I699" i="1"/>
  <c r="I691" i="1"/>
  <c r="I683" i="1"/>
  <c r="I675" i="1"/>
  <c r="I667" i="1"/>
  <c r="I659" i="1"/>
  <c r="I651" i="1"/>
  <c r="I643" i="1"/>
  <c r="I635" i="1"/>
  <c r="I627" i="1"/>
  <c r="I619" i="1"/>
  <c r="I611" i="1"/>
  <c r="I603" i="1"/>
  <c r="I595" i="1"/>
  <c r="I587" i="1"/>
  <c r="I579" i="1"/>
  <c r="I571" i="1"/>
  <c r="I563" i="1"/>
  <c r="I555" i="1"/>
  <c r="I547" i="1"/>
  <c r="I539" i="1"/>
  <c r="I531" i="1"/>
  <c r="I523" i="1"/>
  <c r="I515" i="1"/>
  <c r="I507" i="1"/>
  <c r="I499" i="1"/>
  <c r="I491" i="1"/>
  <c r="I483" i="1"/>
  <c r="I766" i="1"/>
  <c r="I758" i="1"/>
  <c r="I750" i="1"/>
  <c r="I742" i="1"/>
  <c r="I734" i="1"/>
  <c r="I726" i="1"/>
  <c r="I718" i="1"/>
  <c r="I710" i="1"/>
  <c r="I702" i="1"/>
  <c r="I694" i="1"/>
  <c r="I686" i="1"/>
  <c r="I678" i="1"/>
  <c r="I670" i="1"/>
  <c r="I662" i="1"/>
  <c r="I654" i="1"/>
  <c r="I646" i="1"/>
  <c r="I638" i="1"/>
  <c r="I630" i="1"/>
  <c r="I622" i="1"/>
  <c r="I614" i="1"/>
  <c r="I606" i="1"/>
  <c r="I598" i="1"/>
  <c r="I590" i="1"/>
  <c r="I582" i="1"/>
  <c r="I574" i="1"/>
  <c r="I566" i="1"/>
  <c r="I558" i="1"/>
  <c r="I550" i="1"/>
  <c r="I542" i="1"/>
  <c r="I534" i="1"/>
  <c r="I526" i="1"/>
  <c r="I518" i="1"/>
  <c r="I510" i="1"/>
  <c r="I502" i="1"/>
  <c r="I494" i="1"/>
  <c r="I486" i="1"/>
  <c r="I478" i="1"/>
  <c r="I470" i="1"/>
  <c r="I462" i="1"/>
  <c r="I769" i="1"/>
  <c r="I761" i="1"/>
  <c r="I753" i="1"/>
  <c r="I745" i="1"/>
  <c r="I737" i="1"/>
  <c r="I729" i="1"/>
  <c r="I721" i="1"/>
  <c r="I713" i="1"/>
  <c r="I705" i="1"/>
  <c r="I697" i="1"/>
  <c r="I689" i="1"/>
  <c r="I681" i="1"/>
  <c r="I673" i="1"/>
  <c r="I665" i="1"/>
  <c r="I657" i="1"/>
  <c r="I649" i="1"/>
  <c r="I641" i="1"/>
  <c r="I633" i="1"/>
  <c r="I625" i="1"/>
  <c r="I617" i="1"/>
  <c r="I609" i="1"/>
  <c r="I601" i="1"/>
  <c r="I593" i="1"/>
  <c r="I585" i="1"/>
  <c r="I577" i="1"/>
  <c r="I569" i="1"/>
  <c r="I561" i="1"/>
  <c r="I553" i="1"/>
  <c r="I545" i="1"/>
  <c r="I537" i="1"/>
  <c r="I529" i="1"/>
  <c r="I521" i="1"/>
  <c r="I513" i="1"/>
  <c r="I505" i="1"/>
  <c r="I497" i="1"/>
  <c r="I489" i="1"/>
  <c r="I481" i="1"/>
  <c r="I756" i="1"/>
  <c r="I724" i="1"/>
  <c r="I692" i="1"/>
  <c r="I660" i="1"/>
  <c r="I628" i="1"/>
  <c r="I596" i="1"/>
  <c r="I564" i="1"/>
  <c r="I532" i="1"/>
  <c r="I500" i="1"/>
  <c r="I460" i="1"/>
  <c r="I448" i="1"/>
  <c r="I443" i="1"/>
  <c r="I438" i="1"/>
  <c r="I430" i="1"/>
  <c r="I422" i="1"/>
  <c r="I414" i="1"/>
  <c r="I406" i="1"/>
  <c r="I398" i="1"/>
  <c r="I390" i="1"/>
  <c r="I382" i="1"/>
  <c r="I374" i="1"/>
  <c r="I366" i="1"/>
  <c r="I358" i="1"/>
  <c r="I350" i="1"/>
  <c r="I473" i="1"/>
  <c r="I441" i="1"/>
  <c r="I433" i="1"/>
  <c r="I425" i="1"/>
  <c r="I417" i="1"/>
  <c r="I409" i="1"/>
  <c r="I401" i="1"/>
  <c r="I393" i="1"/>
  <c r="I385" i="1"/>
  <c r="I377" i="1"/>
  <c r="I369" i="1"/>
  <c r="I361" i="1"/>
  <c r="I353" i="1"/>
  <c r="I345" i="1"/>
  <c r="I337" i="1"/>
  <c r="I329" i="1"/>
  <c r="I321" i="1"/>
  <c r="I313" i="1"/>
  <c r="I305" i="1"/>
  <c r="I297" i="1"/>
  <c r="I289" i="1"/>
  <c r="I281" i="1"/>
  <c r="I273" i="1"/>
  <c r="I265" i="1"/>
  <c r="I257" i="1"/>
  <c r="I249" i="1"/>
  <c r="I241" i="1"/>
  <c r="I233" i="1"/>
  <c r="I225" i="1"/>
  <c r="I748" i="1"/>
  <c r="I716" i="1"/>
  <c r="I684" i="1"/>
  <c r="I652" i="1"/>
  <c r="I620" i="1"/>
  <c r="I588" i="1"/>
  <c r="I556" i="1"/>
  <c r="I524" i="1"/>
  <c r="I492" i="1"/>
  <c r="I475" i="1"/>
  <c r="I465" i="1"/>
  <c r="I456" i="1"/>
  <c r="I451" i="1"/>
  <c r="I446" i="1"/>
  <c r="I436" i="1"/>
  <c r="I428" i="1"/>
  <c r="I420" i="1"/>
  <c r="I412" i="1"/>
  <c r="I404" i="1"/>
  <c r="I396" i="1"/>
  <c r="I388" i="1"/>
  <c r="I380" i="1"/>
  <c r="I372" i="1"/>
  <c r="I364" i="1"/>
  <c r="I356" i="1"/>
  <c r="I348" i="1"/>
  <c r="I340" i="1"/>
  <c r="I332" i="1"/>
  <c r="I324" i="1"/>
  <c r="I316" i="1"/>
  <c r="I308" i="1"/>
  <c r="I300" i="1"/>
  <c r="I292" i="1"/>
  <c r="I284" i="1"/>
  <c r="I276" i="1"/>
  <c r="I268" i="1"/>
  <c r="I260" i="1"/>
  <c r="I252" i="1"/>
  <c r="I244" i="1"/>
  <c r="I236" i="1"/>
  <c r="I228" i="1"/>
  <c r="I220" i="1"/>
  <c r="I467" i="1"/>
  <c r="I449" i="1"/>
  <c r="I444" i="1"/>
  <c r="I439" i="1"/>
  <c r="I431" i="1"/>
  <c r="I423" i="1"/>
  <c r="I415" i="1"/>
  <c r="I407" i="1"/>
  <c r="I399" i="1"/>
  <c r="I391" i="1"/>
  <c r="I383" i="1"/>
  <c r="I375" i="1"/>
  <c r="I367" i="1"/>
  <c r="I359" i="1"/>
  <c r="I351" i="1"/>
  <c r="I740" i="1"/>
  <c r="I708" i="1"/>
  <c r="I676" i="1"/>
  <c r="I644" i="1"/>
  <c r="I612" i="1"/>
  <c r="I580" i="1"/>
  <c r="I548" i="1"/>
  <c r="I516" i="1"/>
  <c r="I484" i="1"/>
  <c r="I463" i="1"/>
  <c r="I454" i="1"/>
  <c r="I434" i="1"/>
  <c r="I426" i="1"/>
  <c r="I418" i="1"/>
  <c r="I410" i="1"/>
  <c r="I402" i="1"/>
  <c r="I394" i="1"/>
  <c r="I386" i="1"/>
  <c r="I378" i="1"/>
  <c r="I370" i="1"/>
  <c r="I362" i="1"/>
  <c r="I354" i="1"/>
  <c r="I346" i="1"/>
  <c r="I338" i="1"/>
  <c r="I330" i="1"/>
  <c r="I322" i="1"/>
  <c r="I314" i="1"/>
  <c r="I306" i="1"/>
  <c r="I298" i="1"/>
  <c r="I290" i="1"/>
  <c r="I282" i="1"/>
  <c r="I274" i="1"/>
  <c r="I266" i="1"/>
  <c r="I258" i="1"/>
  <c r="I250" i="1"/>
  <c r="I242" i="1"/>
  <c r="I234" i="1"/>
  <c r="I226" i="1"/>
  <c r="I218" i="1"/>
  <c r="I459" i="1"/>
  <c r="I457" i="1"/>
  <c r="I452" i="1"/>
  <c r="I447" i="1"/>
  <c r="I442" i="1"/>
  <c r="I437" i="1"/>
  <c r="I429" i="1"/>
  <c r="I421" i="1"/>
  <c r="I413" i="1"/>
  <c r="I405" i="1"/>
  <c r="I397" i="1"/>
  <c r="I389" i="1"/>
  <c r="I381" i="1"/>
  <c r="I373" i="1"/>
  <c r="I365" i="1"/>
  <c r="I357" i="1"/>
  <c r="I349" i="1"/>
  <c r="I341" i="1"/>
  <c r="I764" i="1"/>
  <c r="I732" i="1"/>
  <c r="I700" i="1"/>
  <c r="I668" i="1"/>
  <c r="I636" i="1"/>
  <c r="I604" i="1"/>
  <c r="I572" i="1"/>
  <c r="I540" i="1"/>
  <c r="I508" i="1"/>
  <c r="I476" i="1"/>
  <c r="I472" i="1"/>
  <c r="I468" i="1"/>
  <c r="I440" i="1"/>
  <c r="I432" i="1"/>
  <c r="I424" i="1"/>
  <c r="I416" i="1"/>
  <c r="I408" i="1"/>
  <c r="I400" i="1"/>
  <c r="I392" i="1"/>
  <c r="I384" i="1"/>
  <c r="I376" i="1"/>
  <c r="I368" i="1"/>
  <c r="I360" i="1"/>
  <c r="I352" i="1"/>
  <c r="I344" i="1"/>
  <c r="I336" i="1"/>
  <c r="I328" i="1"/>
  <c r="I320" i="1"/>
  <c r="I339" i="1"/>
  <c r="I311" i="1"/>
  <c r="I309" i="1"/>
  <c r="I294" i="1"/>
  <c r="I279" i="1"/>
  <c r="I277" i="1"/>
  <c r="I262" i="1"/>
  <c r="I247" i="1"/>
  <c r="I245" i="1"/>
  <c r="I230" i="1"/>
  <c r="I217" i="1"/>
  <c r="I209" i="1"/>
  <c r="I201" i="1"/>
  <c r="I193" i="1"/>
  <c r="I185" i="1"/>
  <c r="I177" i="1"/>
  <c r="I169" i="1"/>
  <c r="I161" i="1"/>
  <c r="I153" i="1"/>
  <c r="I145" i="1"/>
  <c r="I137" i="1"/>
  <c r="I129" i="1"/>
  <c r="I121" i="1"/>
  <c r="I113" i="1"/>
  <c r="I105" i="1"/>
  <c r="I97" i="1"/>
  <c r="I89" i="1"/>
  <c r="I81" i="1"/>
  <c r="I73" i="1"/>
  <c r="I65" i="1"/>
  <c r="I57" i="1"/>
  <c r="I49" i="1"/>
  <c r="I464" i="1"/>
  <c r="I419" i="1"/>
  <c r="I387" i="1"/>
  <c r="I355" i="1"/>
  <c r="I343" i="1"/>
  <c r="I307" i="1"/>
  <c r="I288" i="1"/>
  <c r="I275" i="1"/>
  <c r="I256" i="1"/>
  <c r="I243" i="1"/>
  <c r="I224" i="1"/>
  <c r="I212" i="1"/>
  <c r="I204" i="1"/>
  <c r="I196" i="1"/>
  <c r="I188" i="1"/>
  <c r="I180" i="1"/>
  <c r="I172" i="1"/>
  <c r="I164" i="1"/>
  <c r="I156" i="1"/>
  <c r="I148" i="1"/>
  <c r="I140" i="1"/>
  <c r="I132" i="1"/>
  <c r="I124" i="1"/>
  <c r="I116" i="1"/>
  <c r="I108" i="1"/>
  <c r="I100" i="1"/>
  <c r="I92" i="1"/>
  <c r="I84" i="1"/>
  <c r="I76" i="1"/>
  <c r="I68" i="1"/>
  <c r="I60" i="1"/>
  <c r="I52" i="1"/>
  <c r="I44" i="1"/>
  <c r="I303" i="1"/>
  <c r="I301" i="1"/>
  <c r="I286" i="1"/>
  <c r="I271" i="1"/>
  <c r="I269" i="1"/>
  <c r="I254" i="1"/>
  <c r="I239" i="1"/>
  <c r="I237" i="1"/>
  <c r="I222" i="1"/>
  <c r="I215" i="1"/>
  <c r="I207" i="1"/>
  <c r="I199" i="1"/>
  <c r="I191" i="1"/>
  <c r="I183" i="1"/>
  <c r="I175" i="1"/>
  <c r="I167" i="1"/>
  <c r="I159" i="1"/>
  <c r="I151" i="1"/>
  <c r="I143" i="1"/>
  <c r="I135" i="1"/>
  <c r="I127" i="1"/>
  <c r="I119" i="1"/>
  <c r="I111" i="1"/>
  <c r="I103" i="1"/>
  <c r="I95" i="1"/>
  <c r="I87" i="1"/>
  <c r="I79" i="1"/>
  <c r="I71" i="1"/>
  <c r="I63" i="1"/>
  <c r="I55" i="1"/>
  <c r="I47" i="1"/>
  <c r="I411" i="1"/>
  <c r="I379" i="1"/>
  <c r="I347" i="1"/>
  <c r="I334" i="1"/>
  <c r="I326" i="1"/>
  <c r="I318" i="1"/>
  <c r="I312" i="1"/>
  <c r="I299" i="1"/>
  <c r="I280" i="1"/>
  <c r="I267" i="1"/>
  <c r="I248" i="1"/>
  <c r="I235" i="1"/>
  <c r="I210" i="1"/>
  <c r="I202" i="1"/>
  <c r="I194" i="1"/>
  <c r="I186" i="1"/>
  <c r="I178" i="1"/>
  <c r="I170" i="1"/>
  <c r="I162" i="1"/>
  <c r="I154" i="1"/>
  <c r="I146" i="1"/>
  <c r="I138" i="1"/>
  <c r="I130" i="1"/>
  <c r="I122" i="1"/>
  <c r="I114" i="1"/>
  <c r="I106" i="1"/>
  <c r="I98" i="1"/>
  <c r="I90" i="1"/>
  <c r="I82" i="1"/>
  <c r="I74" i="1"/>
  <c r="I66" i="1"/>
  <c r="I58" i="1"/>
  <c r="I310" i="1"/>
  <c r="I295" i="1"/>
  <c r="I293" i="1"/>
  <c r="I278" i="1"/>
  <c r="I263" i="1"/>
  <c r="I261" i="1"/>
  <c r="I246" i="1"/>
  <c r="I231" i="1"/>
  <c r="I229" i="1"/>
  <c r="I213" i="1"/>
  <c r="I205" i="1"/>
  <c r="I197" i="1"/>
  <c r="I189" i="1"/>
  <c r="I181" i="1"/>
  <c r="I173" i="1"/>
  <c r="I165" i="1"/>
  <c r="I157" i="1"/>
  <c r="I149" i="1"/>
  <c r="I141" i="1"/>
  <c r="I133" i="1"/>
  <c r="I125" i="1"/>
  <c r="I117" i="1"/>
  <c r="I109" i="1"/>
  <c r="I101" i="1"/>
  <c r="I93" i="1"/>
  <c r="I85" i="1"/>
  <c r="I455" i="1"/>
  <c r="I450" i="1"/>
  <c r="I435" i="1"/>
  <c r="I403" i="1"/>
  <c r="I371" i="1"/>
  <c r="I342" i="1"/>
  <c r="I304" i="1"/>
  <c r="I291" i="1"/>
  <c r="I272" i="1"/>
  <c r="I259" i="1"/>
  <c r="I240" i="1"/>
  <c r="I227" i="1"/>
  <c r="I216" i="1"/>
  <c r="I208" i="1"/>
  <c r="I200" i="1"/>
  <c r="I192" i="1"/>
  <c r="I184" i="1"/>
  <c r="I176" i="1"/>
  <c r="I168" i="1"/>
  <c r="I160" i="1"/>
  <c r="I152" i="1"/>
  <c r="I144" i="1"/>
  <c r="I136" i="1"/>
  <c r="I128" i="1"/>
  <c r="I120" i="1"/>
  <c r="I112" i="1"/>
  <c r="I104" i="1"/>
  <c r="I96" i="1"/>
  <c r="I88" i="1"/>
  <c r="I80" i="1"/>
  <c r="I72" i="1"/>
  <c r="I64" i="1"/>
  <c r="I56" i="1"/>
  <c r="I48" i="1"/>
  <c r="I302" i="1"/>
  <c r="I287" i="1"/>
  <c r="I285" i="1"/>
  <c r="I270" i="1"/>
  <c r="I255" i="1"/>
  <c r="I253" i="1"/>
  <c r="I238" i="1"/>
  <c r="I223" i="1"/>
  <c r="I221" i="1"/>
  <c r="I211" i="1"/>
  <c r="I203" i="1"/>
  <c r="I195" i="1"/>
  <c r="I187" i="1"/>
  <c r="I179" i="1"/>
  <c r="I171" i="1"/>
  <c r="I163" i="1"/>
  <c r="I155" i="1"/>
  <c r="I147" i="1"/>
  <c r="I139" i="1"/>
  <c r="I131" i="1"/>
  <c r="I123" i="1"/>
  <c r="I115" i="1"/>
  <c r="I107" i="1"/>
  <c r="I99" i="1"/>
  <c r="I91" i="1"/>
  <c r="I83" i="1"/>
  <c r="I75" i="1"/>
  <c r="I67" i="1"/>
  <c r="I59" i="1"/>
  <c r="I427" i="1"/>
  <c r="I333" i="1"/>
  <c r="I296" i="1"/>
  <c r="I232" i="1"/>
  <c r="I37" i="1"/>
  <c r="I29" i="1"/>
  <c r="I21" i="1"/>
  <c r="I335" i="1"/>
  <c r="I283" i="1"/>
  <c r="I219" i="1"/>
  <c r="I214" i="1"/>
  <c r="I182" i="1"/>
  <c r="I150" i="1"/>
  <c r="I118" i="1"/>
  <c r="I86" i="1"/>
  <c r="I40" i="1"/>
  <c r="I32" i="1"/>
  <c r="I24" i="1"/>
  <c r="I16" i="1"/>
  <c r="I395" i="1"/>
  <c r="I323" i="1"/>
  <c r="I51" i="1"/>
  <c r="I43" i="1"/>
  <c r="I35" i="1"/>
  <c r="I27" i="1"/>
  <c r="I19" i="1"/>
  <c r="I325" i="1"/>
  <c r="I206" i="1"/>
  <c r="I174" i="1"/>
  <c r="I142" i="1"/>
  <c r="I110" i="1"/>
  <c r="I78" i="1"/>
  <c r="I69" i="1"/>
  <c r="I62" i="1"/>
  <c r="I53" i="1"/>
  <c r="I45" i="1"/>
  <c r="I38" i="1"/>
  <c r="I30" i="1"/>
  <c r="I22" i="1"/>
  <c r="I363" i="1"/>
  <c r="I327" i="1"/>
  <c r="I264" i="1"/>
  <c r="I41" i="1"/>
  <c r="I33" i="1"/>
  <c r="I25" i="1"/>
  <c r="I17" i="1"/>
  <c r="I331" i="1"/>
  <c r="I315" i="1"/>
  <c r="I251" i="1"/>
  <c r="I198" i="1"/>
  <c r="I166" i="1"/>
  <c r="I134" i="1"/>
  <c r="I102" i="1"/>
  <c r="I36" i="1"/>
  <c r="I28" i="1"/>
  <c r="I20" i="1"/>
  <c r="I190" i="1"/>
  <c r="I61" i="1"/>
  <c r="I317" i="1"/>
  <c r="I39" i="1"/>
  <c r="I31" i="1"/>
  <c r="I23" i="1"/>
  <c r="I15" i="1"/>
  <c r="I319" i="1"/>
  <c r="I158" i="1"/>
  <c r="I126" i="1"/>
  <c r="I94" i="1"/>
  <c r="I77" i="1"/>
  <c r="I70" i="1"/>
  <c r="I54" i="1"/>
  <c r="I50" i="1"/>
  <c r="I46" i="1"/>
  <c r="I42" i="1"/>
  <c r="I34" i="1"/>
  <c r="I26" i="1"/>
  <c r="I18" i="1"/>
  <c r="J33" i="12" l="1"/>
  <c r="K32" i="12"/>
  <c r="N10" i="1"/>
  <c r="M10" i="1"/>
  <c r="L10" i="1"/>
  <c r="J34" i="12" l="1"/>
  <c r="K33" i="12"/>
  <c r="J35" i="12" l="1"/>
  <c r="K34" i="12"/>
  <c r="J36" i="12" l="1"/>
  <c r="K35" i="12"/>
  <c r="J37" i="12" l="1"/>
  <c r="K36" i="12"/>
  <c r="J38" i="12" l="1"/>
  <c r="K37" i="12"/>
  <c r="J39" i="12" l="1"/>
  <c r="K38" i="12"/>
  <c r="J40" i="12" l="1"/>
  <c r="K39" i="12"/>
  <c r="J41" i="12" l="1"/>
  <c r="K40" i="12"/>
  <c r="J42" i="12" l="1"/>
  <c r="K41" i="12"/>
  <c r="J43" i="12" l="1"/>
  <c r="K42" i="12"/>
  <c r="J44" i="12" l="1"/>
  <c r="K43" i="12"/>
  <c r="J45" i="12" l="1"/>
  <c r="K44" i="12"/>
  <c r="J46" i="12" l="1"/>
  <c r="K45" i="12"/>
  <c r="J47" i="12" l="1"/>
  <c r="K46" i="12"/>
  <c r="J48" i="12" l="1"/>
  <c r="K47" i="12"/>
  <c r="J49" i="12" l="1"/>
  <c r="K48" i="12"/>
  <c r="J50" i="12" l="1"/>
  <c r="K49" i="12"/>
  <c r="J51" i="12" l="1"/>
  <c r="K50" i="12"/>
  <c r="J52" i="12" l="1"/>
  <c r="K51" i="12"/>
  <c r="J53" i="12" l="1"/>
  <c r="K52" i="12"/>
  <c r="J54" i="12" l="1"/>
  <c r="K53" i="12"/>
  <c r="J55" i="12" l="1"/>
  <c r="K54" i="12"/>
  <c r="J56" i="12" l="1"/>
  <c r="K55" i="12"/>
  <c r="J57" i="12" l="1"/>
  <c r="K56" i="12"/>
  <c r="J58" i="12" l="1"/>
  <c r="K57" i="12"/>
  <c r="J59" i="12" l="1"/>
  <c r="K58" i="12"/>
  <c r="J60" i="12" l="1"/>
  <c r="K59" i="12"/>
  <c r="J61" i="12" l="1"/>
  <c r="K60" i="12"/>
  <c r="J62" i="12" l="1"/>
  <c r="K61" i="12"/>
  <c r="J63" i="12" l="1"/>
  <c r="K62" i="12"/>
  <c r="J64" i="12" l="1"/>
  <c r="K63" i="12"/>
  <c r="J65" i="12" l="1"/>
  <c r="K64" i="12"/>
  <c r="J66" i="12" l="1"/>
  <c r="K65" i="12"/>
  <c r="J67" i="12" l="1"/>
  <c r="K66" i="12"/>
  <c r="J68" i="12" l="1"/>
  <c r="K67" i="12"/>
  <c r="J69" i="12" l="1"/>
  <c r="K68" i="12"/>
  <c r="J70" i="12" l="1"/>
  <c r="K69" i="12"/>
  <c r="J71" i="12" l="1"/>
  <c r="K70" i="12"/>
  <c r="J72" i="12" l="1"/>
  <c r="K71" i="12"/>
  <c r="J73" i="12" l="1"/>
  <c r="K72" i="12"/>
  <c r="J74" i="12" l="1"/>
  <c r="K73" i="12"/>
  <c r="J75" i="12" l="1"/>
  <c r="K74" i="12"/>
  <c r="J76" i="12" l="1"/>
  <c r="K75" i="12"/>
  <c r="J77" i="12" l="1"/>
  <c r="K76" i="12"/>
  <c r="J78" i="12" l="1"/>
  <c r="K77" i="12"/>
  <c r="J79" i="12" l="1"/>
  <c r="K78" i="12"/>
  <c r="J80" i="12" l="1"/>
  <c r="K79" i="12"/>
  <c r="J81" i="12" l="1"/>
  <c r="K80" i="12"/>
  <c r="J82" i="12" l="1"/>
  <c r="K81" i="12"/>
  <c r="J83" i="12" l="1"/>
  <c r="K82" i="12"/>
  <c r="J84" i="12" l="1"/>
  <c r="K83" i="12"/>
  <c r="J85" i="12" l="1"/>
  <c r="K84" i="12"/>
  <c r="J86" i="12" l="1"/>
  <c r="K85" i="12"/>
  <c r="J87" i="12" l="1"/>
  <c r="K86" i="12"/>
  <c r="J88" i="12" l="1"/>
  <c r="K87" i="12"/>
  <c r="J89" i="12" l="1"/>
  <c r="K88" i="12"/>
  <c r="J90" i="12" l="1"/>
  <c r="K89" i="12"/>
  <c r="J91" i="12" l="1"/>
  <c r="K90" i="12"/>
  <c r="J92" i="12" l="1"/>
  <c r="K91" i="12"/>
  <c r="J93" i="12" l="1"/>
  <c r="K92" i="12"/>
  <c r="J94" i="12" l="1"/>
  <c r="K93" i="12"/>
  <c r="J95" i="12" l="1"/>
  <c r="K94" i="12"/>
  <c r="J96" i="12" l="1"/>
  <c r="K95" i="12"/>
  <c r="J97" i="12" l="1"/>
  <c r="K96" i="12"/>
  <c r="J98" i="12" l="1"/>
  <c r="K97" i="12"/>
  <c r="J99" i="12" l="1"/>
  <c r="K98" i="12"/>
  <c r="J100" i="12" l="1"/>
  <c r="K99" i="12"/>
  <c r="J101" i="12" l="1"/>
  <c r="K100" i="12"/>
  <c r="J102" i="12" l="1"/>
  <c r="K101" i="12"/>
  <c r="J103" i="12" l="1"/>
  <c r="K102" i="12"/>
  <c r="J104" i="12" l="1"/>
  <c r="K103" i="12"/>
  <c r="J105" i="12" l="1"/>
  <c r="K104" i="12"/>
  <c r="J106" i="12" l="1"/>
  <c r="K105" i="12"/>
  <c r="J107" i="12" l="1"/>
  <c r="K106" i="12"/>
  <c r="J108" i="12" l="1"/>
  <c r="K107" i="12"/>
  <c r="J109" i="12" l="1"/>
  <c r="K108" i="12"/>
  <c r="J110" i="12" l="1"/>
  <c r="K109" i="12"/>
  <c r="J111" i="12" l="1"/>
  <c r="K110" i="12"/>
  <c r="J112" i="12" l="1"/>
  <c r="K111" i="12"/>
  <c r="J113" i="12" l="1"/>
  <c r="K112" i="12"/>
  <c r="J114" i="12" l="1"/>
  <c r="K113" i="12"/>
  <c r="J115" i="12" l="1"/>
  <c r="K114" i="12"/>
  <c r="J116" i="12" l="1"/>
  <c r="K115" i="12"/>
  <c r="J117" i="12" l="1"/>
  <c r="K116" i="12"/>
  <c r="J118" i="12" l="1"/>
  <c r="K117" i="12"/>
  <c r="J119" i="12" l="1"/>
  <c r="K118" i="12"/>
  <c r="J120" i="12" l="1"/>
  <c r="K119" i="12"/>
  <c r="J121" i="12" l="1"/>
  <c r="K120" i="12"/>
  <c r="J122" i="12" l="1"/>
  <c r="K121" i="12"/>
  <c r="J123" i="12" l="1"/>
  <c r="K122" i="12"/>
  <c r="J124" i="12" l="1"/>
  <c r="K123" i="12"/>
  <c r="J125" i="12" l="1"/>
  <c r="K124" i="12"/>
  <c r="J126" i="12" l="1"/>
  <c r="K125" i="12"/>
  <c r="J127" i="12" l="1"/>
  <c r="K126" i="12"/>
  <c r="J128" i="12" l="1"/>
  <c r="K127" i="12"/>
  <c r="J129" i="12" l="1"/>
  <c r="K128" i="12"/>
  <c r="J130" i="12" l="1"/>
  <c r="K129" i="12"/>
  <c r="J131" i="12" l="1"/>
  <c r="K130" i="12"/>
  <c r="J132" i="12" l="1"/>
  <c r="K131" i="12"/>
  <c r="J133" i="12" l="1"/>
  <c r="K132" i="12"/>
  <c r="J134" i="12" l="1"/>
  <c r="K133" i="12"/>
  <c r="J135" i="12" l="1"/>
  <c r="K134" i="12"/>
  <c r="J136" i="12" l="1"/>
  <c r="K135" i="12"/>
  <c r="J137" i="12" l="1"/>
  <c r="K136" i="12"/>
  <c r="J138" i="12" l="1"/>
  <c r="K137" i="12"/>
  <c r="J139" i="12" l="1"/>
  <c r="K138" i="12"/>
  <c r="J140" i="12" l="1"/>
  <c r="K139" i="12"/>
  <c r="J141" i="12" l="1"/>
  <c r="K140" i="12"/>
  <c r="J142" i="12" l="1"/>
  <c r="K141" i="12"/>
  <c r="J143" i="12" l="1"/>
  <c r="K142" i="12"/>
  <c r="J144" i="12" l="1"/>
  <c r="K143" i="12"/>
  <c r="J145" i="12" l="1"/>
  <c r="K144" i="12"/>
  <c r="J146" i="12" l="1"/>
  <c r="K145" i="12"/>
  <c r="J147" i="12" l="1"/>
  <c r="K146" i="12"/>
  <c r="J148" i="12" l="1"/>
  <c r="K147" i="12"/>
  <c r="J149" i="12" l="1"/>
  <c r="K148" i="12"/>
  <c r="J150" i="12" l="1"/>
  <c r="K149" i="12"/>
  <c r="J151" i="12" l="1"/>
  <c r="K150" i="12"/>
  <c r="J152" i="12" l="1"/>
  <c r="K151" i="12"/>
  <c r="J153" i="12" l="1"/>
  <c r="K152" i="12"/>
  <c r="J154" i="12" l="1"/>
  <c r="K153" i="12"/>
  <c r="J155" i="12" l="1"/>
  <c r="K154" i="12"/>
  <c r="J156" i="12" l="1"/>
  <c r="K155" i="12"/>
  <c r="J157" i="12" l="1"/>
  <c r="K156" i="12"/>
  <c r="J158" i="12" l="1"/>
  <c r="K157" i="12"/>
  <c r="J159" i="12" l="1"/>
  <c r="K158" i="12"/>
  <c r="J160" i="12" l="1"/>
  <c r="K159" i="12"/>
  <c r="J161" i="12" l="1"/>
  <c r="K160" i="12"/>
  <c r="J162" i="12" l="1"/>
  <c r="K161" i="12"/>
  <c r="J163" i="12" l="1"/>
  <c r="K162" i="12"/>
  <c r="J164" i="12" l="1"/>
  <c r="K163" i="12"/>
  <c r="J165" i="12" l="1"/>
  <c r="K164" i="12"/>
  <c r="J166" i="12" l="1"/>
  <c r="K165" i="12"/>
  <c r="J167" i="12" l="1"/>
  <c r="K166" i="12"/>
  <c r="J168" i="12" l="1"/>
  <c r="K167" i="12"/>
  <c r="J169" i="12" l="1"/>
  <c r="K168" i="12"/>
  <c r="J170" i="12" l="1"/>
  <c r="K169" i="12"/>
  <c r="J171" i="12" l="1"/>
  <c r="K170" i="12"/>
  <c r="J172" i="12" l="1"/>
  <c r="K171" i="12"/>
  <c r="J173" i="12" l="1"/>
  <c r="K172" i="12"/>
  <c r="J174" i="12" l="1"/>
  <c r="K173" i="12"/>
  <c r="J175" i="12" l="1"/>
  <c r="K174" i="12"/>
  <c r="J176" i="12" l="1"/>
  <c r="K175" i="12"/>
  <c r="J177" i="12" l="1"/>
  <c r="K176" i="12"/>
  <c r="J178" i="12" l="1"/>
  <c r="K177" i="12"/>
  <c r="J179" i="12" l="1"/>
  <c r="K178" i="12"/>
  <c r="J180" i="12" l="1"/>
  <c r="K179" i="12"/>
  <c r="J181" i="12" l="1"/>
  <c r="K180" i="12"/>
  <c r="J182" i="12" l="1"/>
  <c r="K181" i="12"/>
  <c r="J183" i="12" l="1"/>
  <c r="K182" i="12"/>
  <c r="J184" i="12" l="1"/>
  <c r="K183" i="12"/>
  <c r="J185" i="12" l="1"/>
  <c r="K184" i="12"/>
  <c r="J186" i="12" l="1"/>
  <c r="K185" i="12"/>
  <c r="J187" i="12" l="1"/>
  <c r="K186" i="12"/>
  <c r="J188" i="12" l="1"/>
  <c r="K187" i="12"/>
  <c r="J189" i="12" l="1"/>
  <c r="K188" i="12"/>
  <c r="J190" i="12" l="1"/>
  <c r="K189" i="12"/>
  <c r="J191" i="12" l="1"/>
  <c r="K190" i="12"/>
  <c r="J192" i="12" l="1"/>
  <c r="K191" i="12"/>
  <c r="J193" i="12" l="1"/>
  <c r="K192" i="12"/>
  <c r="J194" i="12" l="1"/>
  <c r="K193" i="12"/>
  <c r="J195" i="12" l="1"/>
  <c r="K194" i="12"/>
  <c r="J196" i="12" l="1"/>
  <c r="K195" i="12"/>
  <c r="J197" i="12" l="1"/>
  <c r="K196" i="12"/>
  <c r="J198" i="12" l="1"/>
  <c r="K197" i="12"/>
  <c r="J199" i="12" l="1"/>
  <c r="K198" i="12"/>
  <c r="J200" i="12" l="1"/>
  <c r="K199" i="12"/>
  <c r="J201" i="12" l="1"/>
  <c r="K200" i="12"/>
  <c r="J202" i="12" l="1"/>
  <c r="K201" i="12"/>
  <c r="J203" i="12" l="1"/>
  <c r="K202" i="12"/>
  <c r="J204" i="12" l="1"/>
  <c r="K203" i="12"/>
  <c r="J205" i="12" l="1"/>
  <c r="K204" i="12"/>
  <c r="J206" i="12" l="1"/>
  <c r="K205" i="12"/>
  <c r="J207" i="12" l="1"/>
  <c r="K206" i="12"/>
  <c r="J208" i="12" l="1"/>
  <c r="K207" i="12"/>
  <c r="J209" i="12" l="1"/>
  <c r="K208" i="12"/>
  <c r="J210" i="12" l="1"/>
  <c r="K209" i="12"/>
  <c r="J211" i="12" l="1"/>
  <c r="K210" i="12"/>
  <c r="J212" i="12" l="1"/>
  <c r="K211" i="12"/>
  <c r="J213" i="12" l="1"/>
  <c r="K212" i="12"/>
  <c r="J214" i="12" l="1"/>
  <c r="K213" i="12"/>
  <c r="J215" i="12" l="1"/>
  <c r="K214" i="12"/>
  <c r="J216" i="12" l="1"/>
  <c r="K215" i="12"/>
  <c r="J217" i="12" l="1"/>
  <c r="K216" i="12"/>
  <c r="J218" i="12" l="1"/>
  <c r="K217" i="12"/>
  <c r="J219" i="12" l="1"/>
  <c r="K218" i="12"/>
  <c r="J220" i="12" l="1"/>
  <c r="K219" i="12"/>
  <c r="J221" i="12" l="1"/>
  <c r="K220" i="12"/>
  <c r="J222" i="12" l="1"/>
  <c r="K221" i="12"/>
  <c r="J223" i="12" l="1"/>
  <c r="K222" i="12"/>
  <c r="J224" i="12" l="1"/>
  <c r="K223" i="12"/>
  <c r="J225" i="12" l="1"/>
  <c r="K224" i="12"/>
  <c r="J226" i="12" l="1"/>
  <c r="K225" i="12"/>
  <c r="J227" i="12" l="1"/>
  <c r="K226" i="12"/>
  <c r="J228" i="12" l="1"/>
  <c r="K227" i="12"/>
  <c r="J229" i="12" l="1"/>
  <c r="K228" i="12"/>
  <c r="J230" i="12" l="1"/>
  <c r="K229" i="12"/>
  <c r="J231" i="12" l="1"/>
  <c r="K230" i="12"/>
  <c r="J232" i="12" l="1"/>
  <c r="K231" i="12"/>
  <c r="J233" i="12" l="1"/>
  <c r="K232" i="12"/>
  <c r="J234" i="12" l="1"/>
  <c r="K233" i="12"/>
  <c r="J235" i="12" l="1"/>
  <c r="K234" i="12"/>
  <c r="J236" i="12" l="1"/>
  <c r="K235" i="12"/>
  <c r="J237" i="12" l="1"/>
  <c r="K236" i="12"/>
  <c r="J238" i="12" l="1"/>
  <c r="K237" i="12"/>
  <c r="J239" i="12" l="1"/>
  <c r="K238" i="12"/>
  <c r="J240" i="12" l="1"/>
  <c r="K239" i="12"/>
  <c r="J241" i="12" l="1"/>
  <c r="K240" i="12"/>
  <c r="J242" i="12" l="1"/>
  <c r="K241" i="12"/>
  <c r="J243" i="12" l="1"/>
  <c r="K242" i="12"/>
  <c r="J244" i="12" l="1"/>
  <c r="K243" i="12"/>
  <c r="J245" i="12" l="1"/>
  <c r="K244" i="12"/>
  <c r="J246" i="12" l="1"/>
  <c r="K245" i="12"/>
  <c r="J247" i="12" l="1"/>
  <c r="K246" i="12"/>
  <c r="J248" i="12" l="1"/>
  <c r="K247" i="12"/>
  <c r="J249" i="12" l="1"/>
  <c r="K248" i="12"/>
  <c r="J250" i="12" l="1"/>
  <c r="K249" i="12"/>
  <c r="J251" i="12" l="1"/>
  <c r="K250" i="12"/>
  <c r="J252" i="12" l="1"/>
  <c r="K251" i="12"/>
  <c r="J253" i="12" l="1"/>
  <c r="K252" i="12"/>
  <c r="J254" i="12" l="1"/>
  <c r="K253" i="12"/>
  <c r="J255" i="12" l="1"/>
  <c r="K254" i="12"/>
  <c r="J256" i="12" l="1"/>
  <c r="K255" i="12"/>
  <c r="J257" i="12" l="1"/>
  <c r="K256" i="12"/>
  <c r="J258" i="12" l="1"/>
  <c r="K257" i="12"/>
  <c r="J259" i="12" l="1"/>
  <c r="K258" i="12"/>
  <c r="J260" i="12" l="1"/>
  <c r="K259" i="12"/>
  <c r="J261" i="12" l="1"/>
  <c r="K260" i="12"/>
  <c r="J262" i="12" l="1"/>
  <c r="K261" i="12"/>
  <c r="J263" i="12" l="1"/>
  <c r="K262" i="12"/>
  <c r="J264" i="12" l="1"/>
  <c r="K263" i="12"/>
  <c r="J265" i="12" l="1"/>
  <c r="K264" i="12"/>
  <c r="J266" i="12" l="1"/>
  <c r="K265" i="12"/>
  <c r="J267" i="12" l="1"/>
  <c r="K266" i="12"/>
  <c r="J268" i="12" l="1"/>
  <c r="K267" i="12"/>
  <c r="J269" i="12" l="1"/>
  <c r="K268" i="12"/>
  <c r="J270" i="12" l="1"/>
  <c r="K269" i="12"/>
  <c r="J271" i="12" l="1"/>
  <c r="K270" i="12"/>
  <c r="J272" i="12" l="1"/>
  <c r="K271" i="12"/>
  <c r="J273" i="12" l="1"/>
  <c r="K272" i="12"/>
  <c r="J274" i="12" l="1"/>
  <c r="K273" i="12"/>
  <c r="J275" i="12" l="1"/>
  <c r="K274" i="12"/>
  <c r="J276" i="12" l="1"/>
  <c r="K275" i="12"/>
  <c r="J277" i="12" l="1"/>
  <c r="K276" i="12"/>
  <c r="J278" i="12" l="1"/>
  <c r="K277" i="12"/>
  <c r="J279" i="12" l="1"/>
  <c r="K278" i="12"/>
  <c r="J280" i="12" l="1"/>
  <c r="K279" i="12"/>
  <c r="J281" i="12" l="1"/>
  <c r="K280" i="12"/>
  <c r="J282" i="12" l="1"/>
  <c r="K281" i="12"/>
  <c r="J283" i="12" l="1"/>
  <c r="K282" i="12"/>
  <c r="J284" i="12" l="1"/>
  <c r="K283" i="12"/>
  <c r="J285" i="12" l="1"/>
  <c r="K284" i="12"/>
  <c r="J286" i="12" l="1"/>
  <c r="K285" i="12"/>
  <c r="J287" i="12" l="1"/>
  <c r="K286" i="12"/>
  <c r="J288" i="12" l="1"/>
  <c r="K287" i="12"/>
  <c r="J289" i="12" l="1"/>
  <c r="K288" i="12"/>
  <c r="J290" i="12" l="1"/>
  <c r="K289" i="12"/>
  <c r="J291" i="12" l="1"/>
  <c r="K290" i="12"/>
  <c r="J292" i="12" l="1"/>
  <c r="K291" i="12"/>
  <c r="J293" i="12" l="1"/>
  <c r="K292" i="12"/>
  <c r="J294" i="12" l="1"/>
  <c r="K293" i="12"/>
  <c r="J295" i="12" l="1"/>
  <c r="K294" i="12"/>
  <c r="J296" i="12" l="1"/>
  <c r="K295" i="12"/>
  <c r="J297" i="12" l="1"/>
  <c r="K296" i="12"/>
  <c r="J298" i="12" l="1"/>
  <c r="K297" i="12"/>
  <c r="J299" i="12" l="1"/>
  <c r="K298" i="12"/>
  <c r="J300" i="12" l="1"/>
  <c r="K299" i="12"/>
  <c r="J301" i="12" l="1"/>
  <c r="K300" i="12"/>
  <c r="J302" i="12" l="1"/>
  <c r="K301" i="12"/>
  <c r="J303" i="12" l="1"/>
  <c r="K302" i="12"/>
  <c r="J304" i="12" l="1"/>
  <c r="K303" i="12"/>
  <c r="J305" i="12" l="1"/>
  <c r="K304" i="12"/>
  <c r="J306" i="12" l="1"/>
  <c r="K305" i="12"/>
  <c r="J307" i="12" l="1"/>
  <c r="K306" i="12"/>
  <c r="J308" i="12" l="1"/>
  <c r="K307" i="12"/>
  <c r="J309" i="12" l="1"/>
  <c r="K308" i="12"/>
  <c r="J310" i="12" l="1"/>
  <c r="K309" i="12"/>
  <c r="J311" i="12" l="1"/>
  <c r="K310" i="12"/>
  <c r="J312" i="12" l="1"/>
  <c r="K311" i="12"/>
  <c r="J313" i="12" l="1"/>
  <c r="K312" i="12"/>
  <c r="J314" i="12" l="1"/>
  <c r="K313" i="12"/>
  <c r="J315" i="12" l="1"/>
  <c r="K314" i="12"/>
  <c r="J316" i="12" l="1"/>
  <c r="K315" i="12"/>
  <c r="J317" i="12" l="1"/>
  <c r="K316" i="12"/>
  <c r="J318" i="12" l="1"/>
  <c r="K317" i="12"/>
  <c r="J319" i="12" l="1"/>
  <c r="K318" i="12"/>
  <c r="J320" i="12" l="1"/>
  <c r="K319" i="12"/>
  <c r="J321" i="12" l="1"/>
  <c r="K320" i="12"/>
  <c r="J322" i="12" l="1"/>
  <c r="K321" i="12"/>
  <c r="J323" i="12" l="1"/>
  <c r="K322" i="12"/>
  <c r="J324" i="12" l="1"/>
  <c r="K323" i="12"/>
  <c r="J325" i="12" l="1"/>
  <c r="K324" i="12"/>
  <c r="J326" i="12" l="1"/>
  <c r="K325" i="12"/>
  <c r="J327" i="12" l="1"/>
  <c r="K326" i="12"/>
  <c r="J328" i="12" l="1"/>
  <c r="K327" i="12"/>
  <c r="J329" i="12" l="1"/>
  <c r="K328" i="12"/>
  <c r="J330" i="12" l="1"/>
  <c r="K329" i="12"/>
  <c r="J331" i="12" l="1"/>
  <c r="K330" i="12"/>
  <c r="J332" i="12" l="1"/>
  <c r="K331" i="12"/>
  <c r="J333" i="12" l="1"/>
  <c r="K332" i="12"/>
  <c r="J334" i="12" l="1"/>
  <c r="K333" i="12"/>
  <c r="J335" i="12" l="1"/>
  <c r="K334" i="12"/>
  <c r="J336" i="12" l="1"/>
  <c r="K335" i="12"/>
  <c r="J337" i="12" l="1"/>
  <c r="K336" i="12"/>
  <c r="J338" i="12" l="1"/>
  <c r="K337" i="12"/>
  <c r="J339" i="12" l="1"/>
  <c r="K338" i="12"/>
  <c r="J340" i="12" l="1"/>
  <c r="K339" i="12"/>
  <c r="J341" i="12" l="1"/>
  <c r="K340" i="12"/>
  <c r="J342" i="12" l="1"/>
  <c r="K341" i="12"/>
  <c r="J343" i="12" l="1"/>
  <c r="K342" i="12"/>
  <c r="J344" i="12" l="1"/>
  <c r="K343" i="12"/>
  <c r="J345" i="12" l="1"/>
  <c r="K344" i="12"/>
  <c r="J346" i="12" l="1"/>
  <c r="K345" i="12"/>
  <c r="J347" i="12" l="1"/>
  <c r="K346" i="12"/>
  <c r="J348" i="12" l="1"/>
  <c r="K347" i="12"/>
  <c r="J349" i="12" l="1"/>
  <c r="K348" i="12"/>
  <c r="J350" i="12" l="1"/>
  <c r="K349" i="12"/>
  <c r="J351" i="12" l="1"/>
  <c r="K350" i="12"/>
  <c r="J352" i="12" l="1"/>
  <c r="K351" i="12"/>
  <c r="J353" i="12" l="1"/>
  <c r="K352" i="12"/>
  <c r="J354" i="12" l="1"/>
  <c r="K353" i="12"/>
  <c r="J355" i="12" l="1"/>
  <c r="K354" i="12"/>
  <c r="J356" i="12" l="1"/>
  <c r="K355" i="12"/>
  <c r="J357" i="12" l="1"/>
  <c r="K356" i="12"/>
  <c r="J358" i="12" l="1"/>
  <c r="K357" i="12"/>
  <c r="J359" i="12" l="1"/>
  <c r="K358" i="12"/>
  <c r="J360" i="12" l="1"/>
  <c r="K359" i="12"/>
  <c r="J361" i="12" l="1"/>
  <c r="K360" i="12"/>
  <c r="J362" i="12" l="1"/>
  <c r="K361" i="12"/>
  <c r="J363" i="12" l="1"/>
  <c r="K362" i="12"/>
  <c r="J364" i="12" l="1"/>
  <c r="K363" i="12"/>
  <c r="J365" i="12" l="1"/>
  <c r="K364" i="12"/>
  <c r="J366" i="12" l="1"/>
  <c r="K365" i="12"/>
  <c r="J367" i="12" l="1"/>
  <c r="K366" i="12"/>
  <c r="J368" i="12" l="1"/>
  <c r="K367" i="12"/>
  <c r="J369" i="12" l="1"/>
  <c r="K368" i="12"/>
  <c r="J370" i="12" l="1"/>
  <c r="K369" i="12"/>
  <c r="J371" i="12" l="1"/>
  <c r="K370" i="12"/>
  <c r="J372" i="12" l="1"/>
  <c r="K371" i="12"/>
  <c r="J373" i="12" l="1"/>
  <c r="K372" i="12"/>
  <c r="J374" i="12" l="1"/>
  <c r="K373" i="12"/>
  <c r="J375" i="12" l="1"/>
  <c r="K374" i="12"/>
  <c r="J376" i="12" l="1"/>
  <c r="K375" i="12"/>
  <c r="J377" i="12" l="1"/>
  <c r="K376" i="12"/>
  <c r="J378" i="12" l="1"/>
  <c r="K377" i="12"/>
  <c r="J379" i="12" l="1"/>
  <c r="K378" i="12"/>
  <c r="J380" i="12" l="1"/>
  <c r="K379" i="12"/>
  <c r="J381" i="12" l="1"/>
  <c r="K380" i="12"/>
  <c r="J382" i="12" l="1"/>
  <c r="K381" i="12"/>
  <c r="J383" i="12" l="1"/>
  <c r="K382" i="12"/>
  <c r="J384" i="12" l="1"/>
  <c r="K383" i="12"/>
  <c r="J385" i="12" l="1"/>
  <c r="K384" i="12"/>
  <c r="J386" i="12" l="1"/>
  <c r="K385" i="12"/>
  <c r="J387" i="12" l="1"/>
  <c r="K386" i="12"/>
  <c r="J388" i="12" l="1"/>
  <c r="K387" i="12"/>
  <c r="J389" i="12" l="1"/>
  <c r="K388" i="12"/>
  <c r="J390" i="12" l="1"/>
  <c r="K389" i="12"/>
  <c r="J391" i="12" l="1"/>
  <c r="K390" i="12"/>
  <c r="J392" i="12" l="1"/>
  <c r="K391" i="12"/>
  <c r="J393" i="12" l="1"/>
  <c r="K392" i="12"/>
  <c r="J394" i="12" l="1"/>
  <c r="K393" i="12"/>
  <c r="J395" i="12" l="1"/>
  <c r="K394" i="12"/>
  <c r="J396" i="12" l="1"/>
  <c r="K395" i="12"/>
  <c r="J397" i="12" l="1"/>
  <c r="K396" i="12"/>
  <c r="J398" i="12" l="1"/>
  <c r="K397" i="12"/>
  <c r="J399" i="12" l="1"/>
  <c r="K398" i="12"/>
  <c r="J400" i="12" l="1"/>
  <c r="K399" i="12"/>
  <c r="J401" i="12" l="1"/>
  <c r="K400" i="12"/>
  <c r="J402" i="12" l="1"/>
  <c r="K401" i="12"/>
  <c r="J403" i="12" l="1"/>
  <c r="K402" i="12"/>
  <c r="J404" i="12" l="1"/>
  <c r="K403" i="12"/>
  <c r="J405" i="12" l="1"/>
  <c r="K404" i="12"/>
  <c r="J406" i="12" l="1"/>
  <c r="K405" i="12"/>
  <c r="J407" i="12" l="1"/>
  <c r="K406" i="12"/>
  <c r="J408" i="12" l="1"/>
  <c r="K407" i="12"/>
  <c r="J409" i="12" l="1"/>
  <c r="K408" i="12"/>
  <c r="J410" i="12" l="1"/>
  <c r="K409" i="12"/>
  <c r="J411" i="12" l="1"/>
  <c r="K410" i="12"/>
  <c r="J412" i="12" l="1"/>
  <c r="K411" i="12"/>
  <c r="J413" i="12" l="1"/>
  <c r="K412" i="12"/>
  <c r="J414" i="12" l="1"/>
  <c r="K413" i="12"/>
  <c r="J415" i="12" l="1"/>
  <c r="K414" i="12"/>
  <c r="J416" i="12" l="1"/>
  <c r="K415" i="12"/>
  <c r="J417" i="12" l="1"/>
  <c r="K416" i="12"/>
  <c r="J418" i="12" l="1"/>
  <c r="K417" i="12"/>
  <c r="J419" i="12" l="1"/>
  <c r="K418" i="12"/>
  <c r="J420" i="12" l="1"/>
  <c r="K419" i="12"/>
  <c r="J421" i="12" l="1"/>
  <c r="K420" i="12"/>
  <c r="J422" i="12" l="1"/>
  <c r="K421" i="12"/>
  <c r="J423" i="12" l="1"/>
  <c r="K422" i="12"/>
  <c r="J424" i="12" l="1"/>
  <c r="K423" i="12"/>
  <c r="J425" i="12" l="1"/>
  <c r="K424" i="12"/>
  <c r="J426" i="12" l="1"/>
  <c r="K425" i="12"/>
  <c r="J427" i="12" l="1"/>
  <c r="K426" i="12"/>
  <c r="J428" i="12" l="1"/>
  <c r="K427" i="12"/>
  <c r="J429" i="12" l="1"/>
  <c r="K428" i="12"/>
  <c r="J430" i="12" l="1"/>
  <c r="K429" i="12"/>
  <c r="J431" i="12" l="1"/>
  <c r="K430" i="12"/>
  <c r="J432" i="12" l="1"/>
  <c r="K431" i="12"/>
  <c r="J433" i="12" l="1"/>
  <c r="K432" i="12"/>
  <c r="J434" i="12" l="1"/>
  <c r="K433" i="12"/>
  <c r="J435" i="12" l="1"/>
  <c r="K434" i="12"/>
  <c r="J436" i="12" l="1"/>
  <c r="K435" i="12"/>
  <c r="J437" i="12" l="1"/>
  <c r="K436" i="12"/>
  <c r="J438" i="12" l="1"/>
  <c r="K437" i="12"/>
  <c r="J439" i="12" l="1"/>
  <c r="K438" i="12"/>
  <c r="J440" i="12" l="1"/>
  <c r="K439" i="12"/>
  <c r="J441" i="12" l="1"/>
  <c r="K440" i="12"/>
  <c r="J442" i="12" l="1"/>
  <c r="K441" i="12"/>
  <c r="J443" i="12" l="1"/>
  <c r="K442" i="12"/>
  <c r="J444" i="12" l="1"/>
  <c r="K443" i="12"/>
  <c r="J445" i="12" l="1"/>
  <c r="K444" i="12"/>
  <c r="J446" i="12" l="1"/>
  <c r="K445" i="12"/>
  <c r="J447" i="12" l="1"/>
  <c r="K446" i="12"/>
  <c r="J448" i="12" l="1"/>
  <c r="K447" i="12"/>
  <c r="J449" i="12" l="1"/>
  <c r="K448" i="12"/>
  <c r="J450" i="12" l="1"/>
  <c r="K449" i="12"/>
  <c r="J451" i="12" l="1"/>
  <c r="K450" i="12"/>
  <c r="J452" i="12" l="1"/>
  <c r="K451" i="12"/>
  <c r="J453" i="12" l="1"/>
  <c r="K452" i="12"/>
  <c r="J454" i="12" l="1"/>
  <c r="K453" i="12"/>
  <c r="J455" i="12" l="1"/>
  <c r="K454" i="12"/>
  <c r="J456" i="12" l="1"/>
  <c r="K455" i="12"/>
  <c r="J457" i="12" l="1"/>
  <c r="K456" i="12"/>
  <c r="J458" i="12" l="1"/>
  <c r="K457" i="12"/>
  <c r="J459" i="12" l="1"/>
  <c r="K458" i="12"/>
  <c r="J460" i="12" l="1"/>
  <c r="K459" i="12"/>
  <c r="J461" i="12" l="1"/>
  <c r="K460" i="12"/>
  <c r="J462" i="12" l="1"/>
  <c r="K461" i="12"/>
  <c r="J463" i="12" l="1"/>
  <c r="K462" i="12"/>
  <c r="J464" i="12" l="1"/>
  <c r="K463" i="12"/>
  <c r="J465" i="12" l="1"/>
  <c r="K464" i="12"/>
  <c r="J466" i="12" l="1"/>
  <c r="K465" i="12"/>
  <c r="J467" i="12" l="1"/>
  <c r="K466" i="12"/>
  <c r="J468" i="12" l="1"/>
  <c r="K467" i="12"/>
  <c r="J469" i="12" l="1"/>
  <c r="K468" i="12"/>
  <c r="J470" i="12" l="1"/>
  <c r="K469" i="12"/>
  <c r="J471" i="12" l="1"/>
  <c r="K470" i="12"/>
  <c r="J472" i="12" l="1"/>
  <c r="K471" i="12"/>
  <c r="J473" i="12" l="1"/>
  <c r="K472" i="12"/>
  <c r="J474" i="12" l="1"/>
  <c r="K473" i="12"/>
  <c r="J475" i="12" l="1"/>
  <c r="K474" i="12"/>
  <c r="J476" i="12" l="1"/>
  <c r="K475" i="12"/>
  <c r="J477" i="12" l="1"/>
  <c r="K476" i="12"/>
  <c r="J478" i="12" l="1"/>
  <c r="K477" i="12"/>
  <c r="J479" i="12" l="1"/>
  <c r="K478" i="12"/>
  <c r="J480" i="12" l="1"/>
  <c r="K479" i="12"/>
  <c r="J481" i="12" l="1"/>
  <c r="K480" i="12"/>
  <c r="J482" i="12" l="1"/>
  <c r="K481" i="12"/>
  <c r="J483" i="12" l="1"/>
  <c r="K482" i="12"/>
  <c r="J484" i="12" l="1"/>
  <c r="K483" i="12"/>
  <c r="J485" i="12" l="1"/>
  <c r="K484" i="12"/>
  <c r="J486" i="12" l="1"/>
  <c r="K485" i="12"/>
  <c r="J487" i="12" l="1"/>
  <c r="K486" i="12"/>
  <c r="J488" i="12" l="1"/>
  <c r="K487" i="12"/>
  <c r="J489" i="12" l="1"/>
  <c r="K488" i="12"/>
  <c r="J490" i="12" l="1"/>
  <c r="K489" i="12"/>
  <c r="J491" i="12" l="1"/>
  <c r="K490" i="12"/>
  <c r="J492" i="12" l="1"/>
  <c r="K491" i="12"/>
  <c r="J493" i="12" l="1"/>
  <c r="K492" i="12"/>
  <c r="J494" i="12" l="1"/>
  <c r="K493" i="12"/>
  <c r="J495" i="12" l="1"/>
  <c r="K494" i="12"/>
  <c r="J496" i="12" l="1"/>
  <c r="K495" i="12"/>
  <c r="J497" i="12" l="1"/>
  <c r="K496" i="12"/>
  <c r="J498" i="12" l="1"/>
  <c r="K497" i="12"/>
  <c r="J499" i="12" l="1"/>
  <c r="K498" i="12"/>
  <c r="J500" i="12" l="1"/>
  <c r="K499" i="12"/>
  <c r="J501" i="12" l="1"/>
  <c r="K500" i="12"/>
  <c r="J502" i="12" l="1"/>
  <c r="K501" i="12"/>
  <c r="J503" i="12" l="1"/>
  <c r="K502" i="12"/>
  <c r="J504" i="12" l="1"/>
  <c r="K503" i="12"/>
  <c r="J505" i="12" l="1"/>
  <c r="K504" i="12"/>
  <c r="J506" i="12" l="1"/>
  <c r="K505" i="12"/>
  <c r="J507" i="12" l="1"/>
  <c r="K506" i="12"/>
  <c r="J508" i="12" l="1"/>
  <c r="K507" i="12"/>
  <c r="J509" i="12" l="1"/>
  <c r="K508" i="12"/>
  <c r="J510" i="12" l="1"/>
  <c r="K509" i="12"/>
  <c r="J511" i="12" l="1"/>
  <c r="K510" i="12"/>
  <c r="J512" i="12" l="1"/>
  <c r="K511" i="12"/>
  <c r="J513" i="12" l="1"/>
  <c r="K512" i="12"/>
  <c r="J514" i="12" l="1"/>
  <c r="K513" i="12"/>
  <c r="J515" i="12" l="1"/>
  <c r="K514" i="12"/>
  <c r="J516" i="12" l="1"/>
  <c r="K515" i="12"/>
  <c r="J517" i="12" l="1"/>
  <c r="K516" i="12"/>
  <c r="J518" i="12" l="1"/>
  <c r="K517" i="12"/>
  <c r="J519" i="12" l="1"/>
  <c r="K518" i="12"/>
  <c r="J520" i="12" l="1"/>
  <c r="K519" i="12"/>
  <c r="J521" i="12" l="1"/>
  <c r="K520" i="12"/>
  <c r="J522" i="12" l="1"/>
  <c r="K521" i="12"/>
  <c r="J523" i="12" l="1"/>
  <c r="K522" i="12"/>
  <c r="J524" i="12" l="1"/>
  <c r="K523" i="12"/>
  <c r="J525" i="12" l="1"/>
  <c r="K524" i="12"/>
  <c r="J526" i="12" l="1"/>
  <c r="K525" i="12"/>
  <c r="J527" i="12" l="1"/>
  <c r="K526" i="12"/>
  <c r="J528" i="12" l="1"/>
  <c r="K527" i="12"/>
  <c r="J529" i="12" l="1"/>
  <c r="K528" i="12"/>
  <c r="J530" i="12" l="1"/>
  <c r="K529" i="12"/>
  <c r="J531" i="12" l="1"/>
  <c r="K530" i="12"/>
  <c r="J532" i="12" l="1"/>
  <c r="K531" i="12"/>
  <c r="J533" i="12" l="1"/>
  <c r="K532" i="12"/>
  <c r="J534" i="12" l="1"/>
  <c r="K533" i="12"/>
  <c r="J535" i="12" l="1"/>
  <c r="K534" i="12"/>
  <c r="J536" i="12" l="1"/>
  <c r="K535" i="12"/>
  <c r="J537" i="12" l="1"/>
  <c r="K536" i="12"/>
  <c r="J538" i="12" l="1"/>
  <c r="K537" i="12"/>
  <c r="J539" i="12" l="1"/>
  <c r="K538" i="12"/>
  <c r="J540" i="12" l="1"/>
  <c r="K539" i="12"/>
  <c r="J541" i="12" l="1"/>
  <c r="K540" i="12"/>
  <c r="J542" i="12" l="1"/>
  <c r="K541" i="12"/>
  <c r="J543" i="12" l="1"/>
  <c r="K542" i="12"/>
  <c r="J544" i="12" l="1"/>
  <c r="K543" i="12"/>
  <c r="J545" i="12" l="1"/>
  <c r="K544" i="12"/>
  <c r="J546" i="12" l="1"/>
  <c r="K545" i="12"/>
  <c r="J547" i="12" l="1"/>
  <c r="K546" i="12"/>
  <c r="J548" i="12" l="1"/>
  <c r="K547" i="12"/>
  <c r="J549" i="12" l="1"/>
  <c r="K548" i="12"/>
  <c r="J550" i="12" l="1"/>
  <c r="K549" i="12"/>
  <c r="J551" i="12" l="1"/>
  <c r="K550" i="12"/>
  <c r="J552" i="12" l="1"/>
  <c r="K551" i="12"/>
  <c r="J553" i="12" l="1"/>
  <c r="K552" i="12"/>
  <c r="J554" i="12" l="1"/>
  <c r="K553" i="12"/>
  <c r="J555" i="12" l="1"/>
  <c r="K554" i="12"/>
  <c r="J556" i="12" l="1"/>
  <c r="K555" i="12"/>
  <c r="J557" i="12" l="1"/>
  <c r="K556" i="12"/>
  <c r="J558" i="12" l="1"/>
  <c r="K557" i="12"/>
  <c r="J559" i="12" l="1"/>
  <c r="K558" i="12"/>
  <c r="J560" i="12" l="1"/>
  <c r="K559" i="12"/>
  <c r="J561" i="12" l="1"/>
  <c r="K560" i="12"/>
  <c r="J562" i="12" l="1"/>
  <c r="K561" i="12"/>
  <c r="J563" i="12" l="1"/>
  <c r="K562" i="12"/>
  <c r="J564" i="12" l="1"/>
  <c r="K563" i="12"/>
  <c r="J565" i="12" l="1"/>
  <c r="K564" i="12"/>
  <c r="J566" i="12" l="1"/>
  <c r="K565" i="12"/>
  <c r="J567" i="12" l="1"/>
  <c r="K566" i="12"/>
  <c r="J568" i="12" l="1"/>
  <c r="K567" i="12"/>
  <c r="J569" i="12" l="1"/>
  <c r="K568" i="12"/>
  <c r="J570" i="12" l="1"/>
  <c r="K569" i="12"/>
  <c r="J571" i="12" l="1"/>
  <c r="K570" i="12"/>
  <c r="J572" i="12" l="1"/>
  <c r="K571" i="12"/>
  <c r="J573" i="12" l="1"/>
  <c r="K572" i="12"/>
  <c r="J574" i="12" l="1"/>
  <c r="K573" i="12"/>
  <c r="J575" i="12" l="1"/>
  <c r="K574" i="12"/>
  <c r="J576" i="12" l="1"/>
  <c r="K575" i="12"/>
  <c r="J577" i="12" l="1"/>
  <c r="K576" i="12"/>
  <c r="J578" i="12" l="1"/>
  <c r="K577" i="12"/>
  <c r="J579" i="12" l="1"/>
  <c r="K578" i="12"/>
  <c r="J580" i="12" l="1"/>
  <c r="K579" i="12"/>
  <c r="J581" i="12" l="1"/>
  <c r="K580" i="12"/>
  <c r="J582" i="12" l="1"/>
  <c r="K581" i="12"/>
  <c r="J583" i="12" l="1"/>
  <c r="K582" i="12"/>
  <c r="J584" i="12" l="1"/>
  <c r="K583" i="12"/>
  <c r="J585" i="12" l="1"/>
  <c r="K584" i="12"/>
  <c r="J586" i="12" l="1"/>
  <c r="K585" i="12"/>
  <c r="J587" i="12" l="1"/>
  <c r="K586" i="12"/>
  <c r="J588" i="12" l="1"/>
  <c r="K587" i="12"/>
  <c r="J589" i="12" l="1"/>
  <c r="K588" i="12"/>
  <c r="J590" i="12" l="1"/>
  <c r="K589" i="12"/>
  <c r="J591" i="12" l="1"/>
  <c r="K590" i="12"/>
  <c r="J592" i="12" l="1"/>
  <c r="K591" i="12"/>
  <c r="J593" i="12" l="1"/>
  <c r="K592" i="12"/>
  <c r="J594" i="12" l="1"/>
  <c r="K593" i="12"/>
  <c r="J595" i="12" l="1"/>
  <c r="K594" i="12"/>
  <c r="J596" i="12" l="1"/>
  <c r="K595" i="12"/>
  <c r="J597" i="12" l="1"/>
  <c r="K596" i="12"/>
  <c r="J598" i="12" l="1"/>
  <c r="K597" i="12"/>
  <c r="J599" i="12" l="1"/>
  <c r="K598" i="12"/>
  <c r="J600" i="12" l="1"/>
  <c r="K599" i="12"/>
  <c r="J601" i="12" l="1"/>
  <c r="K600" i="12"/>
  <c r="J602" i="12" l="1"/>
  <c r="K601" i="12"/>
  <c r="J603" i="12" l="1"/>
  <c r="K602" i="12"/>
  <c r="J604" i="12" l="1"/>
  <c r="K603" i="12"/>
  <c r="J605" i="12" l="1"/>
  <c r="K604" i="12"/>
  <c r="J606" i="12" l="1"/>
  <c r="K605" i="12"/>
  <c r="J607" i="12" l="1"/>
  <c r="K606" i="12"/>
  <c r="J608" i="12" l="1"/>
  <c r="K607" i="12"/>
  <c r="J609" i="12" l="1"/>
  <c r="K608" i="12"/>
  <c r="J610" i="12" l="1"/>
  <c r="K609" i="12"/>
  <c r="J611" i="12" l="1"/>
  <c r="K610" i="12"/>
  <c r="J612" i="12" l="1"/>
  <c r="K611" i="12"/>
  <c r="J613" i="12" l="1"/>
  <c r="K612" i="12"/>
  <c r="J614" i="12" l="1"/>
  <c r="K613" i="12"/>
  <c r="J615" i="12" l="1"/>
  <c r="K614" i="12"/>
  <c r="J616" i="12" l="1"/>
  <c r="K615" i="12"/>
  <c r="J617" i="12" l="1"/>
  <c r="K616" i="12"/>
  <c r="J618" i="12" l="1"/>
  <c r="K617" i="12"/>
  <c r="J619" i="12" l="1"/>
  <c r="K618" i="12"/>
  <c r="J620" i="12" l="1"/>
  <c r="K619" i="12"/>
  <c r="J621" i="12" l="1"/>
  <c r="K620" i="12"/>
  <c r="J622" i="12" l="1"/>
  <c r="K621" i="12"/>
  <c r="J623" i="12" l="1"/>
  <c r="K622" i="12"/>
  <c r="J624" i="12" l="1"/>
  <c r="K623" i="12"/>
  <c r="J625" i="12" l="1"/>
  <c r="K624" i="12"/>
  <c r="J626" i="12" l="1"/>
  <c r="K625" i="12"/>
  <c r="J627" i="12" l="1"/>
  <c r="K626" i="12"/>
  <c r="J628" i="12" l="1"/>
  <c r="K627" i="12"/>
  <c r="J629" i="12" l="1"/>
  <c r="K628" i="12"/>
  <c r="J630" i="12" l="1"/>
  <c r="K629" i="12"/>
  <c r="J631" i="12" l="1"/>
  <c r="K630" i="12"/>
  <c r="J632" i="12" l="1"/>
  <c r="K631" i="12"/>
  <c r="J633" i="12" l="1"/>
  <c r="K632" i="12"/>
  <c r="J634" i="12" l="1"/>
  <c r="K633" i="12"/>
  <c r="J635" i="12" l="1"/>
  <c r="K634" i="12"/>
  <c r="J636" i="12" l="1"/>
  <c r="K635" i="12"/>
  <c r="J637" i="12" l="1"/>
  <c r="K636" i="12"/>
  <c r="J638" i="12" l="1"/>
  <c r="K637" i="12"/>
  <c r="J639" i="12" l="1"/>
  <c r="K638" i="12"/>
  <c r="J640" i="12" l="1"/>
  <c r="K639" i="12"/>
  <c r="J641" i="12" l="1"/>
  <c r="K640" i="12"/>
  <c r="J642" i="12" l="1"/>
  <c r="K641" i="12"/>
  <c r="J643" i="12" l="1"/>
  <c r="K642" i="12"/>
  <c r="J644" i="12" l="1"/>
  <c r="K643" i="12"/>
  <c r="J645" i="12" l="1"/>
  <c r="K644" i="12"/>
  <c r="J646" i="12" l="1"/>
  <c r="K645" i="12"/>
  <c r="J647" i="12" l="1"/>
  <c r="K646" i="12"/>
  <c r="J648" i="12" l="1"/>
  <c r="K647" i="12"/>
  <c r="J649" i="12" l="1"/>
  <c r="K648" i="12"/>
  <c r="J650" i="12" l="1"/>
  <c r="K649" i="12"/>
  <c r="J651" i="12" l="1"/>
  <c r="K650" i="12"/>
  <c r="J652" i="12" l="1"/>
  <c r="K651" i="12"/>
  <c r="J653" i="12" l="1"/>
  <c r="K652" i="12"/>
  <c r="J654" i="12" l="1"/>
  <c r="K653" i="12"/>
  <c r="J655" i="12" l="1"/>
  <c r="K654" i="12"/>
  <c r="J656" i="12" l="1"/>
  <c r="K655" i="12"/>
  <c r="J657" i="12" l="1"/>
  <c r="K656" i="12"/>
  <c r="J658" i="12" l="1"/>
  <c r="K657" i="12"/>
  <c r="J659" i="12" l="1"/>
  <c r="K658" i="12"/>
  <c r="J660" i="12" l="1"/>
  <c r="K659" i="12"/>
  <c r="J661" i="12" l="1"/>
  <c r="K660" i="12"/>
  <c r="J662" i="12" l="1"/>
  <c r="K661" i="12"/>
  <c r="J663" i="12" l="1"/>
  <c r="K662" i="12"/>
  <c r="J664" i="12" l="1"/>
  <c r="K663" i="12"/>
  <c r="J665" i="12" l="1"/>
  <c r="K664" i="12"/>
  <c r="J666" i="12" l="1"/>
  <c r="K665" i="12"/>
  <c r="J667" i="12" l="1"/>
  <c r="K666" i="12"/>
  <c r="J668" i="12" l="1"/>
  <c r="K667" i="12"/>
  <c r="J669" i="12" l="1"/>
  <c r="K668" i="12"/>
  <c r="J670" i="12" l="1"/>
  <c r="K669" i="12"/>
  <c r="J671" i="12" l="1"/>
  <c r="K670" i="12"/>
  <c r="J672" i="12" l="1"/>
  <c r="K671" i="12"/>
  <c r="J673" i="12" l="1"/>
  <c r="K672" i="12"/>
  <c r="J674" i="12" l="1"/>
  <c r="K673" i="12"/>
  <c r="J675" i="12" l="1"/>
  <c r="K674" i="12"/>
  <c r="J676" i="12" l="1"/>
  <c r="K675" i="12"/>
  <c r="J677" i="12" l="1"/>
  <c r="K676" i="12"/>
  <c r="J678" i="12" l="1"/>
  <c r="K677" i="12"/>
  <c r="J679" i="12" l="1"/>
  <c r="K678" i="12"/>
  <c r="J680" i="12" l="1"/>
  <c r="K679" i="12"/>
  <c r="J681" i="12" l="1"/>
  <c r="K680" i="12"/>
  <c r="J682" i="12" l="1"/>
  <c r="K681" i="12"/>
  <c r="J683" i="12" l="1"/>
  <c r="K682" i="12"/>
  <c r="J684" i="12" l="1"/>
  <c r="K683" i="12"/>
  <c r="J685" i="12" l="1"/>
  <c r="K684" i="12"/>
  <c r="J686" i="12" l="1"/>
  <c r="K685" i="12"/>
  <c r="J687" i="12" l="1"/>
  <c r="K686" i="12"/>
  <c r="J688" i="12" l="1"/>
  <c r="K687" i="12"/>
  <c r="J689" i="12" l="1"/>
  <c r="K688" i="12"/>
  <c r="J690" i="12" l="1"/>
  <c r="K689" i="12"/>
  <c r="J691" i="12" l="1"/>
  <c r="K690" i="12"/>
  <c r="J692" i="12" l="1"/>
  <c r="K691" i="12"/>
  <c r="J693" i="12" l="1"/>
  <c r="K692" i="12"/>
  <c r="J694" i="12" l="1"/>
  <c r="K693" i="12"/>
  <c r="J695" i="12" l="1"/>
  <c r="K694" i="12"/>
  <c r="J696" i="12" l="1"/>
  <c r="K695" i="12"/>
  <c r="J697" i="12" l="1"/>
  <c r="K696" i="12"/>
  <c r="J698" i="12" l="1"/>
  <c r="K697" i="12"/>
  <c r="J699" i="12" l="1"/>
  <c r="K698" i="12"/>
  <c r="J700" i="12" l="1"/>
  <c r="K699" i="12"/>
  <c r="J701" i="12" l="1"/>
  <c r="K700" i="12"/>
  <c r="J702" i="12" l="1"/>
  <c r="K701" i="12"/>
  <c r="J703" i="12" l="1"/>
  <c r="K702" i="12"/>
  <c r="J704" i="12" l="1"/>
  <c r="K703" i="12"/>
  <c r="J705" i="12" l="1"/>
  <c r="K704" i="12"/>
  <c r="J706" i="12" l="1"/>
  <c r="K705" i="12"/>
  <c r="J707" i="12" l="1"/>
  <c r="K706" i="12"/>
  <c r="J708" i="12" l="1"/>
  <c r="K707" i="12"/>
  <c r="J709" i="12" l="1"/>
  <c r="K708" i="12"/>
  <c r="J710" i="12" l="1"/>
  <c r="K709" i="12"/>
  <c r="J711" i="12" l="1"/>
  <c r="K710" i="12"/>
  <c r="J712" i="12" l="1"/>
  <c r="K711" i="12"/>
  <c r="J713" i="12" l="1"/>
  <c r="K712" i="12"/>
  <c r="J714" i="12" l="1"/>
  <c r="K713" i="12"/>
  <c r="J715" i="12" l="1"/>
  <c r="K714" i="12"/>
  <c r="J716" i="12" l="1"/>
  <c r="K715" i="12"/>
  <c r="J717" i="12" l="1"/>
  <c r="K716" i="12"/>
  <c r="J718" i="12" l="1"/>
  <c r="K717" i="12"/>
  <c r="J719" i="12" l="1"/>
  <c r="K718" i="12"/>
  <c r="J720" i="12" l="1"/>
  <c r="K719" i="12"/>
  <c r="J721" i="12" l="1"/>
  <c r="K720" i="12"/>
  <c r="J722" i="12" l="1"/>
  <c r="K721" i="12"/>
  <c r="J723" i="12" l="1"/>
  <c r="K722" i="12"/>
  <c r="J724" i="12" l="1"/>
  <c r="K723" i="12"/>
  <c r="J725" i="12" l="1"/>
  <c r="K724" i="12"/>
  <c r="J726" i="12" l="1"/>
  <c r="K725" i="12"/>
  <c r="J727" i="12" l="1"/>
  <c r="K726" i="12"/>
  <c r="J728" i="12" l="1"/>
  <c r="K727" i="12"/>
  <c r="J729" i="12" l="1"/>
  <c r="K728" i="12"/>
  <c r="J730" i="12" l="1"/>
  <c r="K729" i="12"/>
  <c r="J731" i="12" l="1"/>
  <c r="K730" i="12"/>
  <c r="J732" i="12" l="1"/>
  <c r="K731" i="12"/>
  <c r="J733" i="12" l="1"/>
  <c r="K732" i="12"/>
  <c r="J734" i="12" l="1"/>
  <c r="K733" i="12"/>
  <c r="J735" i="12" l="1"/>
  <c r="K734" i="12"/>
  <c r="J736" i="12" l="1"/>
  <c r="K735" i="12"/>
  <c r="J737" i="12" l="1"/>
  <c r="K736" i="12"/>
  <c r="J738" i="12" l="1"/>
  <c r="K737" i="12"/>
  <c r="J739" i="12" l="1"/>
  <c r="K738" i="12"/>
  <c r="J740" i="12" l="1"/>
  <c r="K739" i="12"/>
  <c r="J741" i="12" l="1"/>
  <c r="K740" i="12"/>
  <c r="J742" i="12" l="1"/>
  <c r="K741" i="12"/>
  <c r="J743" i="12" l="1"/>
  <c r="K742" i="12"/>
  <c r="J744" i="12" l="1"/>
  <c r="K743" i="12"/>
  <c r="J745" i="12" l="1"/>
  <c r="K744" i="12"/>
  <c r="J746" i="12" l="1"/>
  <c r="K745" i="12"/>
  <c r="J747" i="12" l="1"/>
  <c r="K746" i="12"/>
  <c r="J748" i="12" l="1"/>
  <c r="K747" i="12"/>
  <c r="J749" i="12" l="1"/>
  <c r="K748" i="12"/>
  <c r="J750" i="12" l="1"/>
  <c r="K749" i="12"/>
  <c r="J751" i="12" l="1"/>
  <c r="K750" i="12"/>
  <c r="J752" i="12" l="1"/>
  <c r="K751" i="12"/>
  <c r="J753" i="12" l="1"/>
  <c r="K752" i="12"/>
  <c r="J754" i="12" l="1"/>
  <c r="K753" i="12"/>
  <c r="J755" i="12" l="1"/>
  <c r="K754" i="12"/>
  <c r="J756" i="12" l="1"/>
  <c r="K755" i="12"/>
  <c r="J757" i="12" l="1"/>
  <c r="K756" i="12"/>
  <c r="J758" i="12" l="1"/>
  <c r="K757" i="12"/>
  <c r="J759" i="12" l="1"/>
  <c r="K758" i="12"/>
  <c r="J760" i="12" l="1"/>
  <c r="K759" i="12"/>
  <c r="J761" i="12" l="1"/>
  <c r="K760" i="12"/>
  <c r="J762" i="12" l="1"/>
  <c r="K761" i="12"/>
  <c r="J763" i="12" l="1"/>
  <c r="K762" i="12"/>
  <c r="J764" i="12" l="1"/>
  <c r="K763" i="12"/>
  <c r="J765" i="12" l="1"/>
  <c r="K764" i="12"/>
  <c r="J766" i="12" l="1"/>
  <c r="K765" i="12"/>
  <c r="J767" i="12" l="1"/>
  <c r="K766" i="12"/>
  <c r="J768" i="12" l="1"/>
  <c r="K767" i="12"/>
  <c r="J769" i="12" l="1"/>
  <c r="K768" i="12"/>
  <c r="J770" i="12" l="1"/>
  <c r="K769" i="12"/>
  <c r="K770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<sst xmlns="http://schemas.openxmlformats.org/spreadsheetml/2006/main" count="158" uniqueCount="92">
  <si>
    <t>MOL</t>
  </si>
  <si>
    <t>OTP</t>
  </si>
  <si>
    <t>VaR(%)</t>
  </si>
  <si>
    <t>alfa</t>
  </si>
  <si>
    <t>VaR</t>
  </si>
  <si>
    <t>ES</t>
  </si>
  <si>
    <t>VaR (Ft)</t>
  </si>
  <si>
    <t>return</t>
  </si>
  <si>
    <t>Closing price</t>
  </si>
  <si>
    <t>Date</t>
  </si>
  <si>
    <t>MTELEKOM</t>
  </si>
  <si>
    <t>Historical</t>
  </si>
  <si>
    <t>Portfolio</t>
  </si>
  <si>
    <t>Portfolio return</t>
  </si>
  <si>
    <t>weight</t>
  </si>
  <si>
    <t>n</t>
  </si>
  <si>
    <t>Portfolio (000)</t>
  </si>
  <si>
    <t>i</t>
  </si>
  <si>
    <t>lambda</t>
  </si>
  <si>
    <t>Exp_weight</t>
  </si>
  <si>
    <t>r</t>
  </si>
  <si>
    <t>r(portfolio)</t>
  </si>
  <si>
    <t>var(portfolio)</t>
  </si>
  <si>
    <t>St. Dev.</t>
  </si>
  <si>
    <t xml:space="preserve">Single stock </t>
  </si>
  <si>
    <t>Mean</t>
  </si>
  <si>
    <t>Var. (%)</t>
  </si>
  <si>
    <t>sum (n):</t>
  </si>
  <si>
    <t>logreturn</t>
  </si>
  <si>
    <t>st. Dev</t>
  </si>
  <si>
    <t>mean</t>
  </si>
  <si>
    <t>VARlog%</t>
  </si>
  <si>
    <t>outlier (m):</t>
  </si>
  <si>
    <t>alfa=</t>
  </si>
  <si>
    <t>multiplier=</t>
  </si>
  <si>
    <t>one-tailed test</t>
  </si>
  <si>
    <t>two-tailed test</t>
  </si>
  <si>
    <t>kupiec</t>
  </si>
  <si>
    <t>Critical value</t>
  </si>
  <si>
    <t>r=</t>
  </si>
  <si>
    <t>multiplier</t>
  </si>
  <si>
    <t>s(dr )</t>
  </si>
  <si>
    <t>D*</t>
  </si>
  <si>
    <t>s(bond)</t>
  </si>
  <si>
    <t>VaR%</t>
  </si>
  <si>
    <t>VaR:</t>
  </si>
  <si>
    <t>S0=</t>
  </si>
  <si>
    <t>X=</t>
  </si>
  <si>
    <t>tau=</t>
  </si>
  <si>
    <t>μ=</t>
  </si>
  <si>
    <t>T=</t>
  </si>
  <si>
    <t>σ=</t>
  </si>
  <si>
    <t>m=</t>
  </si>
  <si>
    <t>c0=</t>
  </si>
  <si>
    <t>s=</t>
  </si>
  <si>
    <t>p0=</t>
  </si>
  <si>
    <t>c0+p0=</t>
  </si>
  <si>
    <t>N(0,1)</t>
  </si>
  <si>
    <t>S1=</t>
  </si>
  <si>
    <t>Call=</t>
  </si>
  <si>
    <t>Put=</t>
  </si>
  <si>
    <t>Stock</t>
  </si>
  <si>
    <t>Option</t>
  </si>
  <si>
    <t>Logreturn</t>
  </si>
  <si>
    <t>Call</t>
  </si>
  <si>
    <t>S*=</t>
  </si>
  <si>
    <t>r*=</t>
  </si>
  <si>
    <t>c*=</t>
  </si>
  <si>
    <t>Straddle</t>
  </si>
  <si>
    <t>logreturn=</t>
  </si>
  <si>
    <t>Simulation</t>
  </si>
  <si>
    <t>Realizations</t>
  </si>
  <si>
    <t>Treshold=</t>
  </si>
  <si>
    <t>VaR =</t>
  </si>
  <si>
    <t>5-Year Yield</t>
  </si>
  <si>
    <t>Change of yields</t>
  </si>
  <si>
    <t>dr</t>
  </si>
  <si>
    <t>%</t>
  </si>
  <si>
    <t>dur</t>
  </si>
  <si>
    <t>years</t>
  </si>
  <si>
    <t>value</t>
  </si>
  <si>
    <t>billion USD</t>
  </si>
  <si>
    <t>mod. Dur</t>
  </si>
  <si>
    <t>Historical simulation</t>
  </si>
  <si>
    <t>Delta nomal method</t>
  </si>
  <si>
    <t>VaR(monthly)</t>
  </si>
  <si>
    <t>Expected value</t>
  </si>
  <si>
    <t>VaR (yearly)</t>
  </si>
  <si>
    <t>Volatility</t>
  </si>
  <si>
    <t>VaR(dr)</t>
  </si>
  <si>
    <t>Actual change in 94':</t>
  </si>
  <si>
    <t>Change of the portfolio based on dur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</si>
</sst>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F_t_-;\-* #,##0.00\ _F_t_-;_-* &quot;-&quot;??\ _F_t_-;_-@_-"/>
    <numFmt numFmtId="165" formatCode="#,##0_ ;\-#,##0\ "/>
    <numFmt numFmtId="166" formatCode="#,###"/>
    <numFmt numFmtId="167" formatCode="0.0000"/>
    <numFmt numFmtId="168" formatCode="#,##0.0000"/>
    <numFmt numFmtId="169" formatCode="0.0%"/>
    <numFmt numFmtId="170" formatCode="0.000"/>
    <numFmt numFmtId="171" formatCode="0.000%"/>
  </numFmts>
  <fonts count="7" x14ac:knownFonts="1">
    <font>
      <sz val="10"/>
      <name val="Arial"/>
      <charset val="238"/>
    </font>
    <font>
      <i/>
      <sz val="10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color indexed="8"/>
      <name val="Arial"/>
      <family val="2"/>
      <charset val="238"/>
    </font>
    <font>
      <sz val="12"/>
      <name val="Times New Roman"/>
      <family val="1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</cellStyleXfs>
  <cellXfs count="115">
    <xf numFmtId="0" fontId="0" fillId="0" borderId="0" xfId="0"/>
    <xf numFmtId="10" fontId="0" fillId="0" borderId="0" xfId="2" applyNumberFormat="1" applyFont="1" applyBorder="1"/>
    <xf numFmtId="14" fontId="0" fillId="0" borderId="0" xfId="0" applyNumberFormat="1"/>
    <xf numFmtId="0" fontId="0" fillId="0" borderId="3" xfId="0" applyBorder="1"/>
    <xf numFmtId="1" fontId="0" fillId="0" borderId="0" xfId="0" applyNumberFormat="1"/>
    <xf numFmtId="0" fontId="4" fillId="0" borderId="0" xfId="0" applyFont="1"/>
    <xf numFmtId="9" fontId="0" fillId="0" borderId="0" xfId="0" applyNumberFormat="1" applyBorder="1"/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/>
    <xf numFmtId="0" fontId="0" fillId="0" borderId="0" xfId="0" applyBorder="1"/>
    <xf numFmtId="0" fontId="2" fillId="0" borderId="0" xfId="0" applyFont="1"/>
    <xf numFmtId="10" fontId="0" fillId="0" borderId="0" xfId="2" applyNumberFormat="1" applyFont="1" applyAlignment="1">
      <alignment horizontal="center"/>
    </xf>
    <xf numFmtId="0" fontId="2" fillId="0" borderId="8" xfId="0" applyFont="1" applyBorder="1" applyAlignment="1">
      <alignment horizontal="center"/>
    </xf>
    <xf numFmtId="2" fontId="0" fillId="0" borderId="0" xfId="0" applyNumberFormat="1"/>
    <xf numFmtId="10" fontId="0" fillId="0" borderId="0" xfId="2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/>
    <xf numFmtId="2" fontId="0" fillId="0" borderId="0" xfId="2" applyNumberFormat="1" applyFont="1" applyAlignment="1">
      <alignment horizontal="center"/>
    </xf>
    <xf numFmtId="0" fontId="2" fillId="0" borderId="0" xfId="0" applyFont="1" applyFill="1" applyBorder="1"/>
    <xf numFmtId="0" fontId="2" fillId="0" borderId="0" xfId="0" applyFont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right"/>
    </xf>
    <xf numFmtId="168" fontId="0" fillId="0" borderId="0" xfId="0" applyNumberFormat="1"/>
    <xf numFmtId="14" fontId="2" fillId="0" borderId="0" xfId="0" applyNumberFormat="1" applyFont="1"/>
    <xf numFmtId="3" fontId="0" fillId="0" borderId="0" xfId="0" applyNumberFormat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0" fontId="0" fillId="2" borderId="0" xfId="0" applyNumberFormat="1" applyFill="1" applyAlignment="1">
      <alignment horizontal="center"/>
    </xf>
    <xf numFmtId="1" fontId="2" fillId="0" borderId="0" xfId="0" applyNumberFormat="1" applyFont="1"/>
    <xf numFmtId="167" fontId="0" fillId="0" borderId="0" xfId="0" applyNumberFormat="1"/>
    <xf numFmtId="3" fontId="0" fillId="0" borderId="0" xfId="0" applyNumberFormat="1" applyBorder="1"/>
    <xf numFmtId="0" fontId="3" fillId="0" borderId="8" xfId="0" applyFont="1" applyFill="1" applyBorder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0" borderId="0" xfId="0" applyNumberFormat="1" applyFill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1" fontId="0" fillId="0" borderId="0" xfId="2" applyNumberFormat="1" applyFont="1" applyBorder="1" applyAlignment="1">
      <alignment horizontal="center"/>
    </xf>
    <xf numFmtId="0" fontId="0" fillId="0" borderId="0" xfId="0" applyFont="1" applyFill="1" applyBorder="1"/>
    <xf numFmtId="169" fontId="0" fillId="0" borderId="0" xfId="0" applyNumberFormat="1" applyAlignment="1">
      <alignment horizontal="center"/>
    </xf>
    <xf numFmtId="16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2" fillId="0" borderId="0" xfId="0" applyNumberFormat="1" applyFont="1" applyAlignment="1">
      <alignment horizontal="center"/>
    </xf>
    <xf numFmtId="0" fontId="0" fillId="0" borderId="0" xfId="0" applyFill="1" applyBorder="1" applyAlignment="1"/>
    <xf numFmtId="0" fontId="0" fillId="0" borderId="6" xfId="0" applyFill="1" applyBorder="1" applyAlignment="1"/>
    <xf numFmtId="0" fontId="1" fillId="0" borderId="10" xfId="0" applyFont="1" applyFill="1" applyBorder="1" applyAlignment="1">
      <alignment horizontal="center"/>
    </xf>
    <xf numFmtId="167" fontId="0" fillId="0" borderId="0" xfId="0" applyNumberFormat="1" applyFill="1" applyBorder="1" applyAlignment="1"/>
    <xf numFmtId="10" fontId="0" fillId="0" borderId="0" xfId="2" applyNumberFormat="1" applyFont="1" applyFill="1" applyBorder="1" applyAlignment="1"/>
    <xf numFmtId="0" fontId="3" fillId="3" borderId="0" xfId="0" applyFont="1" applyFill="1"/>
    <xf numFmtId="0" fontId="2" fillId="3" borderId="0" xfId="0" applyFont="1" applyFill="1"/>
    <xf numFmtId="0" fontId="2" fillId="0" borderId="0" xfId="0" applyFont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0" xfId="3"/>
    <xf numFmtId="10" fontId="3" fillId="0" borderId="0" xfId="4" applyNumberFormat="1" applyFont="1"/>
    <xf numFmtId="0" fontId="3" fillId="0" borderId="0" xfId="3" applyFont="1"/>
    <xf numFmtId="167" fontId="2" fillId="0" borderId="0" xfId="3" applyNumberFormat="1"/>
    <xf numFmtId="167" fontId="3" fillId="0" borderId="0" xfId="3" applyNumberFormat="1" applyFont="1" applyAlignment="1">
      <alignment horizontal="right"/>
    </xf>
    <xf numFmtId="10" fontId="0" fillId="0" borderId="0" xfId="4" applyNumberFormat="1" applyFont="1"/>
    <xf numFmtId="0" fontId="3" fillId="0" borderId="11" xfId="0" applyFont="1" applyBorder="1" applyAlignment="1">
      <alignment horizontal="center"/>
    </xf>
    <xf numFmtId="0" fontId="3" fillId="0" borderId="11" xfId="3" applyFont="1" applyBorder="1" applyAlignment="1">
      <alignment horizontal="right"/>
    </xf>
    <xf numFmtId="167" fontId="3" fillId="0" borderId="11" xfId="3" applyNumberFormat="1" applyFont="1" applyBorder="1" applyAlignment="1">
      <alignment horizontal="right"/>
    </xf>
    <xf numFmtId="1" fontId="2" fillId="0" borderId="0" xfId="3" applyNumberFormat="1"/>
    <xf numFmtId="14" fontId="0" fillId="0" borderId="0" xfId="0" applyNumberFormat="1" applyAlignment="1">
      <alignment horizontal="center"/>
    </xf>
    <xf numFmtId="167" fontId="3" fillId="0" borderId="0" xfId="3" applyNumberFormat="1" applyFont="1"/>
    <xf numFmtId="10" fontId="2" fillId="0" borderId="0" xfId="2" applyNumberFormat="1" applyFont="1"/>
    <xf numFmtId="14" fontId="5" fillId="0" borderId="0" xfId="3" applyNumberFormat="1" applyFont="1"/>
    <xf numFmtId="3" fontId="5" fillId="0" borderId="0" xfId="3" applyNumberFormat="1" applyFont="1"/>
    <xf numFmtId="0" fontId="0" fillId="0" borderId="0" xfId="0" applyAlignment="1">
      <alignment horizontal="right"/>
    </xf>
    <xf numFmtId="9" fontId="0" fillId="0" borderId="0" xfId="0" applyNumberFormat="1"/>
    <xf numFmtId="0" fontId="2" fillId="0" borderId="0" xfId="0" applyFont="1" applyAlignment="1">
      <alignment horizontal="right"/>
    </xf>
    <xf numFmtId="170" fontId="0" fillId="0" borderId="0" xfId="0" applyNumberFormat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1" fontId="0" fillId="0" borderId="0" xfId="2" applyNumberFormat="1" applyFont="1" applyAlignment="1">
      <alignment horizontal="center"/>
    </xf>
    <xf numFmtId="4" fontId="0" fillId="0" borderId="0" xfId="0" applyNumberFormat="1"/>
    <xf numFmtId="10" fontId="0" fillId="0" borderId="0" xfId="0" applyNumberFormat="1" applyFill="1"/>
    <xf numFmtId="169" fontId="0" fillId="2" borderId="0" xfId="0" applyNumberFormat="1" applyFill="1" applyAlignment="1">
      <alignment horizontal="center"/>
    </xf>
    <xf numFmtId="0" fontId="6" fillId="0" borderId="0" xfId="0" applyFont="1" applyAlignment="1">
      <alignment horizontal="justify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3" fillId="0" borderId="1" xfId="5" applyFont="1" applyBorder="1"/>
    <xf numFmtId="0" fontId="2" fillId="0" borderId="0" xfId="5"/>
    <xf numFmtId="0" fontId="3" fillId="0" borderId="0" xfId="5" applyFont="1"/>
    <xf numFmtId="0" fontId="2" fillId="0" borderId="0" xfId="5" applyAlignment="1">
      <alignment horizontal="right"/>
    </xf>
    <xf numFmtId="2" fontId="2" fillId="0" borderId="0" xfId="5" applyNumberFormat="1" applyAlignment="1">
      <alignment horizontal="center"/>
    </xf>
    <xf numFmtId="0" fontId="2" fillId="0" borderId="1" xfId="5" applyBorder="1" applyAlignment="1">
      <alignment horizontal="left"/>
    </xf>
    <xf numFmtId="167" fontId="0" fillId="0" borderId="0" xfId="0" applyNumberFormat="1" applyAlignment="1">
      <alignment horizontal="center"/>
    </xf>
    <xf numFmtId="0" fontId="1" fillId="0" borderId="0" xfId="5" applyFont="1" applyAlignment="1">
      <alignment horizontal="center"/>
    </xf>
    <xf numFmtId="2" fontId="2" fillId="0" borderId="0" xfId="5" applyNumberFormat="1"/>
    <xf numFmtId="0" fontId="2" fillId="0" borderId="1" xfId="5" applyFont="1" applyBorder="1"/>
    <xf numFmtId="170" fontId="2" fillId="0" borderId="0" xfId="5" applyNumberFormat="1"/>
    <xf numFmtId="10" fontId="2" fillId="0" borderId="0" xfId="2" applyNumberFormat="1"/>
    <xf numFmtId="0" fontId="2" fillId="0" borderId="0" xfId="5" applyAlignment="1">
      <alignment horizontal="left"/>
    </xf>
    <xf numFmtId="0" fontId="3" fillId="0" borderId="0" xfId="0" applyFont="1" applyAlignment="1">
      <alignment horizontal="center" wrapText="1"/>
    </xf>
    <xf numFmtId="17" fontId="0" fillId="0" borderId="0" xfId="0" applyNumberFormat="1"/>
    <xf numFmtId="2" fontId="0" fillId="0" borderId="0" xfId="2" applyNumberFormat="1" applyFont="1"/>
    <xf numFmtId="0" fontId="0" fillId="0" borderId="0" xfId="0" applyAlignment="1">
      <alignment wrapText="1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</cellXfs>
  <cellStyles count="6">
    <cellStyle name="Comma" xfId="1" builtinId="3"/>
    <cellStyle name="Normal" xfId="0" builtinId="0"/>
    <cellStyle name="Normál 2" xfId="3" xr:uid="{3020B43E-CD2F-4009-93C6-54789310F59C}"/>
    <cellStyle name="Normál_Feladatok_13" xfId="5" xr:uid="{B628254C-AB3A-48E2-B67D-D210F5A02C9A}"/>
    <cellStyle name="Percent" xfId="2" builtinId="5"/>
    <cellStyle name="Százalék 2" xfId="4" xr:uid="{2B73A068-E415-45B8-B077-1CFF9DBA45D5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127000</xdr:rowOff>
        </xdr:from>
        <xdr:to>
          <xdr:col>18</xdr:col>
          <xdr:colOff>69850</xdr:colOff>
          <xdr:row>4</xdr:row>
          <xdr:rowOff>69850</xdr:rowOff>
        </xdr:to>
        <xdr:sp macro="" textlink="">
          <xdr:nvSpPr>
            <xdr:cNvPr id="40961" name="Object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127000</xdr:colOff>
          <xdr:row>15</xdr:row>
          <xdr:rowOff>38100</xdr:rowOff>
        </xdr:from>
        <xdr:to>
          <xdr:col>14</xdr:col>
          <xdr:colOff>584200</xdr:colOff>
          <xdr:row>16</xdr:row>
          <xdr:rowOff>114300</xdr:rowOff>
        </xdr:to>
        <xdr:sp macro="" textlink="">
          <xdr:nvSpPr>
            <xdr:cNvPr id="41985" name="Object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w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T998"/>
  <sheetViews>
    <sheetView topLeftCell="B1" workbookViewId="0">
      <selection activeCell="A5" sqref="A5:B761"/>
    </sheetView>
  </sheetViews>
  <sheetFormatPr defaultRowHeight="12.5" x14ac:dyDescent="0.25"/>
  <cols>
    <col min="1" max="1" width="11.81640625" style="11" customWidth="1"/>
    <col min="2" max="2" width="9.81640625" style="11" customWidth="1"/>
    <col min="3" max="3" width="12.1796875" style="11" customWidth="1"/>
    <col min="4" max="4" width="10.81640625" style="11" customWidth="1"/>
    <col min="5" max="5" width="12.26953125" style="11" bestFit="1" customWidth="1"/>
    <col min="6" max="6" width="10.7265625" style="11" customWidth="1"/>
    <col min="7" max="7" width="12.453125" style="11" customWidth="1"/>
    <col min="8" max="8" width="11.81640625" style="11" customWidth="1"/>
    <col min="9" max="9" width="15.7265625" style="11" customWidth="1"/>
    <col min="10" max="10" width="13.7265625" style="11" bestFit="1" customWidth="1"/>
    <col min="11" max="11" width="12.1796875" style="11" customWidth="1"/>
    <col min="12" max="12" width="12.54296875" style="11" bestFit="1" customWidth="1"/>
    <col min="13" max="13" width="16.26953125" style="11" bestFit="1" customWidth="1"/>
    <col min="14" max="14" width="16.54296875" style="11" customWidth="1"/>
    <col min="15" max="15" width="8.7265625" style="11"/>
    <col min="16" max="16" width="11.6328125" style="11" customWidth="1"/>
    <col min="17" max="17" width="10.1796875" style="11" bestFit="1" customWidth="1"/>
    <col min="18" max="16384" width="8.7265625" style="11"/>
  </cols>
  <sheetData>
    <row r="1" spans="1:20" x14ac:dyDescent="0.25">
      <c r="J1" s="13" t="s">
        <v>15</v>
      </c>
      <c r="K1" s="12">
        <f>+COUNT(H5:H773)</f>
        <v>756</v>
      </c>
      <c r="L1" s="10"/>
      <c r="M1" s="10"/>
      <c r="R1" s="13"/>
      <c r="S1" s="13"/>
    </row>
    <row r="2" spans="1:20" ht="13" x14ac:dyDescent="0.3">
      <c r="H2" s="5"/>
      <c r="I2" s="5"/>
      <c r="J2" s="11" t="s">
        <v>3</v>
      </c>
      <c r="K2" s="6">
        <v>0.99</v>
      </c>
      <c r="L2" s="12"/>
      <c r="M2" s="12"/>
      <c r="P2" s="13"/>
      <c r="Q2" s="2"/>
    </row>
    <row r="3" spans="1:20" ht="13" x14ac:dyDescent="0.3">
      <c r="A3" s="3"/>
      <c r="B3" s="110" t="s">
        <v>8</v>
      </c>
      <c r="C3" s="113"/>
      <c r="D3" s="114"/>
      <c r="E3" s="110" t="s">
        <v>7</v>
      </c>
      <c r="F3" s="111"/>
      <c r="G3" s="112"/>
      <c r="J3" s="13" t="s">
        <v>16</v>
      </c>
      <c r="K3" s="40">
        <f>+SUM(B5:D5)</f>
        <v>20987</v>
      </c>
      <c r="L3" s="12"/>
      <c r="M3" s="12"/>
      <c r="Q3" s="2"/>
    </row>
    <row r="4" spans="1:20" ht="26" x14ac:dyDescent="0.3">
      <c r="A4" s="28" t="s">
        <v>9</v>
      </c>
      <c r="B4" s="7" t="s">
        <v>0</v>
      </c>
      <c r="C4" s="8" t="s">
        <v>10</v>
      </c>
      <c r="D4" s="9" t="s">
        <v>1</v>
      </c>
      <c r="E4" s="7" t="s">
        <v>0</v>
      </c>
      <c r="F4" s="8" t="s">
        <v>10</v>
      </c>
      <c r="G4" s="9" t="s">
        <v>1</v>
      </c>
      <c r="H4" s="34" t="s">
        <v>13</v>
      </c>
      <c r="I4" s="19"/>
      <c r="J4" s="19" t="s">
        <v>11</v>
      </c>
      <c r="K4" s="12"/>
      <c r="L4" s="12"/>
      <c r="M4" s="12"/>
      <c r="Q4" s="2"/>
    </row>
    <row r="5" spans="1:20" x14ac:dyDescent="0.25">
      <c r="A5" s="2">
        <v>45400</v>
      </c>
      <c r="B5" s="20">
        <v>3020</v>
      </c>
      <c r="C5" s="20">
        <v>922</v>
      </c>
      <c r="D5" s="20">
        <v>17045</v>
      </c>
      <c r="E5" s="17">
        <f>+B5/B6-1</f>
        <v>-1.98281559814939E-3</v>
      </c>
      <c r="F5" s="17">
        <f t="shared" ref="F5:G20" si="0">+C5/C6-1</f>
        <v>-3.2432432432432101E-3</v>
      </c>
      <c r="G5" s="17">
        <f t="shared" si="0"/>
        <v>-9.5874491574665655E-3</v>
      </c>
      <c r="H5" s="14">
        <f>+SUMPRODUCT(E5:G5,$K$9:$M$9)</f>
        <v>-8.2144396181302246E-3</v>
      </c>
      <c r="I5" s="4"/>
      <c r="J5" s="13"/>
      <c r="Q5" s="2"/>
    </row>
    <row r="6" spans="1:20" ht="13.5" thickBot="1" x14ac:dyDescent="0.35">
      <c r="A6" s="2">
        <v>45399</v>
      </c>
      <c r="B6" s="20">
        <v>3026</v>
      </c>
      <c r="C6" s="20">
        <v>925</v>
      </c>
      <c r="D6" s="20">
        <v>17210</v>
      </c>
      <c r="E6" s="17">
        <f t="shared" ref="E6:G69" si="1">+B6/B7-1</f>
        <v>1.9541778975741275E-2</v>
      </c>
      <c r="F6" s="17">
        <f t="shared" si="0"/>
        <v>9.8253275109170257E-3</v>
      </c>
      <c r="G6" s="17">
        <f t="shared" si="0"/>
        <v>1.0569583088666956E-2</v>
      </c>
      <c r="H6" s="14">
        <f t="shared" ref="H6:H69" si="2">+SUMPRODUCT(E6:G6,$K$9:$M$9)</f>
        <v>1.1827972946020509E-2</v>
      </c>
      <c r="I6" s="4"/>
      <c r="J6" s="15"/>
      <c r="K6" s="36" t="s">
        <v>0</v>
      </c>
      <c r="L6" s="36" t="s">
        <v>10</v>
      </c>
      <c r="M6" s="36" t="s">
        <v>1</v>
      </c>
      <c r="N6" s="41" t="s">
        <v>12</v>
      </c>
      <c r="Q6" s="2"/>
    </row>
    <row r="7" spans="1:20" ht="13" thickTop="1" x14ac:dyDescent="0.25">
      <c r="A7" s="2">
        <v>45398</v>
      </c>
      <c r="B7" s="20">
        <v>2968</v>
      </c>
      <c r="C7" s="20">
        <v>916</v>
      </c>
      <c r="D7" s="20">
        <v>17030</v>
      </c>
      <c r="E7" s="17">
        <f t="shared" si="1"/>
        <v>-2.6246719160105014E-2</v>
      </c>
      <c r="F7" s="17">
        <f t="shared" si="0"/>
        <v>-4.3478260869564966E-3</v>
      </c>
      <c r="G7" s="17">
        <f t="shared" si="0"/>
        <v>-3.7853107344632764E-2</v>
      </c>
      <c r="H7" s="14">
        <f t="shared" si="2"/>
        <v>-3.471101168365924E-2</v>
      </c>
      <c r="I7" s="4"/>
      <c r="J7" s="11" t="s">
        <v>2</v>
      </c>
      <c r="K7" s="14">
        <f>-(_xlfn.PERCENTILE.EXC(E5:E760,1-$K$2))</f>
        <v>5.0659828678077452E-2</v>
      </c>
      <c r="L7" s="14">
        <f t="shared" ref="L7:M7" si="3">-(_xlfn.PERCENTILE.EXC(F5:F760,1-$K$2))</f>
        <v>3.5439276485788075E-2</v>
      </c>
      <c r="M7" s="14">
        <f t="shared" si="3"/>
        <v>5.744118312703466E-2</v>
      </c>
      <c r="N7" s="14">
        <f>-(_xlfn.PERCENTILE.EXC(H5:H773,1-$K$2))</f>
        <v>4.9586832486728391E-2</v>
      </c>
      <c r="P7" s="23"/>
      <c r="Q7" s="2"/>
    </row>
    <row r="8" spans="1:20" x14ac:dyDescent="0.25">
      <c r="A8" s="2">
        <v>45397</v>
      </c>
      <c r="B8" s="20">
        <v>3048</v>
      </c>
      <c r="C8" s="20">
        <v>920</v>
      </c>
      <c r="D8" s="20">
        <v>17700</v>
      </c>
      <c r="E8" s="17">
        <f t="shared" si="1"/>
        <v>0</v>
      </c>
      <c r="F8" s="17">
        <f t="shared" si="0"/>
        <v>5.464480874316946E-3</v>
      </c>
      <c r="G8" s="17">
        <f t="shared" si="0"/>
        <v>5.6818181818181213E-3</v>
      </c>
      <c r="H8" s="14">
        <f t="shared" si="2"/>
        <v>4.8546644244155954E-3</v>
      </c>
      <c r="I8" s="4"/>
      <c r="J8" s="13" t="s">
        <v>6</v>
      </c>
      <c r="K8" s="21">
        <f>+K7*B5</f>
        <v>152.99268260779391</v>
      </c>
      <c r="L8" s="21">
        <f>+L7*C5</f>
        <v>32.675012919896602</v>
      </c>
      <c r="M8" s="21">
        <f>+M7*D5</f>
        <v>979.0849664003058</v>
      </c>
      <c r="N8" s="21">
        <f>+N7*K3</f>
        <v>1040.6788533989688</v>
      </c>
      <c r="P8" s="27"/>
      <c r="Q8" s="25"/>
      <c r="R8" s="24"/>
      <c r="S8" s="24"/>
      <c r="T8" s="24"/>
    </row>
    <row r="9" spans="1:20" x14ac:dyDescent="0.25">
      <c r="A9" s="2">
        <v>45394</v>
      </c>
      <c r="B9" s="20">
        <v>3048</v>
      </c>
      <c r="C9" s="20">
        <v>915</v>
      </c>
      <c r="D9" s="20">
        <v>17600</v>
      </c>
      <c r="E9" s="17">
        <f t="shared" si="1"/>
        <v>5.9405940594059459E-3</v>
      </c>
      <c r="F9" s="17">
        <f t="shared" si="0"/>
        <v>-1.6129032258064502E-2</v>
      </c>
      <c r="G9" s="17">
        <f t="shared" si="0"/>
        <v>7.1530758226037161E-3</v>
      </c>
      <c r="H9" s="14">
        <f t="shared" si="2"/>
        <v>5.9557727981012446E-3</v>
      </c>
      <c r="I9" s="4"/>
      <c r="J9" s="22" t="s">
        <v>14</v>
      </c>
      <c r="K9" s="14">
        <f>+B5/SUM($B$5:$D$5)</f>
        <v>0.14389860389765094</v>
      </c>
      <c r="L9" s="14">
        <f t="shared" ref="L9:M9" si="4">+C5/SUM($B$5:$D$5)</f>
        <v>4.3931957878686805E-2</v>
      </c>
      <c r="M9" s="14">
        <f t="shared" si="4"/>
        <v>0.81216943822366228</v>
      </c>
      <c r="P9" s="27"/>
      <c r="Q9" s="25"/>
      <c r="R9" s="24"/>
      <c r="S9" s="24"/>
      <c r="T9" s="24"/>
    </row>
    <row r="10" spans="1:20" x14ac:dyDescent="0.25">
      <c r="A10" s="2">
        <v>45393</v>
      </c>
      <c r="B10" s="20">
        <v>3030</v>
      </c>
      <c r="C10" s="20">
        <v>930</v>
      </c>
      <c r="D10" s="20">
        <v>17475</v>
      </c>
      <c r="E10" s="17">
        <f t="shared" si="1"/>
        <v>3.3112582781456013E-3</v>
      </c>
      <c r="F10" s="17">
        <f t="shared" si="0"/>
        <v>-1.0741138560687036E-3</v>
      </c>
      <c r="G10" s="17">
        <f t="shared" si="0"/>
        <v>-4.2735042735042583E-3</v>
      </c>
      <c r="H10" s="14">
        <f t="shared" si="2"/>
        <v>-3.0415120463704059E-3</v>
      </c>
      <c r="J10" s="22" t="s">
        <v>5</v>
      </c>
      <c r="K10" s="14">
        <f>-(SUMPRODUCT(I15:I21,J15:J21)+(1%-SUM(I15:I21))*J22)/1%</f>
        <v>7.1396344928518068E-2</v>
      </c>
      <c r="L10" s="14">
        <f>-(SUMPRODUCT(I15:I21,K15:K21)+(1%-SUM(I15:I21))*K22)/1%</f>
        <v>4.1165753041967991E-2</v>
      </c>
      <c r="M10" s="14">
        <f>-(SUMPRODUCT(I15:I21,L15:L21)+(1%-SUM(I15:I21))*L22)/1%</f>
        <v>0.1105873658017556</v>
      </c>
      <c r="N10" s="14">
        <f>-(SUMPRODUCT(I15:I21,M15:M21)+(1%-SUM(I15:I21))*M22)/1%</f>
        <v>9.4511017699765207E-2</v>
      </c>
      <c r="O10" s="12"/>
      <c r="P10" s="27"/>
      <c r="Q10" s="26"/>
      <c r="R10" s="24"/>
      <c r="S10" s="24"/>
      <c r="T10" s="24"/>
    </row>
    <row r="11" spans="1:20" x14ac:dyDescent="0.25">
      <c r="A11" s="2">
        <v>45392</v>
      </c>
      <c r="B11" s="20">
        <v>3020</v>
      </c>
      <c r="C11" s="20">
        <v>931</v>
      </c>
      <c r="D11" s="20">
        <v>17550</v>
      </c>
      <c r="E11" s="17">
        <f t="shared" si="1"/>
        <v>-1.113294040602486E-2</v>
      </c>
      <c r="F11" s="17">
        <f t="shared" si="0"/>
        <v>1.637554585152845E-2</v>
      </c>
      <c r="G11" s="17">
        <f t="shared" si="0"/>
        <v>3.8768866528558821E-2</v>
      </c>
      <c r="H11" s="14">
        <f t="shared" si="2"/>
        <v>3.0604283757954889E-2</v>
      </c>
      <c r="N11" s="33"/>
      <c r="O11" s="12"/>
      <c r="P11" s="27"/>
      <c r="Q11" s="25"/>
      <c r="R11" s="24"/>
      <c r="S11" s="24"/>
      <c r="T11" s="24"/>
    </row>
    <row r="12" spans="1:20" x14ac:dyDescent="0.25">
      <c r="A12" s="2">
        <v>45391</v>
      </c>
      <c r="B12" s="20">
        <v>3054</v>
      </c>
      <c r="C12" s="20">
        <v>916</v>
      </c>
      <c r="D12" s="20">
        <v>16895</v>
      </c>
      <c r="E12" s="17">
        <f t="shared" si="1"/>
        <v>-3.9138943248532287E-3</v>
      </c>
      <c r="F12" s="17">
        <f t="shared" si="0"/>
        <v>-3.2644178454842576E-3</v>
      </c>
      <c r="G12" s="17">
        <f t="shared" si="0"/>
        <v>-6.1764705882353388E-3</v>
      </c>
      <c r="H12" s="14">
        <f t="shared" si="2"/>
        <v>-5.722956844287635E-3</v>
      </c>
      <c r="N12" s="18"/>
      <c r="O12" s="12"/>
      <c r="P12" s="27"/>
      <c r="Q12" s="25"/>
      <c r="R12" s="24"/>
      <c r="S12" s="24"/>
      <c r="T12" s="24"/>
    </row>
    <row r="13" spans="1:20" x14ac:dyDescent="0.25">
      <c r="A13" s="2">
        <v>45390</v>
      </c>
      <c r="B13" s="20">
        <v>3066</v>
      </c>
      <c r="C13" s="20">
        <v>919</v>
      </c>
      <c r="D13" s="20">
        <v>17000</v>
      </c>
      <c r="E13" s="17">
        <f t="shared" si="1"/>
        <v>5.2459016393442415E-3</v>
      </c>
      <c r="F13" s="17">
        <f t="shared" si="0"/>
        <v>1.1001100110010986E-2</v>
      </c>
      <c r="G13" s="17">
        <f t="shared" si="0"/>
        <v>-1.468428781204123E-3</v>
      </c>
      <c r="H13" s="14">
        <f t="shared" si="2"/>
        <v>4.5564810436244481E-5</v>
      </c>
      <c r="I13" s="4"/>
      <c r="J13" s="22"/>
      <c r="K13" s="21"/>
      <c r="L13" s="21"/>
      <c r="M13" s="21"/>
      <c r="N13" s="18"/>
      <c r="O13" s="12"/>
      <c r="P13" s="27"/>
      <c r="Q13" s="26"/>
      <c r="R13" s="24"/>
      <c r="S13" s="24"/>
      <c r="T13" s="24"/>
    </row>
    <row r="14" spans="1:20" ht="13.5" thickBot="1" x14ac:dyDescent="0.35">
      <c r="A14" s="2">
        <v>45387</v>
      </c>
      <c r="B14" s="20">
        <v>3050</v>
      </c>
      <c r="C14" s="20">
        <v>909</v>
      </c>
      <c r="D14" s="20">
        <v>17025</v>
      </c>
      <c r="E14" s="17">
        <f t="shared" si="1"/>
        <v>8.5978835978834933E-3</v>
      </c>
      <c r="F14" s="17">
        <f t="shared" si="0"/>
        <v>-1.098901098901095E-3</v>
      </c>
      <c r="G14" s="17">
        <f t="shared" si="0"/>
        <v>-9.0221187427240723E-3</v>
      </c>
      <c r="H14" s="14">
        <f t="shared" si="2"/>
        <v>-6.1385425414452032E-3</v>
      </c>
      <c r="I14" s="38" t="s">
        <v>14</v>
      </c>
      <c r="J14" s="35" t="s">
        <v>0</v>
      </c>
      <c r="K14" s="36" t="s">
        <v>10</v>
      </c>
      <c r="L14" s="36" t="s">
        <v>1</v>
      </c>
      <c r="M14" s="35" t="s">
        <v>12</v>
      </c>
      <c r="N14" s="18"/>
      <c r="O14" s="12"/>
      <c r="P14" s="27"/>
      <c r="Q14" s="25"/>
      <c r="R14" s="24"/>
      <c r="S14" s="24"/>
      <c r="T14" s="24"/>
    </row>
    <row r="15" spans="1:20" ht="13" thickTop="1" x14ac:dyDescent="0.25">
      <c r="A15" s="2">
        <v>45386</v>
      </c>
      <c r="B15" s="20">
        <v>3024</v>
      </c>
      <c r="C15" s="20">
        <v>910</v>
      </c>
      <c r="D15" s="20">
        <v>17180</v>
      </c>
      <c r="E15" s="17">
        <f t="shared" si="1"/>
        <v>3.3178500331785266E-3</v>
      </c>
      <c r="F15" s="17">
        <f t="shared" si="0"/>
        <v>1.1111111111111072E-2</v>
      </c>
      <c r="G15" s="17">
        <f t="shared" si="0"/>
        <v>-6.9364161849710948E-3</v>
      </c>
      <c r="H15" s="14">
        <f t="shared" si="2"/>
        <v>-4.667978383198588E-3</v>
      </c>
      <c r="I15" s="39">
        <f>1/$K$1</f>
        <v>1.3227513227513227E-3</v>
      </c>
      <c r="J15" s="42">
        <v>-0.10031347962382442</v>
      </c>
      <c r="K15" s="88">
        <v>-4.9086757990867591E-2</v>
      </c>
      <c r="L15" s="42">
        <v>-0.21529411764705886</v>
      </c>
      <c r="M15" s="43">
        <v>-0.18428544746561548</v>
      </c>
      <c r="N15" s="12"/>
      <c r="O15" s="12"/>
      <c r="P15" s="27"/>
      <c r="Q15" s="25"/>
      <c r="R15" s="24"/>
      <c r="S15" s="24"/>
      <c r="T15" s="24"/>
    </row>
    <row r="16" spans="1:20" x14ac:dyDescent="0.25">
      <c r="A16" s="2">
        <v>45385</v>
      </c>
      <c r="B16" s="20">
        <v>3014</v>
      </c>
      <c r="C16" s="20">
        <v>900</v>
      </c>
      <c r="D16" s="20">
        <v>17300</v>
      </c>
      <c r="E16" s="17">
        <f t="shared" si="1"/>
        <v>1.6869095816464341E-2</v>
      </c>
      <c r="F16" s="17">
        <f t="shared" si="0"/>
        <v>7.838745800671898E-3</v>
      </c>
      <c r="G16" s="17">
        <f t="shared" si="0"/>
        <v>2.1552996752288056E-2</v>
      </c>
      <c r="H16" s="14">
        <f t="shared" si="2"/>
        <v>2.0276496051683982E-2</v>
      </c>
      <c r="I16" s="39">
        <f t="shared" ref="I16:I79" si="5">1/$K$1</f>
        <v>1.3227513227513227E-3</v>
      </c>
      <c r="J16" s="42">
        <v>-9.143686502177073E-2</v>
      </c>
      <c r="K16" s="88">
        <v>-4.4585987261146487E-2</v>
      </c>
      <c r="L16" s="42">
        <v>-0.14688524590163932</v>
      </c>
      <c r="M16" s="43">
        <v>-0.13059117436468012</v>
      </c>
      <c r="Q16" s="26"/>
      <c r="R16" s="24"/>
      <c r="S16" s="24"/>
      <c r="T16" s="24"/>
    </row>
    <row r="17" spans="1:20" x14ac:dyDescent="0.25">
      <c r="A17" s="2">
        <v>45384</v>
      </c>
      <c r="B17" s="20">
        <v>2964</v>
      </c>
      <c r="C17" s="20">
        <v>893</v>
      </c>
      <c r="D17" s="20">
        <v>16935</v>
      </c>
      <c r="E17" s="17">
        <f t="shared" si="1"/>
        <v>1.3513513513514486E-3</v>
      </c>
      <c r="F17" s="17">
        <f t="shared" si="0"/>
        <v>-4.4593088071348541E-3</v>
      </c>
      <c r="G17" s="17">
        <f t="shared" si="0"/>
        <v>8.0357142857143682E-3</v>
      </c>
      <c r="H17" s="14">
        <f t="shared" si="2"/>
        <v>6.5249129633060676E-3</v>
      </c>
      <c r="I17" s="39">
        <f t="shared" si="5"/>
        <v>1.3227513227513227E-3</v>
      </c>
      <c r="J17" s="42">
        <v>-8.4812623274161725E-2</v>
      </c>
      <c r="K17" s="88">
        <v>-4.4444444444444398E-2</v>
      </c>
      <c r="L17" s="42">
        <v>-0.13559322033898302</v>
      </c>
      <c r="M17" s="43">
        <v>-0.10339891098027382</v>
      </c>
      <c r="Q17" s="25"/>
      <c r="R17" s="24"/>
      <c r="S17" s="24"/>
      <c r="T17" s="24"/>
    </row>
    <row r="18" spans="1:20" x14ac:dyDescent="0.25">
      <c r="A18" s="2">
        <v>45379</v>
      </c>
      <c r="B18" s="20">
        <v>2960</v>
      </c>
      <c r="C18" s="20">
        <v>897</v>
      </c>
      <c r="D18" s="20">
        <v>16800</v>
      </c>
      <c r="E18" s="17">
        <f t="shared" si="1"/>
        <v>1.3698630136986356E-2</v>
      </c>
      <c r="F18" s="17">
        <f t="shared" si="0"/>
        <v>7.8651685393258397E-3</v>
      </c>
      <c r="G18" s="17">
        <f t="shared" si="0"/>
        <v>1.2048192771084265E-2</v>
      </c>
      <c r="H18" s="14">
        <f t="shared" si="2"/>
        <v>1.2101919959502955E-2</v>
      </c>
      <c r="I18" s="39">
        <f t="shared" si="5"/>
        <v>1.3227513227513227E-3</v>
      </c>
      <c r="J18" s="42">
        <v>-7.2164948453608213E-2</v>
      </c>
      <c r="K18" s="88">
        <v>-4.1899441340782162E-2</v>
      </c>
      <c r="L18" s="42">
        <v>-8.8197699190455947E-2</v>
      </c>
      <c r="M18" s="43">
        <v>-8.1494176984293704E-2</v>
      </c>
      <c r="O18" s="13"/>
      <c r="Q18" s="2"/>
      <c r="R18" s="24"/>
      <c r="S18" s="24"/>
      <c r="T18" s="24"/>
    </row>
    <row r="19" spans="1:20" x14ac:dyDescent="0.25">
      <c r="A19" s="2">
        <v>45378</v>
      </c>
      <c r="B19" s="20">
        <v>2920</v>
      </c>
      <c r="C19" s="20">
        <v>890</v>
      </c>
      <c r="D19" s="20">
        <v>16600</v>
      </c>
      <c r="E19" s="17">
        <f t="shared" si="1"/>
        <v>-1.3679890560875929E-3</v>
      </c>
      <c r="F19" s="17">
        <f t="shared" si="0"/>
        <v>0</v>
      </c>
      <c r="G19" s="17">
        <f t="shared" si="0"/>
        <v>-6.2855432505237729E-3</v>
      </c>
      <c r="H19" s="14">
        <f t="shared" si="2"/>
        <v>-5.3017778460266946E-3</v>
      </c>
      <c r="I19" s="39">
        <f t="shared" si="5"/>
        <v>1.3227513227513227E-3</v>
      </c>
      <c r="J19" s="42">
        <v>-5.6370656370656413E-2</v>
      </c>
      <c r="K19" s="88">
        <v>-3.9011703511053319E-2</v>
      </c>
      <c r="L19" s="42">
        <v>-8.1736649001223016E-2</v>
      </c>
      <c r="M19" s="43">
        <v>-7.692830315250293E-2</v>
      </c>
      <c r="Q19" s="2"/>
      <c r="R19" s="24"/>
      <c r="S19" s="24"/>
      <c r="T19" s="24"/>
    </row>
    <row r="20" spans="1:20" x14ac:dyDescent="0.25">
      <c r="A20" s="2">
        <v>45377</v>
      </c>
      <c r="B20" s="20">
        <v>2924</v>
      </c>
      <c r="C20" s="20">
        <v>890</v>
      </c>
      <c r="D20" s="20">
        <v>16705</v>
      </c>
      <c r="E20" s="17">
        <f t="shared" si="1"/>
        <v>2.0562028786841324E-3</v>
      </c>
      <c r="F20" s="17">
        <f t="shared" si="0"/>
        <v>-2.2421524663677195E-3</v>
      </c>
      <c r="G20" s="17">
        <f t="shared" si="0"/>
        <v>-8.6053412462907541E-3</v>
      </c>
      <c r="H20" s="14">
        <f t="shared" si="2"/>
        <v>-6.7916125898599541E-3</v>
      </c>
      <c r="I20" s="39">
        <f t="shared" si="5"/>
        <v>1.3227513227513227E-3</v>
      </c>
      <c r="J20" s="42">
        <v>-5.389657683903859E-2</v>
      </c>
      <c r="K20" s="88">
        <v>-3.6474164133738607E-2</v>
      </c>
      <c r="L20" s="42">
        <v>-7.582938388625593E-2</v>
      </c>
      <c r="M20" s="43">
        <v>-5.9277358339613444E-2</v>
      </c>
      <c r="Q20" s="2"/>
      <c r="R20" s="24"/>
      <c r="S20" s="24"/>
      <c r="T20" s="24"/>
    </row>
    <row r="21" spans="1:20" x14ac:dyDescent="0.25">
      <c r="A21" s="2">
        <v>45376</v>
      </c>
      <c r="B21" s="20">
        <v>2918</v>
      </c>
      <c r="C21" s="20">
        <v>892</v>
      </c>
      <c r="D21" s="20">
        <v>16850</v>
      </c>
      <c r="E21" s="17">
        <f t="shared" si="1"/>
        <v>-4.7748976807640009E-3</v>
      </c>
      <c r="F21" s="17">
        <f t="shared" si="1"/>
        <v>2.2471910112360494E-3</v>
      </c>
      <c r="G21" s="17">
        <f t="shared" si="1"/>
        <v>-8.8235294117646745E-3</v>
      </c>
      <c r="H21" s="14">
        <f t="shared" si="2"/>
        <v>-7.7545785346679625E-3</v>
      </c>
      <c r="I21" s="39">
        <f t="shared" si="5"/>
        <v>1.3227513227513227E-3</v>
      </c>
      <c r="J21" s="42">
        <v>-5.3658536585365901E-2</v>
      </c>
      <c r="K21" s="88">
        <v>-3.6175710594315236E-2</v>
      </c>
      <c r="L21" s="42">
        <v>-6.2455389007851525E-2</v>
      </c>
      <c r="M21" s="43">
        <v>-5.1616918729289273E-2</v>
      </c>
      <c r="Q21" s="2"/>
      <c r="R21" s="24"/>
      <c r="S21" s="24"/>
      <c r="T21" s="24"/>
    </row>
    <row r="22" spans="1:20" x14ac:dyDescent="0.25">
      <c r="A22" s="2">
        <v>45373</v>
      </c>
      <c r="B22" s="20">
        <v>2932</v>
      </c>
      <c r="C22" s="20">
        <v>890</v>
      </c>
      <c r="D22" s="20">
        <v>17000</v>
      </c>
      <c r="E22" s="17">
        <f t="shared" si="1"/>
        <v>-2.7210884353741083E-3</v>
      </c>
      <c r="F22" s="17">
        <f t="shared" si="1"/>
        <v>-1.220865704772478E-2</v>
      </c>
      <c r="G22" s="17">
        <f t="shared" si="1"/>
        <v>-1.1340505961035197E-2</v>
      </c>
      <c r="H22" s="14">
        <f t="shared" si="2"/>
        <v>-1.0138323389654404E-2</v>
      </c>
      <c r="I22" s="39">
        <f t="shared" si="5"/>
        <v>1.3227513227513227E-3</v>
      </c>
      <c r="J22" s="42">
        <v>-4.839764551994763E-2</v>
      </c>
      <c r="K22" s="88">
        <v>-3.4883720930232509E-2</v>
      </c>
      <c r="L22" s="42">
        <v>-5.3658536585365901E-2</v>
      </c>
      <c r="M22" s="43">
        <v>-4.8055363917778995E-2</v>
      </c>
      <c r="Q22" s="2"/>
      <c r="R22" s="24"/>
      <c r="S22" s="24"/>
      <c r="T22" s="24"/>
    </row>
    <row r="23" spans="1:20" x14ac:dyDescent="0.25">
      <c r="A23" s="2">
        <v>45372</v>
      </c>
      <c r="B23" s="20">
        <v>2940</v>
      </c>
      <c r="C23" s="20">
        <v>901</v>
      </c>
      <c r="D23" s="20">
        <v>17195</v>
      </c>
      <c r="E23" s="17">
        <f t="shared" si="1"/>
        <v>-1.0101010101010055E-2</v>
      </c>
      <c r="F23" s="17">
        <f t="shared" si="1"/>
        <v>1.1223344556677839E-2</v>
      </c>
      <c r="G23" s="17">
        <f t="shared" si="1"/>
        <v>-2.8993911278631934E-3</v>
      </c>
      <c r="H23" s="14">
        <f t="shared" si="2"/>
        <v>-3.3152546146767779E-3</v>
      </c>
      <c r="I23" s="39">
        <f t="shared" si="5"/>
        <v>1.3227513227513227E-3</v>
      </c>
      <c r="J23" s="42">
        <v>-4.7796863330843875E-2</v>
      </c>
      <c r="K23" s="88">
        <v>-3.3412887828162319E-2</v>
      </c>
      <c r="L23" s="42">
        <v>-5.3461538461538449E-2</v>
      </c>
      <c r="M23" s="43">
        <v>-4.5487299010047472E-2</v>
      </c>
      <c r="Q23" s="2"/>
      <c r="R23" s="24"/>
      <c r="S23" s="24"/>
      <c r="T23" s="24"/>
    </row>
    <row r="24" spans="1:20" x14ac:dyDescent="0.25">
      <c r="A24" s="2">
        <v>45371</v>
      </c>
      <c r="B24" s="20">
        <v>2970</v>
      </c>
      <c r="C24" s="20">
        <v>891</v>
      </c>
      <c r="D24" s="20">
        <v>17245</v>
      </c>
      <c r="E24" s="17">
        <f t="shared" si="1"/>
        <v>2.0242914979757831E-3</v>
      </c>
      <c r="F24" s="17">
        <f t="shared" si="1"/>
        <v>1.1235955056179137E-3</v>
      </c>
      <c r="G24" s="17">
        <f t="shared" si="1"/>
        <v>-1.4475969889982121E-3</v>
      </c>
      <c r="H24" s="14">
        <f t="shared" si="2"/>
        <v>-8.3503956246285536E-4</v>
      </c>
      <c r="I24" s="39">
        <f t="shared" si="5"/>
        <v>1.3227513227513227E-3</v>
      </c>
      <c r="J24" s="42">
        <v>-4.1553133514986351E-2</v>
      </c>
      <c r="K24" s="88">
        <v>-3.2884902840059738E-2</v>
      </c>
      <c r="L24" s="42">
        <v>-5.3274139844617041E-2</v>
      </c>
      <c r="M24" s="43">
        <v>-4.5383678191748392E-2</v>
      </c>
      <c r="Q24" s="2"/>
      <c r="R24" s="24"/>
      <c r="S24" s="24"/>
      <c r="T24" s="24"/>
    </row>
    <row r="25" spans="1:20" x14ac:dyDescent="0.25">
      <c r="A25" s="2">
        <v>45370</v>
      </c>
      <c r="B25" s="20">
        <v>2964</v>
      </c>
      <c r="C25" s="20">
        <v>890</v>
      </c>
      <c r="D25" s="20">
        <v>17270</v>
      </c>
      <c r="E25" s="17">
        <f t="shared" si="1"/>
        <v>-2.6917900403768957E-3</v>
      </c>
      <c r="F25" s="17">
        <f t="shared" si="1"/>
        <v>-8.9086859688195519E-3</v>
      </c>
      <c r="G25" s="17">
        <f t="shared" si="1"/>
        <v>2.2195915951464862E-2</v>
      </c>
      <c r="H25" s="14">
        <f t="shared" si="2"/>
        <v>1.7248123743628375E-2</v>
      </c>
      <c r="I25" s="39">
        <f t="shared" si="5"/>
        <v>1.3227513227513227E-3</v>
      </c>
      <c r="J25" s="42">
        <v>-4.0389972144846742E-2</v>
      </c>
      <c r="K25" s="88">
        <v>-3.125E-2</v>
      </c>
      <c r="L25" s="42">
        <v>-5.3181818181818219E-2</v>
      </c>
      <c r="M25" s="43">
        <v>-4.4356657364618912E-2</v>
      </c>
      <c r="Q25" s="2"/>
      <c r="R25" s="24"/>
      <c r="S25" s="24"/>
      <c r="T25" s="24"/>
    </row>
    <row r="26" spans="1:20" x14ac:dyDescent="0.25">
      <c r="A26" s="2">
        <v>45369</v>
      </c>
      <c r="B26" s="20">
        <v>2972</v>
      </c>
      <c r="C26" s="20">
        <v>898</v>
      </c>
      <c r="D26" s="20">
        <v>16895</v>
      </c>
      <c r="E26" s="17">
        <f t="shared" si="1"/>
        <v>1.5027322404371546E-2</v>
      </c>
      <c r="F26" s="17">
        <f t="shared" si="1"/>
        <v>5.5991041433369748E-3</v>
      </c>
      <c r="G26" s="17">
        <f t="shared" si="1"/>
        <v>6.5534703604408495E-3</v>
      </c>
      <c r="H26" s="14">
        <f t="shared" si="2"/>
        <v>7.7309186627470836E-3</v>
      </c>
      <c r="I26" s="39">
        <f t="shared" si="5"/>
        <v>1.3227513227513227E-3</v>
      </c>
      <c r="J26" s="42">
        <v>-3.8910505836575848E-2</v>
      </c>
      <c r="K26" s="88">
        <v>-3.0456852791878153E-2</v>
      </c>
      <c r="L26" s="42">
        <v>-5.1346801346801363E-2</v>
      </c>
      <c r="M26" s="43">
        <v>-4.4278435141126893E-2</v>
      </c>
      <c r="Q26" s="2"/>
      <c r="R26" s="24"/>
      <c r="S26" s="24"/>
      <c r="T26" s="24"/>
    </row>
    <row r="27" spans="1:20" x14ac:dyDescent="0.25">
      <c r="A27" s="2">
        <v>45365</v>
      </c>
      <c r="B27" s="20">
        <v>2928</v>
      </c>
      <c r="C27" s="20">
        <v>893</v>
      </c>
      <c r="D27" s="20">
        <v>16785</v>
      </c>
      <c r="E27" s="17">
        <f t="shared" si="1"/>
        <v>3.4270047978066653E-3</v>
      </c>
      <c r="F27" s="17">
        <f t="shared" si="1"/>
        <v>-6.6740823136818284E-3</v>
      </c>
      <c r="G27" s="17">
        <f t="shared" si="1"/>
        <v>-7.6854862548034752E-3</v>
      </c>
      <c r="H27" s="14">
        <f t="shared" si="2"/>
        <v>-6.0419813511680444E-3</v>
      </c>
      <c r="I27" s="39">
        <f t="shared" si="5"/>
        <v>1.3227513227513227E-3</v>
      </c>
      <c r="J27" s="42">
        <v>-3.8430744595676525E-2</v>
      </c>
      <c r="K27" s="88">
        <v>-3.0012004801920789E-2</v>
      </c>
      <c r="L27" s="42">
        <v>-4.8256285482562888E-2</v>
      </c>
      <c r="M27" s="43">
        <v>-4.2829377262044735E-2</v>
      </c>
      <c r="Q27" s="2"/>
      <c r="R27" s="24"/>
      <c r="S27" s="24"/>
      <c r="T27" s="24"/>
    </row>
    <row r="28" spans="1:20" x14ac:dyDescent="0.25">
      <c r="A28" s="2">
        <v>45364</v>
      </c>
      <c r="B28" s="20">
        <v>2918</v>
      </c>
      <c r="C28" s="20">
        <v>899</v>
      </c>
      <c r="D28" s="20">
        <v>16915</v>
      </c>
      <c r="E28" s="17">
        <f t="shared" si="1"/>
        <v>-8.1577158395649274E-3</v>
      </c>
      <c r="F28" s="17">
        <f t="shared" si="1"/>
        <v>1.0112359550561889E-2</v>
      </c>
      <c r="G28" s="17">
        <f t="shared" si="1"/>
        <v>-2.5072046109510082E-2</v>
      </c>
      <c r="H28" s="14">
        <f t="shared" si="2"/>
        <v>-2.1092377770356288E-2</v>
      </c>
      <c r="I28" s="39">
        <f t="shared" si="5"/>
        <v>1.3227513227513227E-3</v>
      </c>
      <c r="J28" s="42">
        <v>-3.842940685045948E-2</v>
      </c>
      <c r="K28" s="88">
        <v>-2.9649595687331498E-2</v>
      </c>
      <c r="L28" s="42">
        <v>-4.7663992449268555E-2</v>
      </c>
      <c r="M28" s="43">
        <v>-4.2758644823875959E-2</v>
      </c>
      <c r="Q28" s="2"/>
      <c r="R28" s="24"/>
      <c r="S28" s="24"/>
      <c r="T28" s="24"/>
    </row>
    <row r="29" spans="1:20" x14ac:dyDescent="0.25">
      <c r="A29" s="2">
        <v>45363</v>
      </c>
      <c r="B29" s="20">
        <v>2942</v>
      </c>
      <c r="C29" s="20">
        <v>890</v>
      </c>
      <c r="D29" s="20">
        <v>17350</v>
      </c>
      <c r="E29" s="17">
        <f t="shared" si="1"/>
        <v>5.4682159945318443E-3</v>
      </c>
      <c r="F29" s="17">
        <f t="shared" si="1"/>
        <v>1.2514220705347023E-2</v>
      </c>
      <c r="G29" s="17">
        <f t="shared" si="1"/>
        <v>2.9062870699881449E-2</v>
      </c>
      <c r="H29" s="14">
        <f t="shared" si="2"/>
        <v>2.4940618233825484E-2</v>
      </c>
      <c r="I29" s="39">
        <f t="shared" si="5"/>
        <v>1.3227513227513227E-3</v>
      </c>
      <c r="J29" s="42">
        <v>-3.8283828382838281E-2</v>
      </c>
      <c r="K29" s="88">
        <v>-2.786377708978327E-2</v>
      </c>
      <c r="L29" s="42">
        <v>-4.6915978630403088E-2</v>
      </c>
      <c r="M29" s="43">
        <v>-4.2158427210216273E-2</v>
      </c>
      <c r="Q29" s="2"/>
      <c r="R29" s="24"/>
      <c r="S29" s="24"/>
      <c r="T29" s="24"/>
    </row>
    <row r="30" spans="1:20" x14ac:dyDescent="0.25">
      <c r="A30" s="2">
        <v>45362</v>
      </c>
      <c r="B30" s="20">
        <v>2926</v>
      </c>
      <c r="C30" s="20">
        <v>879</v>
      </c>
      <c r="D30" s="20">
        <v>16860</v>
      </c>
      <c r="E30" s="17">
        <f t="shared" si="1"/>
        <v>-4.0844111640572223E-3</v>
      </c>
      <c r="F30" s="17">
        <f t="shared" si="1"/>
        <v>-7.900677200902928E-3</v>
      </c>
      <c r="G30" s="17">
        <f t="shared" si="1"/>
        <v>-1.3169446883230851E-2</v>
      </c>
      <c r="H30" s="14">
        <f t="shared" si="2"/>
        <v>-1.1630655559124943E-2</v>
      </c>
      <c r="I30" s="39">
        <f t="shared" si="5"/>
        <v>1.3227513227513227E-3</v>
      </c>
      <c r="J30" s="42">
        <v>-3.7526059763724806E-2</v>
      </c>
      <c r="K30" s="88">
        <v>-2.7848101265822822E-2</v>
      </c>
      <c r="L30" s="42">
        <v>-4.6200946284441935E-2</v>
      </c>
      <c r="M30" s="43">
        <v>-4.1638718383628905E-2</v>
      </c>
      <c r="Q30" s="2"/>
      <c r="R30" s="24"/>
      <c r="S30" s="24"/>
      <c r="T30" s="24"/>
    </row>
    <row r="31" spans="1:20" x14ac:dyDescent="0.25">
      <c r="A31" s="2">
        <v>45359</v>
      </c>
      <c r="B31" s="20">
        <v>2938</v>
      </c>
      <c r="C31" s="20">
        <v>886</v>
      </c>
      <c r="D31" s="20">
        <v>17085</v>
      </c>
      <c r="E31" s="17">
        <f t="shared" si="1"/>
        <v>-6.8027210884358258E-4</v>
      </c>
      <c r="F31" s="17">
        <f t="shared" si="1"/>
        <v>7.9635949943117623E-3</v>
      </c>
      <c r="G31" s="17">
        <f t="shared" si="1"/>
        <v>-9.565217391304337E-3</v>
      </c>
      <c r="H31" s="14">
        <f t="shared" si="2"/>
        <v>-7.5166111220629243E-3</v>
      </c>
      <c r="I31" s="39">
        <f t="shared" si="5"/>
        <v>1.3227513227513227E-3</v>
      </c>
      <c r="J31" s="42">
        <v>-3.7192982456140333E-2</v>
      </c>
      <c r="K31" s="88">
        <v>-2.5740025740025763E-2</v>
      </c>
      <c r="L31" s="42">
        <v>-4.5011600928074214E-2</v>
      </c>
      <c r="M31" s="43">
        <v>-3.9635779482160807E-2</v>
      </c>
      <c r="Q31" s="2"/>
      <c r="R31" s="24"/>
      <c r="S31" s="24"/>
      <c r="T31" s="24"/>
    </row>
    <row r="32" spans="1:20" x14ac:dyDescent="0.25">
      <c r="A32" s="2">
        <v>45358</v>
      </c>
      <c r="B32" s="20">
        <v>2940</v>
      </c>
      <c r="C32" s="20">
        <v>879</v>
      </c>
      <c r="D32" s="20">
        <v>17250</v>
      </c>
      <c r="E32" s="17">
        <f t="shared" si="1"/>
        <v>1.1699931176875511E-2</v>
      </c>
      <c r="F32" s="17">
        <f t="shared" si="1"/>
        <v>3.4117647058823586E-2</v>
      </c>
      <c r="G32" s="17">
        <f t="shared" si="1"/>
        <v>-2.8901734104046506E-3</v>
      </c>
      <c r="H32" s="14">
        <f t="shared" si="2"/>
        <v>8.3514828046181563E-4</v>
      </c>
      <c r="I32" s="39">
        <f t="shared" si="5"/>
        <v>1.3227513227513227E-3</v>
      </c>
      <c r="J32" s="42">
        <v>-3.4039334341906202E-2</v>
      </c>
      <c r="K32" s="88">
        <v>-2.4523160762942808E-2</v>
      </c>
      <c r="L32" s="42">
        <v>-4.4762127958753228E-2</v>
      </c>
      <c r="M32" s="43">
        <v>-3.9490817700669228E-2</v>
      </c>
      <c r="Q32" s="2"/>
      <c r="R32" s="24"/>
      <c r="S32" s="24"/>
      <c r="T32" s="24"/>
    </row>
    <row r="33" spans="1:20" x14ac:dyDescent="0.25">
      <c r="A33" s="2">
        <v>45357</v>
      </c>
      <c r="B33" s="20">
        <v>2906</v>
      </c>
      <c r="C33" s="20">
        <v>850</v>
      </c>
      <c r="D33" s="20">
        <v>17300</v>
      </c>
      <c r="E33" s="17">
        <f t="shared" si="1"/>
        <v>6.8870523415975882E-4</v>
      </c>
      <c r="F33" s="17">
        <f t="shared" si="1"/>
        <v>0</v>
      </c>
      <c r="G33" s="17">
        <f t="shared" si="1"/>
        <v>2.0272227048943048E-3</v>
      </c>
      <c r="H33" s="14">
        <f t="shared" si="2"/>
        <v>1.7455520470808547E-3</v>
      </c>
      <c r="I33" s="39">
        <f t="shared" si="5"/>
        <v>1.3227513227513227E-3</v>
      </c>
      <c r="J33" s="42">
        <v>-3.3333333333333326E-2</v>
      </c>
      <c r="K33" s="88">
        <v>-2.4263431542461023E-2</v>
      </c>
      <c r="L33" s="42">
        <v>-4.4578313253012092E-2</v>
      </c>
      <c r="M33" s="43">
        <v>-3.8779235416237456E-2</v>
      </c>
      <c r="Q33" s="2"/>
      <c r="R33" s="24"/>
      <c r="S33" s="24"/>
      <c r="T33" s="24"/>
    </row>
    <row r="34" spans="1:20" x14ac:dyDescent="0.25">
      <c r="A34" s="2">
        <v>45356</v>
      </c>
      <c r="B34" s="20">
        <v>2904</v>
      </c>
      <c r="C34" s="20">
        <v>850</v>
      </c>
      <c r="D34" s="20">
        <v>17265</v>
      </c>
      <c r="E34" s="17">
        <f t="shared" si="1"/>
        <v>-4.7978067169294203E-3</v>
      </c>
      <c r="F34" s="17">
        <f t="shared" si="1"/>
        <v>2.3584905660376521E-3</v>
      </c>
      <c r="G34" s="17">
        <f t="shared" si="1"/>
        <v>-1.4273479874393424E-2</v>
      </c>
      <c r="H34" s="14">
        <f t="shared" si="2"/>
        <v>-1.2179268711215326E-2</v>
      </c>
      <c r="I34" s="39">
        <f t="shared" si="5"/>
        <v>1.3227513227513227E-3</v>
      </c>
      <c r="J34" s="42">
        <v>-3.2565528196981774E-2</v>
      </c>
      <c r="K34" s="88">
        <v>-2.4024024024024038E-2</v>
      </c>
      <c r="L34" s="42">
        <v>-4.2561815970814765E-2</v>
      </c>
      <c r="M34" s="43">
        <v>-3.8287880109170766E-2</v>
      </c>
      <c r="Q34" s="2"/>
      <c r="R34" s="24"/>
      <c r="S34" s="24"/>
      <c r="T34" s="24"/>
    </row>
    <row r="35" spans="1:20" x14ac:dyDescent="0.25">
      <c r="A35" s="2">
        <v>45355</v>
      </c>
      <c r="B35" s="20">
        <v>2918</v>
      </c>
      <c r="C35" s="20">
        <v>848</v>
      </c>
      <c r="D35" s="20">
        <v>17515</v>
      </c>
      <c r="E35" s="17">
        <f t="shared" si="1"/>
        <v>-2.7341079972659221E-3</v>
      </c>
      <c r="F35" s="17">
        <f t="shared" si="1"/>
        <v>5.9311981020166993E-3</v>
      </c>
      <c r="G35" s="17">
        <f t="shared" si="1"/>
        <v>5.1649928263988176E-3</v>
      </c>
      <c r="H35" s="14">
        <f t="shared" si="2"/>
        <v>4.0619841437215497E-3</v>
      </c>
      <c r="I35" s="39">
        <f t="shared" si="5"/>
        <v>1.3227513227513227E-3</v>
      </c>
      <c r="J35" s="42">
        <v>-3.2501889644746762E-2</v>
      </c>
      <c r="K35" s="88">
        <v>-2.3972602739726012E-2</v>
      </c>
      <c r="L35" s="42">
        <v>-4.2424242424242475E-2</v>
      </c>
      <c r="M35" s="43">
        <v>-3.7337385201066928E-2</v>
      </c>
      <c r="Q35" s="2"/>
      <c r="R35" s="24"/>
      <c r="S35" s="24"/>
      <c r="T35" s="24"/>
    </row>
    <row r="36" spans="1:20" x14ac:dyDescent="0.25">
      <c r="A36" s="2">
        <v>45352</v>
      </c>
      <c r="B36" s="20">
        <v>2926</v>
      </c>
      <c r="C36" s="20">
        <v>843</v>
      </c>
      <c r="D36" s="20">
        <v>17425</v>
      </c>
      <c r="E36" s="17">
        <f t="shared" si="1"/>
        <v>1.2456747404844259E-2</v>
      </c>
      <c r="F36" s="17">
        <f t="shared" si="1"/>
        <v>2.3058252427184511E-2</v>
      </c>
      <c r="G36" s="17">
        <f t="shared" si="1"/>
        <v>5.7421762848108848E-4</v>
      </c>
      <c r="H36" s="14">
        <f t="shared" si="2"/>
        <v>3.2718647437915823E-3</v>
      </c>
      <c r="I36" s="39">
        <f t="shared" si="5"/>
        <v>1.3227513227513227E-3</v>
      </c>
      <c r="J36" s="42">
        <v>-3.230769230769226E-2</v>
      </c>
      <c r="K36" s="88">
        <v>-2.384105960264904E-2</v>
      </c>
      <c r="L36" s="42">
        <v>-4.0820688181235298E-2</v>
      </c>
      <c r="M36" s="43">
        <v>-3.516900140830783E-2</v>
      </c>
      <c r="Q36" s="2"/>
      <c r="R36" s="24"/>
      <c r="S36" s="24"/>
      <c r="T36" s="24"/>
    </row>
    <row r="37" spans="1:20" x14ac:dyDescent="0.25">
      <c r="A37" s="2">
        <v>45351</v>
      </c>
      <c r="B37" s="20">
        <v>2890</v>
      </c>
      <c r="C37" s="20">
        <v>824</v>
      </c>
      <c r="D37" s="20">
        <v>17415</v>
      </c>
      <c r="E37" s="17">
        <f t="shared" si="1"/>
        <v>-3.4482758620689724E-3</v>
      </c>
      <c r="F37" s="17">
        <f t="shared" si="1"/>
        <v>-1.7878426698450522E-2</v>
      </c>
      <c r="G37" s="17">
        <f t="shared" si="1"/>
        <v>8.6880973066898459E-3</v>
      </c>
      <c r="H37" s="14">
        <f t="shared" si="2"/>
        <v>5.7745707377475936E-3</v>
      </c>
      <c r="I37" s="39">
        <f t="shared" si="5"/>
        <v>1.3227513227513227E-3</v>
      </c>
      <c r="J37" s="42">
        <v>-3.2156862745097992E-2</v>
      </c>
      <c r="K37" s="88">
        <v>-2.3668639053254448E-2</v>
      </c>
      <c r="L37" s="42">
        <v>-4.0808080808080849E-2</v>
      </c>
      <c r="M37" s="43">
        <v>-3.471101168365924E-2</v>
      </c>
      <c r="Q37" s="2"/>
      <c r="R37" s="24"/>
      <c r="S37" s="24"/>
      <c r="T37" s="24"/>
    </row>
    <row r="38" spans="1:20" x14ac:dyDescent="0.25">
      <c r="A38" s="2">
        <v>45350</v>
      </c>
      <c r="B38" s="20">
        <v>2900</v>
      </c>
      <c r="C38" s="20">
        <v>839</v>
      </c>
      <c r="D38" s="20">
        <v>17265</v>
      </c>
      <c r="E38" s="17">
        <f t="shared" si="1"/>
        <v>2.7662517289073207E-3</v>
      </c>
      <c r="F38" s="17">
        <f t="shared" si="1"/>
        <v>0</v>
      </c>
      <c r="G38" s="17">
        <f t="shared" si="1"/>
        <v>1.0535557506584636E-2</v>
      </c>
      <c r="H38" s="14">
        <f t="shared" si="2"/>
        <v>8.9547175833151593E-3</v>
      </c>
      <c r="I38" s="39">
        <f t="shared" si="5"/>
        <v>1.3227513227513227E-3</v>
      </c>
      <c r="J38" s="42">
        <v>-3.0910609857978333E-2</v>
      </c>
      <c r="K38" s="88">
        <v>-2.3333333333333317E-2</v>
      </c>
      <c r="L38" s="42">
        <v>-4.0043057050592079E-2</v>
      </c>
      <c r="M38" s="43">
        <v>-3.4698361252579135E-2</v>
      </c>
      <c r="Q38" s="2"/>
      <c r="R38" s="24"/>
      <c r="S38" s="24"/>
      <c r="T38" s="24"/>
    </row>
    <row r="39" spans="1:20" x14ac:dyDescent="0.25">
      <c r="A39" s="2">
        <v>45349</v>
      </c>
      <c r="B39" s="20">
        <v>2892</v>
      </c>
      <c r="C39" s="20">
        <v>839</v>
      </c>
      <c r="D39" s="20">
        <v>17085</v>
      </c>
      <c r="E39" s="17">
        <f t="shared" si="1"/>
        <v>-1.8329938900203624E-2</v>
      </c>
      <c r="F39" s="17">
        <f t="shared" si="1"/>
        <v>8.4134615384614531E-3</v>
      </c>
      <c r="G39" s="17">
        <f t="shared" si="1"/>
        <v>-8.7032201914708507E-3</v>
      </c>
      <c r="H39" s="14">
        <f t="shared" si="2"/>
        <v>-9.3365222329906197E-3</v>
      </c>
      <c r="I39" s="39">
        <f t="shared" si="5"/>
        <v>1.3227513227513227E-3</v>
      </c>
      <c r="J39" s="42">
        <v>-3.0846484935437624E-2</v>
      </c>
      <c r="K39" s="88">
        <v>-2.311435523114358E-2</v>
      </c>
      <c r="L39" s="42">
        <v>-3.9161392405063333E-2</v>
      </c>
      <c r="M39" s="43">
        <v>-3.34270347517873E-2</v>
      </c>
      <c r="Q39" s="2"/>
      <c r="R39" s="24"/>
      <c r="S39" s="24"/>
      <c r="T39" s="24"/>
    </row>
    <row r="40" spans="1:20" x14ac:dyDescent="0.25">
      <c r="A40" s="2">
        <v>45348</v>
      </c>
      <c r="B40" s="20">
        <v>2946</v>
      </c>
      <c r="C40" s="20">
        <v>832</v>
      </c>
      <c r="D40" s="20">
        <v>17235</v>
      </c>
      <c r="E40" s="17">
        <f t="shared" si="1"/>
        <v>4.7748976807640009E-3</v>
      </c>
      <c r="F40" s="17">
        <f t="shared" si="1"/>
        <v>-1.2004801920768582E-3</v>
      </c>
      <c r="G40" s="17">
        <f t="shared" si="1"/>
        <v>-9.4827586206897019E-3</v>
      </c>
      <c r="H40" s="14">
        <f t="shared" si="2"/>
        <v>-7.0672450769925926E-3</v>
      </c>
      <c r="I40" s="39">
        <f t="shared" si="5"/>
        <v>1.3227513227513227E-3</v>
      </c>
      <c r="J40" s="42">
        <v>-3.0732860520094607E-2</v>
      </c>
      <c r="K40" s="88">
        <v>-2.3041474654377891E-2</v>
      </c>
      <c r="L40" s="42">
        <v>-3.8406144983197277E-2</v>
      </c>
      <c r="M40" s="43">
        <v>-3.310509261026158E-2</v>
      </c>
      <c r="Q40" s="2"/>
      <c r="R40" s="24"/>
      <c r="S40" s="24"/>
      <c r="T40" s="24"/>
    </row>
    <row r="41" spans="1:20" x14ac:dyDescent="0.25">
      <c r="A41" s="2">
        <v>45345</v>
      </c>
      <c r="B41" s="20">
        <v>2932</v>
      </c>
      <c r="C41" s="20">
        <v>833</v>
      </c>
      <c r="D41" s="20">
        <v>17400</v>
      </c>
      <c r="E41" s="17">
        <f t="shared" si="1"/>
        <v>3.4223134839150848E-3</v>
      </c>
      <c r="F41" s="17">
        <f t="shared" si="1"/>
        <v>3.4782608695652195E-2</v>
      </c>
      <c r="G41" s="17">
        <f t="shared" si="1"/>
        <v>-6.8493150684931781E-3</v>
      </c>
      <c r="H41" s="14">
        <f t="shared" si="2"/>
        <v>-3.5422701388312453E-3</v>
      </c>
      <c r="I41" s="39">
        <f t="shared" si="5"/>
        <v>1.3227513227513227E-3</v>
      </c>
      <c r="J41" s="42">
        <v>-3.0612244897959218E-2</v>
      </c>
      <c r="K41" s="88">
        <v>-2.2556390977443663E-2</v>
      </c>
      <c r="L41" s="42">
        <v>-3.7853107344632764E-2</v>
      </c>
      <c r="M41" s="43">
        <v>-3.2922967506966119E-2</v>
      </c>
      <c r="Q41" s="2"/>
      <c r="R41" s="24"/>
      <c r="S41" s="24"/>
      <c r="T41" s="24"/>
    </row>
    <row r="42" spans="1:20" x14ac:dyDescent="0.25">
      <c r="A42" s="2">
        <v>45344</v>
      </c>
      <c r="B42" s="20">
        <v>2922</v>
      </c>
      <c r="C42" s="20">
        <v>805</v>
      </c>
      <c r="D42" s="20">
        <v>17520</v>
      </c>
      <c r="E42" s="17">
        <f t="shared" si="1"/>
        <v>-9.4915254237287749E-3</v>
      </c>
      <c r="F42" s="17">
        <f t="shared" si="1"/>
        <v>-1.3480392156862697E-2</v>
      </c>
      <c r="G42" s="17">
        <f t="shared" si="1"/>
        <v>4.2992261392948983E-3</v>
      </c>
      <c r="H42" s="14">
        <f t="shared" si="2"/>
        <v>1.53366280059052E-3</v>
      </c>
      <c r="I42" s="39">
        <f t="shared" si="5"/>
        <v>1.3227513227513227E-3</v>
      </c>
      <c r="J42" s="42">
        <v>-3.0589949016751605E-2</v>
      </c>
      <c r="K42" s="88">
        <v>-2.1601016518424387E-2</v>
      </c>
      <c r="L42" s="42">
        <v>-3.7512147716229349E-2</v>
      </c>
      <c r="M42" s="43">
        <v>-3.2870037389501443E-2</v>
      </c>
      <c r="Q42" s="2"/>
      <c r="R42" s="24"/>
      <c r="S42" s="24"/>
      <c r="T42" s="24"/>
    </row>
    <row r="43" spans="1:20" x14ac:dyDescent="0.25">
      <c r="A43" s="2">
        <v>45343</v>
      </c>
      <c r="B43" s="20">
        <v>2950</v>
      </c>
      <c r="C43" s="20">
        <v>816</v>
      </c>
      <c r="D43" s="20">
        <v>17445</v>
      </c>
      <c r="E43" s="17">
        <f t="shared" si="1"/>
        <v>5.4533060668029432E-3</v>
      </c>
      <c r="F43" s="17">
        <f t="shared" si="1"/>
        <v>2.9003783102143688E-2</v>
      </c>
      <c r="G43" s="17">
        <f t="shared" si="1"/>
        <v>7.21709006928406E-3</v>
      </c>
      <c r="H43" s="14">
        <f t="shared" si="2"/>
        <v>7.9204160943854851E-3</v>
      </c>
      <c r="I43" s="39">
        <f t="shared" si="5"/>
        <v>1.3227513227513227E-3</v>
      </c>
      <c r="J43" s="42">
        <v>-3.0054644808743203E-2</v>
      </c>
      <c r="K43" s="88">
        <v>-2.1558872305140975E-2</v>
      </c>
      <c r="L43" s="42">
        <v>-3.7264035302770337E-2</v>
      </c>
      <c r="M43" s="43">
        <v>-3.1896727763139884E-2</v>
      </c>
      <c r="Q43" s="2"/>
      <c r="R43" s="24"/>
      <c r="S43" s="24"/>
      <c r="T43" s="24"/>
    </row>
    <row r="44" spans="1:20" x14ac:dyDescent="0.25">
      <c r="A44" s="2">
        <v>45342</v>
      </c>
      <c r="B44" s="20">
        <v>2934</v>
      </c>
      <c r="C44" s="20">
        <v>793</v>
      </c>
      <c r="D44" s="20">
        <v>17320</v>
      </c>
      <c r="E44" s="17">
        <f t="shared" si="1"/>
        <v>-1.1455525606469008E-2</v>
      </c>
      <c r="F44" s="17">
        <f t="shared" si="1"/>
        <v>1.1479591836734748E-2</v>
      </c>
      <c r="G44" s="17">
        <f t="shared" si="1"/>
        <v>3.4762456546928444E-3</v>
      </c>
      <c r="H44" s="14">
        <f t="shared" si="2"/>
        <v>1.6791872838506012E-3</v>
      </c>
      <c r="I44" s="39">
        <f t="shared" si="5"/>
        <v>1.3227513227513227E-3</v>
      </c>
      <c r="J44" s="42">
        <v>-2.9535864978902926E-2</v>
      </c>
      <c r="K44" s="88">
        <v>-2.1164021164021163E-2</v>
      </c>
      <c r="L44" s="42">
        <v>-3.6835891381345909E-2</v>
      </c>
      <c r="M44" s="43">
        <v>-3.1857082471440069E-2</v>
      </c>
      <c r="Q44" s="2"/>
      <c r="R44" s="24"/>
      <c r="S44" s="24"/>
      <c r="T44" s="24"/>
    </row>
    <row r="45" spans="1:20" x14ac:dyDescent="0.25">
      <c r="A45" s="2">
        <v>45341</v>
      </c>
      <c r="B45" s="20">
        <v>2968</v>
      </c>
      <c r="C45" s="20">
        <v>784</v>
      </c>
      <c r="D45" s="20">
        <v>17260</v>
      </c>
      <c r="E45" s="17">
        <f t="shared" si="1"/>
        <v>2.7027027027026751E-3</v>
      </c>
      <c r="F45" s="17">
        <f t="shared" si="1"/>
        <v>1.8181818181818077E-2</v>
      </c>
      <c r="G45" s="17">
        <f t="shared" si="1"/>
        <v>2.0319303338172112E-3</v>
      </c>
      <c r="H45" s="14">
        <f t="shared" si="2"/>
        <v>2.8379497339168394E-3</v>
      </c>
      <c r="I45" s="39">
        <f t="shared" si="5"/>
        <v>1.3227513227513227E-3</v>
      </c>
      <c r="J45" s="42">
        <v>-2.9126213592232997E-2</v>
      </c>
      <c r="K45" s="88">
        <v>-2.0857473928157622E-2</v>
      </c>
      <c r="L45" s="42">
        <v>-3.6727879799666074E-2</v>
      </c>
      <c r="M45" s="43">
        <v>-3.1552553188772765E-2</v>
      </c>
      <c r="Q45" s="2"/>
      <c r="R45" s="24"/>
      <c r="S45" s="24"/>
      <c r="T45" s="24"/>
    </row>
    <row r="46" spans="1:20" x14ac:dyDescent="0.25">
      <c r="A46" s="2">
        <v>45338</v>
      </c>
      <c r="B46" s="20">
        <v>2960</v>
      </c>
      <c r="C46" s="20">
        <v>770</v>
      </c>
      <c r="D46" s="20">
        <v>17225</v>
      </c>
      <c r="E46" s="17">
        <f t="shared" si="1"/>
        <v>6.11828687967364E-3</v>
      </c>
      <c r="F46" s="17">
        <f t="shared" si="1"/>
        <v>2.6041666666667407E-3</v>
      </c>
      <c r="G46" s="17">
        <f t="shared" si="1"/>
        <v>-7.4906367041198685E-3</v>
      </c>
      <c r="H46" s="14">
        <f t="shared" si="2"/>
        <v>-5.0888471233831436E-3</v>
      </c>
      <c r="I46" s="39">
        <f t="shared" si="5"/>
        <v>1.3227513227513227E-3</v>
      </c>
      <c r="J46" s="42">
        <v>-2.8279654359780082E-2</v>
      </c>
      <c r="K46" s="88">
        <v>-2.0737327188940058E-2</v>
      </c>
      <c r="L46" s="42">
        <v>-3.5837015218458501E-2</v>
      </c>
      <c r="M46" s="43">
        <v>-3.1454232515808332E-2</v>
      </c>
      <c r="Q46" s="2"/>
      <c r="R46" s="24"/>
      <c r="S46" s="24"/>
      <c r="T46" s="24"/>
    </row>
    <row r="47" spans="1:20" x14ac:dyDescent="0.25">
      <c r="A47" s="2">
        <v>45337</v>
      </c>
      <c r="B47" s="20">
        <v>2942</v>
      </c>
      <c r="C47" s="20">
        <v>768</v>
      </c>
      <c r="D47" s="20">
        <v>17355</v>
      </c>
      <c r="E47" s="17">
        <f t="shared" si="1"/>
        <v>8.9163237311384869E-3</v>
      </c>
      <c r="F47" s="17">
        <f t="shared" si="1"/>
        <v>7.8740157480314821E-3</v>
      </c>
      <c r="G47" s="17">
        <f t="shared" si="1"/>
        <v>1.848591549295775E-2</v>
      </c>
      <c r="H47" s="14">
        <f t="shared" si="2"/>
        <v>1.6642663065954549E-2</v>
      </c>
      <c r="I47" s="39">
        <f t="shared" si="5"/>
        <v>1.3227513227513227E-3</v>
      </c>
      <c r="J47" s="42">
        <v>-2.7838827838827851E-2</v>
      </c>
      <c r="K47" s="88">
        <v>-2.0642201834862428E-2</v>
      </c>
      <c r="L47" s="42">
        <v>-3.5608308605341255E-2</v>
      </c>
      <c r="M47" s="43">
        <v>-3.142108006079114E-2</v>
      </c>
      <c r="Q47" s="2"/>
      <c r="R47" s="24"/>
      <c r="S47" s="24"/>
      <c r="T47" s="24"/>
    </row>
    <row r="48" spans="1:20" x14ac:dyDescent="0.25">
      <c r="A48" s="2">
        <v>45336</v>
      </c>
      <c r="B48" s="20">
        <v>2916</v>
      </c>
      <c r="C48" s="20">
        <v>762</v>
      </c>
      <c r="D48" s="20">
        <v>17040</v>
      </c>
      <c r="E48" s="17">
        <f t="shared" si="1"/>
        <v>1.2499999999999956E-2</v>
      </c>
      <c r="F48" s="17">
        <f t="shared" si="1"/>
        <v>-1.1673151750972721E-2</v>
      </c>
      <c r="G48" s="17">
        <f t="shared" si="1"/>
        <v>4.1249263406011316E-3</v>
      </c>
      <c r="H48" s="14">
        <f t="shared" si="2"/>
        <v>4.6360472464453857E-3</v>
      </c>
      <c r="I48" s="39">
        <f t="shared" si="5"/>
        <v>1.3227513227513227E-3</v>
      </c>
      <c r="J48" s="42">
        <v>-2.7252081756245272E-2</v>
      </c>
      <c r="K48" s="88">
        <v>-2.0467836257309968E-2</v>
      </c>
      <c r="L48" s="42">
        <v>-3.4914425427872819E-2</v>
      </c>
      <c r="M48" s="43">
        <v>-3.0520284892168972E-2</v>
      </c>
      <c r="Q48" s="2"/>
      <c r="R48" s="24"/>
      <c r="S48" s="24"/>
      <c r="T48" s="24"/>
    </row>
    <row r="49" spans="1:20" x14ac:dyDescent="0.25">
      <c r="A49" s="2">
        <v>45335</v>
      </c>
      <c r="B49" s="20">
        <v>2880</v>
      </c>
      <c r="C49" s="20">
        <v>771</v>
      </c>
      <c r="D49" s="20">
        <v>16970</v>
      </c>
      <c r="E49" s="17">
        <f t="shared" si="1"/>
        <v>-6.8965517241379448E-3</v>
      </c>
      <c r="F49" s="17">
        <f t="shared" si="1"/>
        <v>-7.7220077220077066E-3</v>
      </c>
      <c r="G49" s="17">
        <f t="shared" si="1"/>
        <v>1.6776512881965244E-2</v>
      </c>
      <c r="H49" s="14">
        <f t="shared" si="2"/>
        <v>1.2293723959904222E-2</v>
      </c>
      <c r="I49" s="39">
        <f t="shared" si="5"/>
        <v>1.3227513227513227E-3</v>
      </c>
      <c r="J49" s="42">
        <v>-2.6655896607431395E-2</v>
      </c>
      <c r="K49" s="88">
        <v>-2.0289855072463725E-2</v>
      </c>
      <c r="L49" s="42">
        <v>-3.4090909090909061E-2</v>
      </c>
      <c r="M49" s="43">
        <v>-2.9797203576276902E-2</v>
      </c>
      <c r="Q49" s="2"/>
      <c r="R49" s="24"/>
      <c r="S49" s="24"/>
      <c r="T49" s="24"/>
    </row>
    <row r="50" spans="1:20" x14ac:dyDescent="0.25">
      <c r="A50" s="2">
        <v>45334</v>
      </c>
      <c r="B50" s="20">
        <v>2900</v>
      </c>
      <c r="C50" s="20">
        <v>777</v>
      </c>
      <c r="D50" s="20">
        <v>16690</v>
      </c>
      <c r="E50" s="17">
        <f t="shared" si="1"/>
        <v>0</v>
      </c>
      <c r="F50" s="17">
        <f t="shared" si="1"/>
        <v>1.5686274509803866E-2</v>
      </c>
      <c r="G50" s="17">
        <f t="shared" si="1"/>
        <v>-9.4955489614243493E-3</v>
      </c>
      <c r="H50" s="14">
        <f t="shared" si="2"/>
        <v>-7.0228659145870715E-3</v>
      </c>
      <c r="I50" s="39">
        <f t="shared" si="5"/>
        <v>1.3227513227513227E-3</v>
      </c>
      <c r="J50" s="42">
        <v>-2.6246719160105014E-2</v>
      </c>
      <c r="K50" s="88">
        <v>-2.0142180094786744E-2</v>
      </c>
      <c r="L50" s="42">
        <v>-3.3214383749656906E-2</v>
      </c>
      <c r="M50" s="43">
        <v>-2.8797208706064122E-2</v>
      </c>
      <c r="Q50" s="2"/>
      <c r="R50" s="24"/>
      <c r="S50" s="24"/>
      <c r="T50" s="24"/>
    </row>
    <row r="51" spans="1:20" x14ac:dyDescent="0.25">
      <c r="A51" s="2">
        <v>45331</v>
      </c>
      <c r="B51" s="20">
        <v>2900</v>
      </c>
      <c r="C51" s="20">
        <v>765</v>
      </c>
      <c r="D51" s="20">
        <v>16850</v>
      </c>
      <c r="E51" s="17">
        <f t="shared" si="1"/>
        <v>2.0732550103663705E-3</v>
      </c>
      <c r="F51" s="17">
        <f t="shared" si="1"/>
        <v>-6.4935064935064402E-3</v>
      </c>
      <c r="G51" s="17">
        <f t="shared" si="1"/>
        <v>2.0902756740381667E-2</v>
      </c>
      <c r="H51" s="14">
        <f t="shared" si="2"/>
        <v>1.6989646246919475E-2</v>
      </c>
      <c r="I51" s="39">
        <f t="shared" si="5"/>
        <v>1.3227513227513227E-3</v>
      </c>
      <c r="J51" s="42">
        <v>-2.5550035486160416E-2</v>
      </c>
      <c r="K51" s="88">
        <v>-2.0000000000000018E-2</v>
      </c>
      <c r="L51" s="42">
        <v>-3.2915817069618436E-2</v>
      </c>
      <c r="M51" s="43">
        <v>-2.8795116189066647E-2</v>
      </c>
      <c r="Q51" s="2"/>
      <c r="R51" s="24"/>
      <c r="S51" s="24"/>
      <c r="T51" s="24"/>
    </row>
    <row r="52" spans="1:20" x14ac:dyDescent="0.25">
      <c r="A52" s="2">
        <v>45330</v>
      </c>
      <c r="B52" s="20">
        <v>2894</v>
      </c>
      <c r="C52" s="20">
        <v>770</v>
      </c>
      <c r="D52" s="20">
        <v>16505</v>
      </c>
      <c r="E52" s="17">
        <f t="shared" si="1"/>
        <v>0</v>
      </c>
      <c r="F52" s="17">
        <f t="shared" si="1"/>
        <v>1.3003901170351995E-3</v>
      </c>
      <c r="G52" s="17">
        <f t="shared" si="1"/>
        <v>-2.1160822249093325E-3</v>
      </c>
      <c r="H52" s="14">
        <f t="shared" si="2"/>
        <v>-1.661488627992239E-3</v>
      </c>
      <c r="I52" s="39">
        <f t="shared" si="5"/>
        <v>1.3227513227513227E-3</v>
      </c>
      <c r="J52" s="42">
        <v>-2.5216706067769934E-2</v>
      </c>
      <c r="K52" s="88">
        <v>-1.9556714471968717E-2</v>
      </c>
      <c r="L52" s="42">
        <v>-3.2258064516129004E-2</v>
      </c>
      <c r="M52" s="43">
        <v>-2.8166278767693124E-2</v>
      </c>
      <c r="Q52" s="2"/>
      <c r="R52" s="24"/>
      <c r="S52" s="24"/>
      <c r="T52" s="24"/>
    </row>
    <row r="53" spans="1:20" x14ac:dyDescent="0.25">
      <c r="A53" s="2">
        <v>45329</v>
      </c>
      <c r="B53" s="20">
        <v>2894</v>
      </c>
      <c r="C53" s="20">
        <v>769</v>
      </c>
      <c r="D53" s="20">
        <v>16540</v>
      </c>
      <c r="E53" s="17">
        <f t="shared" si="1"/>
        <v>-7.5445816186556769E-3</v>
      </c>
      <c r="F53" s="17">
        <f t="shared" si="1"/>
        <v>-1.2987012987012436E-3</v>
      </c>
      <c r="G53" s="17">
        <f t="shared" si="1"/>
        <v>-2.130177514792897E-2</v>
      </c>
      <c r="H53" s="14">
        <f t="shared" si="2"/>
        <v>-1.8443360007728213E-2</v>
      </c>
      <c r="I53" s="39">
        <f t="shared" si="5"/>
        <v>1.3227513227513227E-3</v>
      </c>
      <c r="J53" s="42">
        <v>-2.5203252032520274E-2</v>
      </c>
      <c r="K53" s="88">
        <v>-1.9298245614035037E-2</v>
      </c>
      <c r="L53" s="42">
        <v>-3.2026504693539515E-2</v>
      </c>
      <c r="M53" s="43">
        <v>-2.7732265000152287E-2</v>
      </c>
      <c r="Q53" s="2"/>
      <c r="R53" s="24"/>
      <c r="S53" s="24"/>
      <c r="T53" s="24"/>
    </row>
    <row r="54" spans="1:20" x14ac:dyDescent="0.25">
      <c r="A54" s="2">
        <v>45328</v>
      </c>
      <c r="B54" s="20">
        <v>2916</v>
      </c>
      <c r="C54" s="20">
        <v>770</v>
      </c>
      <c r="D54" s="20">
        <v>16900</v>
      </c>
      <c r="E54" s="17">
        <f t="shared" si="1"/>
        <v>9.6952908587257802E-3</v>
      </c>
      <c r="F54" s="17">
        <f t="shared" si="1"/>
        <v>-2.1601016518424387E-2</v>
      </c>
      <c r="G54" s="17">
        <f t="shared" si="1"/>
        <v>-5.0044156608772816E-3</v>
      </c>
      <c r="H54" s="14">
        <f t="shared" si="2"/>
        <v>-3.6182695848043407E-3</v>
      </c>
      <c r="I54" s="39">
        <f t="shared" si="5"/>
        <v>1.3227513227513227E-3</v>
      </c>
      <c r="J54" s="42">
        <v>-2.3845007451564815E-2</v>
      </c>
      <c r="K54" s="88">
        <v>-1.927710843373498E-2</v>
      </c>
      <c r="L54" s="42">
        <v>-3.1685393258427008E-2</v>
      </c>
      <c r="M54" s="43">
        <v>-2.7524312122942034E-2</v>
      </c>
      <c r="Q54" s="2"/>
      <c r="R54" s="24"/>
      <c r="S54" s="24"/>
      <c r="T54" s="24"/>
    </row>
    <row r="55" spans="1:20" x14ac:dyDescent="0.25">
      <c r="A55" s="2">
        <v>45327</v>
      </c>
      <c r="B55" s="20">
        <v>2888</v>
      </c>
      <c r="C55" s="20">
        <v>787</v>
      </c>
      <c r="D55" s="20">
        <v>16985</v>
      </c>
      <c r="E55" s="17">
        <f t="shared" si="1"/>
        <v>-1.3661202185792365E-2</v>
      </c>
      <c r="F55" s="17">
        <f t="shared" si="1"/>
        <v>1.287001287001277E-2</v>
      </c>
      <c r="G55" s="17">
        <f t="shared" si="1"/>
        <v>-4.6879578083797169E-3</v>
      </c>
      <c r="H55" s="14">
        <f t="shared" si="2"/>
        <v>-5.2078391184434865E-3</v>
      </c>
      <c r="I55" s="39">
        <f t="shared" si="5"/>
        <v>1.3227513227513227E-3</v>
      </c>
      <c r="J55" s="42">
        <v>-2.3809523809523836E-2</v>
      </c>
      <c r="K55" s="88">
        <v>-1.9264448336252182E-2</v>
      </c>
      <c r="L55" s="42">
        <v>-3.1476997578692489E-2</v>
      </c>
      <c r="M55" s="43">
        <v>-2.7491810190300316E-2</v>
      </c>
      <c r="Q55" s="2"/>
      <c r="R55" s="24"/>
      <c r="S55" s="24"/>
      <c r="T55" s="24"/>
    </row>
    <row r="56" spans="1:20" x14ac:dyDescent="0.25">
      <c r="A56" s="2">
        <v>45324</v>
      </c>
      <c r="B56" s="20">
        <v>2928</v>
      </c>
      <c r="C56" s="20">
        <v>777</v>
      </c>
      <c r="D56" s="20">
        <v>17065</v>
      </c>
      <c r="E56" s="17">
        <f t="shared" si="1"/>
        <v>0</v>
      </c>
      <c r="F56" s="17">
        <f t="shared" si="1"/>
        <v>-2.5673940949936247E-3</v>
      </c>
      <c r="G56" s="17">
        <f t="shared" si="1"/>
        <v>4.7100382690610232E-3</v>
      </c>
      <c r="H56" s="14">
        <f t="shared" si="2"/>
        <v>3.7125584857559931E-3</v>
      </c>
      <c r="I56" s="39">
        <f t="shared" si="5"/>
        <v>1.3227513227513227E-3</v>
      </c>
      <c r="J56" s="42">
        <v>-2.3672883787661414E-2</v>
      </c>
      <c r="K56" s="88">
        <v>-1.8932874354561147E-2</v>
      </c>
      <c r="L56" s="42">
        <v>-3.0501089324618702E-2</v>
      </c>
      <c r="M56" s="43">
        <v>-2.7460590606651087E-2</v>
      </c>
      <c r="Q56" s="2"/>
      <c r="R56" s="24"/>
      <c r="S56" s="24"/>
      <c r="T56" s="24"/>
    </row>
    <row r="57" spans="1:20" x14ac:dyDescent="0.25">
      <c r="A57" s="2">
        <v>45323</v>
      </c>
      <c r="B57" s="20">
        <v>2928</v>
      </c>
      <c r="C57" s="20">
        <v>779</v>
      </c>
      <c r="D57" s="20">
        <v>16985</v>
      </c>
      <c r="E57" s="17">
        <f t="shared" si="1"/>
        <v>6.1855670103092564E-3</v>
      </c>
      <c r="F57" s="17">
        <f t="shared" si="1"/>
        <v>1.3003901170351106E-2</v>
      </c>
      <c r="G57" s="17">
        <f t="shared" si="1"/>
        <v>3.2522796352583594E-2</v>
      </c>
      <c r="H57" s="14">
        <f t="shared" si="2"/>
        <v>2.7875402538713727E-2</v>
      </c>
      <c r="I57" s="39">
        <f t="shared" si="5"/>
        <v>1.3227513227513227E-3</v>
      </c>
      <c r="J57" s="42">
        <v>-2.3048327137546454E-2</v>
      </c>
      <c r="K57" s="88">
        <v>-1.8900343642611728E-2</v>
      </c>
      <c r="L57" s="42">
        <v>-3.013698630136985E-2</v>
      </c>
      <c r="M57" s="43">
        <v>-2.7016517115597976E-2</v>
      </c>
      <c r="Q57" s="2"/>
      <c r="R57" s="24"/>
      <c r="S57" s="24"/>
      <c r="T57" s="24"/>
    </row>
    <row r="58" spans="1:20" x14ac:dyDescent="0.25">
      <c r="A58" s="2">
        <v>45322</v>
      </c>
      <c r="B58" s="20">
        <v>2910</v>
      </c>
      <c r="C58" s="20">
        <v>769</v>
      </c>
      <c r="D58" s="20">
        <v>16450</v>
      </c>
      <c r="E58" s="17">
        <f t="shared" si="1"/>
        <v>7.6177285318559385E-3</v>
      </c>
      <c r="F58" s="17">
        <f t="shared" si="1"/>
        <v>3.2214765100671228E-2</v>
      </c>
      <c r="G58" s="17">
        <f t="shared" si="1"/>
        <v>3.9670430271590007E-3</v>
      </c>
      <c r="H58" s="14">
        <f t="shared" si="2"/>
        <v>5.7333493108566724E-3</v>
      </c>
      <c r="I58" s="39">
        <f t="shared" si="5"/>
        <v>1.3227513227513227E-3</v>
      </c>
      <c r="J58" s="42">
        <v>-2.3019634394041977E-2</v>
      </c>
      <c r="K58" s="88">
        <v>-1.8761726078799223E-2</v>
      </c>
      <c r="L58" s="42">
        <v>-2.994285714285716E-2</v>
      </c>
      <c r="M58" s="43">
        <v>-2.6389008528340297E-2</v>
      </c>
      <c r="Q58" s="2"/>
      <c r="R58" s="24"/>
      <c r="S58" s="24"/>
      <c r="T58" s="24"/>
    </row>
    <row r="59" spans="1:20" x14ac:dyDescent="0.25">
      <c r="A59" s="2">
        <v>45321</v>
      </c>
      <c r="B59" s="20">
        <v>2888</v>
      </c>
      <c r="C59" s="20">
        <v>745</v>
      </c>
      <c r="D59" s="20">
        <v>16385</v>
      </c>
      <c r="E59" s="17">
        <f t="shared" si="1"/>
        <v>1.1913104414856379E-2</v>
      </c>
      <c r="F59" s="17">
        <f t="shared" si="1"/>
        <v>-1.5852047556142668E-2</v>
      </c>
      <c r="G59" s="17">
        <f t="shared" si="1"/>
        <v>-9.9697885196374791E-3</v>
      </c>
      <c r="H59" s="14">
        <f t="shared" si="2"/>
        <v>-7.0792899333453141E-3</v>
      </c>
      <c r="I59" s="39">
        <f t="shared" si="5"/>
        <v>1.3227513227513227E-3</v>
      </c>
      <c r="J59" s="42">
        <v>-2.2222222222222254E-2</v>
      </c>
      <c r="K59" s="88">
        <v>-1.8561484918793503E-2</v>
      </c>
      <c r="L59" s="42">
        <v>-2.9383886255924141E-2</v>
      </c>
      <c r="M59" s="43">
        <v>-2.6295708467468901E-2</v>
      </c>
      <c r="Q59" s="2"/>
      <c r="R59" s="24"/>
      <c r="S59" s="24"/>
      <c r="T59" s="24"/>
    </row>
    <row r="60" spans="1:20" x14ac:dyDescent="0.25">
      <c r="A60" s="2">
        <v>45320</v>
      </c>
      <c r="B60" s="20">
        <v>2854</v>
      </c>
      <c r="C60" s="20">
        <v>757</v>
      </c>
      <c r="D60" s="20">
        <v>16550</v>
      </c>
      <c r="E60" s="17">
        <f t="shared" si="1"/>
        <v>2.1067415730338102E-3</v>
      </c>
      <c r="F60" s="17">
        <f t="shared" si="1"/>
        <v>-2.5740025740025763E-2</v>
      </c>
      <c r="G60" s="17">
        <f t="shared" si="1"/>
        <v>-2.04202426753477E-2</v>
      </c>
      <c r="H60" s="14">
        <f t="shared" si="2"/>
        <v>-1.7412349577502415E-2</v>
      </c>
      <c r="I60" s="39">
        <f t="shared" si="5"/>
        <v>1.3227513227513227E-3</v>
      </c>
      <c r="J60" s="42">
        <v>-2.215657311669128E-2</v>
      </c>
      <c r="K60" s="88">
        <v>-1.8372703412073532E-2</v>
      </c>
      <c r="L60" s="42">
        <v>-2.8880866425992746E-2</v>
      </c>
      <c r="M60" s="43">
        <v>-2.5867141719596008E-2</v>
      </c>
      <c r="Q60" s="2"/>
      <c r="R60" s="24"/>
      <c r="S60" s="24"/>
      <c r="T60" s="24"/>
    </row>
    <row r="61" spans="1:20" x14ac:dyDescent="0.25">
      <c r="A61" s="2">
        <v>45317</v>
      </c>
      <c r="B61" s="20">
        <v>2848</v>
      </c>
      <c r="C61" s="20">
        <v>777</v>
      </c>
      <c r="D61" s="20">
        <v>16895</v>
      </c>
      <c r="E61" s="17">
        <f t="shared" si="1"/>
        <v>-3.4989503149055468E-3</v>
      </c>
      <c r="F61" s="17">
        <f t="shared" si="1"/>
        <v>-3.8461538461538325E-3</v>
      </c>
      <c r="G61" s="17">
        <f t="shared" si="1"/>
        <v>-5.5915244261329766E-3</v>
      </c>
      <c r="H61" s="14">
        <f t="shared" si="2"/>
        <v>-5.2137283861726389E-3</v>
      </c>
      <c r="I61" s="39">
        <f t="shared" si="5"/>
        <v>1.3227513227513227E-3</v>
      </c>
      <c r="J61" s="42">
        <v>-2.1786492374727628E-2</v>
      </c>
      <c r="K61" s="88">
        <v>-1.7878426698450522E-2</v>
      </c>
      <c r="L61" s="42">
        <v>-2.8697571743929395E-2</v>
      </c>
      <c r="M61" s="43">
        <v>-2.5485109917793656E-2</v>
      </c>
      <c r="Q61" s="2"/>
      <c r="R61" s="24"/>
      <c r="S61" s="24"/>
      <c r="T61" s="24"/>
    </row>
    <row r="62" spans="1:20" x14ac:dyDescent="0.25">
      <c r="A62" s="2">
        <v>45316</v>
      </c>
      <c r="B62" s="20">
        <v>2858</v>
      </c>
      <c r="C62" s="20">
        <v>780</v>
      </c>
      <c r="D62" s="20">
        <v>16990</v>
      </c>
      <c r="E62" s="17">
        <f t="shared" si="1"/>
        <v>0</v>
      </c>
      <c r="F62" s="17">
        <f t="shared" si="1"/>
        <v>1.8276762402088753E-2</v>
      </c>
      <c r="G62" s="17">
        <f t="shared" si="1"/>
        <v>1.5237526142814373E-2</v>
      </c>
      <c r="H62" s="14">
        <f t="shared" si="2"/>
        <v>1.3178387003335247E-2</v>
      </c>
      <c r="I62" s="39">
        <f t="shared" si="5"/>
        <v>1.3227513227513227E-3</v>
      </c>
      <c r="J62" s="42">
        <v>-2.1423106350420773E-2</v>
      </c>
      <c r="K62" s="88">
        <v>-1.7828200972447306E-2</v>
      </c>
      <c r="L62" s="42">
        <v>-2.8464769015398961E-2</v>
      </c>
      <c r="M62" s="43">
        <v>-2.4442759041665308E-2</v>
      </c>
      <c r="Q62" s="2"/>
      <c r="R62" s="24"/>
      <c r="S62" s="24"/>
      <c r="T62" s="24"/>
    </row>
    <row r="63" spans="1:20" x14ac:dyDescent="0.25">
      <c r="A63" s="2">
        <v>45315</v>
      </c>
      <c r="B63" s="20">
        <v>2858</v>
      </c>
      <c r="C63" s="20">
        <v>766</v>
      </c>
      <c r="D63" s="20">
        <v>16735</v>
      </c>
      <c r="E63" s="17">
        <f t="shared" si="1"/>
        <v>1.3475177304964614E-2</v>
      </c>
      <c r="F63" s="17">
        <f t="shared" si="1"/>
        <v>-2.6041666666666297E-3</v>
      </c>
      <c r="G63" s="17">
        <f t="shared" si="1"/>
        <v>-3.8690476190476053E-3</v>
      </c>
      <c r="H63" s="14">
        <f t="shared" si="2"/>
        <v>-1.3176691700738517E-3</v>
      </c>
      <c r="I63" s="39">
        <f t="shared" si="5"/>
        <v>1.3227513227513227E-3</v>
      </c>
      <c r="J63" s="42">
        <v>-2.116788321167884E-2</v>
      </c>
      <c r="K63" s="88">
        <v>-1.744186046511631E-2</v>
      </c>
      <c r="L63" s="42">
        <v>-2.8344427743182354E-2</v>
      </c>
      <c r="M63" s="43">
        <v>-2.4222743830812361E-2</v>
      </c>
      <c r="Q63" s="2"/>
      <c r="R63" s="24"/>
      <c r="S63" s="24"/>
      <c r="T63" s="24"/>
    </row>
    <row r="64" spans="1:20" x14ac:dyDescent="0.25">
      <c r="A64" s="2">
        <v>45314</v>
      </c>
      <c r="B64" s="20">
        <v>2820</v>
      </c>
      <c r="C64" s="20">
        <v>768</v>
      </c>
      <c r="D64" s="20">
        <v>16800</v>
      </c>
      <c r="E64" s="17">
        <f t="shared" si="1"/>
        <v>-6.3424947145876986E-3</v>
      </c>
      <c r="F64" s="17">
        <f t="shared" si="1"/>
        <v>-2.7848101265822822E-2</v>
      </c>
      <c r="G64" s="17">
        <f t="shared" si="1"/>
        <v>-2.0408163265306145E-2</v>
      </c>
      <c r="H64" s="14">
        <f t="shared" si="2"/>
        <v>-1.8710984240829405E-2</v>
      </c>
      <c r="I64" s="39">
        <f t="shared" si="5"/>
        <v>1.3227513227513227E-3</v>
      </c>
      <c r="J64" s="42">
        <v>-2.114330462020364E-2</v>
      </c>
      <c r="K64" s="88">
        <v>-1.7432646592709933E-2</v>
      </c>
      <c r="L64" s="42">
        <v>-2.7758501040943795E-2</v>
      </c>
      <c r="M64" s="43">
        <v>-2.412846945339104E-2</v>
      </c>
      <c r="Q64" s="2"/>
      <c r="R64" s="24"/>
      <c r="S64" s="24"/>
      <c r="T64" s="24"/>
    </row>
    <row r="65" spans="1:20" x14ac:dyDescent="0.25">
      <c r="A65" s="2">
        <v>45313</v>
      </c>
      <c r="B65" s="20">
        <v>2838</v>
      </c>
      <c r="C65" s="20">
        <v>790</v>
      </c>
      <c r="D65" s="20">
        <v>17150</v>
      </c>
      <c r="E65" s="17">
        <f t="shared" si="1"/>
        <v>0</v>
      </c>
      <c r="F65" s="17">
        <f t="shared" si="1"/>
        <v>3.2679738562091609E-2</v>
      </c>
      <c r="G65" s="17">
        <f t="shared" si="1"/>
        <v>-3.4863451481697005E-3</v>
      </c>
      <c r="H65" s="14">
        <f t="shared" si="2"/>
        <v>-1.3958180824464711E-3</v>
      </c>
      <c r="I65" s="39">
        <f t="shared" si="5"/>
        <v>1.3227513227513227E-3</v>
      </c>
      <c r="J65" s="42">
        <v>-2.0817843866171026E-2</v>
      </c>
      <c r="K65" s="88">
        <v>-1.7369727047146455E-2</v>
      </c>
      <c r="L65" s="42">
        <v>-2.754820936639113E-2</v>
      </c>
      <c r="M65" s="43">
        <v>-2.3202648346530033E-2</v>
      </c>
      <c r="Q65" s="2"/>
      <c r="R65" s="24"/>
      <c r="S65" s="24"/>
      <c r="T65" s="24"/>
    </row>
    <row r="66" spans="1:20" x14ac:dyDescent="0.25">
      <c r="A66" s="2">
        <v>45310</v>
      </c>
      <c r="B66" s="20">
        <v>2838</v>
      </c>
      <c r="C66" s="20">
        <v>765</v>
      </c>
      <c r="D66" s="20">
        <v>17210</v>
      </c>
      <c r="E66" s="17">
        <f t="shared" si="1"/>
        <v>9.9644128113878239E-3</v>
      </c>
      <c r="F66" s="17">
        <f t="shared" si="1"/>
        <v>1.8641810918774926E-2</v>
      </c>
      <c r="G66" s="17">
        <f t="shared" si="1"/>
        <v>1.1460476050543678E-2</v>
      </c>
      <c r="H66" s="14">
        <f t="shared" si="2"/>
        <v>1.1560684740030433E-2</v>
      </c>
      <c r="I66" s="39">
        <f t="shared" si="5"/>
        <v>1.3227513227513227E-3</v>
      </c>
      <c r="J66" s="42">
        <v>-2.0735785953177266E-2</v>
      </c>
      <c r="K66" s="88">
        <v>-1.7283950617283939E-2</v>
      </c>
      <c r="L66" s="42">
        <v>-2.7497389488339685E-2</v>
      </c>
      <c r="M66" s="43">
        <v>-2.2801897897707021E-2</v>
      </c>
      <c r="Q66" s="2"/>
      <c r="R66" s="24"/>
      <c r="S66" s="24"/>
      <c r="T66" s="24"/>
    </row>
    <row r="67" spans="1:20" x14ac:dyDescent="0.25">
      <c r="A67" s="2">
        <v>45309</v>
      </c>
      <c r="B67" s="20">
        <v>2810</v>
      </c>
      <c r="C67" s="20">
        <v>751</v>
      </c>
      <c r="D67" s="20">
        <v>17015</v>
      </c>
      <c r="E67" s="17">
        <f t="shared" si="1"/>
        <v>2.855103497501732E-3</v>
      </c>
      <c r="F67" s="17">
        <f t="shared" si="1"/>
        <v>1.6238159675236785E-2</v>
      </c>
      <c r="G67" s="17">
        <f t="shared" si="1"/>
        <v>1.8252543387193398E-2</v>
      </c>
      <c r="H67" s="14">
        <f t="shared" si="2"/>
        <v>1.5948377463083578E-2</v>
      </c>
      <c r="I67" s="39">
        <f t="shared" si="5"/>
        <v>1.3227513227513227E-3</v>
      </c>
      <c r="J67" s="42">
        <v>-2.0695364238410563E-2</v>
      </c>
      <c r="K67" s="88">
        <v>-1.6835016835016869E-2</v>
      </c>
      <c r="L67" s="42">
        <v>-2.7272727272727226E-2</v>
      </c>
      <c r="M67" s="43">
        <v>-2.2610151267222815E-2</v>
      </c>
      <c r="Q67" s="2"/>
      <c r="R67" s="24"/>
      <c r="S67" s="24"/>
      <c r="T67" s="24"/>
    </row>
    <row r="68" spans="1:20" x14ac:dyDescent="0.25">
      <c r="A68" s="2">
        <v>45308</v>
      </c>
      <c r="B68" s="20">
        <v>2802</v>
      </c>
      <c r="C68" s="20">
        <v>739</v>
      </c>
      <c r="D68" s="20">
        <v>16710</v>
      </c>
      <c r="E68" s="17">
        <f t="shared" si="1"/>
        <v>-1.4255167498218313E-3</v>
      </c>
      <c r="F68" s="17">
        <f t="shared" si="1"/>
        <v>-3.9011703511053319E-2</v>
      </c>
      <c r="G68" s="17">
        <f t="shared" si="1"/>
        <v>-6.8350668647845225E-3</v>
      </c>
      <c r="H68" s="14">
        <f t="shared" si="2"/>
        <v>-7.4702228013487056E-3</v>
      </c>
      <c r="I68" s="39">
        <f t="shared" si="5"/>
        <v>1.3227513227513227E-3</v>
      </c>
      <c r="J68" s="42">
        <v>-2.0319303338171224E-2</v>
      </c>
      <c r="K68" s="88">
        <v>-1.674641148325362E-2</v>
      </c>
      <c r="L68" s="42">
        <v>-2.7112232030264805E-2</v>
      </c>
      <c r="M68" s="43">
        <v>-2.2585943349906733E-2</v>
      </c>
      <c r="Q68" s="2"/>
      <c r="R68" s="24"/>
      <c r="S68" s="24"/>
      <c r="T68" s="24"/>
    </row>
    <row r="69" spans="1:20" x14ac:dyDescent="0.25">
      <c r="A69" s="2">
        <v>45307</v>
      </c>
      <c r="B69" s="20">
        <v>2806</v>
      </c>
      <c r="C69" s="20">
        <v>769</v>
      </c>
      <c r="D69" s="20">
        <v>16825</v>
      </c>
      <c r="E69" s="17">
        <f t="shared" si="1"/>
        <v>-9.1807909604519899E-3</v>
      </c>
      <c r="F69" s="17">
        <f t="shared" si="1"/>
        <v>2.3968042609853635E-2</v>
      </c>
      <c r="G69" s="17">
        <f t="shared" si="1"/>
        <v>-9.1283863368668561E-3</v>
      </c>
      <c r="H69" s="14">
        <f t="shared" si="2"/>
        <v>-7.6819363666162637E-3</v>
      </c>
      <c r="I69" s="39">
        <f t="shared" si="5"/>
        <v>1.3227513227513227E-3</v>
      </c>
      <c r="J69" s="42">
        <v>-1.9985724482512457E-2</v>
      </c>
      <c r="K69" s="88">
        <v>-1.6666666666666718E-2</v>
      </c>
      <c r="L69" s="42">
        <v>-2.7089072543618031E-2</v>
      </c>
      <c r="M69" s="43">
        <v>-2.2542295950530235E-2</v>
      </c>
      <c r="Q69" s="2"/>
      <c r="R69" s="24"/>
      <c r="S69" s="24"/>
      <c r="T69" s="24"/>
    </row>
    <row r="70" spans="1:20" x14ac:dyDescent="0.25">
      <c r="A70" s="2">
        <v>45306</v>
      </c>
      <c r="B70" s="20">
        <v>2832</v>
      </c>
      <c r="C70" s="20">
        <v>751</v>
      </c>
      <c r="D70" s="20">
        <v>16980</v>
      </c>
      <c r="E70" s="17">
        <f t="shared" ref="E70:G133" si="6">+B70/B71-1</f>
        <v>-2.1141649048626032E-3</v>
      </c>
      <c r="F70" s="17">
        <f t="shared" si="6"/>
        <v>2.735978112175097E-2</v>
      </c>
      <c r="G70" s="17">
        <f t="shared" si="6"/>
        <v>2.9533372711163519E-3</v>
      </c>
      <c r="H70" s="14">
        <f t="shared" ref="H70:H133" si="7">+SUMPRODUCT(E70:G70,$K$9:$M$9)</f>
        <v>3.2963536459592871E-3</v>
      </c>
      <c r="I70" s="39">
        <f t="shared" si="5"/>
        <v>1.3227513227513227E-3</v>
      </c>
      <c r="J70" s="42">
        <v>-1.9926199261992572E-2</v>
      </c>
      <c r="K70" s="88">
        <v>-1.631701631701632E-2</v>
      </c>
      <c r="L70" s="42">
        <v>-2.7086924402856427E-2</v>
      </c>
      <c r="M70" s="43">
        <v>-2.2308873323722403E-2</v>
      </c>
      <c r="Q70" s="2"/>
      <c r="R70" s="24"/>
      <c r="S70" s="24"/>
      <c r="T70" s="24"/>
    </row>
    <row r="71" spans="1:20" x14ac:dyDescent="0.25">
      <c r="A71" s="2">
        <v>45303</v>
      </c>
      <c r="B71" s="20">
        <v>2838</v>
      </c>
      <c r="C71" s="20">
        <v>731</v>
      </c>
      <c r="D71" s="20">
        <v>16930</v>
      </c>
      <c r="E71" s="17">
        <f t="shared" si="6"/>
        <v>1.1404133998574428E-2</v>
      </c>
      <c r="F71" s="17">
        <f t="shared" si="6"/>
        <v>1.5277777777777724E-2</v>
      </c>
      <c r="G71" s="17">
        <f t="shared" si="6"/>
        <v>6.5398335315101086E-3</v>
      </c>
      <c r="H71" s="14">
        <f t="shared" si="7"/>
        <v>7.6236745762326991E-3</v>
      </c>
      <c r="I71" s="39">
        <f t="shared" si="5"/>
        <v>1.3227513227513227E-3</v>
      </c>
      <c r="J71" s="42">
        <v>-1.9886363636363646E-2</v>
      </c>
      <c r="K71" s="88">
        <v>-1.6129032258064502E-2</v>
      </c>
      <c r="L71" s="42">
        <v>-2.6255707762557035E-2</v>
      </c>
      <c r="M71" s="43">
        <v>-2.2237261310791144E-2</v>
      </c>
      <c r="Q71" s="2"/>
      <c r="R71" s="24"/>
      <c r="S71" s="24"/>
      <c r="T71" s="24"/>
    </row>
    <row r="72" spans="1:20" x14ac:dyDescent="0.25">
      <c r="A72" s="2">
        <v>45302</v>
      </c>
      <c r="B72" s="20">
        <v>2806</v>
      </c>
      <c r="C72" s="20">
        <v>720</v>
      </c>
      <c r="D72" s="20">
        <v>16820</v>
      </c>
      <c r="E72" s="17">
        <f t="shared" si="6"/>
        <v>-2.8429282160625791E-3</v>
      </c>
      <c r="F72" s="17">
        <f t="shared" si="6"/>
        <v>2.7855153203342198E-3</v>
      </c>
      <c r="G72" s="17">
        <f t="shared" si="6"/>
        <v>7.1856287425149379E-3</v>
      </c>
      <c r="H72" s="14">
        <f t="shared" si="7"/>
        <v>5.5492277995428732E-3</v>
      </c>
      <c r="I72" s="39">
        <f t="shared" si="5"/>
        <v>1.3227513227513227E-3</v>
      </c>
      <c r="J72" s="42">
        <v>-1.9188191881918781E-2</v>
      </c>
      <c r="K72" s="88">
        <v>-1.6129032258064502E-2</v>
      </c>
      <c r="L72" s="42">
        <v>-2.5974025974025983E-2</v>
      </c>
      <c r="M72" s="43">
        <v>-2.211169747174253E-2</v>
      </c>
      <c r="Q72" s="2"/>
      <c r="R72" s="24"/>
      <c r="S72" s="24"/>
      <c r="T72" s="24"/>
    </row>
    <row r="73" spans="1:20" x14ac:dyDescent="0.25">
      <c r="A73" s="2">
        <v>45301</v>
      </c>
      <c r="B73" s="20">
        <v>2814</v>
      </c>
      <c r="C73" s="20">
        <v>718</v>
      </c>
      <c r="D73" s="20">
        <v>16700</v>
      </c>
      <c r="E73" s="17">
        <f t="shared" si="6"/>
        <v>-6.3559322033898136E-3</v>
      </c>
      <c r="F73" s="17">
        <f t="shared" si="6"/>
        <v>5.1244509516837455E-2</v>
      </c>
      <c r="G73" s="17">
        <f t="shared" si="6"/>
        <v>3.2138442521631561E-2</v>
      </c>
      <c r="H73" s="14">
        <f t="shared" si="7"/>
        <v>2.7438522671248716E-2</v>
      </c>
      <c r="I73" s="39">
        <f t="shared" si="5"/>
        <v>1.3227513227513227E-3</v>
      </c>
      <c r="J73" s="42">
        <v>-1.9102990033222578E-2</v>
      </c>
      <c r="K73" s="88">
        <v>-1.5852047556142668E-2</v>
      </c>
      <c r="L73" s="42">
        <v>-2.5072046109510082E-2</v>
      </c>
      <c r="M73" s="43">
        <v>-2.2080708468417601E-2</v>
      </c>
      <c r="Q73" s="2"/>
      <c r="R73" s="24"/>
      <c r="S73" s="24"/>
      <c r="T73" s="24"/>
    </row>
    <row r="74" spans="1:20" x14ac:dyDescent="0.25">
      <c r="A74" s="2">
        <v>45300</v>
      </c>
      <c r="B74" s="20">
        <v>2832</v>
      </c>
      <c r="C74" s="20">
        <v>683</v>
      </c>
      <c r="D74" s="20">
        <v>16180</v>
      </c>
      <c r="E74" s="17">
        <f t="shared" si="6"/>
        <v>-1.4104372355430161E-3</v>
      </c>
      <c r="F74" s="17">
        <f t="shared" si="6"/>
        <v>4.4117647058823373E-3</v>
      </c>
      <c r="G74" s="17">
        <f t="shared" si="6"/>
        <v>1.4420062695924774E-2</v>
      </c>
      <c r="H74" s="14">
        <f t="shared" si="7"/>
        <v>1.170239173104881E-2</v>
      </c>
      <c r="I74" s="39">
        <f t="shared" si="5"/>
        <v>1.3227513227513227E-3</v>
      </c>
      <c r="J74" s="42">
        <v>-1.8624641833810851E-2</v>
      </c>
      <c r="K74" s="88">
        <v>-1.5719467956469169E-2</v>
      </c>
      <c r="L74" s="42">
        <v>-2.4967148488830526E-2</v>
      </c>
      <c r="M74" s="43">
        <v>-2.1973970731778307E-2</v>
      </c>
      <c r="Q74" s="2"/>
      <c r="R74" s="24"/>
      <c r="S74" s="24"/>
      <c r="T74" s="24"/>
    </row>
    <row r="75" spans="1:20" x14ac:dyDescent="0.25">
      <c r="A75" s="2">
        <v>45299</v>
      </c>
      <c r="B75" s="20">
        <v>2836</v>
      </c>
      <c r="C75" s="20">
        <v>680</v>
      </c>
      <c r="D75" s="20">
        <v>15950</v>
      </c>
      <c r="E75" s="17">
        <f t="shared" si="6"/>
        <v>-7.0472163495416407E-4</v>
      </c>
      <c r="F75" s="17">
        <f t="shared" si="6"/>
        <v>-7.2992700729926918E-3</v>
      </c>
      <c r="G75" s="17">
        <f t="shared" si="6"/>
        <v>4.4080604534004753E-3</v>
      </c>
      <c r="H75" s="14">
        <f t="shared" si="7"/>
        <v>3.1580122972959578E-3</v>
      </c>
      <c r="I75" s="39">
        <f t="shared" si="5"/>
        <v>1.3227513227513227E-3</v>
      </c>
      <c r="J75" s="42">
        <v>-1.851851851851849E-2</v>
      </c>
      <c r="K75" s="88">
        <v>-1.538461538461533E-2</v>
      </c>
      <c r="L75" s="42">
        <v>-2.4947294448348534E-2</v>
      </c>
      <c r="M75" s="43">
        <v>-2.1492799455943932E-2</v>
      </c>
      <c r="Q75" s="2"/>
      <c r="R75" s="24"/>
      <c r="S75" s="24"/>
      <c r="T75" s="24"/>
    </row>
    <row r="76" spans="1:20" x14ac:dyDescent="0.25">
      <c r="A76" s="2">
        <v>45296</v>
      </c>
      <c r="B76" s="20">
        <v>2838</v>
      </c>
      <c r="C76" s="20">
        <v>685</v>
      </c>
      <c r="D76" s="20">
        <v>15880</v>
      </c>
      <c r="E76" s="17">
        <f t="shared" si="6"/>
        <v>6.382978723404209E-3</v>
      </c>
      <c r="F76" s="17">
        <f t="shared" si="6"/>
        <v>1.9345238095238138E-2</v>
      </c>
      <c r="G76" s="17">
        <f t="shared" si="6"/>
        <v>1.7948717948717885E-2</v>
      </c>
      <c r="H76" s="14">
        <f t="shared" si="7"/>
        <v>1.6345776085404613E-2</v>
      </c>
      <c r="I76" s="39">
        <f t="shared" si="5"/>
        <v>1.3227513227513227E-3</v>
      </c>
      <c r="J76" s="42">
        <v>-1.8329938900203624E-2</v>
      </c>
      <c r="K76" s="88">
        <v>-1.5202702702702742E-2</v>
      </c>
      <c r="L76" s="42">
        <v>-2.4099001302648748E-2</v>
      </c>
      <c r="M76" s="43">
        <v>-2.1092377770356288E-2</v>
      </c>
      <c r="Q76" s="2"/>
      <c r="R76" s="24"/>
      <c r="S76" s="24"/>
      <c r="T76" s="24"/>
    </row>
    <row r="77" spans="1:20" x14ac:dyDescent="0.25">
      <c r="A77" s="2">
        <v>45295</v>
      </c>
      <c r="B77" s="20">
        <v>2820</v>
      </c>
      <c r="C77" s="20">
        <v>672</v>
      </c>
      <c r="D77" s="20">
        <v>15600</v>
      </c>
      <c r="E77" s="17">
        <f t="shared" si="6"/>
        <v>-2.8288543140028155E-3</v>
      </c>
      <c r="F77" s="17">
        <f t="shared" si="6"/>
        <v>-4.4444444444444731E-3</v>
      </c>
      <c r="G77" s="17">
        <f t="shared" si="6"/>
        <v>-3.2041012495998E-4</v>
      </c>
      <c r="H77" s="14">
        <f t="shared" si="7"/>
        <v>-8.625486437322707E-4</v>
      </c>
      <c r="I77" s="39">
        <f t="shared" si="5"/>
        <v>1.3227513227513227E-3</v>
      </c>
      <c r="J77" s="42">
        <v>-1.8181818181818188E-2</v>
      </c>
      <c r="K77" s="88">
        <v>-1.5189873417721489E-2</v>
      </c>
      <c r="L77" s="42">
        <v>-2.3994093761535606E-2</v>
      </c>
      <c r="M77" s="43">
        <v>-2.1078926358101772E-2</v>
      </c>
      <c r="Q77" s="2"/>
      <c r="R77" s="24"/>
      <c r="S77" s="24"/>
      <c r="T77" s="24"/>
    </row>
    <row r="78" spans="1:20" x14ac:dyDescent="0.25">
      <c r="A78" s="2">
        <v>45294</v>
      </c>
      <c r="B78" s="20">
        <v>2828</v>
      </c>
      <c r="C78" s="20">
        <v>675</v>
      </c>
      <c r="D78" s="20">
        <v>15605</v>
      </c>
      <c r="E78" s="17">
        <f t="shared" si="6"/>
        <v>2.8368794326241176E-3</v>
      </c>
      <c r="F78" s="17">
        <f t="shared" si="6"/>
        <v>-4.4247787610619538E-3</v>
      </c>
      <c r="G78" s="17">
        <f t="shared" si="6"/>
        <v>-9.2063492063492181E-3</v>
      </c>
      <c r="H78" s="14">
        <f t="shared" si="7"/>
        <v>-7.263281667384415E-3</v>
      </c>
      <c r="I78" s="39">
        <f t="shared" si="5"/>
        <v>1.3227513227513227E-3</v>
      </c>
      <c r="J78" s="42">
        <v>-1.8169112508735097E-2</v>
      </c>
      <c r="K78" s="88">
        <v>-1.5113350125944613E-2</v>
      </c>
      <c r="L78" s="42">
        <v>-2.3809523809523836E-2</v>
      </c>
      <c r="M78" s="43">
        <v>-2.0789769539702685E-2</v>
      </c>
      <c r="Q78" s="2"/>
      <c r="R78" s="24"/>
      <c r="S78" s="24"/>
      <c r="T78" s="24"/>
    </row>
    <row r="79" spans="1:20" x14ac:dyDescent="0.25">
      <c r="A79" s="2">
        <v>45293</v>
      </c>
      <c r="B79" s="20">
        <v>2820</v>
      </c>
      <c r="C79" s="20">
        <v>678</v>
      </c>
      <c r="D79" s="20">
        <v>15750</v>
      </c>
      <c r="E79" s="17">
        <f t="shared" si="6"/>
        <v>-2.1231422505307851E-3</v>
      </c>
      <c r="F79" s="17">
        <f t="shared" si="6"/>
        <v>-5.8651026392961825E-3</v>
      </c>
      <c r="G79" s="17">
        <f t="shared" si="6"/>
        <v>-3.1645569620253333E-3</v>
      </c>
      <c r="H79" s="14">
        <f t="shared" si="7"/>
        <v>-3.1333390979061257E-3</v>
      </c>
      <c r="I79" s="39">
        <f t="shared" si="5"/>
        <v>1.3227513227513227E-3</v>
      </c>
      <c r="J79" s="42">
        <v>-1.7582417582417631E-2</v>
      </c>
      <c r="K79" s="88">
        <v>-1.4742014742014753E-2</v>
      </c>
      <c r="L79" s="42">
        <v>-2.3453608247422708E-2</v>
      </c>
      <c r="M79" s="43">
        <v>-2.075292473544545E-2</v>
      </c>
      <c r="Q79" s="2"/>
      <c r="R79" s="24"/>
      <c r="S79" s="24"/>
      <c r="T79" s="24"/>
    </row>
    <row r="80" spans="1:20" x14ac:dyDescent="0.25">
      <c r="A80" s="2">
        <v>45289</v>
      </c>
      <c r="B80" s="20">
        <v>2826</v>
      </c>
      <c r="C80" s="20">
        <v>682</v>
      </c>
      <c r="D80" s="20">
        <v>15800</v>
      </c>
      <c r="E80" s="17">
        <f t="shared" si="6"/>
        <v>0</v>
      </c>
      <c r="F80" s="17">
        <f t="shared" si="6"/>
        <v>1.0370370370370363E-2</v>
      </c>
      <c r="G80" s="17">
        <f t="shared" si="6"/>
        <v>-5.6639395846443952E-3</v>
      </c>
      <c r="H80" s="14">
        <f t="shared" si="7"/>
        <v>-4.1444879562959093E-3</v>
      </c>
      <c r="I80" s="39">
        <f t="shared" ref="I80:I143" si="8">1/$K$1</f>
        <v>1.3227513227513227E-3</v>
      </c>
      <c r="J80" s="42">
        <v>-1.7508417508417473E-2</v>
      </c>
      <c r="K80" s="88">
        <v>-1.4627659574468099E-2</v>
      </c>
      <c r="L80" s="42">
        <v>-2.3242944106253494E-2</v>
      </c>
      <c r="M80" s="43">
        <v>-2.0061387446210714E-2</v>
      </c>
      <c r="Q80" s="2"/>
      <c r="R80" s="24"/>
      <c r="S80" s="24"/>
      <c r="T80" s="24"/>
    </row>
    <row r="81" spans="1:20" x14ac:dyDescent="0.25">
      <c r="A81" s="2">
        <v>45288</v>
      </c>
      <c r="B81" s="20">
        <v>2826</v>
      </c>
      <c r="C81" s="20">
        <v>675</v>
      </c>
      <c r="D81" s="20">
        <v>15890</v>
      </c>
      <c r="E81" s="17">
        <f t="shared" si="6"/>
        <v>2.8388928317955031E-3</v>
      </c>
      <c r="F81" s="17">
        <f t="shared" si="6"/>
        <v>1.5037593984962516E-2</v>
      </c>
      <c r="G81" s="17">
        <f t="shared" si="6"/>
        <v>9.5298602287166023E-3</v>
      </c>
      <c r="H81" s="14">
        <f t="shared" si="7"/>
        <v>8.8090048889613737E-3</v>
      </c>
      <c r="I81" s="39">
        <f t="shared" si="8"/>
        <v>1.3227513227513227E-3</v>
      </c>
      <c r="J81" s="42">
        <v>-1.7470300489168422E-2</v>
      </c>
      <c r="K81" s="88">
        <v>-1.4492753623188359E-2</v>
      </c>
      <c r="L81" s="42">
        <v>-2.2965116279069719E-2</v>
      </c>
      <c r="M81" s="43">
        <v>-1.9943582589862008E-2</v>
      </c>
      <c r="Q81" s="2"/>
      <c r="R81" s="24"/>
      <c r="S81" s="24"/>
      <c r="T81" s="24"/>
    </row>
    <row r="82" spans="1:20" x14ac:dyDescent="0.25">
      <c r="A82" s="2">
        <v>45287</v>
      </c>
      <c r="B82" s="20">
        <v>2818</v>
      </c>
      <c r="C82" s="20">
        <v>665</v>
      </c>
      <c r="D82" s="20">
        <v>15740</v>
      </c>
      <c r="E82" s="17">
        <f t="shared" si="6"/>
        <v>-1.4174344436569397E-3</v>
      </c>
      <c r="F82" s="17">
        <f t="shared" si="6"/>
        <v>3.0165912518853588E-3</v>
      </c>
      <c r="G82" s="17">
        <f t="shared" si="6"/>
        <v>-6.3492063492065487E-4</v>
      </c>
      <c r="H82" s="14">
        <f t="shared" si="7"/>
        <v>-5.8710521312375376E-4</v>
      </c>
      <c r="I82" s="39">
        <f t="shared" si="8"/>
        <v>1.3227513227513227E-3</v>
      </c>
      <c r="J82" s="42">
        <v>-1.7467248908296984E-2</v>
      </c>
      <c r="K82" s="88">
        <v>-1.4354066985645897E-2</v>
      </c>
      <c r="L82" s="42">
        <v>-2.2961203483768844E-2</v>
      </c>
      <c r="M82" s="43">
        <v>-1.9600228135888496E-2</v>
      </c>
      <c r="Q82" s="2"/>
      <c r="R82" s="24"/>
      <c r="S82" s="24"/>
      <c r="T82" s="24"/>
    </row>
    <row r="83" spans="1:20" x14ac:dyDescent="0.25">
      <c r="A83" s="2">
        <v>45282</v>
      </c>
      <c r="B83" s="20">
        <v>2822</v>
      </c>
      <c r="C83" s="20">
        <v>663</v>
      </c>
      <c r="D83" s="20">
        <v>15750</v>
      </c>
      <c r="E83" s="17">
        <f t="shared" si="6"/>
        <v>-2.8268551236748651E-3</v>
      </c>
      <c r="F83" s="17">
        <f t="shared" si="6"/>
        <v>4.5454545454546302E-3</v>
      </c>
      <c r="G83" s="17">
        <f t="shared" si="6"/>
        <v>-1.9011406844106071E-3</v>
      </c>
      <c r="H83" s="14">
        <f t="shared" si="7"/>
        <v>-1.7511381497292478E-3</v>
      </c>
      <c r="I83" s="39">
        <f t="shared" si="8"/>
        <v>1.3227513227513227E-3</v>
      </c>
      <c r="J83" s="42">
        <v>-1.7341040462427793E-2</v>
      </c>
      <c r="K83" s="88">
        <v>-1.4161220043573008E-2</v>
      </c>
      <c r="L83" s="42">
        <v>-2.2727272727272707E-2</v>
      </c>
      <c r="M83" s="43">
        <v>-1.9562018032712489E-2</v>
      </c>
      <c r="Q83" s="2"/>
      <c r="R83" s="24"/>
      <c r="S83" s="24"/>
      <c r="T83" s="24"/>
    </row>
    <row r="84" spans="1:20" x14ac:dyDescent="0.25">
      <c r="A84" s="2">
        <v>45281</v>
      </c>
      <c r="B84" s="20">
        <v>2830</v>
      </c>
      <c r="C84" s="20">
        <v>660</v>
      </c>
      <c r="D84" s="20">
        <v>15780</v>
      </c>
      <c r="E84" s="17">
        <f t="shared" si="6"/>
        <v>-1.4114326040931546E-3</v>
      </c>
      <c r="F84" s="17">
        <f t="shared" si="6"/>
        <v>-1.19760479041916E-2</v>
      </c>
      <c r="G84" s="17">
        <f t="shared" si="6"/>
        <v>-1.5595757953836609E-2</v>
      </c>
      <c r="H84" s="14">
        <f t="shared" si="7"/>
        <v>-1.3395632389344403E-2</v>
      </c>
      <c r="I84" s="39">
        <f t="shared" si="8"/>
        <v>1.3227513227513227E-3</v>
      </c>
      <c r="J84" s="42">
        <v>-1.7306245297215916E-2</v>
      </c>
      <c r="K84" s="88">
        <v>-1.3953488372092981E-2</v>
      </c>
      <c r="L84" s="42">
        <v>-2.2666269012824314E-2</v>
      </c>
      <c r="M84" s="43">
        <v>-1.9379811318570781E-2</v>
      </c>
      <c r="Q84" s="2"/>
      <c r="R84" s="24"/>
      <c r="S84" s="24"/>
      <c r="T84" s="24"/>
    </row>
    <row r="85" spans="1:20" x14ac:dyDescent="0.25">
      <c r="A85" s="2">
        <v>45280</v>
      </c>
      <c r="B85" s="20">
        <v>2834</v>
      </c>
      <c r="C85" s="20">
        <v>668</v>
      </c>
      <c r="D85" s="20">
        <v>16030</v>
      </c>
      <c r="E85" s="17">
        <f t="shared" si="6"/>
        <v>1.4134275618373771E-3</v>
      </c>
      <c r="F85" s="17">
        <f t="shared" si="6"/>
        <v>1.2121212121212199E-2</v>
      </c>
      <c r="G85" s="17">
        <f t="shared" si="6"/>
        <v>2.5015634771732298E-3</v>
      </c>
      <c r="H85" s="14">
        <f t="shared" si="7"/>
        <v>2.7675922371431945E-3</v>
      </c>
      <c r="I85" s="39">
        <f t="shared" si="8"/>
        <v>1.3227513227513227E-3</v>
      </c>
      <c r="J85" s="42">
        <v>-1.7187500000000022E-2</v>
      </c>
      <c r="K85" s="88">
        <v>-1.3921113689095099E-2</v>
      </c>
      <c r="L85" s="42">
        <v>-2.2222222222222254E-2</v>
      </c>
      <c r="M85" s="43">
        <v>-1.9062462953596617E-2</v>
      </c>
      <c r="Q85" s="2"/>
      <c r="R85" s="24"/>
      <c r="S85" s="24"/>
      <c r="T85" s="24"/>
    </row>
    <row r="86" spans="1:20" x14ac:dyDescent="0.25">
      <c r="A86" s="2">
        <v>45279</v>
      </c>
      <c r="B86" s="20">
        <v>2830</v>
      </c>
      <c r="C86" s="20">
        <v>660</v>
      </c>
      <c r="D86" s="20">
        <v>15990</v>
      </c>
      <c r="E86" s="17">
        <f t="shared" si="6"/>
        <v>4.2583392476933657E-3</v>
      </c>
      <c r="F86" s="17">
        <f t="shared" si="6"/>
        <v>-1.0494752623688153E-2</v>
      </c>
      <c r="G86" s="17">
        <f t="shared" si="6"/>
        <v>1.6852146263911072E-2</v>
      </c>
      <c r="H86" s="14">
        <f t="shared" si="7"/>
        <v>1.3838512206478186E-2</v>
      </c>
      <c r="I86" s="39">
        <f t="shared" si="8"/>
        <v>1.3227513227513227E-3</v>
      </c>
      <c r="J86" s="42">
        <v>-1.7099863201094356E-2</v>
      </c>
      <c r="K86" s="88">
        <v>-1.3867488443759624E-2</v>
      </c>
      <c r="L86" s="42">
        <v>-2.2192028985507206E-2</v>
      </c>
      <c r="M86" s="43">
        <v>-1.8927247281904612E-2</v>
      </c>
      <c r="Q86" s="2"/>
      <c r="R86" s="24"/>
      <c r="S86" s="24"/>
      <c r="T86" s="24"/>
    </row>
    <row r="87" spans="1:20" x14ac:dyDescent="0.25">
      <c r="A87" s="2">
        <v>45278</v>
      </c>
      <c r="B87" s="20">
        <v>2818</v>
      </c>
      <c r="C87" s="20">
        <v>667</v>
      </c>
      <c r="D87" s="20">
        <v>15725</v>
      </c>
      <c r="E87" s="17">
        <f t="shared" si="6"/>
        <v>-4.9435028248587809E-3</v>
      </c>
      <c r="F87" s="17">
        <f t="shared" si="6"/>
        <v>1.5015015015014122E-3</v>
      </c>
      <c r="G87" s="17">
        <f t="shared" si="6"/>
        <v>9.3068035943517646E-3</v>
      </c>
      <c r="H87" s="14">
        <f t="shared" si="7"/>
        <v>6.9133021927401065E-3</v>
      </c>
      <c r="I87" s="39">
        <f t="shared" si="8"/>
        <v>1.3227513227513227E-3</v>
      </c>
      <c r="J87" s="42">
        <v>-1.7094017094017144E-2</v>
      </c>
      <c r="K87" s="88">
        <v>-1.3867488443759624E-2</v>
      </c>
      <c r="L87" s="42">
        <v>-2.2191011235955016E-2</v>
      </c>
      <c r="M87" s="43">
        <v>-1.8919158887766716E-2</v>
      </c>
      <c r="Q87" s="2"/>
      <c r="R87" s="24"/>
      <c r="S87" s="24"/>
      <c r="T87" s="24"/>
    </row>
    <row r="88" spans="1:20" x14ac:dyDescent="0.25">
      <c r="A88" s="2">
        <v>45275</v>
      </c>
      <c r="B88" s="20">
        <v>2832</v>
      </c>
      <c r="C88" s="20">
        <v>666</v>
      </c>
      <c r="D88" s="20">
        <v>15580</v>
      </c>
      <c r="E88" s="17">
        <f t="shared" si="6"/>
        <v>5.6818181818181213E-3</v>
      </c>
      <c r="F88" s="17">
        <f t="shared" si="6"/>
        <v>-1.4992503748125774E-3</v>
      </c>
      <c r="G88" s="17">
        <f t="shared" si="6"/>
        <v>-7.0108349267049563E-3</v>
      </c>
      <c r="H88" s="14">
        <f t="shared" si="7"/>
        <v>-4.9422451642527499E-3</v>
      </c>
      <c r="I88" s="39">
        <f t="shared" si="8"/>
        <v>1.3227513227513227E-3</v>
      </c>
      <c r="J88" s="42">
        <v>-1.7076502732240484E-2</v>
      </c>
      <c r="K88" s="88">
        <v>-1.358234295415961E-2</v>
      </c>
      <c r="L88" s="42">
        <v>-2.2078416444613613E-2</v>
      </c>
      <c r="M88" s="43">
        <v>-1.8710984240829405E-2</v>
      </c>
      <c r="Q88" s="2"/>
      <c r="R88" s="24"/>
      <c r="S88" s="24"/>
      <c r="T88" s="24"/>
    </row>
    <row r="89" spans="1:20" x14ac:dyDescent="0.25">
      <c r="A89" s="2">
        <v>45274</v>
      </c>
      <c r="B89" s="20">
        <v>2816</v>
      </c>
      <c r="C89" s="20">
        <v>667</v>
      </c>
      <c r="D89" s="20">
        <v>15690</v>
      </c>
      <c r="E89" s="17">
        <f t="shared" si="6"/>
        <v>7.1530758226037161E-3</v>
      </c>
      <c r="F89" s="17">
        <f t="shared" si="6"/>
        <v>3.4108527131782918E-2</v>
      </c>
      <c r="G89" s="17">
        <f t="shared" si="6"/>
        <v>4.5651449516827647E-2</v>
      </c>
      <c r="H89" s="14">
        <f t="shared" si="7"/>
        <v>3.9604484109882043E-2</v>
      </c>
      <c r="I89" s="39">
        <f t="shared" si="8"/>
        <v>1.3227513227513227E-3</v>
      </c>
      <c r="J89" s="42">
        <v>-1.690617075232459E-2</v>
      </c>
      <c r="K89" s="88">
        <v>-1.3559322033898313E-2</v>
      </c>
      <c r="L89" s="42">
        <v>-2.2073204805811653E-2</v>
      </c>
      <c r="M89" s="43">
        <v>-1.8634769804735257E-2</v>
      </c>
      <c r="Q89" s="2"/>
      <c r="R89" s="24"/>
      <c r="S89" s="24"/>
      <c r="T89" s="24"/>
    </row>
    <row r="90" spans="1:20" x14ac:dyDescent="0.25">
      <c r="A90" s="2">
        <v>45273</v>
      </c>
      <c r="B90" s="20">
        <v>2796</v>
      </c>
      <c r="C90" s="20">
        <v>645</v>
      </c>
      <c r="D90" s="20">
        <v>15005</v>
      </c>
      <c r="E90" s="17">
        <f t="shared" si="6"/>
        <v>-2.8530670470755526E-3</v>
      </c>
      <c r="F90" s="17">
        <f t="shared" si="6"/>
        <v>4.6728971962617383E-3</v>
      </c>
      <c r="G90" s="17">
        <f t="shared" si="6"/>
        <v>-1.3311148086522229E-3</v>
      </c>
      <c r="H90" s="14">
        <f t="shared" si="7"/>
        <v>-1.2863536084572347E-3</v>
      </c>
      <c r="I90" s="39">
        <f t="shared" si="8"/>
        <v>1.3227513227513227E-3</v>
      </c>
      <c r="J90" s="42">
        <v>-1.6886930983847304E-2</v>
      </c>
      <c r="K90" s="88">
        <v>-1.3480392156862697E-2</v>
      </c>
      <c r="L90" s="42">
        <v>-2.2046353872244184E-2</v>
      </c>
      <c r="M90" s="43">
        <v>-1.8443360007728213E-2</v>
      </c>
      <c r="Q90" s="2"/>
      <c r="R90" s="24"/>
      <c r="S90" s="24"/>
      <c r="T90" s="24"/>
    </row>
    <row r="91" spans="1:20" x14ac:dyDescent="0.25">
      <c r="A91" s="2">
        <v>45272</v>
      </c>
      <c r="B91" s="20">
        <v>2804</v>
      </c>
      <c r="C91" s="20">
        <v>642</v>
      </c>
      <c r="D91" s="20">
        <v>15025</v>
      </c>
      <c r="E91" s="17">
        <f t="shared" si="6"/>
        <v>1.7416545718432541E-2</v>
      </c>
      <c r="F91" s="17">
        <f t="shared" si="6"/>
        <v>1.5822784810126667E-2</v>
      </c>
      <c r="G91" s="17">
        <f t="shared" si="6"/>
        <v>1.8644067796610209E-2</v>
      </c>
      <c r="H91" s="14">
        <f t="shared" si="7"/>
        <v>1.8343484597980849E-2</v>
      </c>
      <c r="I91" s="39">
        <f t="shared" si="8"/>
        <v>1.3227513227513227E-3</v>
      </c>
      <c r="J91" s="42">
        <v>-1.6788321167883202E-2</v>
      </c>
      <c r="K91" s="88">
        <v>-1.3414634146341475E-2</v>
      </c>
      <c r="L91" s="42">
        <v>-2.1804511278195493E-2</v>
      </c>
      <c r="M91" s="43">
        <v>-1.8429995776687084E-2</v>
      </c>
      <c r="Q91" s="2"/>
      <c r="R91" s="24"/>
      <c r="S91" s="24"/>
      <c r="T91" s="24"/>
    </row>
    <row r="92" spans="1:20" x14ac:dyDescent="0.25">
      <c r="A92" s="2">
        <v>45271</v>
      </c>
      <c r="B92" s="20">
        <v>2756</v>
      </c>
      <c r="C92" s="20">
        <v>632</v>
      </c>
      <c r="D92" s="20">
        <v>14750</v>
      </c>
      <c r="E92" s="17">
        <f t="shared" si="6"/>
        <v>-3.6153289949385492E-3</v>
      </c>
      <c r="F92" s="17">
        <f t="shared" si="6"/>
        <v>-7.8492935635793293E-3</v>
      </c>
      <c r="G92" s="17">
        <f t="shared" si="6"/>
        <v>-2.0297699594046259E-3</v>
      </c>
      <c r="H92" s="14">
        <f t="shared" si="7"/>
        <v>-2.5135927568678898E-3</v>
      </c>
      <c r="I92" s="39">
        <f t="shared" si="8"/>
        <v>1.3227513227513227E-3</v>
      </c>
      <c r="J92" s="42">
        <v>-1.6491754122938573E-2</v>
      </c>
      <c r="K92" s="88">
        <v>-1.3033175355450233E-2</v>
      </c>
      <c r="L92" s="42">
        <v>-2.130177514792897E-2</v>
      </c>
      <c r="M92" s="43">
        <v>-1.8195741716172418E-2</v>
      </c>
      <c r="Q92" s="2"/>
      <c r="R92" s="24"/>
      <c r="S92" s="24"/>
      <c r="T92" s="24"/>
    </row>
    <row r="93" spans="1:20" x14ac:dyDescent="0.25">
      <c r="A93" s="2">
        <v>45268</v>
      </c>
      <c r="B93" s="20">
        <v>2766</v>
      </c>
      <c r="C93" s="20">
        <v>637</v>
      </c>
      <c r="D93" s="20">
        <v>14780</v>
      </c>
      <c r="E93" s="17">
        <f t="shared" si="6"/>
        <v>-1.3552068473609125E-2</v>
      </c>
      <c r="F93" s="17">
        <f t="shared" si="6"/>
        <v>-4.6874999999999556E-3</v>
      </c>
      <c r="G93" s="17">
        <f t="shared" si="6"/>
        <v>1.6506189821182904E-2</v>
      </c>
      <c r="H93" s="14">
        <f t="shared" si="7"/>
        <v>1.1249768128449186E-2</v>
      </c>
      <c r="I93" s="39">
        <f t="shared" si="8"/>
        <v>1.3227513227513227E-3</v>
      </c>
      <c r="J93" s="42">
        <v>-1.6487455197132572E-2</v>
      </c>
      <c r="K93" s="88">
        <v>-1.3029315960912058E-2</v>
      </c>
      <c r="L93" s="42">
        <v>-2.1176470588235241E-2</v>
      </c>
      <c r="M93" s="43">
        <v>-1.8072390464620492E-2</v>
      </c>
      <c r="Q93" s="2"/>
      <c r="R93" s="24"/>
      <c r="S93" s="24"/>
      <c r="T93" s="24"/>
    </row>
    <row r="94" spans="1:20" x14ac:dyDescent="0.25">
      <c r="A94" s="2">
        <v>45267</v>
      </c>
      <c r="B94" s="20">
        <v>2804</v>
      </c>
      <c r="C94" s="20">
        <v>640</v>
      </c>
      <c r="D94" s="20">
        <v>14540</v>
      </c>
      <c r="E94" s="17">
        <f t="shared" si="6"/>
        <v>-2.135231316725994E-3</v>
      </c>
      <c r="F94" s="17">
        <f t="shared" si="6"/>
        <v>-4.6656298600310508E-3</v>
      </c>
      <c r="G94" s="17">
        <f t="shared" si="6"/>
        <v>2.0675396278428959E-3</v>
      </c>
      <c r="H94" s="14">
        <f t="shared" si="7"/>
        <v>1.1669654380864836E-3</v>
      </c>
      <c r="I94" s="39">
        <f t="shared" si="8"/>
        <v>1.3227513227513227E-3</v>
      </c>
      <c r="J94" s="42">
        <v>-1.6476552598225558E-2</v>
      </c>
      <c r="K94" s="88">
        <v>-1.295896328293733E-2</v>
      </c>
      <c r="L94" s="42">
        <v>-2.10280373831776E-2</v>
      </c>
      <c r="M94" s="43">
        <v>-1.7951252867574909E-2</v>
      </c>
      <c r="Q94" s="2"/>
      <c r="R94" s="24"/>
      <c r="S94" s="24"/>
      <c r="T94" s="24"/>
    </row>
    <row r="95" spans="1:20" x14ac:dyDescent="0.25">
      <c r="A95" s="2">
        <v>45266</v>
      </c>
      <c r="B95" s="20">
        <v>2810</v>
      </c>
      <c r="C95" s="20">
        <v>643</v>
      </c>
      <c r="D95" s="20">
        <v>14510</v>
      </c>
      <c r="E95" s="17">
        <f t="shared" si="6"/>
        <v>-3.5460992907800915E-3</v>
      </c>
      <c r="F95" s="17">
        <f t="shared" si="6"/>
        <v>3.5426731078904927E-2</v>
      </c>
      <c r="G95" s="17">
        <f t="shared" si="6"/>
        <v>-9.2181631956299581E-3</v>
      </c>
      <c r="H95" s="14">
        <f t="shared" si="7"/>
        <v>-6.4406235037365121E-3</v>
      </c>
      <c r="I95" s="39">
        <f t="shared" si="8"/>
        <v>1.3227513227513227E-3</v>
      </c>
      <c r="J95" s="42">
        <v>-1.6460905349794275E-2</v>
      </c>
      <c r="K95" s="88">
        <v>-1.2919896640826822E-2</v>
      </c>
      <c r="L95" s="42">
        <v>-2.0852221214868516E-2</v>
      </c>
      <c r="M95" s="43">
        <v>-1.7805532605417888E-2</v>
      </c>
      <c r="Q95" s="2"/>
      <c r="R95" s="24"/>
      <c r="S95" s="24"/>
      <c r="T95" s="24"/>
    </row>
    <row r="96" spans="1:20" x14ac:dyDescent="0.25">
      <c r="A96" s="2">
        <v>45265</v>
      </c>
      <c r="B96" s="20">
        <v>2820</v>
      </c>
      <c r="C96" s="20">
        <v>621</v>
      </c>
      <c r="D96" s="20">
        <v>14645</v>
      </c>
      <c r="E96" s="17">
        <f t="shared" si="6"/>
        <v>1.0028653295129031E-2</v>
      </c>
      <c r="F96" s="17">
        <f t="shared" si="6"/>
        <v>6.482982171799101E-3</v>
      </c>
      <c r="G96" s="17">
        <f t="shared" si="6"/>
        <v>-1.7041581458759891E-3</v>
      </c>
      <c r="H96" s="14">
        <f t="shared" si="7"/>
        <v>3.4385414386201994E-4</v>
      </c>
      <c r="I96" s="39">
        <f t="shared" si="8"/>
        <v>1.3227513227513227E-3</v>
      </c>
      <c r="J96" s="42">
        <v>-1.6339869281045805E-2</v>
      </c>
      <c r="K96" s="88">
        <v>-1.2886597938144284E-2</v>
      </c>
      <c r="L96" s="42">
        <v>-2.0848484848484894E-2</v>
      </c>
      <c r="M96" s="43">
        <v>-1.7558980236605997E-2</v>
      </c>
      <c r="Q96" s="2"/>
      <c r="R96" s="24"/>
      <c r="S96" s="24"/>
      <c r="T96" s="24"/>
    </row>
    <row r="97" spans="1:20" x14ac:dyDescent="0.25">
      <c r="A97" s="2">
        <v>45264</v>
      </c>
      <c r="B97" s="20">
        <v>2792</v>
      </c>
      <c r="C97" s="20">
        <v>617</v>
      </c>
      <c r="D97" s="20">
        <v>14670</v>
      </c>
      <c r="E97" s="17">
        <f t="shared" si="6"/>
        <v>4.3165467625898568E-3</v>
      </c>
      <c r="F97" s="17">
        <f t="shared" si="6"/>
        <v>2.1523178807947074E-2</v>
      </c>
      <c r="G97" s="17">
        <f t="shared" si="6"/>
        <v>8.5940185630801746E-3</v>
      </c>
      <c r="H97" s="14">
        <f t="shared" si="7"/>
        <v>8.5464996660623311E-3</v>
      </c>
      <c r="I97" s="39">
        <f t="shared" si="8"/>
        <v>1.3227513227513227E-3</v>
      </c>
      <c r="J97" s="42">
        <v>-1.6320474777448024E-2</v>
      </c>
      <c r="K97" s="88">
        <v>-1.2820512820512775E-2</v>
      </c>
      <c r="L97" s="42">
        <v>-2.0738636363636376E-2</v>
      </c>
      <c r="M97" s="43">
        <v>-1.7482528074385623E-2</v>
      </c>
      <c r="Q97" s="2"/>
      <c r="R97" s="24"/>
      <c r="S97" s="24"/>
      <c r="T97" s="24"/>
    </row>
    <row r="98" spans="1:20" x14ac:dyDescent="0.25">
      <c r="A98" s="2">
        <v>45261</v>
      </c>
      <c r="B98" s="20">
        <v>2780</v>
      </c>
      <c r="C98" s="20">
        <v>604</v>
      </c>
      <c r="D98" s="20">
        <v>14545</v>
      </c>
      <c r="E98" s="17">
        <f t="shared" si="6"/>
        <v>0</v>
      </c>
      <c r="F98" s="17">
        <f t="shared" si="6"/>
        <v>2.3728813559322104E-2</v>
      </c>
      <c r="G98" s="17">
        <f t="shared" si="6"/>
        <v>2.0668274199104886E-3</v>
      </c>
      <c r="H98" s="14">
        <f t="shared" si="7"/>
        <v>2.7210673023333135E-3</v>
      </c>
      <c r="I98" s="39">
        <f t="shared" si="8"/>
        <v>1.3227513227513227E-3</v>
      </c>
      <c r="J98" s="42">
        <v>-1.6212232866617549E-2</v>
      </c>
      <c r="K98" s="88">
        <v>-1.2784090909090939E-2</v>
      </c>
      <c r="L98" s="42">
        <v>-2.0698924731182844E-2</v>
      </c>
      <c r="M98" s="43">
        <v>-1.747437796463544E-2</v>
      </c>
      <c r="Q98" s="2"/>
      <c r="R98" s="24"/>
      <c r="S98" s="24"/>
      <c r="T98" s="24"/>
    </row>
    <row r="99" spans="1:20" x14ac:dyDescent="0.25">
      <c r="A99" s="2">
        <v>45260</v>
      </c>
      <c r="B99" s="20">
        <v>2780</v>
      </c>
      <c r="C99" s="20">
        <v>590</v>
      </c>
      <c r="D99" s="20">
        <v>14515</v>
      </c>
      <c r="E99" s="17">
        <f t="shared" si="6"/>
        <v>0</v>
      </c>
      <c r="F99" s="17">
        <f t="shared" si="6"/>
        <v>-2.1558872305140975E-2</v>
      </c>
      <c r="G99" s="17">
        <f t="shared" si="6"/>
        <v>1.149825783972136E-2</v>
      </c>
      <c r="H99" s="14">
        <f t="shared" si="7"/>
        <v>8.3914101402158756E-3</v>
      </c>
      <c r="I99" s="39">
        <f t="shared" si="8"/>
        <v>1.3227513227513227E-3</v>
      </c>
      <c r="J99" s="42">
        <v>-1.6197183098591528E-2</v>
      </c>
      <c r="K99" s="88">
        <v>-1.2626262626262652E-2</v>
      </c>
      <c r="L99" s="42">
        <v>-2.0695364238410563E-2</v>
      </c>
      <c r="M99" s="43">
        <v>-1.7412349577502415E-2</v>
      </c>
      <c r="Q99" s="2"/>
      <c r="R99" s="24"/>
      <c r="S99" s="24"/>
      <c r="T99" s="24"/>
    </row>
    <row r="100" spans="1:20" x14ac:dyDescent="0.25">
      <c r="A100" s="2">
        <v>45259</v>
      </c>
      <c r="B100" s="20">
        <v>2780</v>
      </c>
      <c r="C100" s="20">
        <v>603</v>
      </c>
      <c r="D100" s="20">
        <v>14350</v>
      </c>
      <c r="E100" s="17">
        <f t="shared" si="6"/>
        <v>-5.7224606580830173E-3</v>
      </c>
      <c r="F100" s="17">
        <f t="shared" si="6"/>
        <v>-1.6556291390728006E-3</v>
      </c>
      <c r="G100" s="17">
        <f t="shared" si="6"/>
        <v>1.1275546159267069E-2</v>
      </c>
      <c r="H100" s="14">
        <f t="shared" si="7"/>
        <v>8.2614648606790572E-3</v>
      </c>
      <c r="I100" s="39">
        <f t="shared" si="8"/>
        <v>1.3227513227513227E-3</v>
      </c>
      <c r="J100" s="42">
        <v>-1.6042780748663055E-2</v>
      </c>
      <c r="K100" s="88">
        <v>-1.2600229095074411E-2</v>
      </c>
      <c r="L100" s="42">
        <v>-2.0695364238410563E-2</v>
      </c>
      <c r="M100" s="43">
        <v>-1.7384634108224644E-2</v>
      </c>
      <c r="Q100" s="2"/>
      <c r="R100" s="24"/>
      <c r="S100" s="24"/>
      <c r="T100" s="24"/>
    </row>
    <row r="101" spans="1:20" x14ac:dyDescent="0.25">
      <c r="A101" s="2">
        <v>45258</v>
      </c>
      <c r="B101" s="20">
        <v>2796</v>
      </c>
      <c r="C101" s="20">
        <v>604</v>
      </c>
      <c r="D101" s="20">
        <v>14190</v>
      </c>
      <c r="E101" s="17">
        <f t="shared" si="6"/>
        <v>9.3862815884475648E-3</v>
      </c>
      <c r="F101" s="17">
        <f t="shared" si="6"/>
        <v>6.6666666666665986E-3</v>
      </c>
      <c r="G101" s="17">
        <f t="shared" si="6"/>
        <v>4.4918998527246012E-2</v>
      </c>
      <c r="H101" s="14">
        <f t="shared" si="7"/>
        <v>3.812539033500198E-2</v>
      </c>
      <c r="I101" s="39">
        <f t="shared" si="8"/>
        <v>1.3227513227513227E-3</v>
      </c>
      <c r="J101" s="42">
        <v>-1.6000000000000014E-2</v>
      </c>
      <c r="K101" s="88">
        <v>-1.2295081967213073E-2</v>
      </c>
      <c r="L101" s="42">
        <v>-2.0643112346169112E-2</v>
      </c>
      <c r="M101" s="43">
        <v>-1.736077278884059E-2</v>
      </c>
      <c r="Q101" s="2"/>
      <c r="R101" s="24"/>
      <c r="S101" s="24"/>
      <c r="T101" s="24"/>
    </row>
    <row r="102" spans="1:20" x14ac:dyDescent="0.25">
      <c r="A102" s="2">
        <v>45257</v>
      </c>
      <c r="B102" s="20">
        <v>2770</v>
      </c>
      <c r="C102" s="20">
        <v>600</v>
      </c>
      <c r="D102" s="20">
        <v>13580</v>
      </c>
      <c r="E102" s="17">
        <f t="shared" si="6"/>
        <v>1.46520146520146E-2</v>
      </c>
      <c r="F102" s="17">
        <f t="shared" si="6"/>
        <v>-1.1532125205930832E-2</v>
      </c>
      <c r="G102" s="17">
        <f t="shared" si="6"/>
        <v>-1.3798111837327487E-2</v>
      </c>
      <c r="H102" s="14">
        <f t="shared" si="7"/>
        <v>-9.6046291255553994E-3</v>
      </c>
      <c r="I102" s="39">
        <f t="shared" si="8"/>
        <v>1.3227513227513227E-3</v>
      </c>
      <c r="J102" s="42">
        <v>-1.5759312320916874E-2</v>
      </c>
      <c r="K102" s="88">
        <v>-1.2224938875305624E-2</v>
      </c>
      <c r="L102" s="42">
        <v>-2.0633059788980113E-2</v>
      </c>
      <c r="M102" s="43">
        <v>-1.7344940280675316E-2</v>
      </c>
      <c r="Q102" s="2"/>
      <c r="R102" s="24"/>
      <c r="S102" s="24"/>
      <c r="T102" s="24"/>
    </row>
    <row r="103" spans="1:20" x14ac:dyDescent="0.25">
      <c r="A103" s="2">
        <v>45254</v>
      </c>
      <c r="B103" s="20">
        <v>2730</v>
      </c>
      <c r="C103" s="20">
        <v>607</v>
      </c>
      <c r="D103" s="20">
        <v>13770</v>
      </c>
      <c r="E103" s="17">
        <f t="shared" si="6"/>
        <v>-6.5502183406113135E-3</v>
      </c>
      <c r="F103" s="17">
        <f t="shared" si="6"/>
        <v>-1.6447368421053099E-3</v>
      </c>
      <c r="G103" s="17">
        <f t="shared" si="6"/>
        <v>-9.3525179856115415E-3</v>
      </c>
      <c r="H103" s="14">
        <f t="shared" si="7"/>
        <v>-8.6106530624584735E-3</v>
      </c>
      <c r="I103" s="39">
        <f t="shared" si="8"/>
        <v>1.3227513227513227E-3</v>
      </c>
      <c r="J103" s="42">
        <v>-1.5759312320916874E-2</v>
      </c>
      <c r="K103" s="88">
        <v>-1.220865704772478E-2</v>
      </c>
      <c r="L103" s="42">
        <v>-2.04202426753477E-2</v>
      </c>
      <c r="M103" s="43">
        <v>-1.7287036314443827E-2</v>
      </c>
      <c r="Q103" s="2"/>
      <c r="R103" s="24"/>
      <c r="S103" s="24"/>
      <c r="T103" s="24"/>
    </row>
    <row r="104" spans="1:20" x14ac:dyDescent="0.25">
      <c r="A104" s="2">
        <v>45253</v>
      </c>
      <c r="B104" s="20">
        <v>2748</v>
      </c>
      <c r="C104" s="20">
        <v>608</v>
      </c>
      <c r="D104" s="20">
        <v>13900</v>
      </c>
      <c r="E104" s="17">
        <f t="shared" si="6"/>
        <v>-1.5759312320916874E-2</v>
      </c>
      <c r="F104" s="17">
        <f t="shared" si="6"/>
        <v>3.3003300330032292E-3</v>
      </c>
      <c r="G104" s="17">
        <f t="shared" si="6"/>
        <v>-5.0107372942018724E-3</v>
      </c>
      <c r="H104" s="14">
        <f t="shared" si="7"/>
        <v>-6.192320774689614E-3</v>
      </c>
      <c r="I104" s="39">
        <f t="shared" si="8"/>
        <v>1.3227513227513227E-3</v>
      </c>
      <c r="J104" s="42">
        <v>-1.5748031496062964E-2</v>
      </c>
      <c r="K104" s="88">
        <v>-1.2121212121212088E-2</v>
      </c>
      <c r="L104" s="42">
        <v>-2.0408163265306145E-2</v>
      </c>
      <c r="M104" s="43">
        <v>-1.7059063840712037E-2</v>
      </c>
      <c r="Q104" s="2"/>
      <c r="R104" s="24"/>
      <c r="S104" s="24"/>
      <c r="T104" s="24"/>
    </row>
    <row r="105" spans="1:20" x14ac:dyDescent="0.25">
      <c r="A105" s="2">
        <v>45252</v>
      </c>
      <c r="B105" s="20">
        <v>2792</v>
      </c>
      <c r="C105" s="20">
        <v>606</v>
      </c>
      <c r="D105" s="20">
        <v>13970</v>
      </c>
      <c r="E105" s="17">
        <f t="shared" si="6"/>
        <v>4.3165467625898568E-3</v>
      </c>
      <c r="F105" s="17">
        <f t="shared" si="6"/>
        <v>-1.6474464579900872E-3</v>
      </c>
      <c r="G105" s="17">
        <f t="shared" si="6"/>
        <v>9.7578604987351714E-3</v>
      </c>
      <c r="H105" s="14">
        <f t="shared" si="7"/>
        <v>8.4738055839184024E-3</v>
      </c>
      <c r="I105" s="39">
        <f t="shared" si="8"/>
        <v>1.3227513227513227E-3</v>
      </c>
      <c r="J105" s="42">
        <v>-1.5612802498048417E-2</v>
      </c>
      <c r="K105" s="88">
        <v>-1.19760479041916E-2</v>
      </c>
      <c r="L105" s="42">
        <v>-2.0183486238532056E-2</v>
      </c>
      <c r="M105" s="43">
        <v>-1.6972270244704792E-2</v>
      </c>
      <c r="Q105" s="2"/>
      <c r="R105" s="24"/>
      <c r="S105" s="24"/>
      <c r="T105" s="24"/>
    </row>
    <row r="106" spans="1:20" x14ac:dyDescent="0.25">
      <c r="A106" s="2">
        <v>45251</v>
      </c>
      <c r="B106" s="20">
        <v>2780</v>
      </c>
      <c r="C106" s="20">
        <v>607</v>
      </c>
      <c r="D106" s="20">
        <v>13835</v>
      </c>
      <c r="E106" s="17">
        <f t="shared" si="6"/>
        <v>-1.0676156583629859E-2</v>
      </c>
      <c r="F106" s="17">
        <f t="shared" si="6"/>
        <v>-9.7879282218596986E-3</v>
      </c>
      <c r="G106" s="17">
        <f t="shared" si="6"/>
        <v>2.5362318840580489E-3</v>
      </c>
      <c r="H106" s="14">
        <f t="shared" si="7"/>
        <v>9.3563146740964932E-5</v>
      </c>
      <c r="I106" s="39">
        <f t="shared" si="8"/>
        <v>1.3227513227513227E-3</v>
      </c>
      <c r="J106" s="42">
        <v>-1.5544041450777257E-2</v>
      </c>
      <c r="K106" s="88">
        <v>-1.1925042589437829E-2</v>
      </c>
      <c r="L106" s="42">
        <v>-1.9662058371735736E-2</v>
      </c>
      <c r="M106" s="43">
        <v>-1.6887977031701872E-2</v>
      </c>
      <c r="Q106" s="2"/>
      <c r="R106" s="24"/>
      <c r="S106" s="24"/>
      <c r="T106" s="24"/>
    </row>
    <row r="107" spans="1:20" x14ac:dyDescent="0.25">
      <c r="A107" s="2">
        <v>45250</v>
      </c>
      <c r="B107" s="20">
        <v>2810</v>
      </c>
      <c r="C107" s="20">
        <v>613</v>
      </c>
      <c r="D107" s="20">
        <v>13800</v>
      </c>
      <c r="E107" s="17">
        <f t="shared" si="6"/>
        <v>-7.1123755334279171E-4</v>
      </c>
      <c r="F107" s="17">
        <f t="shared" si="6"/>
        <v>8.2236842105263275E-3</v>
      </c>
      <c r="G107" s="17">
        <f t="shared" si="6"/>
        <v>-5.7636887608069065E-3</v>
      </c>
      <c r="H107" s="14">
        <f t="shared" si="7"/>
        <v>-4.4221554055817259E-3</v>
      </c>
      <c r="I107" s="39">
        <f t="shared" si="8"/>
        <v>1.3227513227513227E-3</v>
      </c>
      <c r="J107" s="42">
        <v>-1.5482054890921915E-2</v>
      </c>
      <c r="K107" s="88">
        <v>-1.1922503725782407E-2</v>
      </c>
      <c r="L107" s="42">
        <v>-1.9607843137254943E-2</v>
      </c>
      <c r="M107" s="43">
        <v>-1.68548347742122E-2</v>
      </c>
      <c r="Q107" s="2"/>
      <c r="R107" s="24"/>
      <c r="S107" s="24"/>
      <c r="T107" s="24"/>
    </row>
    <row r="108" spans="1:20" x14ac:dyDescent="0.25">
      <c r="A108" s="2">
        <v>45247</v>
      </c>
      <c r="B108" s="20">
        <v>2812</v>
      </c>
      <c r="C108" s="20">
        <v>608</v>
      </c>
      <c r="D108" s="20">
        <v>13880</v>
      </c>
      <c r="E108" s="17">
        <f t="shared" si="6"/>
        <v>-1.7470300489168422E-2</v>
      </c>
      <c r="F108" s="17">
        <f t="shared" si="6"/>
        <v>-8.1566068515497303E-3</v>
      </c>
      <c r="G108" s="17">
        <f t="shared" si="6"/>
        <v>-2.1567217828900587E-3</v>
      </c>
      <c r="H108" s="14">
        <f t="shared" si="7"/>
        <v>-4.6239110775136297E-3</v>
      </c>
      <c r="I108" s="39">
        <f t="shared" si="8"/>
        <v>1.3227513227513227E-3</v>
      </c>
      <c r="J108" s="42">
        <v>-1.547531319086215E-2</v>
      </c>
      <c r="K108" s="88">
        <v>-1.1784511784511786E-2</v>
      </c>
      <c r="L108" s="42">
        <v>-1.9555770159343289E-2</v>
      </c>
      <c r="M108" s="43">
        <v>-1.6788188773651447E-2</v>
      </c>
      <c r="Q108" s="2"/>
      <c r="R108" s="24"/>
      <c r="S108" s="24"/>
      <c r="T108" s="24"/>
    </row>
    <row r="109" spans="1:20" x14ac:dyDescent="0.25">
      <c r="A109" s="2">
        <v>45246</v>
      </c>
      <c r="B109" s="20">
        <v>2862</v>
      </c>
      <c r="C109" s="20">
        <v>613</v>
      </c>
      <c r="D109" s="20">
        <v>13910</v>
      </c>
      <c r="E109" s="17">
        <f t="shared" si="6"/>
        <v>-4.8678720445062273E-3</v>
      </c>
      <c r="F109" s="17">
        <f t="shared" si="6"/>
        <v>0</v>
      </c>
      <c r="G109" s="17">
        <f t="shared" si="6"/>
        <v>-1.0316613304873656E-2</v>
      </c>
      <c r="H109" s="14">
        <f t="shared" si="7"/>
        <v>-9.0793180233468464E-3</v>
      </c>
      <c r="I109" s="39">
        <f t="shared" si="8"/>
        <v>1.3227513227513227E-3</v>
      </c>
      <c r="J109" s="42">
        <v>-1.5267175572519109E-2</v>
      </c>
      <c r="K109" s="88">
        <v>-1.1764705882352899E-2</v>
      </c>
      <c r="L109" s="42">
        <v>-1.9411646988192865E-2</v>
      </c>
      <c r="M109" s="43">
        <v>-1.6759559568246814E-2</v>
      </c>
      <c r="Q109" s="2"/>
      <c r="R109" s="24"/>
      <c r="S109" s="24"/>
      <c r="T109" s="24"/>
    </row>
    <row r="110" spans="1:20" x14ac:dyDescent="0.25">
      <c r="A110" s="2">
        <v>45245</v>
      </c>
      <c r="B110" s="20">
        <v>2876</v>
      </c>
      <c r="C110" s="20">
        <v>613</v>
      </c>
      <c r="D110" s="20">
        <v>14055</v>
      </c>
      <c r="E110" s="17">
        <f t="shared" si="6"/>
        <v>1.2676056338028152E-2</v>
      </c>
      <c r="F110" s="17">
        <f t="shared" si="6"/>
        <v>8.2236842105263275E-3</v>
      </c>
      <c r="G110" s="17">
        <f t="shared" si="6"/>
        <v>2.8540849090259446E-3</v>
      </c>
      <c r="H110" s="14">
        <f t="shared" si="7"/>
        <v>4.5033498955209189E-3</v>
      </c>
      <c r="I110" s="39">
        <f t="shared" si="8"/>
        <v>1.3227513227513227E-3</v>
      </c>
      <c r="J110" s="42">
        <v>-1.5107913669064721E-2</v>
      </c>
      <c r="K110" s="88">
        <v>-1.1673151750972721E-2</v>
      </c>
      <c r="L110" s="42">
        <v>-1.9367492032360878E-2</v>
      </c>
      <c r="M110" s="43">
        <v>-1.6683827590395325E-2</v>
      </c>
      <c r="Q110" s="2"/>
      <c r="R110" s="24"/>
      <c r="S110" s="24"/>
      <c r="T110" s="24"/>
    </row>
    <row r="111" spans="1:20" x14ac:dyDescent="0.25">
      <c r="A111" s="2">
        <v>45244</v>
      </c>
      <c r="B111" s="20">
        <v>2840</v>
      </c>
      <c r="C111" s="20">
        <v>608</v>
      </c>
      <c r="D111" s="20">
        <v>14015</v>
      </c>
      <c r="E111" s="17">
        <f t="shared" si="6"/>
        <v>2.1171489061397875E-3</v>
      </c>
      <c r="F111" s="17">
        <f t="shared" si="6"/>
        <v>3.3003300330032292E-3</v>
      </c>
      <c r="G111" s="17">
        <f t="shared" si="6"/>
        <v>1.7053701015965261E-2</v>
      </c>
      <c r="H111" s="14">
        <f t="shared" si="7"/>
        <v>1.4300139505603424E-2</v>
      </c>
      <c r="I111" s="39">
        <f t="shared" si="8"/>
        <v>1.3227513227513227E-3</v>
      </c>
      <c r="J111" s="42">
        <v>-1.5026296018031515E-2</v>
      </c>
      <c r="K111" s="88">
        <v>-1.1594202898550732E-2</v>
      </c>
      <c r="L111" s="42">
        <v>-1.9283746556473802E-2</v>
      </c>
      <c r="M111" s="43">
        <v>-1.6681146569846785E-2</v>
      </c>
      <c r="Q111" s="2"/>
      <c r="R111" s="24"/>
      <c r="S111" s="24"/>
      <c r="T111" s="24"/>
    </row>
    <row r="112" spans="1:20" x14ac:dyDescent="0.25">
      <c r="A112" s="2">
        <v>45243</v>
      </c>
      <c r="B112" s="20">
        <v>2834</v>
      </c>
      <c r="C112" s="20">
        <v>606</v>
      </c>
      <c r="D112" s="20">
        <v>13780</v>
      </c>
      <c r="E112" s="17">
        <f t="shared" si="6"/>
        <v>-3.5161744022503827E-3</v>
      </c>
      <c r="F112" s="17">
        <f t="shared" si="6"/>
        <v>0</v>
      </c>
      <c r="G112" s="17">
        <f t="shared" si="6"/>
        <v>-1.1832197920401577E-2</v>
      </c>
      <c r="H112" s="14">
        <f t="shared" si="7"/>
        <v>-1.0115722125508221E-2</v>
      </c>
      <c r="I112" s="39">
        <f t="shared" si="8"/>
        <v>1.3227513227513227E-3</v>
      </c>
      <c r="J112" s="42">
        <v>-1.4766201804757961E-2</v>
      </c>
      <c r="K112" s="88">
        <v>-1.158301158301156E-2</v>
      </c>
      <c r="L112" s="42">
        <v>-1.8959913326110467E-2</v>
      </c>
      <c r="M112" s="43">
        <v>-1.6641435477021321E-2</v>
      </c>
      <c r="Q112" s="2"/>
      <c r="R112" s="24"/>
      <c r="S112" s="24"/>
      <c r="T112" s="24"/>
    </row>
    <row r="113" spans="1:20" x14ac:dyDescent="0.25">
      <c r="A113" s="2">
        <v>45240</v>
      </c>
      <c r="B113" s="20">
        <v>2844</v>
      </c>
      <c r="C113" s="20">
        <v>606</v>
      </c>
      <c r="D113" s="20">
        <v>13945</v>
      </c>
      <c r="E113" s="17">
        <f t="shared" si="6"/>
        <v>-4.2016806722688926E-3</v>
      </c>
      <c r="F113" s="17">
        <f t="shared" si="6"/>
        <v>-1.3029315960912058E-2</v>
      </c>
      <c r="G113" s="17">
        <f t="shared" si="6"/>
        <v>1.4181818181818073E-2</v>
      </c>
      <c r="H113" s="14">
        <f t="shared" si="7"/>
        <v>1.0341019962971177E-2</v>
      </c>
      <c r="I113" s="39">
        <f t="shared" si="8"/>
        <v>1.3227513227513227E-3</v>
      </c>
      <c r="J113" s="42">
        <v>-1.4413177762525708E-2</v>
      </c>
      <c r="K113" s="88">
        <v>-1.1532125205930832E-2</v>
      </c>
      <c r="L113" s="42">
        <v>-1.8791946308724827E-2</v>
      </c>
      <c r="M113" s="43">
        <v>-1.6427769427726016E-2</v>
      </c>
      <c r="Q113" s="2"/>
      <c r="R113" s="24"/>
      <c r="S113" s="24"/>
      <c r="T113" s="24"/>
    </row>
    <row r="114" spans="1:20" x14ac:dyDescent="0.25">
      <c r="A114" s="2">
        <v>45239</v>
      </c>
      <c r="B114" s="20">
        <v>2856</v>
      </c>
      <c r="C114" s="20">
        <v>614</v>
      </c>
      <c r="D114" s="20">
        <v>13750</v>
      </c>
      <c r="E114" s="17">
        <f t="shared" si="6"/>
        <v>-6.2630480167014113E-3</v>
      </c>
      <c r="F114" s="17">
        <f t="shared" si="6"/>
        <v>1.1532125205930832E-2</v>
      </c>
      <c r="G114" s="17">
        <f t="shared" si="6"/>
        <v>1.4566642388929019E-3</v>
      </c>
      <c r="H114" s="14">
        <f t="shared" si="7"/>
        <v>7.8844314963355782E-4</v>
      </c>
      <c r="I114" s="39">
        <f t="shared" si="8"/>
        <v>1.3227513227513227E-3</v>
      </c>
      <c r="J114" s="42">
        <v>-1.4339622641509453E-2</v>
      </c>
      <c r="K114" s="88">
        <v>-1.1532125205930832E-2</v>
      </c>
      <c r="L114" s="42">
        <v>-1.8691588785046731E-2</v>
      </c>
      <c r="M114" s="43">
        <v>-1.59018614787866E-2</v>
      </c>
      <c r="Q114" s="2"/>
      <c r="R114" s="24"/>
      <c r="S114" s="24"/>
      <c r="T114" s="24"/>
    </row>
    <row r="115" spans="1:20" x14ac:dyDescent="0.25">
      <c r="A115" s="2">
        <v>45238</v>
      </c>
      <c r="B115" s="20">
        <v>2874</v>
      </c>
      <c r="C115" s="20">
        <v>607</v>
      </c>
      <c r="D115" s="20">
        <v>13730</v>
      </c>
      <c r="E115" s="17">
        <f t="shared" si="6"/>
        <v>-1.7099863201094356E-2</v>
      </c>
      <c r="F115" s="17">
        <f t="shared" si="6"/>
        <v>-4.9180327868852958E-3</v>
      </c>
      <c r="G115" s="17">
        <f t="shared" si="6"/>
        <v>2.1897810218978186E-3</v>
      </c>
      <c r="H115" s="14">
        <f t="shared" si="7"/>
        <v>-8.9823202833015127E-4</v>
      </c>
      <c r="I115" s="39">
        <f t="shared" si="8"/>
        <v>1.3227513227513227E-3</v>
      </c>
      <c r="J115" s="42">
        <v>-1.4328808446455454E-2</v>
      </c>
      <c r="K115" s="88">
        <v>-1.1249999999999982E-2</v>
      </c>
      <c r="L115" s="42">
        <v>-1.8431740081224612E-2</v>
      </c>
      <c r="M115" s="43">
        <v>-1.580493122939498E-2</v>
      </c>
      <c r="Q115" s="2"/>
      <c r="R115" s="24"/>
      <c r="S115" s="24"/>
      <c r="T115" s="24"/>
    </row>
    <row r="116" spans="1:20" x14ac:dyDescent="0.25">
      <c r="A116" s="2">
        <v>45237</v>
      </c>
      <c r="B116" s="20">
        <v>2924</v>
      </c>
      <c r="C116" s="20">
        <v>610</v>
      </c>
      <c r="D116" s="20">
        <v>13700</v>
      </c>
      <c r="E116" s="17">
        <f t="shared" si="6"/>
        <v>3.4317089910775866E-3</v>
      </c>
      <c r="F116" s="17">
        <f t="shared" si="6"/>
        <v>8.2644628099173278E-3</v>
      </c>
      <c r="G116" s="17">
        <f t="shared" si="6"/>
        <v>-3.2739177882866732E-3</v>
      </c>
      <c r="H116" s="14">
        <f t="shared" si="7"/>
        <v>-1.8020838060488998E-3</v>
      </c>
      <c r="I116" s="39">
        <f t="shared" si="8"/>
        <v>1.3227513227513227E-3</v>
      </c>
      <c r="J116" s="42">
        <v>-1.4255167498218091E-2</v>
      </c>
      <c r="K116" s="88">
        <v>-1.1217948717948678E-2</v>
      </c>
      <c r="L116" s="42">
        <v>-1.8292682926829285E-2</v>
      </c>
      <c r="M116" s="43">
        <v>-1.5768157530214249E-2</v>
      </c>
      <c r="Q116" s="2"/>
      <c r="R116" s="24"/>
      <c r="S116" s="24"/>
      <c r="T116" s="24"/>
    </row>
    <row r="117" spans="1:20" x14ac:dyDescent="0.25">
      <c r="A117" s="2">
        <v>45236</v>
      </c>
      <c r="B117" s="20">
        <v>2914</v>
      </c>
      <c r="C117" s="20">
        <v>605</v>
      </c>
      <c r="D117" s="20">
        <v>13745</v>
      </c>
      <c r="E117" s="17">
        <f t="shared" si="6"/>
        <v>4.8275862068964948E-3</v>
      </c>
      <c r="F117" s="17">
        <f t="shared" si="6"/>
        <v>2.7164685908319219E-2</v>
      </c>
      <c r="G117" s="17">
        <f t="shared" si="6"/>
        <v>-1.4529604068289625E-3</v>
      </c>
      <c r="H117" s="14">
        <f t="shared" si="7"/>
        <v>7.0803071510449635E-4</v>
      </c>
      <c r="I117" s="39">
        <f t="shared" si="8"/>
        <v>1.3227513227513227E-3</v>
      </c>
      <c r="J117" s="42">
        <v>-1.4175257731958713E-2</v>
      </c>
      <c r="K117" s="88">
        <v>-1.1180124223602483E-2</v>
      </c>
      <c r="L117" s="42">
        <v>-1.8013856812932993E-2</v>
      </c>
      <c r="M117" s="43">
        <v>-1.561253121985331E-2</v>
      </c>
      <c r="Q117" s="2"/>
      <c r="R117" s="24"/>
      <c r="S117" s="24"/>
      <c r="T117" s="24"/>
    </row>
    <row r="118" spans="1:20" x14ac:dyDescent="0.25">
      <c r="A118" s="2">
        <v>45233</v>
      </c>
      <c r="B118" s="20">
        <v>2900</v>
      </c>
      <c r="C118" s="20">
        <v>589</v>
      </c>
      <c r="D118" s="20">
        <v>13765</v>
      </c>
      <c r="E118" s="17">
        <f t="shared" si="6"/>
        <v>2.7662517289073207E-3</v>
      </c>
      <c r="F118" s="17">
        <f t="shared" si="6"/>
        <v>5.3667262969588458E-2</v>
      </c>
      <c r="G118" s="17">
        <f t="shared" si="6"/>
        <v>1.5867158671586612E-2</v>
      </c>
      <c r="H118" s="14">
        <f t="shared" si="7"/>
        <v>1.5642589042571806E-2</v>
      </c>
      <c r="I118" s="39">
        <f t="shared" si="8"/>
        <v>1.3227513227513227E-3</v>
      </c>
      <c r="J118" s="42">
        <v>-1.4154870940882636E-2</v>
      </c>
      <c r="K118" s="88">
        <v>-1.1083743842364546E-2</v>
      </c>
      <c r="L118" s="42">
        <v>-1.792741582859636E-2</v>
      </c>
      <c r="M118" s="43">
        <v>-1.5519336914903172E-2</v>
      </c>
      <c r="Q118" s="2"/>
      <c r="R118" s="24"/>
      <c r="S118" s="24"/>
      <c r="T118" s="24"/>
    </row>
    <row r="119" spans="1:20" x14ac:dyDescent="0.25">
      <c r="A119" s="2">
        <v>45232</v>
      </c>
      <c r="B119" s="20">
        <v>2892</v>
      </c>
      <c r="C119" s="20">
        <v>559</v>
      </c>
      <c r="D119" s="20">
        <v>13550</v>
      </c>
      <c r="E119" s="17">
        <f t="shared" si="6"/>
        <v>5.5632823365785455E-3</v>
      </c>
      <c r="F119" s="17">
        <f t="shared" si="6"/>
        <v>-5.3380782918149849E-3</v>
      </c>
      <c r="G119" s="17">
        <f t="shared" si="6"/>
        <v>7.4349442379182396E-3</v>
      </c>
      <c r="H119" s="14">
        <f t="shared" si="7"/>
        <v>6.6044708155872768E-3</v>
      </c>
      <c r="I119" s="39">
        <f t="shared" si="8"/>
        <v>1.3227513227513227E-3</v>
      </c>
      <c r="J119" s="42">
        <v>-1.413133832086455E-2</v>
      </c>
      <c r="K119" s="88">
        <v>-1.098901098901095E-2</v>
      </c>
      <c r="L119" s="42">
        <v>-1.7857142857142905E-2</v>
      </c>
      <c r="M119" s="43">
        <v>-1.5458750633583308E-2</v>
      </c>
      <c r="Q119" s="2"/>
      <c r="R119" s="24"/>
      <c r="S119" s="24"/>
      <c r="T119" s="24"/>
    </row>
    <row r="120" spans="1:20" x14ac:dyDescent="0.25">
      <c r="A120" s="2">
        <v>45230</v>
      </c>
      <c r="B120" s="20">
        <v>2876</v>
      </c>
      <c r="C120" s="20">
        <v>562</v>
      </c>
      <c r="D120" s="20">
        <v>13450</v>
      </c>
      <c r="E120" s="17">
        <f t="shared" si="6"/>
        <v>-6.906077348066253E-3</v>
      </c>
      <c r="F120" s="17">
        <f t="shared" si="6"/>
        <v>7.1684587813620748E-3</v>
      </c>
      <c r="G120" s="17">
        <f t="shared" si="6"/>
        <v>-9.9374309900626123E-3</v>
      </c>
      <c r="H120" s="14">
        <f t="shared" si="7"/>
        <v>-8.7497282041435875E-3</v>
      </c>
      <c r="I120" s="39">
        <f t="shared" si="8"/>
        <v>1.3227513227513227E-3</v>
      </c>
      <c r="J120" s="42">
        <v>-1.3776337115072979E-2</v>
      </c>
      <c r="K120" s="88">
        <v>-1.0940919037199071E-2</v>
      </c>
      <c r="L120" s="42">
        <v>-1.735284110241575E-2</v>
      </c>
      <c r="M120" s="43">
        <v>-1.5407496826441103E-2</v>
      </c>
      <c r="Q120" s="2"/>
      <c r="R120" s="24"/>
      <c r="S120" s="24"/>
      <c r="T120" s="24"/>
    </row>
    <row r="121" spans="1:20" x14ac:dyDescent="0.25">
      <c r="A121" s="2">
        <v>45229</v>
      </c>
      <c r="B121" s="20">
        <v>2896</v>
      </c>
      <c r="C121" s="20">
        <v>558</v>
      </c>
      <c r="D121" s="20">
        <v>13585</v>
      </c>
      <c r="E121" s="17">
        <f t="shared" si="6"/>
        <v>7.6548364648574285E-3</v>
      </c>
      <c r="F121" s="17">
        <f t="shared" si="6"/>
        <v>-1.7889087656529634E-3</v>
      </c>
      <c r="G121" s="17">
        <f t="shared" si="6"/>
        <v>4.0650406504065817E-3</v>
      </c>
      <c r="H121" s="14">
        <f t="shared" si="7"/>
        <v>4.3244317972133987E-3</v>
      </c>
      <c r="I121" s="39">
        <f t="shared" si="8"/>
        <v>1.3227513227513227E-3</v>
      </c>
      <c r="J121" s="42">
        <v>-1.3661202185792365E-2</v>
      </c>
      <c r="K121" s="88">
        <v>-1.0869565217391353E-2</v>
      </c>
      <c r="L121" s="42">
        <v>-1.7258546299369404E-2</v>
      </c>
      <c r="M121" s="43">
        <v>-1.5340726096057446E-2</v>
      </c>
      <c r="Q121" s="2"/>
      <c r="R121" s="24"/>
      <c r="S121" s="24"/>
      <c r="T121" s="24"/>
    </row>
    <row r="122" spans="1:20" x14ac:dyDescent="0.25">
      <c r="A122" s="2">
        <v>45226</v>
      </c>
      <c r="B122" s="20">
        <v>2874</v>
      </c>
      <c r="C122" s="20">
        <v>559</v>
      </c>
      <c r="D122" s="20">
        <v>13530</v>
      </c>
      <c r="E122" s="17">
        <f t="shared" si="6"/>
        <v>-2.7758501040944239E-3</v>
      </c>
      <c r="F122" s="17">
        <f t="shared" si="6"/>
        <v>-1.9298245614035037E-2</v>
      </c>
      <c r="G122" s="17">
        <f t="shared" si="6"/>
        <v>-5.1470588235293935E-3</v>
      </c>
      <c r="H122" s="14">
        <f t="shared" si="7"/>
        <v>-5.4275345412666872E-3</v>
      </c>
      <c r="I122" s="39">
        <f t="shared" si="8"/>
        <v>1.3227513227513227E-3</v>
      </c>
      <c r="J122" s="42">
        <v>-1.3600572655690812E-2</v>
      </c>
      <c r="K122" s="88">
        <v>-1.0701545778834753E-2</v>
      </c>
      <c r="L122" s="42">
        <v>-1.717721156598917E-2</v>
      </c>
      <c r="M122" s="43">
        <v>-1.499330539018694E-2</v>
      </c>
      <c r="Q122" s="2"/>
      <c r="R122" s="24"/>
      <c r="S122" s="24"/>
      <c r="T122" s="24"/>
    </row>
    <row r="123" spans="1:20" x14ac:dyDescent="0.25">
      <c r="A123" s="2">
        <v>45225</v>
      </c>
      <c r="B123" s="20">
        <v>2882</v>
      </c>
      <c r="C123" s="20">
        <v>570</v>
      </c>
      <c r="D123" s="20">
        <v>13600</v>
      </c>
      <c r="E123" s="17">
        <f t="shared" si="6"/>
        <v>4.1811846689896459E-3</v>
      </c>
      <c r="F123" s="17">
        <f t="shared" si="6"/>
        <v>3.5211267605634866E-3</v>
      </c>
      <c r="G123" s="17">
        <f t="shared" si="6"/>
        <v>-7.2992700729926918E-3</v>
      </c>
      <c r="H123" s="14">
        <f t="shared" si="7"/>
        <v>-5.1718874455888011E-3</v>
      </c>
      <c r="I123" s="39">
        <f t="shared" si="8"/>
        <v>1.3227513227513227E-3</v>
      </c>
      <c r="J123" s="42">
        <v>-1.3552068473609125E-2</v>
      </c>
      <c r="K123" s="88">
        <v>-1.0683760683760646E-2</v>
      </c>
      <c r="L123" s="42">
        <v>-1.7027151403589458E-2</v>
      </c>
      <c r="M123" s="43">
        <v>-1.4927037963666288E-2</v>
      </c>
      <c r="Q123" s="2"/>
      <c r="R123" s="24"/>
      <c r="S123" s="24"/>
      <c r="T123" s="24"/>
    </row>
    <row r="124" spans="1:20" x14ac:dyDescent="0.25">
      <c r="A124" s="2">
        <v>45224</v>
      </c>
      <c r="B124" s="20">
        <v>2870</v>
      </c>
      <c r="C124" s="20">
        <v>568</v>
      </c>
      <c r="D124" s="20">
        <v>13700</v>
      </c>
      <c r="E124" s="17">
        <f t="shared" si="6"/>
        <v>6.9735006973492553E-4</v>
      </c>
      <c r="F124" s="17">
        <f t="shared" si="6"/>
        <v>3.5335689045936647E-3</v>
      </c>
      <c r="G124" s="17">
        <f t="shared" si="6"/>
        <v>3.3962264150943389E-2</v>
      </c>
      <c r="H124" s="14">
        <f t="shared" si="7"/>
        <v>2.7838697298016149E-2</v>
      </c>
      <c r="I124" s="39">
        <f t="shared" si="8"/>
        <v>1.3227513227513227E-3</v>
      </c>
      <c r="J124" s="42">
        <v>-1.3552068473609125E-2</v>
      </c>
      <c r="K124" s="88">
        <v>-1.0650887573964485E-2</v>
      </c>
      <c r="L124" s="42">
        <v>-1.7024726388325861E-2</v>
      </c>
      <c r="M124" s="43">
        <v>-1.4893495206729586E-2</v>
      </c>
      <c r="Q124" s="2"/>
      <c r="R124" s="24"/>
      <c r="S124" s="24"/>
      <c r="T124" s="24"/>
    </row>
    <row r="125" spans="1:20" x14ac:dyDescent="0.25">
      <c r="A125" s="2">
        <v>45223</v>
      </c>
      <c r="B125" s="20">
        <v>2868</v>
      </c>
      <c r="C125" s="20">
        <v>566</v>
      </c>
      <c r="D125" s="20">
        <v>13250</v>
      </c>
      <c r="E125" s="17">
        <f t="shared" si="6"/>
        <v>-1.1034482758620734E-2</v>
      </c>
      <c r="F125" s="17">
        <f t="shared" si="6"/>
        <v>-7.0175438596491446E-3</v>
      </c>
      <c r="G125" s="17">
        <f t="shared" si="6"/>
        <v>2.2692889561271024E-3</v>
      </c>
      <c r="H125" s="14">
        <f t="shared" si="7"/>
        <v>-5.30939682872576E-5</v>
      </c>
      <c r="I125" s="39">
        <f t="shared" si="8"/>
        <v>1.3227513227513227E-3</v>
      </c>
      <c r="J125" s="42">
        <v>-1.3157894736842146E-2</v>
      </c>
      <c r="K125" s="88">
        <v>-1.0563380281690127E-2</v>
      </c>
      <c r="L125" s="42">
        <v>-1.7016806722689126E-2</v>
      </c>
      <c r="M125" s="43">
        <v>-1.4783907054142533E-2</v>
      </c>
      <c r="Q125" s="2"/>
      <c r="R125" s="24"/>
      <c r="S125" s="24"/>
      <c r="T125" s="24"/>
    </row>
    <row r="126" spans="1:20" x14ac:dyDescent="0.25">
      <c r="A126" s="2">
        <v>45219</v>
      </c>
      <c r="B126" s="20">
        <v>2900</v>
      </c>
      <c r="C126" s="20">
        <v>570</v>
      </c>
      <c r="D126" s="20">
        <v>13220</v>
      </c>
      <c r="E126" s="17">
        <f t="shared" si="6"/>
        <v>2.7662517289073207E-3</v>
      </c>
      <c r="F126" s="17">
        <f t="shared" si="6"/>
        <v>-1.8932874354561147E-2</v>
      </c>
      <c r="G126" s="17">
        <f t="shared" si="6"/>
        <v>-9.7378277153558068E-3</v>
      </c>
      <c r="H126" s="14">
        <f t="shared" si="7"/>
        <v>-8.3424645419471581E-3</v>
      </c>
      <c r="I126" s="39">
        <f t="shared" si="8"/>
        <v>1.3227513227513227E-3</v>
      </c>
      <c r="J126" s="42">
        <v>-1.2869038607115857E-2</v>
      </c>
      <c r="K126" s="88">
        <v>-1.0558069381598756E-2</v>
      </c>
      <c r="L126" s="42">
        <v>-1.6623674405273681E-2</v>
      </c>
      <c r="M126" s="43">
        <v>-1.4308559943803896E-2</v>
      </c>
      <c r="Q126" s="2"/>
      <c r="R126" s="24"/>
      <c r="S126" s="24"/>
      <c r="T126" s="24"/>
    </row>
    <row r="127" spans="1:20" x14ac:dyDescent="0.25">
      <c r="A127" s="2">
        <v>45218</v>
      </c>
      <c r="B127" s="20">
        <v>2892</v>
      </c>
      <c r="C127" s="20">
        <v>581</v>
      </c>
      <c r="D127" s="20">
        <v>13350</v>
      </c>
      <c r="E127" s="17">
        <f t="shared" si="6"/>
        <v>-2.0703933747412417E-3</v>
      </c>
      <c r="F127" s="17">
        <f t="shared" si="6"/>
        <v>-1.358234295415961E-2</v>
      </c>
      <c r="G127" s="17">
        <f t="shared" si="6"/>
        <v>-2.0183486238532056E-2</v>
      </c>
      <c r="H127" s="14">
        <f t="shared" si="7"/>
        <v>-1.7287036314443827E-2</v>
      </c>
      <c r="I127" s="39">
        <f t="shared" si="8"/>
        <v>1.3227513227513227E-3</v>
      </c>
      <c r="J127" s="42">
        <v>-1.2658227848101222E-2</v>
      </c>
      <c r="K127" s="88">
        <v>-1.0494752623688153E-2</v>
      </c>
      <c r="L127" s="42">
        <v>-1.6588264421886656E-2</v>
      </c>
      <c r="M127" s="43">
        <v>-1.4098794828762501E-2</v>
      </c>
      <c r="Q127" s="2"/>
      <c r="R127" s="24"/>
      <c r="S127" s="24"/>
      <c r="T127" s="24"/>
    </row>
    <row r="128" spans="1:20" x14ac:dyDescent="0.25">
      <c r="A128" s="2">
        <v>45217</v>
      </c>
      <c r="B128" s="20">
        <v>2898</v>
      </c>
      <c r="C128" s="20">
        <v>589</v>
      </c>
      <c r="D128" s="20">
        <v>13625</v>
      </c>
      <c r="E128" s="17">
        <f t="shared" si="6"/>
        <v>-1.0921501706484649E-2</v>
      </c>
      <c r="F128" s="17">
        <f t="shared" si="6"/>
        <v>1.3769363166953541E-2</v>
      </c>
      <c r="G128" s="17">
        <f t="shared" si="6"/>
        <v>2.944423997055523E-3</v>
      </c>
      <c r="H128" s="14">
        <f t="shared" si="7"/>
        <v>1.4246974182188453E-3</v>
      </c>
      <c r="I128" s="39">
        <f t="shared" si="8"/>
        <v>1.3227513227513227E-3</v>
      </c>
      <c r="J128" s="42">
        <v>-1.2549537648612996E-2</v>
      </c>
      <c r="K128" s="88">
        <v>-1.0291595197255532E-2</v>
      </c>
      <c r="L128" s="42">
        <v>-1.6568679850347379E-2</v>
      </c>
      <c r="M128" s="43">
        <v>-1.3977111833119348E-2</v>
      </c>
      <c r="Q128" s="2"/>
      <c r="R128" s="24"/>
      <c r="S128" s="24"/>
      <c r="T128" s="24"/>
    </row>
    <row r="129" spans="1:20" x14ac:dyDescent="0.25">
      <c r="A129" s="2">
        <v>45216</v>
      </c>
      <c r="B129" s="20">
        <v>2930</v>
      </c>
      <c r="C129" s="20">
        <v>581</v>
      </c>
      <c r="D129" s="20">
        <v>13585</v>
      </c>
      <c r="E129" s="17">
        <f t="shared" si="6"/>
        <v>3.0964109781843829E-2</v>
      </c>
      <c r="F129" s="17">
        <f t="shared" si="6"/>
        <v>-3.4305317324184736E-3</v>
      </c>
      <c r="G129" s="17">
        <f t="shared" si="6"/>
        <v>2.5830258302583786E-3</v>
      </c>
      <c r="H129" s="14">
        <f t="shared" si="7"/>
        <v>6.4028368304489738E-3</v>
      </c>
      <c r="I129" s="39">
        <f t="shared" si="8"/>
        <v>1.3227513227513227E-3</v>
      </c>
      <c r="J129" s="42">
        <v>-1.2396694214875992E-2</v>
      </c>
      <c r="K129" s="88">
        <v>-1.0204081632653073E-2</v>
      </c>
      <c r="L129" s="42">
        <v>-1.6489659027389636E-2</v>
      </c>
      <c r="M129" s="43">
        <v>-1.3771348531812406E-2</v>
      </c>
      <c r="Q129" s="2"/>
      <c r="R129" s="24"/>
      <c r="S129" s="24"/>
      <c r="T129" s="24"/>
    </row>
    <row r="130" spans="1:20" x14ac:dyDescent="0.25">
      <c r="A130" s="2">
        <v>45215</v>
      </c>
      <c r="B130" s="20">
        <v>2842</v>
      </c>
      <c r="C130" s="20">
        <v>583</v>
      </c>
      <c r="D130" s="20">
        <v>13550</v>
      </c>
      <c r="E130" s="17">
        <f t="shared" si="6"/>
        <v>1.4999999999999902E-2</v>
      </c>
      <c r="F130" s="17">
        <f t="shared" si="6"/>
        <v>-3.4188034188034067E-3</v>
      </c>
      <c r="G130" s="17">
        <f t="shared" si="6"/>
        <v>7.8095946448493159E-3</v>
      </c>
      <c r="H130" s="14">
        <f t="shared" si="7"/>
        <v>8.3509984261361594E-3</v>
      </c>
      <c r="I130" s="39">
        <f t="shared" si="8"/>
        <v>1.3227513227513227E-3</v>
      </c>
      <c r="J130" s="42">
        <v>-1.2291483757682187E-2</v>
      </c>
      <c r="K130" s="88">
        <v>-1.0050251256281451E-2</v>
      </c>
      <c r="L130" s="42">
        <v>-1.626355296080062E-2</v>
      </c>
      <c r="M130" s="43">
        <v>-1.3686974816737319E-2</v>
      </c>
      <c r="Q130" s="2"/>
      <c r="R130" s="24"/>
      <c r="S130" s="24"/>
      <c r="T130" s="24"/>
    </row>
    <row r="131" spans="1:20" x14ac:dyDescent="0.25">
      <c r="A131" s="2">
        <v>45212</v>
      </c>
      <c r="B131" s="20">
        <v>2800</v>
      </c>
      <c r="C131" s="20">
        <v>585</v>
      </c>
      <c r="D131" s="20">
        <v>13445</v>
      </c>
      <c r="E131" s="17">
        <f t="shared" si="6"/>
        <v>1.2292118582791112E-2</v>
      </c>
      <c r="F131" s="17">
        <f t="shared" si="6"/>
        <v>0</v>
      </c>
      <c r="G131" s="17">
        <f t="shared" si="6"/>
        <v>-7.7490774907749138E-3</v>
      </c>
      <c r="H131" s="14">
        <f t="shared" si="7"/>
        <v>-4.5247452094262751E-3</v>
      </c>
      <c r="I131" s="39">
        <f t="shared" si="8"/>
        <v>1.3227513227513227E-3</v>
      </c>
      <c r="J131" s="42">
        <v>-1.2274959083469761E-2</v>
      </c>
      <c r="K131" s="88">
        <v>-9.9009900990099098E-3</v>
      </c>
      <c r="L131" s="42">
        <v>-1.6244624940277119E-2</v>
      </c>
      <c r="M131" s="43">
        <v>-1.3614361827890494E-2</v>
      </c>
      <c r="Q131" s="2"/>
      <c r="R131" s="24"/>
      <c r="S131" s="24"/>
      <c r="T131" s="24"/>
    </row>
    <row r="132" spans="1:20" x14ac:dyDescent="0.25">
      <c r="A132" s="2">
        <v>45211</v>
      </c>
      <c r="B132" s="20">
        <v>2766</v>
      </c>
      <c r="C132" s="20">
        <v>585</v>
      </c>
      <c r="D132" s="20">
        <v>13550</v>
      </c>
      <c r="E132" s="17">
        <f t="shared" si="6"/>
        <v>-5.0359712230215736E-3</v>
      </c>
      <c r="F132" s="17">
        <f t="shared" si="6"/>
        <v>5.1546391752577136E-3</v>
      </c>
      <c r="G132" s="17">
        <f t="shared" si="6"/>
        <v>1.1082379017361976E-3</v>
      </c>
      <c r="H132" s="14">
        <f t="shared" si="7"/>
        <v>4.0186111693695837E-4</v>
      </c>
      <c r="I132" s="39">
        <f t="shared" si="8"/>
        <v>1.3227513227513227E-3</v>
      </c>
      <c r="J132" s="42">
        <v>-1.2084592145015116E-2</v>
      </c>
      <c r="K132" s="88">
        <v>-9.9009900990099098E-3</v>
      </c>
      <c r="L132" s="42">
        <v>-1.6211208893005979E-2</v>
      </c>
      <c r="M132" s="43">
        <v>-1.3525684829783219E-2</v>
      </c>
      <c r="Q132" s="2"/>
      <c r="R132" s="24"/>
      <c r="S132" s="24"/>
      <c r="T132" s="24"/>
    </row>
    <row r="133" spans="1:20" x14ac:dyDescent="0.25">
      <c r="A133" s="2">
        <v>45210</v>
      </c>
      <c r="B133" s="20">
        <v>2780</v>
      </c>
      <c r="C133" s="20">
        <v>582</v>
      </c>
      <c r="D133" s="20">
        <v>13535</v>
      </c>
      <c r="E133" s="17">
        <f t="shared" si="6"/>
        <v>-7.1428571428571175E-3</v>
      </c>
      <c r="F133" s="17">
        <f t="shared" si="6"/>
        <v>-1.3559322033898313E-2</v>
      </c>
      <c r="G133" s="17">
        <f t="shared" si="6"/>
        <v>1.0074626865671732E-2</v>
      </c>
      <c r="H133" s="14">
        <f t="shared" si="7"/>
        <v>6.5587693066513526E-3</v>
      </c>
      <c r="I133" s="39">
        <f t="shared" si="8"/>
        <v>1.3227513227513227E-3</v>
      </c>
      <c r="J133" s="42">
        <v>-1.1867088607594889E-2</v>
      </c>
      <c r="K133" s="88">
        <v>-9.8765432098765205E-3</v>
      </c>
      <c r="L133" s="42">
        <v>-1.6129032258064502E-2</v>
      </c>
      <c r="M133" s="43">
        <v>-1.3395632389344403E-2</v>
      </c>
      <c r="Q133" s="2"/>
      <c r="R133" s="24"/>
      <c r="S133" s="24"/>
      <c r="T133" s="24"/>
    </row>
    <row r="134" spans="1:20" x14ac:dyDescent="0.25">
      <c r="A134" s="2">
        <v>45209</v>
      </c>
      <c r="B134" s="20">
        <v>2800</v>
      </c>
      <c r="C134" s="20">
        <v>590</v>
      </c>
      <c r="D134" s="20">
        <v>13400</v>
      </c>
      <c r="E134" s="17">
        <f t="shared" ref="E134:G197" si="9">+B134/B135-1</f>
        <v>9.3727469358326765E-3</v>
      </c>
      <c r="F134" s="17">
        <f t="shared" si="9"/>
        <v>2.7874564459930307E-2</v>
      </c>
      <c r="G134" s="17">
        <f t="shared" si="9"/>
        <v>2.0563594821020548E-2</v>
      </c>
      <c r="H134" s="14">
        <f t="shared" ref="H134:H197" si="10">+SUMPRODUCT(E134:G134,$K$9:$M$9)</f>
        <v>1.9274432644139975E-2</v>
      </c>
      <c r="I134" s="39">
        <f t="shared" si="8"/>
        <v>1.3227513227513227E-3</v>
      </c>
      <c r="J134" s="42">
        <v>-1.1843079200592133E-2</v>
      </c>
      <c r="K134" s="88">
        <v>-9.8360655737704805E-3</v>
      </c>
      <c r="L134" s="42">
        <v>-1.6108520559559136E-2</v>
      </c>
      <c r="M134" s="43">
        <v>-1.3388750789956277E-2</v>
      </c>
      <c r="Q134" s="2"/>
      <c r="R134" s="24"/>
      <c r="S134" s="24"/>
      <c r="T134" s="24"/>
    </row>
    <row r="135" spans="1:20" x14ac:dyDescent="0.25">
      <c r="A135" s="2">
        <v>45208</v>
      </c>
      <c r="B135" s="20">
        <v>2774</v>
      </c>
      <c r="C135" s="20">
        <v>574</v>
      </c>
      <c r="D135" s="20">
        <v>13130</v>
      </c>
      <c r="E135" s="17">
        <f t="shared" si="9"/>
        <v>1.0932944606413919E-2</v>
      </c>
      <c r="F135" s="17">
        <f t="shared" si="9"/>
        <v>1.0563380281690238E-2</v>
      </c>
      <c r="G135" s="17">
        <f t="shared" si="9"/>
        <v>-3.793626707132014E-3</v>
      </c>
      <c r="H135" s="14">
        <f t="shared" si="10"/>
        <v>-1.0437622286166076E-3</v>
      </c>
      <c r="I135" s="39">
        <f t="shared" si="8"/>
        <v>1.3227513227513227E-3</v>
      </c>
      <c r="J135" s="42">
        <v>-1.1455525606469008E-2</v>
      </c>
      <c r="K135" s="88">
        <v>-9.8280098280097983E-3</v>
      </c>
      <c r="L135" s="42">
        <v>-1.5909090909090873E-2</v>
      </c>
      <c r="M135" s="43">
        <v>-1.3348720366685574E-2</v>
      </c>
      <c r="Q135" s="2"/>
      <c r="R135" s="24"/>
      <c r="S135" s="24"/>
      <c r="T135" s="24"/>
    </row>
    <row r="136" spans="1:20" x14ac:dyDescent="0.25">
      <c r="A136" s="2">
        <v>45205</v>
      </c>
      <c r="B136" s="20">
        <v>2744</v>
      </c>
      <c r="C136" s="20">
        <v>568</v>
      </c>
      <c r="D136" s="20">
        <v>13180</v>
      </c>
      <c r="E136" s="17">
        <f t="shared" si="9"/>
        <v>-1.6487455197132572E-2</v>
      </c>
      <c r="F136" s="17">
        <f t="shared" si="9"/>
        <v>1.7636684303350414E-3</v>
      </c>
      <c r="G136" s="17">
        <f t="shared" si="9"/>
        <v>-3.0257186081694698E-3</v>
      </c>
      <c r="H136" s="14">
        <f t="shared" si="10"/>
        <v>-4.7524365597188777E-3</v>
      </c>
      <c r="I136" s="39">
        <f t="shared" si="8"/>
        <v>1.3227513227513227E-3</v>
      </c>
      <c r="J136" s="42">
        <v>-1.1386470194239773E-2</v>
      </c>
      <c r="K136" s="88">
        <v>-9.7879282218596986E-3</v>
      </c>
      <c r="L136" s="42">
        <v>-1.5595757953836609E-2</v>
      </c>
      <c r="M136" s="43">
        <v>-1.3284205001884819E-2</v>
      </c>
      <c r="Q136" s="2"/>
      <c r="R136" s="24"/>
      <c r="S136" s="24"/>
      <c r="T136" s="24"/>
    </row>
    <row r="137" spans="1:20" x14ac:dyDescent="0.25">
      <c r="A137" s="2">
        <v>45204</v>
      </c>
      <c r="B137" s="20">
        <v>2790</v>
      </c>
      <c r="C137" s="20">
        <v>567</v>
      </c>
      <c r="D137" s="20">
        <v>13220</v>
      </c>
      <c r="E137" s="17">
        <f t="shared" si="9"/>
        <v>9.4066570188133802E-3</v>
      </c>
      <c r="F137" s="17">
        <f t="shared" si="9"/>
        <v>1.795332136445249E-2</v>
      </c>
      <c r="G137" s="17">
        <f t="shared" si="9"/>
        <v>-2.3994093761535606E-2</v>
      </c>
      <c r="H137" s="14">
        <f t="shared" si="10"/>
        <v>-1.7344940280675316E-2</v>
      </c>
      <c r="I137" s="39">
        <f t="shared" si="8"/>
        <v>1.3227513227513227E-3</v>
      </c>
      <c r="J137" s="42">
        <v>-1.1184210526315796E-2</v>
      </c>
      <c r="K137" s="88">
        <v>-9.7323600973235891E-3</v>
      </c>
      <c r="L137" s="42">
        <v>-1.555333998005981E-2</v>
      </c>
      <c r="M137" s="43">
        <v>-1.3161167371689816E-2</v>
      </c>
      <c r="Q137" s="2"/>
      <c r="R137" s="24"/>
      <c r="S137" s="24"/>
      <c r="T137" s="24"/>
    </row>
    <row r="138" spans="1:20" x14ac:dyDescent="0.25">
      <c r="A138" s="2">
        <v>45203</v>
      </c>
      <c r="B138" s="20">
        <v>2764</v>
      </c>
      <c r="C138" s="20">
        <v>557</v>
      </c>
      <c r="D138" s="20">
        <v>13545</v>
      </c>
      <c r="E138" s="17">
        <f t="shared" si="9"/>
        <v>-7.2306579898773204E-4</v>
      </c>
      <c r="F138" s="17">
        <f t="shared" si="9"/>
        <v>9.0579710144926828E-3</v>
      </c>
      <c r="G138" s="17">
        <f t="shared" si="9"/>
        <v>4.0770941438101893E-3</v>
      </c>
      <c r="H138" s="14">
        <f t="shared" si="10"/>
        <v>3.6051775024378892E-3</v>
      </c>
      <c r="I138" s="39">
        <f t="shared" si="8"/>
        <v>1.3227513227513227E-3</v>
      </c>
      <c r="J138" s="42">
        <v>-1.113294040602486E-2</v>
      </c>
      <c r="K138" s="88">
        <v>-9.7087378640776656E-3</v>
      </c>
      <c r="L138" s="42">
        <v>-1.5505617977528141E-2</v>
      </c>
      <c r="M138" s="43">
        <v>-1.2988462227000914E-2</v>
      </c>
      <c r="Q138" s="2"/>
      <c r="R138" s="24"/>
      <c r="S138" s="24"/>
      <c r="T138" s="24"/>
    </row>
    <row r="139" spans="1:20" x14ac:dyDescent="0.25">
      <c r="A139" s="2">
        <v>45202</v>
      </c>
      <c r="B139" s="20">
        <v>2766</v>
      </c>
      <c r="C139" s="20">
        <v>552</v>
      </c>
      <c r="D139" s="20">
        <v>13490</v>
      </c>
      <c r="E139" s="17">
        <f t="shared" si="9"/>
        <v>7.2358900144720018E-4</v>
      </c>
      <c r="F139" s="17">
        <f t="shared" si="9"/>
        <v>7.2992700729928028E-3</v>
      </c>
      <c r="G139" s="17">
        <f t="shared" si="9"/>
        <v>1.2003000750187454E-2</v>
      </c>
      <c r="H139" s="14">
        <f t="shared" si="10"/>
        <v>1.0173265048773767E-2</v>
      </c>
      <c r="I139" s="39">
        <f t="shared" si="8"/>
        <v>1.3227513227513227E-3</v>
      </c>
      <c r="J139" s="42">
        <v>-1.1034482758620734E-2</v>
      </c>
      <c r="K139" s="88">
        <v>-9.6385542168674343E-3</v>
      </c>
      <c r="L139" s="42">
        <v>-1.5489629824100848E-2</v>
      </c>
      <c r="M139" s="43">
        <v>-1.2955499147582003E-2</v>
      </c>
      <c r="Q139" s="2"/>
      <c r="R139" s="24"/>
      <c r="S139" s="24"/>
      <c r="T139" s="24"/>
    </row>
    <row r="140" spans="1:20" x14ac:dyDescent="0.25">
      <c r="A140" s="2">
        <v>45201</v>
      </c>
      <c r="B140" s="20">
        <v>2764</v>
      </c>
      <c r="C140" s="20">
        <v>548</v>
      </c>
      <c r="D140" s="20">
        <v>13330</v>
      </c>
      <c r="E140" s="17">
        <f t="shared" si="9"/>
        <v>-1.0737294201861092E-2</v>
      </c>
      <c r="F140" s="17">
        <f t="shared" si="9"/>
        <v>1.4814814814814836E-2</v>
      </c>
      <c r="G140" s="17">
        <f t="shared" si="9"/>
        <v>2.2556390977443996E-3</v>
      </c>
      <c r="H140" s="14">
        <f t="shared" si="10"/>
        <v>9.377233139892349E-4</v>
      </c>
      <c r="I140" s="39">
        <f t="shared" si="8"/>
        <v>1.3227513227513227E-3</v>
      </c>
      <c r="J140" s="42">
        <v>-1.0921501706484649E-2</v>
      </c>
      <c r="K140" s="88">
        <v>-9.5890410958904271E-3</v>
      </c>
      <c r="L140" s="42">
        <v>-1.5437933207309351E-2</v>
      </c>
      <c r="M140" s="43">
        <v>-1.2744320157987493E-2</v>
      </c>
      <c r="Q140" s="2"/>
      <c r="R140" s="24"/>
      <c r="S140" s="24"/>
      <c r="T140" s="24"/>
    </row>
    <row r="141" spans="1:20" x14ac:dyDescent="0.25">
      <c r="A141" s="2">
        <v>45198</v>
      </c>
      <c r="B141" s="20">
        <v>2794</v>
      </c>
      <c r="C141" s="20">
        <v>540</v>
      </c>
      <c r="D141" s="20">
        <v>13300</v>
      </c>
      <c r="E141" s="17">
        <f t="shared" si="9"/>
        <v>5.0359712230216847E-3</v>
      </c>
      <c r="F141" s="17">
        <f t="shared" si="9"/>
        <v>-7.3529411764705621E-3</v>
      </c>
      <c r="G141" s="17">
        <f t="shared" si="9"/>
        <v>2.229054573405076E-2</v>
      </c>
      <c r="H141" s="14">
        <f t="shared" si="10"/>
        <v>1.8505340132735255E-2</v>
      </c>
      <c r="I141" s="39">
        <f t="shared" si="8"/>
        <v>1.3227513227513227E-3</v>
      </c>
      <c r="J141" s="42">
        <v>-1.0838150289017356E-2</v>
      </c>
      <c r="K141" s="88">
        <v>-9.5693779904306719E-3</v>
      </c>
      <c r="L141" s="42">
        <v>-1.5155931215389051E-2</v>
      </c>
      <c r="M141" s="43">
        <v>-1.2718478261514043E-2</v>
      </c>
      <c r="Q141" s="2"/>
      <c r="R141" s="24"/>
      <c r="S141" s="24"/>
      <c r="T141" s="24"/>
    </row>
    <row r="142" spans="1:20" x14ac:dyDescent="0.25">
      <c r="A142" s="2">
        <v>45197</v>
      </c>
      <c r="B142" s="20">
        <v>2780</v>
      </c>
      <c r="C142" s="20">
        <v>544</v>
      </c>
      <c r="D142" s="20">
        <v>13010</v>
      </c>
      <c r="E142" s="17">
        <f t="shared" si="9"/>
        <v>-5.0107372942018724E-3</v>
      </c>
      <c r="F142" s="17">
        <f t="shared" si="9"/>
        <v>0</v>
      </c>
      <c r="G142" s="17">
        <f t="shared" si="9"/>
        <v>-2.1804511278195493E-2</v>
      </c>
      <c r="H142" s="14">
        <f t="shared" si="10"/>
        <v>-1.8429995776687084E-2</v>
      </c>
      <c r="I142" s="39">
        <f t="shared" si="8"/>
        <v>1.3227513227513227E-3</v>
      </c>
      <c r="J142" s="42">
        <v>-1.0830324909747335E-2</v>
      </c>
      <c r="K142" s="88">
        <v>-9.5389507154213238E-3</v>
      </c>
      <c r="L142" s="42">
        <v>-1.4925373134328401E-2</v>
      </c>
      <c r="M142" s="43">
        <v>-1.2512900628202001E-2</v>
      </c>
      <c r="Q142" s="2"/>
      <c r="R142" s="24"/>
      <c r="S142" s="24"/>
      <c r="T142" s="24"/>
    </row>
    <row r="143" spans="1:20" x14ac:dyDescent="0.25">
      <c r="A143" s="2">
        <v>45196</v>
      </c>
      <c r="B143" s="20">
        <v>2794</v>
      </c>
      <c r="C143" s="20">
        <v>544</v>
      </c>
      <c r="D143" s="20">
        <v>13300</v>
      </c>
      <c r="E143" s="17">
        <f t="shared" si="9"/>
        <v>1.2318840579710111E-2</v>
      </c>
      <c r="F143" s="17">
        <f t="shared" si="9"/>
        <v>1.3035381750465591E-2</v>
      </c>
      <c r="G143" s="17">
        <f t="shared" si="9"/>
        <v>9.1047040971168336E-3</v>
      </c>
      <c r="H143" s="14">
        <f t="shared" si="10"/>
        <v>9.739896214800127E-3</v>
      </c>
      <c r="I143" s="39">
        <f t="shared" si="8"/>
        <v>1.3227513227513227E-3</v>
      </c>
      <c r="J143" s="42">
        <v>-1.0752688172043001E-2</v>
      </c>
      <c r="K143" s="88">
        <v>-9.52380952380949E-3</v>
      </c>
      <c r="L143" s="42">
        <v>-1.4918414918414946E-2</v>
      </c>
      <c r="M143" s="43">
        <v>-1.2445768926932988E-2</v>
      </c>
      <c r="Q143" s="2"/>
      <c r="R143" s="24"/>
      <c r="S143" s="24"/>
      <c r="T143" s="24"/>
    </row>
    <row r="144" spans="1:20" x14ac:dyDescent="0.25">
      <c r="A144" s="2">
        <v>45195</v>
      </c>
      <c r="B144" s="20">
        <v>2760</v>
      </c>
      <c r="C144" s="20">
        <v>537</v>
      </c>
      <c r="D144" s="20">
        <v>13180</v>
      </c>
      <c r="E144" s="17">
        <f t="shared" si="9"/>
        <v>-5.0468637346792189E-3</v>
      </c>
      <c r="F144" s="17">
        <f t="shared" si="9"/>
        <v>2.6768642447418722E-2</v>
      </c>
      <c r="G144" s="17">
        <f t="shared" si="9"/>
        <v>1.4236244709503687E-2</v>
      </c>
      <c r="H144" s="14">
        <f t="shared" si="10"/>
        <v>1.2012005095119797E-2</v>
      </c>
      <c r="I144" s="39">
        <f t="shared" ref="I144:I207" si="11">1/$K$1</f>
        <v>1.3227513227513227E-3</v>
      </c>
      <c r="J144" s="42">
        <v>-1.0737294201861092E-2</v>
      </c>
      <c r="K144" s="88">
        <v>-9.4637223974763929E-3</v>
      </c>
      <c r="L144" s="42">
        <v>-1.4746227709190651E-2</v>
      </c>
      <c r="M144" s="43">
        <v>-1.231657340096603E-2</v>
      </c>
      <c r="Q144" s="2"/>
      <c r="R144" s="24"/>
      <c r="S144" s="24"/>
      <c r="T144" s="24"/>
    </row>
    <row r="145" spans="1:20" x14ac:dyDescent="0.25">
      <c r="A145" s="2">
        <v>45194</v>
      </c>
      <c r="B145" s="20">
        <v>2774</v>
      </c>
      <c r="C145" s="20">
        <v>523</v>
      </c>
      <c r="D145" s="20">
        <v>12995</v>
      </c>
      <c r="E145" s="17">
        <f t="shared" si="9"/>
        <v>-4.3072505384063042E-3</v>
      </c>
      <c r="F145" s="17">
        <f t="shared" si="9"/>
        <v>-1.8761726078799223E-2</v>
      </c>
      <c r="G145" s="17">
        <f t="shared" si="9"/>
        <v>1.1677695601401306E-2</v>
      </c>
      <c r="H145" s="14">
        <f t="shared" si="10"/>
        <v>8.0402207773976903E-3</v>
      </c>
      <c r="I145" s="39">
        <f t="shared" si="11"/>
        <v>1.3227513227513227E-3</v>
      </c>
      <c r="J145" s="42">
        <v>-1.0676156583629859E-2</v>
      </c>
      <c r="K145" s="88">
        <v>-9.4466936572199511E-3</v>
      </c>
      <c r="L145" s="42">
        <v>-1.4744913005013238E-2</v>
      </c>
      <c r="M145" s="43">
        <v>-1.2307285207624103E-2</v>
      </c>
      <c r="Q145" s="2"/>
      <c r="R145" s="24"/>
      <c r="S145" s="24"/>
      <c r="T145" s="24"/>
    </row>
    <row r="146" spans="1:20" x14ac:dyDescent="0.25">
      <c r="A146" s="2">
        <v>45191</v>
      </c>
      <c r="B146" s="20">
        <v>2786</v>
      </c>
      <c r="C146" s="20">
        <v>533</v>
      </c>
      <c r="D146" s="20">
        <v>12845</v>
      </c>
      <c r="E146" s="17">
        <f t="shared" si="9"/>
        <v>-1.4336917562723928E-3</v>
      </c>
      <c r="F146" s="17">
        <f t="shared" si="9"/>
        <v>7.5614366729679361E-3</v>
      </c>
      <c r="G146" s="17">
        <f t="shared" si="9"/>
        <v>-2.2078416444613613E-2</v>
      </c>
      <c r="H146" s="14">
        <f t="shared" si="10"/>
        <v>-1.7805532605417888E-2</v>
      </c>
      <c r="I146" s="39">
        <f t="shared" si="11"/>
        <v>1.3227513227513227E-3</v>
      </c>
      <c r="J146" s="42">
        <v>-1.0646387832699666E-2</v>
      </c>
      <c r="K146" s="88">
        <v>-9.4339622641509413E-3</v>
      </c>
      <c r="L146" s="42">
        <v>-1.4636449480642133E-2</v>
      </c>
      <c r="M146" s="43">
        <v>-1.2232108675358795E-2</v>
      </c>
      <c r="Q146" s="2"/>
      <c r="R146" s="24"/>
      <c r="S146" s="24"/>
      <c r="T146" s="24"/>
    </row>
    <row r="147" spans="1:20" x14ac:dyDescent="0.25">
      <c r="A147" s="2">
        <v>45190</v>
      </c>
      <c r="B147" s="20">
        <v>2790</v>
      </c>
      <c r="C147" s="20">
        <v>529</v>
      </c>
      <c r="D147" s="20">
        <v>13135</v>
      </c>
      <c r="E147" s="17">
        <f t="shared" si="9"/>
        <v>-8.5287846481876262E-3</v>
      </c>
      <c r="F147" s="17">
        <f t="shared" si="9"/>
        <v>7.6190476190476364E-3</v>
      </c>
      <c r="G147" s="17">
        <f t="shared" si="9"/>
        <v>-6.2455389007851525E-2</v>
      </c>
      <c r="H147" s="14">
        <f t="shared" si="10"/>
        <v>-5.1616918729289273E-2</v>
      </c>
      <c r="I147" s="39">
        <f t="shared" si="11"/>
        <v>1.3227513227513227E-3</v>
      </c>
      <c r="J147" s="42">
        <v>-1.0603048376408242E-2</v>
      </c>
      <c r="K147" s="88">
        <v>-9.3786635404454755E-3</v>
      </c>
      <c r="L147" s="42">
        <v>-1.4620561615223959E-2</v>
      </c>
      <c r="M147" s="43">
        <v>-1.2211567041494261E-2</v>
      </c>
      <c r="Q147" s="2"/>
      <c r="R147" s="24"/>
      <c r="S147" s="24"/>
      <c r="T147" s="24"/>
    </row>
    <row r="148" spans="1:20" x14ac:dyDescent="0.25">
      <c r="A148" s="2">
        <v>45189</v>
      </c>
      <c r="B148" s="20">
        <v>2814</v>
      </c>
      <c r="C148" s="20">
        <v>525</v>
      </c>
      <c r="D148" s="20">
        <v>14010</v>
      </c>
      <c r="E148" s="17">
        <f t="shared" si="9"/>
        <v>1.9565217391304346E-2</v>
      </c>
      <c r="F148" s="17">
        <f t="shared" si="9"/>
        <v>-7.5614366729678251E-3</v>
      </c>
      <c r="G148" s="17">
        <f t="shared" si="9"/>
        <v>-2.7758501040943795E-2</v>
      </c>
      <c r="H148" s="14">
        <f t="shared" si="10"/>
        <v>-2.0061387446210714E-2</v>
      </c>
      <c r="I148" s="39">
        <f t="shared" si="11"/>
        <v>1.3227513227513227E-3</v>
      </c>
      <c r="J148" s="42">
        <v>-1.0585744530698604E-2</v>
      </c>
      <c r="K148" s="88">
        <v>-9.3750000000000222E-3</v>
      </c>
      <c r="L148" s="42">
        <v>-1.4444444444444482E-2</v>
      </c>
      <c r="M148" s="43">
        <v>-1.2197219649725824E-2</v>
      </c>
      <c r="Q148" s="2"/>
      <c r="R148" s="24"/>
      <c r="S148" s="24"/>
      <c r="T148" s="24"/>
    </row>
    <row r="149" spans="1:20" x14ac:dyDescent="0.25">
      <c r="A149" s="2">
        <v>45188</v>
      </c>
      <c r="B149" s="20">
        <v>2760</v>
      </c>
      <c r="C149" s="20">
        <v>529</v>
      </c>
      <c r="D149" s="20">
        <v>14410</v>
      </c>
      <c r="E149" s="17">
        <f t="shared" si="9"/>
        <v>5.0983248361253786E-3</v>
      </c>
      <c r="F149" s="17">
        <f t="shared" si="9"/>
        <v>7.6190476190476364E-3</v>
      </c>
      <c r="G149" s="17">
        <f t="shared" si="9"/>
        <v>-2.0775623268698418E-3</v>
      </c>
      <c r="H149" s="14">
        <f t="shared" si="10"/>
        <v>-6.1897112267765239E-4</v>
      </c>
      <c r="I149" s="39">
        <f t="shared" si="11"/>
        <v>1.3227513227513227E-3</v>
      </c>
      <c r="J149" s="42">
        <v>-1.0558069381598756E-2</v>
      </c>
      <c r="K149" s="88">
        <v>-9.3240093240093413E-3</v>
      </c>
      <c r="L149" s="42">
        <v>-1.4273479874393424E-2</v>
      </c>
      <c r="M149" s="43">
        <v>-1.2179268711215326E-2</v>
      </c>
      <c r="Q149" s="2"/>
      <c r="R149" s="24"/>
      <c r="S149" s="24"/>
      <c r="T149" s="24"/>
    </row>
    <row r="150" spans="1:20" x14ac:dyDescent="0.25">
      <c r="A150" s="2">
        <v>45187</v>
      </c>
      <c r="B150" s="20">
        <v>2746</v>
      </c>
      <c r="C150" s="20">
        <v>525</v>
      </c>
      <c r="D150" s="20">
        <v>14440</v>
      </c>
      <c r="E150" s="17">
        <f t="shared" si="9"/>
        <v>-5.7929036929761368E-3</v>
      </c>
      <c r="F150" s="17">
        <f t="shared" si="9"/>
        <v>0</v>
      </c>
      <c r="G150" s="17">
        <f t="shared" si="9"/>
        <v>-1.735284110241575E-2</v>
      </c>
      <c r="H150" s="14">
        <f t="shared" si="10"/>
        <v>-1.4927037963666288E-2</v>
      </c>
      <c r="I150" s="39">
        <f t="shared" si="11"/>
        <v>1.3227513227513227E-3</v>
      </c>
      <c r="J150" s="42">
        <v>-1.0467550593161179E-2</v>
      </c>
      <c r="K150" s="88">
        <v>-9.2165898617511122E-3</v>
      </c>
      <c r="L150" s="42">
        <v>-1.4135886912904683E-2</v>
      </c>
      <c r="M150" s="43">
        <v>-1.2053603451942467E-2</v>
      </c>
      <c r="Q150" s="2"/>
      <c r="R150" s="24"/>
      <c r="S150" s="24"/>
      <c r="T150" s="24"/>
    </row>
    <row r="151" spans="1:20" x14ac:dyDescent="0.25">
      <c r="A151" s="2">
        <v>45184</v>
      </c>
      <c r="B151" s="20">
        <v>2762</v>
      </c>
      <c r="C151" s="20">
        <v>525</v>
      </c>
      <c r="D151" s="20">
        <v>14695</v>
      </c>
      <c r="E151" s="17">
        <f t="shared" si="9"/>
        <v>1.2463343108504388E-2</v>
      </c>
      <c r="F151" s="17">
        <f t="shared" si="9"/>
        <v>0.10526315789473695</v>
      </c>
      <c r="G151" s="17">
        <f t="shared" si="9"/>
        <v>1.021798365122617E-3</v>
      </c>
      <c r="H151" s="14">
        <f t="shared" si="10"/>
        <v>7.247747696199824E-3</v>
      </c>
      <c r="I151" s="39">
        <f t="shared" si="11"/>
        <v>1.3227513227513227E-3</v>
      </c>
      <c r="J151" s="42">
        <v>-1.0332103321033181E-2</v>
      </c>
      <c r="K151" s="88">
        <v>-9.205983889528202E-3</v>
      </c>
      <c r="L151" s="42">
        <v>-1.388888888888884E-2</v>
      </c>
      <c r="M151" s="43">
        <v>-1.1983571159660814E-2</v>
      </c>
      <c r="Q151" s="2"/>
      <c r="R151" s="24"/>
      <c r="S151" s="24"/>
      <c r="T151" s="24"/>
    </row>
    <row r="152" spans="1:20" x14ac:dyDescent="0.25">
      <c r="A152" s="2">
        <v>45183</v>
      </c>
      <c r="B152" s="20">
        <v>2728</v>
      </c>
      <c r="C152" s="20">
        <v>475</v>
      </c>
      <c r="D152" s="20">
        <v>14680</v>
      </c>
      <c r="E152" s="17">
        <f t="shared" si="9"/>
        <v>7.3855243722305008E-3</v>
      </c>
      <c r="F152" s="17">
        <f t="shared" si="9"/>
        <v>2.1097046413502962E-3</v>
      </c>
      <c r="G152" s="17">
        <f t="shared" si="9"/>
        <v>1.2064805239572651E-2</v>
      </c>
      <c r="H152" s="14">
        <f t="shared" si="10"/>
        <v>1.0954116195357933E-2</v>
      </c>
      <c r="I152" s="39">
        <f t="shared" si="11"/>
        <v>1.3227513227513227E-3</v>
      </c>
      <c r="J152" s="42">
        <v>-1.0231923601637161E-2</v>
      </c>
      <c r="K152" s="88">
        <v>-9.1743119266054496E-3</v>
      </c>
      <c r="L152" s="42">
        <v>-1.3798111837327487E-2</v>
      </c>
      <c r="M152" s="43">
        <v>-1.1941820019374312E-2</v>
      </c>
      <c r="Q152" s="2"/>
      <c r="R152" s="24"/>
      <c r="S152" s="24"/>
      <c r="T152" s="24"/>
    </row>
    <row r="153" spans="1:20" x14ac:dyDescent="0.25">
      <c r="A153" s="2">
        <v>45182</v>
      </c>
      <c r="B153" s="20">
        <v>2708</v>
      </c>
      <c r="C153" s="20">
        <v>474</v>
      </c>
      <c r="D153" s="20">
        <v>14505</v>
      </c>
      <c r="E153" s="17">
        <f t="shared" si="9"/>
        <v>1.4792899408284654E-3</v>
      </c>
      <c r="F153" s="17">
        <f t="shared" si="9"/>
        <v>1.0660980810234477E-2</v>
      </c>
      <c r="G153" s="17">
        <f t="shared" si="9"/>
        <v>-3.7774725274725141E-3</v>
      </c>
      <c r="H153" s="14">
        <f t="shared" si="10"/>
        <v>-2.3867222233969051E-3</v>
      </c>
      <c r="I153" s="39">
        <f t="shared" si="11"/>
        <v>1.3227513227513227E-3</v>
      </c>
      <c r="J153" s="42">
        <v>-1.0226442658875068E-2</v>
      </c>
      <c r="K153" s="88">
        <v>-9.1533180778031742E-3</v>
      </c>
      <c r="L153" s="42">
        <v>-1.3663806800127132E-2</v>
      </c>
      <c r="M153" s="43">
        <v>-1.1898303289403405E-2</v>
      </c>
      <c r="Q153" s="2"/>
      <c r="R153" s="24"/>
      <c r="S153" s="24"/>
      <c r="T153" s="24"/>
    </row>
    <row r="154" spans="1:20" x14ac:dyDescent="0.25">
      <c r="A154" s="2">
        <v>45181</v>
      </c>
      <c r="B154" s="20">
        <v>2704</v>
      </c>
      <c r="C154" s="20">
        <v>469</v>
      </c>
      <c r="D154" s="20">
        <v>14560</v>
      </c>
      <c r="E154" s="17">
        <f t="shared" si="9"/>
        <v>9.7087378640776656E-3</v>
      </c>
      <c r="F154" s="17">
        <f t="shared" si="9"/>
        <v>3.4178610804851184E-2</v>
      </c>
      <c r="G154" s="17">
        <f t="shared" si="9"/>
        <v>4.1379310344826781E-3</v>
      </c>
      <c r="H154" s="14">
        <f t="shared" si="10"/>
        <v>6.2593082381638444E-3</v>
      </c>
      <c r="I154" s="39">
        <f t="shared" si="11"/>
        <v>1.3227513227513227E-3</v>
      </c>
      <c r="J154" s="42">
        <v>-1.0140405616224646E-2</v>
      </c>
      <c r="K154" s="88">
        <v>-9.1428571428571193E-3</v>
      </c>
      <c r="L154" s="42">
        <v>-1.3636363636363669E-2</v>
      </c>
      <c r="M154" s="43">
        <v>-1.1701044355359343E-2</v>
      </c>
      <c r="Q154" s="2"/>
      <c r="R154" s="24"/>
      <c r="S154" s="24"/>
      <c r="T154" s="24"/>
    </row>
    <row r="155" spans="1:20" x14ac:dyDescent="0.25">
      <c r="A155" s="2">
        <v>45180</v>
      </c>
      <c r="B155" s="20">
        <v>2678</v>
      </c>
      <c r="C155" s="29">
        <v>453.5</v>
      </c>
      <c r="D155" s="20">
        <v>14500</v>
      </c>
      <c r="E155" s="17">
        <f t="shared" si="9"/>
        <v>3.7481259370315545E-3</v>
      </c>
      <c r="F155" s="17">
        <f t="shared" si="9"/>
        <v>7.7777777777778834E-3</v>
      </c>
      <c r="G155" s="17">
        <f t="shared" si="9"/>
        <v>1.1157601115760141E-2</v>
      </c>
      <c r="H155" s="14">
        <f t="shared" si="10"/>
        <v>9.9429057254051597E-3</v>
      </c>
      <c r="I155" s="39">
        <f t="shared" si="11"/>
        <v>1.3227513227513227E-3</v>
      </c>
      <c r="J155" s="42">
        <v>-1.0101010101010055E-2</v>
      </c>
      <c r="K155" s="88">
        <v>-9.1324200913242004E-3</v>
      </c>
      <c r="L155" s="42">
        <v>-1.3489527866524686E-2</v>
      </c>
      <c r="M155" s="43">
        <v>-1.1646188129508853E-2</v>
      </c>
      <c r="Q155" s="2"/>
      <c r="R155" s="24"/>
      <c r="S155" s="24"/>
      <c r="T155" s="24"/>
    </row>
    <row r="156" spans="1:20" x14ac:dyDescent="0.25">
      <c r="A156" s="2">
        <v>45177</v>
      </c>
      <c r="B156" s="20">
        <v>2668</v>
      </c>
      <c r="C156" s="20">
        <v>450</v>
      </c>
      <c r="D156" s="20">
        <v>14340</v>
      </c>
      <c r="E156" s="17">
        <f t="shared" si="9"/>
        <v>-4.4776119402984982E-3</v>
      </c>
      <c r="F156" s="17">
        <f t="shared" si="9"/>
        <v>3.3444816053511683E-3</v>
      </c>
      <c r="G156" s="17">
        <f t="shared" si="9"/>
        <v>3.4989503149054357E-3</v>
      </c>
      <c r="H156" s="14">
        <f t="shared" si="10"/>
        <v>2.3443480296371786E-3</v>
      </c>
      <c r="I156" s="39">
        <f t="shared" si="11"/>
        <v>1.3227513227513227E-3</v>
      </c>
      <c r="J156" s="42">
        <v>-1.0000000000000009E-2</v>
      </c>
      <c r="K156" s="88">
        <v>-8.9552238805969964E-3</v>
      </c>
      <c r="L156" s="42">
        <v>-1.3448275862068981E-2</v>
      </c>
      <c r="M156" s="43">
        <v>-1.1630655559124943E-2</v>
      </c>
      <c r="Q156" s="2"/>
      <c r="R156" s="24"/>
      <c r="S156" s="24"/>
      <c r="T156" s="24"/>
    </row>
    <row r="157" spans="1:20" x14ac:dyDescent="0.25">
      <c r="A157" s="2">
        <v>45176</v>
      </c>
      <c r="B157" s="20">
        <v>2680</v>
      </c>
      <c r="C157" s="29">
        <v>448.5</v>
      </c>
      <c r="D157" s="20">
        <v>14290</v>
      </c>
      <c r="E157" s="17">
        <f t="shared" si="9"/>
        <v>7.5187969924812581E-3</v>
      </c>
      <c r="F157" s="17">
        <f t="shared" si="9"/>
        <v>-3.3333333333332993E-3</v>
      </c>
      <c r="G157" s="17">
        <f t="shared" si="9"/>
        <v>1.0608203677510586E-2</v>
      </c>
      <c r="H157" s="14">
        <f t="shared" si="10"/>
        <v>9.551163351938249E-3</v>
      </c>
      <c r="I157" s="39">
        <f t="shared" si="11"/>
        <v>1.3227513227513227E-3</v>
      </c>
      <c r="J157" s="42">
        <v>-9.9009900990099098E-3</v>
      </c>
      <c r="K157" s="88">
        <v>-8.9086859688195519E-3</v>
      </c>
      <c r="L157" s="42">
        <v>-1.3409961685823757E-2</v>
      </c>
      <c r="M157" s="43">
        <v>-1.1586148995695853E-2</v>
      </c>
      <c r="Q157" s="2"/>
      <c r="R157" s="24"/>
      <c r="S157" s="24"/>
      <c r="T157" s="24"/>
    </row>
    <row r="158" spans="1:20" x14ac:dyDescent="0.25">
      <c r="A158" s="2">
        <v>45175</v>
      </c>
      <c r="B158" s="20">
        <v>2660</v>
      </c>
      <c r="C158" s="20">
        <v>450</v>
      </c>
      <c r="D158" s="20">
        <v>14140</v>
      </c>
      <c r="E158" s="17">
        <f t="shared" si="9"/>
        <v>-1.5544041450777257E-2</v>
      </c>
      <c r="F158" s="17">
        <f t="shared" si="9"/>
        <v>-4.4247787610619538E-3</v>
      </c>
      <c r="G158" s="17">
        <f t="shared" si="9"/>
        <v>1.5804597701149392E-2</v>
      </c>
      <c r="H158" s="14">
        <f t="shared" si="10"/>
        <v>1.0404856178445941E-2</v>
      </c>
      <c r="I158" s="39">
        <f t="shared" si="11"/>
        <v>1.3227513227513227E-3</v>
      </c>
      <c r="J158" s="42">
        <v>-9.8800282286520824E-3</v>
      </c>
      <c r="K158" s="88">
        <v>-8.8050314465408785E-3</v>
      </c>
      <c r="L158" s="42">
        <v>-1.3346043851286904E-2</v>
      </c>
      <c r="M158" s="43">
        <v>-1.1567205012645463E-2</v>
      </c>
      <c r="Q158" s="2"/>
      <c r="R158" s="24"/>
      <c r="S158" s="24"/>
      <c r="T158" s="24"/>
    </row>
    <row r="159" spans="1:20" x14ac:dyDescent="0.25">
      <c r="A159" s="2">
        <v>45174</v>
      </c>
      <c r="B159" s="20">
        <v>2702</v>
      </c>
      <c r="C159" s="20">
        <v>452</v>
      </c>
      <c r="D159" s="20">
        <v>13920</v>
      </c>
      <c r="E159" s="17">
        <f t="shared" si="9"/>
        <v>1.2743628185907019E-2</v>
      </c>
      <c r="F159" s="17">
        <f t="shared" si="9"/>
        <v>-1.0940919037199071E-2</v>
      </c>
      <c r="G159" s="17">
        <f t="shared" si="9"/>
        <v>-5.0035739814152658E-3</v>
      </c>
      <c r="H159" s="14">
        <f t="shared" si="10"/>
        <v>-2.7106155593501473E-3</v>
      </c>
      <c r="I159" s="39">
        <f t="shared" si="11"/>
        <v>1.3227513227513227E-3</v>
      </c>
      <c r="J159" s="42">
        <v>-9.8603122432210366E-3</v>
      </c>
      <c r="K159" s="88">
        <v>-8.7609511889862324E-3</v>
      </c>
      <c r="L159" s="42">
        <v>-1.3338139870223475E-2</v>
      </c>
      <c r="M159" s="43">
        <v>-1.1554303902607109E-2</v>
      </c>
      <c r="Q159" s="2"/>
      <c r="R159" s="24"/>
      <c r="S159" s="24"/>
      <c r="T159" s="24"/>
    </row>
    <row r="160" spans="1:20" x14ac:dyDescent="0.25">
      <c r="A160" s="2">
        <v>45173</v>
      </c>
      <c r="B160" s="20">
        <v>2668</v>
      </c>
      <c r="C160" s="20">
        <v>457</v>
      </c>
      <c r="D160" s="20">
        <v>13990</v>
      </c>
      <c r="E160" s="17">
        <f t="shared" si="9"/>
        <v>2.2539444027047661E-3</v>
      </c>
      <c r="F160" s="17">
        <f t="shared" si="9"/>
        <v>-1.295896328293733E-2</v>
      </c>
      <c r="G160" s="17">
        <f t="shared" si="9"/>
        <v>1.4316392269149159E-3</v>
      </c>
      <c r="H160" s="14">
        <f t="shared" si="10"/>
        <v>9.1776045037713434E-4</v>
      </c>
      <c r="I160" s="39">
        <f t="shared" si="11"/>
        <v>1.3227513227513227E-3</v>
      </c>
      <c r="J160" s="42">
        <v>-9.8360655737704805E-3</v>
      </c>
      <c r="K160" s="88">
        <v>-8.6633663366336711E-3</v>
      </c>
      <c r="L160" s="42">
        <v>-1.3169446883230851E-2</v>
      </c>
      <c r="M160" s="43">
        <v>-1.1525223668890451E-2</v>
      </c>
      <c r="Q160" s="2"/>
      <c r="R160" s="24"/>
      <c r="S160" s="24"/>
      <c r="T160" s="24"/>
    </row>
    <row r="161" spans="1:20" x14ac:dyDescent="0.25">
      <c r="A161" s="2">
        <v>45170</v>
      </c>
      <c r="B161" s="20">
        <v>2662</v>
      </c>
      <c r="C161" s="20">
        <v>463</v>
      </c>
      <c r="D161" s="20">
        <v>13970</v>
      </c>
      <c r="E161" s="17">
        <f t="shared" si="9"/>
        <v>0</v>
      </c>
      <c r="F161" s="17">
        <f t="shared" si="9"/>
        <v>-1.0683760683760646E-2</v>
      </c>
      <c r="G161" s="17">
        <f t="shared" si="9"/>
        <v>-2.7497389488339685E-2</v>
      </c>
      <c r="H161" s="14">
        <f t="shared" si="10"/>
        <v>-2.2801897897707021E-2</v>
      </c>
      <c r="I161" s="39">
        <f t="shared" si="11"/>
        <v>1.3227513227513227E-3</v>
      </c>
      <c r="J161" s="42">
        <v>-9.8335854765506658E-3</v>
      </c>
      <c r="K161" s="88">
        <v>-8.4235860409145324E-3</v>
      </c>
      <c r="L161" s="42">
        <v>-1.3157894736842146E-2</v>
      </c>
      <c r="M161" s="43">
        <v>-1.1515229841261763E-2</v>
      </c>
      <c r="Q161" s="2"/>
      <c r="R161" s="24"/>
      <c r="S161" s="24"/>
      <c r="T161" s="24"/>
    </row>
    <row r="162" spans="1:20" x14ac:dyDescent="0.25">
      <c r="A162" s="2">
        <v>45169</v>
      </c>
      <c r="B162" s="20">
        <v>2662</v>
      </c>
      <c r="C162" s="20">
        <v>468</v>
      </c>
      <c r="D162" s="20">
        <v>14365</v>
      </c>
      <c r="E162" s="17">
        <f t="shared" si="9"/>
        <v>-7.4571215510812472E-3</v>
      </c>
      <c r="F162" s="17">
        <f t="shared" si="9"/>
        <v>7.5349838536060698E-3</v>
      </c>
      <c r="G162" s="17">
        <f t="shared" si="9"/>
        <v>-1.4746227709190651E-2</v>
      </c>
      <c r="H162" s="14">
        <f t="shared" si="10"/>
        <v>-1.2718478261514043E-2</v>
      </c>
      <c r="I162" s="39">
        <f t="shared" si="11"/>
        <v>1.3227513227513227E-3</v>
      </c>
      <c r="J162" s="42">
        <v>-9.8119378577269378E-3</v>
      </c>
      <c r="K162" s="88">
        <v>-8.4134615384615641E-3</v>
      </c>
      <c r="L162" s="42">
        <v>-1.2870275791624142E-2</v>
      </c>
      <c r="M162" s="43">
        <v>-1.1452791192311802E-2</v>
      </c>
      <c r="Q162" s="2"/>
      <c r="R162" s="24"/>
      <c r="S162" s="24"/>
      <c r="T162" s="24"/>
    </row>
    <row r="163" spans="1:20" x14ac:dyDescent="0.25">
      <c r="A163" s="2">
        <v>45168</v>
      </c>
      <c r="B163" s="20">
        <v>2682</v>
      </c>
      <c r="C163" s="29">
        <v>464.5</v>
      </c>
      <c r="D163" s="20">
        <v>14580</v>
      </c>
      <c r="E163" s="17">
        <f t="shared" si="9"/>
        <v>-1.7582417582417631E-2</v>
      </c>
      <c r="F163" s="17">
        <f t="shared" si="9"/>
        <v>6.50054171180936E-3</v>
      </c>
      <c r="G163" s="17">
        <f t="shared" si="9"/>
        <v>6.2111801242235032E-3</v>
      </c>
      <c r="H163" s="14">
        <f t="shared" si="10"/>
        <v>2.8000268536130272E-3</v>
      </c>
      <c r="I163" s="39">
        <f t="shared" si="11"/>
        <v>1.3227513227513227E-3</v>
      </c>
      <c r="J163" s="42">
        <v>-9.7008892481811326E-3</v>
      </c>
      <c r="K163" s="88">
        <v>-8.3472454090149917E-3</v>
      </c>
      <c r="L163" s="42">
        <v>-1.2569832402234637E-2</v>
      </c>
      <c r="M163" s="43">
        <v>-1.1439526410081575E-2</v>
      </c>
      <c r="Q163" s="2"/>
      <c r="R163" s="24"/>
      <c r="S163" s="24"/>
      <c r="T163" s="24"/>
    </row>
    <row r="164" spans="1:20" x14ac:dyDescent="0.25">
      <c r="A164" s="2">
        <v>45167</v>
      </c>
      <c r="B164" s="20">
        <v>2730</v>
      </c>
      <c r="C164" s="29">
        <v>461.5</v>
      </c>
      <c r="D164" s="20">
        <v>14490</v>
      </c>
      <c r="E164" s="17">
        <f t="shared" si="9"/>
        <v>2.9390154298309934E-3</v>
      </c>
      <c r="F164" s="17">
        <f t="shared" si="9"/>
        <v>1.2061403508771829E-2</v>
      </c>
      <c r="G164" s="17">
        <f t="shared" si="9"/>
        <v>1.2578616352201255E-2</v>
      </c>
      <c r="H164" s="14">
        <f t="shared" si="10"/>
        <v>1.1168769064489808E-2</v>
      </c>
      <c r="I164" s="39">
        <f t="shared" si="11"/>
        <v>1.3227513227513227E-3</v>
      </c>
      <c r="J164" s="42">
        <v>-9.6000000000000529E-3</v>
      </c>
      <c r="K164" s="88">
        <v>-8.3135391923990776E-3</v>
      </c>
      <c r="L164" s="42">
        <v>-1.2487992315081686E-2</v>
      </c>
      <c r="M164" s="43">
        <v>-1.1130986433997821E-2</v>
      </c>
      <c r="Q164" s="2"/>
      <c r="R164" s="24"/>
      <c r="S164" s="24"/>
      <c r="T164" s="24"/>
    </row>
    <row r="165" spans="1:20" x14ac:dyDescent="0.25">
      <c r="A165" s="2">
        <v>45166</v>
      </c>
      <c r="B165" s="20">
        <v>2722</v>
      </c>
      <c r="C165" s="20">
        <v>456</v>
      </c>
      <c r="D165" s="20">
        <v>14310</v>
      </c>
      <c r="E165" s="17">
        <f t="shared" si="9"/>
        <v>-8.7399854333576332E-3</v>
      </c>
      <c r="F165" s="17">
        <f t="shared" si="9"/>
        <v>7.7348066298341678E-3</v>
      </c>
      <c r="G165" s="17">
        <f t="shared" si="9"/>
        <v>3.4952813701494279E-4</v>
      </c>
      <c r="H165" s="14">
        <f t="shared" si="10"/>
        <v>-6.339904322015177E-4</v>
      </c>
      <c r="I165" s="39">
        <f t="shared" si="11"/>
        <v>1.3227513227513227E-3</v>
      </c>
      <c r="J165" s="42">
        <v>-9.4915254237287749E-3</v>
      </c>
      <c r="K165" s="88">
        <v>-8.2256169212691077E-3</v>
      </c>
      <c r="L165" s="42">
        <v>-1.2464589235127499E-2</v>
      </c>
      <c r="M165" s="43">
        <v>-1.1086685953811943E-2</v>
      </c>
      <c r="Q165" s="2"/>
      <c r="R165" s="24"/>
      <c r="S165" s="24"/>
      <c r="T165" s="24"/>
    </row>
    <row r="166" spans="1:20" x14ac:dyDescent="0.25">
      <c r="A166" s="2">
        <v>45163</v>
      </c>
      <c r="B166" s="20">
        <v>2746</v>
      </c>
      <c r="C166" s="29">
        <v>452.5</v>
      </c>
      <c r="D166" s="20">
        <v>14305</v>
      </c>
      <c r="E166" s="17">
        <f t="shared" si="9"/>
        <v>7.2886297376095754E-4</v>
      </c>
      <c r="F166" s="17">
        <f t="shared" si="9"/>
        <v>-1.4161220043573008E-2</v>
      </c>
      <c r="G166" s="17">
        <f t="shared" si="9"/>
        <v>-1.3448275862068981E-2</v>
      </c>
      <c r="H166" s="14">
        <f t="shared" si="10"/>
        <v>-1.1439526410081575E-2</v>
      </c>
      <c r="I166" s="39">
        <f t="shared" si="11"/>
        <v>1.3227513227513227E-3</v>
      </c>
      <c r="J166" s="42">
        <v>-9.4545454545454932E-3</v>
      </c>
      <c r="K166" s="88">
        <v>-8.1967213114754189E-3</v>
      </c>
      <c r="L166" s="42">
        <v>-1.2277470841006721E-2</v>
      </c>
      <c r="M166" s="43">
        <v>-1.0996336254342359E-2</v>
      </c>
      <c r="Q166" s="2"/>
      <c r="R166" s="24"/>
      <c r="S166" s="24"/>
      <c r="T166" s="24"/>
    </row>
    <row r="167" spans="1:20" x14ac:dyDescent="0.25">
      <c r="A167" s="2">
        <v>45162</v>
      </c>
      <c r="B167" s="20">
        <v>2744</v>
      </c>
      <c r="C167" s="20">
        <v>459</v>
      </c>
      <c r="D167" s="20">
        <v>14500</v>
      </c>
      <c r="E167" s="17">
        <f t="shared" si="9"/>
        <v>3.6576444769569338E-3</v>
      </c>
      <c r="F167" s="17">
        <f t="shared" si="9"/>
        <v>3.1460674157303359E-2</v>
      </c>
      <c r="G167" s="17">
        <f t="shared" si="9"/>
        <v>8.3449235048678183E-3</v>
      </c>
      <c r="H167" s="14">
        <f t="shared" si="10"/>
        <v>8.6859507806697281E-3</v>
      </c>
      <c r="I167" s="39">
        <f t="shared" si="11"/>
        <v>1.3227513227513227E-3</v>
      </c>
      <c r="J167" s="42">
        <v>-9.2827004219409037E-3</v>
      </c>
      <c r="K167" s="88">
        <v>-8.1967213114754189E-3</v>
      </c>
      <c r="L167" s="42">
        <v>-1.2219380505825495E-2</v>
      </c>
      <c r="M167" s="43">
        <v>-1.0819278677639252E-2</v>
      </c>
      <c r="Q167" s="2"/>
      <c r="R167" s="24"/>
      <c r="S167" s="24"/>
      <c r="T167" s="24"/>
    </row>
    <row r="168" spans="1:20" x14ac:dyDescent="0.25">
      <c r="A168" s="2">
        <v>45161</v>
      </c>
      <c r="B168" s="20">
        <v>2734</v>
      </c>
      <c r="C168" s="20">
        <v>445</v>
      </c>
      <c r="D168" s="20">
        <v>14380</v>
      </c>
      <c r="E168" s="17">
        <f t="shared" si="9"/>
        <v>1.3343217197924417E-2</v>
      </c>
      <c r="F168" s="17">
        <f t="shared" si="9"/>
        <v>6.7873303167420573E-3</v>
      </c>
      <c r="G168" s="17">
        <f t="shared" si="9"/>
        <v>5.9461350122420598E-3</v>
      </c>
      <c r="H168" s="14">
        <f t="shared" si="10"/>
        <v>7.0475201683629779E-3</v>
      </c>
      <c r="I168" s="39">
        <f t="shared" si="11"/>
        <v>1.3227513227513227E-3</v>
      </c>
      <c r="J168" s="42">
        <v>-9.2592592592593004E-3</v>
      </c>
      <c r="K168" s="88">
        <v>-8.1743869209809361E-3</v>
      </c>
      <c r="L168" s="42">
        <v>-1.2101653892698683E-2</v>
      </c>
      <c r="M168" s="43">
        <v>-1.069017480122942E-2</v>
      </c>
      <c r="Q168" s="2"/>
      <c r="R168" s="24"/>
      <c r="S168" s="24"/>
      <c r="T168" s="24"/>
    </row>
    <row r="169" spans="1:20" x14ac:dyDescent="0.25">
      <c r="A169" s="2">
        <v>45160</v>
      </c>
      <c r="B169" s="20">
        <v>2698</v>
      </c>
      <c r="C169" s="20">
        <v>442</v>
      </c>
      <c r="D169" s="20">
        <v>14295</v>
      </c>
      <c r="E169" s="17">
        <f t="shared" si="9"/>
        <v>-3.6927621861152504E-3</v>
      </c>
      <c r="F169" s="17">
        <f t="shared" si="9"/>
        <v>1.0285714285714231E-2</v>
      </c>
      <c r="G169" s="17">
        <f t="shared" si="9"/>
        <v>1.4189428875487797E-2</v>
      </c>
      <c r="H169" s="14">
        <f t="shared" si="10"/>
        <v>1.1444708722163719E-2</v>
      </c>
      <c r="I169" s="39">
        <f t="shared" si="11"/>
        <v>1.3227513227513227E-3</v>
      </c>
      <c r="J169" s="42">
        <v>-9.1807909604519899E-3</v>
      </c>
      <c r="K169" s="88">
        <v>-8.168028004667427E-3</v>
      </c>
      <c r="L169" s="42">
        <v>-1.2080536912751683E-2</v>
      </c>
      <c r="M169" s="43">
        <v>-1.0598232726814599E-2</v>
      </c>
      <c r="Q169" s="2"/>
      <c r="R169" s="24"/>
      <c r="S169" s="24"/>
      <c r="T169" s="24"/>
    </row>
    <row r="170" spans="1:20" x14ac:dyDescent="0.25">
      <c r="A170" s="2">
        <v>45159</v>
      </c>
      <c r="B170" s="20">
        <v>2708</v>
      </c>
      <c r="C170" s="29">
        <v>437.5</v>
      </c>
      <c r="D170" s="20">
        <v>14095</v>
      </c>
      <c r="E170" s="17">
        <f t="shared" si="9"/>
        <v>2.1116138763197512E-2</v>
      </c>
      <c r="F170" s="17">
        <f t="shared" si="9"/>
        <v>-5.6818181818182323E-3</v>
      </c>
      <c r="G170" s="17">
        <f t="shared" si="9"/>
        <v>-3.5460992907798694E-4</v>
      </c>
      <c r="H170" s="14">
        <f t="shared" si="10"/>
        <v>2.5009661438073947E-3</v>
      </c>
      <c r="I170" s="39">
        <f t="shared" si="11"/>
        <v>1.3227513227513227E-3</v>
      </c>
      <c r="J170" s="42">
        <v>-9.0529247910863253E-3</v>
      </c>
      <c r="K170" s="88">
        <v>-8.1566068515497303E-3</v>
      </c>
      <c r="L170" s="42">
        <v>-1.1992619926199266E-2</v>
      </c>
      <c r="M170" s="43">
        <v>-1.0578654711748601E-2</v>
      </c>
      <c r="Q170" s="2"/>
      <c r="R170" s="24"/>
      <c r="S170" s="24"/>
      <c r="T170" s="24"/>
    </row>
    <row r="171" spans="1:20" x14ac:dyDescent="0.25">
      <c r="A171" s="2">
        <v>45156</v>
      </c>
      <c r="B171" s="20">
        <v>2652</v>
      </c>
      <c r="C171" s="20">
        <v>440</v>
      </c>
      <c r="D171" s="20">
        <v>14100</v>
      </c>
      <c r="E171" s="17">
        <f t="shared" si="9"/>
        <v>-1.6320474777448024E-2</v>
      </c>
      <c r="F171" s="17">
        <f t="shared" si="9"/>
        <v>3.420752565564511E-3</v>
      </c>
      <c r="G171" s="17">
        <f t="shared" si="9"/>
        <v>0</v>
      </c>
      <c r="H171" s="14">
        <f t="shared" si="10"/>
        <v>-2.1982131777978061E-3</v>
      </c>
      <c r="I171" s="39">
        <f t="shared" si="11"/>
        <v>1.3227513227513227E-3</v>
      </c>
      <c r="J171" s="42">
        <v>-8.9153046062406816E-3</v>
      </c>
      <c r="K171" s="88">
        <v>-8.0459770114942319E-3</v>
      </c>
      <c r="L171" s="42">
        <v>-1.1977797253870826E-2</v>
      </c>
      <c r="M171" s="43">
        <v>-1.0463528479854023E-2</v>
      </c>
      <c r="Q171" s="2"/>
      <c r="R171" s="24"/>
      <c r="S171" s="24"/>
      <c r="T171" s="24"/>
    </row>
    <row r="172" spans="1:20" x14ac:dyDescent="0.25">
      <c r="A172" s="2">
        <v>45155</v>
      </c>
      <c r="B172" s="20">
        <v>2696</v>
      </c>
      <c r="C172" s="29">
        <v>438.5</v>
      </c>
      <c r="D172" s="20">
        <v>14100</v>
      </c>
      <c r="E172" s="17">
        <f t="shared" si="9"/>
        <v>1.277235161532686E-2</v>
      </c>
      <c r="F172" s="17">
        <f t="shared" si="9"/>
        <v>0</v>
      </c>
      <c r="G172" s="17">
        <f t="shared" si="9"/>
        <v>3.1833150384193099E-2</v>
      </c>
      <c r="H172" s="14">
        <f t="shared" si="10"/>
        <v>2.7691835430354909E-2</v>
      </c>
      <c r="I172" s="39">
        <f t="shared" si="11"/>
        <v>1.3227513227513227E-3</v>
      </c>
      <c r="J172" s="42">
        <v>-8.7950747581354571E-3</v>
      </c>
      <c r="K172" s="88">
        <v>-8.0000000000000071E-3</v>
      </c>
      <c r="L172" s="42">
        <v>-1.1911207363291876E-2</v>
      </c>
      <c r="M172" s="43">
        <v>-1.0220704212926257E-2</v>
      </c>
      <c r="Q172" s="2"/>
      <c r="R172" s="24"/>
      <c r="S172" s="24"/>
      <c r="T172" s="24"/>
    </row>
    <row r="173" spans="1:20" x14ac:dyDescent="0.25">
      <c r="A173" s="2">
        <v>45154</v>
      </c>
      <c r="B173" s="20">
        <v>2662</v>
      </c>
      <c r="C173" s="29">
        <v>438.5</v>
      </c>
      <c r="D173" s="20">
        <v>13665</v>
      </c>
      <c r="E173" s="17">
        <f t="shared" si="9"/>
        <v>-2.2488755622188661E-3</v>
      </c>
      <c r="F173" s="17">
        <f t="shared" si="9"/>
        <v>-2.2753128555176305E-3</v>
      </c>
      <c r="G173" s="17">
        <f t="shared" si="9"/>
        <v>-7.2648020341445907E-3</v>
      </c>
      <c r="H173" s="14">
        <f t="shared" si="10"/>
        <v>-6.3238191891496062E-3</v>
      </c>
      <c r="I173" s="39">
        <f t="shared" si="11"/>
        <v>1.3227513227513227E-3</v>
      </c>
      <c r="J173" s="42">
        <v>-8.7399854333576332E-3</v>
      </c>
      <c r="K173" s="88">
        <v>-7.900677200902928E-3</v>
      </c>
      <c r="L173" s="42">
        <v>-1.1832197920401577E-2</v>
      </c>
      <c r="M173" s="43">
        <v>-1.0181205285773353E-2</v>
      </c>
      <c r="Q173" s="2"/>
      <c r="R173" s="24"/>
      <c r="S173" s="24"/>
      <c r="T173" s="24"/>
    </row>
    <row r="174" spans="1:20" x14ac:dyDescent="0.25">
      <c r="A174" s="2">
        <v>45153</v>
      </c>
      <c r="B174" s="20">
        <v>2668</v>
      </c>
      <c r="C174" s="29">
        <v>439.5</v>
      </c>
      <c r="D174" s="20">
        <v>13765</v>
      </c>
      <c r="E174" s="17">
        <f t="shared" si="9"/>
        <v>-8.9153046062406816E-3</v>
      </c>
      <c r="F174" s="17">
        <f t="shared" si="9"/>
        <v>-6.7796610169491567E-3</v>
      </c>
      <c r="G174" s="17">
        <f t="shared" si="9"/>
        <v>-9.3558834112990041E-3</v>
      </c>
      <c r="H174" s="14">
        <f t="shared" si="10"/>
        <v>-9.1793062426295102E-3</v>
      </c>
      <c r="I174" s="39">
        <f t="shared" si="11"/>
        <v>1.3227513227513227E-3</v>
      </c>
      <c r="J174" s="42">
        <v>-8.565310492505307E-3</v>
      </c>
      <c r="K174" s="88">
        <v>-7.8616352201258399E-3</v>
      </c>
      <c r="L174" s="42">
        <v>-1.1740534194305874E-2</v>
      </c>
      <c r="M174" s="43">
        <v>-1.0138323389654404E-2</v>
      </c>
      <c r="Q174" s="2"/>
      <c r="R174" s="24"/>
      <c r="S174" s="24"/>
      <c r="T174" s="24"/>
    </row>
    <row r="175" spans="1:20" x14ac:dyDescent="0.25">
      <c r="A175" s="2">
        <v>45152</v>
      </c>
      <c r="B175" s="20">
        <v>2692</v>
      </c>
      <c r="C175" s="29">
        <v>442.5</v>
      </c>
      <c r="D175" s="20">
        <v>13895</v>
      </c>
      <c r="E175" s="17">
        <f t="shared" si="9"/>
        <v>8.2397003745318109E-3</v>
      </c>
      <c r="F175" s="17">
        <f t="shared" si="9"/>
        <v>6.8259385665530026E-3</v>
      </c>
      <c r="G175" s="17">
        <f t="shared" si="9"/>
        <v>-1.3489527866524686E-2</v>
      </c>
      <c r="H175" s="14">
        <f t="shared" si="10"/>
        <v>-9.4702240432394027E-3</v>
      </c>
      <c r="I175" s="39">
        <f t="shared" si="11"/>
        <v>1.3227513227513227E-3</v>
      </c>
      <c r="J175" s="42">
        <v>-8.5592011412267688E-3</v>
      </c>
      <c r="K175" s="88">
        <v>-7.8492935635793293E-3</v>
      </c>
      <c r="L175" s="42">
        <v>-1.1688311688311637E-2</v>
      </c>
      <c r="M175" s="43">
        <v>-1.0115722125508221E-2</v>
      </c>
      <c r="Q175" s="2"/>
      <c r="R175" s="24"/>
      <c r="S175" s="24"/>
      <c r="T175" s="24"/>
    </row>
    <row r="176" spans="1:20" x14ac:dyDescent="0.25">
      <c r="A176" s="2">
        <v>45149</v>
      </c>
      <c r="B176" s="20">
        <v>2670</v>
      </c>
      <c r="C176" s="29">
        <v>439.5</v>
      </c>
      <c r="D176" s="20">
        <v>14085</v>
      </c>
      <c r="E176" s="17">
        <f t="shared" si="9"/>
        <v>-3.7313432835820448E-3</v>
      </c>
      <c r="F176" s="17">
        <f t="shared" si="9"/>
        <v>-5.6561085972850478E-3</v>
      </c>
      <c r="G176" s="17">
        <f t="shared" si="9"/>
        <v>1.0039440659734611E-2</v>
      </c>
      <c r="H176" s="14">
        <f t="shared" si="10"/>
        <v>7.3683078668729139E-3</v>
      </c>
      <c r="I176" s="39">
        <f t="shared" si="11"/>
        <v>1.3227513227513227E-3</v>
      </c>
      <c r="J176" s="42">
        <v>-8.5287846481876262E-3</v>
      </c>
      <c r="K176" s="88">
        <v>-7.8328981723237989E-3</v>
      </c>
      <c r="L176" s="42">
        <v>-1.1668611435239229E-2</v>
      </c>
      <c r="M176" s="43">
        <v>-9.9794526692713343E-3</v>
      </c>
      <c r="Q176" s="2"/>
      <c r="R176" s="24"/>
      <c r="S176" s="24"/>
      <c r="T176" s="24"/>
    </row>
    <row r="177" spans="1:20" x14ac:dyDescent="0.25">
      <c r="A177" s="2">
        <v>45148</v>
      </c>
      <c r="B177" s="20">
        <v>2680</v>
      </c>
      <c r="C177" s="20">
        <v>442</v>
      </c>
      <c r="D177" s="20">
        <v>13945</v>
      </c>
      <c r="E177" s="17">
        <f t="shared" si="9"/>
        <v>-6.6716085989622087E-3</v>
      </c>
      <c r="F177" s="17">
        <f t="shared" si="9"/>
        <v>1.1325028312569874E-3</v>
      </c>
      <c r="G177" s="17">
        <f t="shared" si="9"/>
        <v>1.8998903909389853E-2</v>
      </c>
      <c r="H177" s="14">
        <f t="shared" si="10"/>
        <v>1.4520047018492547E-2</v>
      </c>
      <c r="I177" s="39">
        <f t="shared" si="11"/>
        <v>1.3227513227513227E-3</v>
      </c>
      <c r="J177" s="42">
        <v>-8.4745762711864181E-3</v>
      </c>
      <c r="K177" s="88">
        <v>-7.7922077922077948E-3</v>
      </c>
      <c r="L177" s="42">
        <v>-1.166558651976668E-2</v>
      </c>
      <c r="M177" s="43">
        <v>-9.9565102456148618E-3</v>
      </c>
      <c r="Q177" s="2"/>
      <c r="R177" s="24"/>
      <c r="S177" s="24"/>
      <c r="T177" s="24"/>
    </row>
    <row r="178" spans="1:20" x14ac:dyDescent="0.25">
      <c r="A178" s="2">
        <v>45147</v>
      </c>
      <c r="B178" s="20">
        <v>2698</v>
      </c>
      <c r="C178" s="29">
        <v>441.5</v>
      </c>
      <c r="D178" s="20">
        <v>13685</v>
      </c>
      <c r="E178" s="17">
        <f t="shared" si="9"/>
        <v>1.5813253012048278E-2</v>
      </c>
      <c r="F178" s="17">
        <f t="shared" si="9"/>
        <v>1.9630484988452546E-2</v>
      </c>
      <c r="G178" s="17">
        <f t="shared" si="9"/>
        <v>-1.3338139870223475E-2</v>
      </c>
      <c r="H178" s="14">
        <f t="shared" si="10"/>
        <v>-7.694918894183069E-3</v>
      </c>
      <c r="I178" s="39">
        <f t="shared" si="11"/>
        <v>1.3227513227513227E-3</v>
      </c>
      <c r="J178" s="42">
        <v>-8.2850041425021059E-3</v>
      </c>
      <c r="K178" s="88">
        <v>-7.7220077220077066E-3</v>
      </c>
      <c r="L178" s="42">
        <v>-1.1659192825112075E-2</v>
      </c>
      <c r="M178" s="43">
        <v>-9.926887406280744E-3</v>
      </c>
      <c r="Q178" s="2"/>
      <c r="R178" s="24"/>
      <c r="S178" s="24"/>
      <c r="T178" s="24"/>
    </row>
    <row r="179" spans="1:20" x14ac:dyDescent="0.25">
      <c r="A179" s="2">
        <v>45146</v>
      </c>
      <c r="B179" s="20">
        <v>2656</v>
      </c>
      <c r="C179" s="20">
        <v>433</v>
      </c>
      <c r="D179" s="20">
        <v>13870</v>
      </c>
      <c r="E179" s="17">
        <f t="shared" si="9"/>
        <v>-1.9926199261992572E-2</v>
      </c>
      <c r="F179" s="17">
        <f t="shared" si="9"/>
        <v>1.6431924882629012E-2</v>
      </c>
      <c r="G179" s="17">
        <f t="shared" si="9"/>
        <v>2.7407407407407325E-2</v>
      </c>
      <c r="H179" s="14">
        <f t="shared" si="10"/>
        <v>2.0113993054263316E-2</v>
      </c>
      <c r="I179" s="39">
        <f t="shared" si="11"/>
        <v>1.3227513227513227E-3</v>
      </c>
      <c r="J179" s="42">
        <v>-8.2397003745318109E-3</v>
      </c>
      <c r="K179" s="88">
        <v>-7.6219512195121464E-3</v>
      </c>
      <c r="L179" s="42">
        <v>-1.1504832029452405E-2</v>
      </c>
      <c r="M179" s="43">
        <v>-9.8788306415663642E-3</v>
      </c>
      <c r="Q179" s="2"/>
      <c r="R179" s="24"/>
      <c r="S179" s="24"/>
      <c r="T179" s="24"/>
    </row>
    <row r="180" spans="1:20" x14ac:dyDescent="0.25">
      <c r="A180" s="2">
        <v>45145</v>
      </c>
      <c r="B180" s="20">
        <v>2710</v>
      </c>
      <c r="C180" s="20">
        <v>426</v>
      </c>
      <c r="D180" s="20">
        <v>13500</v>
      </c>
      <c r="E180" s="17">
        <f t="shared" si="9"/>
        <v>-1.0226442658875068E-2</v>
      </c>
      <c r="F180" s="17">
        <f t="shared" si="9"/>
        <v>-3.5087719298245723E-3</v>
      </c>
      <c r="G180" s="17">
        <f t="shared" si="9"/>
        <v>1.6949152542372836E-2</v>
      </c>
      <c r="H180" s="14">
        <f t="shared" si="10"/>
        <v>1.2139865656627627E-2</v>
      </c>
      <c r="I180" s="39">
        <f t="shared" si="11"/>
        <v>1.3227513227513227E-3</v>
      </c>
      <c r="J180" s="42">
        <v>-8.1577158395649274E-3</v>
      </c>
      <c r="K180" s="88">
        <v>-7.5642965204235635E-3</v>
      </c>
      <c r="L180" s="42">
        <v>-1.1340505961035197E-2</v>
      </c>
      <c r="M180" s="43">
        <v>-9.7369817339236532E-3</v>
      </c>
      <c r="Q180" s="2"/>
      <c r="R180" s="24"/>
      <c r="S180" s="24"/>
      <c r="T180" s="24"/>
    </row>
    <row r="181" spans="1:20" x14ac:dyDescent="0.25">
      <c r="A181" s="2">
        <v>45142</v>
      </c>
      <c r="B181" s="20">
        <v>2738</v>
      </c>
      <c r="C181" s="29">
        <v>427.5</v>
      </c>
      <c r="D181" s="20">
        <v>13275</v>
      </c>
      <c r="E181" s="17">
        <f t="shared" si="9"/>
        <v>-1.5107913669064721E-2</v>
      </c>
      <c r="F181" s="17">
        <f t="shared" si="9"/>
        <v>1.1709601873535203E-3</v>
      </c>
      <c r="G181" s="17">
        <f t="shared" si="9"/>
        <v>1.1043412033511002E-2</v>
      </c>
      <c r="H181" s="14">
        <f t="shared" si="10"/>
        <v>6.8465566361728455E-3</v>
      </c>
      <c r="I181" s="39">
        <f t="shared" si="11"/>
        <v>1.3227513227513227E-3</v>
      </c>
      <c r="J181" s="42">
        <v>-8.1240768094534843E-3</v>
      </c>
      <c r="K181" s="88">
        <v>-7.5614366729678251E-3</v>
      </c>
      <c r="L181" s="42">
        <v>-1.1330815374361203E-2</v>
      </c>
      <c r="M181" s="43">
        <v>-9.6544352348654529E-3</v>
      </c>
      <c r="Q181" s="2"/>
      <c r="R181" s="24"/>
      <c r="S181" s="24"/>
      <c r="T181" s="24"/>
    </row>
    <row r="182" spans="1:20" x14ac:dyDescent="0.25">
      <c r="A182" s="2">
        <v>45141</v>
      </c>
      <c r="B182" s="20">
        <v>2780</v>
      </c>
      <c r="C182" s="20">
        <v>427</v>
      </c>
      <c r="D182" s="20">
        <v>13130</v>
      </c>
      <c r="E182" s="17">
        <f t="shared" si="9"/>
        <v>-8.5592011412267688E-3</v>
      </c>
      <c r="F182" s="17">
        <f t="shared" si="9"/>
        <v>7.0754716981131782E-3</v>
      </c>
      <c r="G182" s="17">
        <f t="shared" si="9"/>
        <v>1.5860735009671112E-2</v>
      </c>
      <c r="H182" s="14">
        <f t="shared" si="10"/>
        <v>1.1960786472530596E-2</v>
      </c>
      <c r="I182" s="39">
        <f t="shared" si="11"/>
        <v>1.3227513227513227E-3</v>
      </c>
      <c r="J182" s="42">
        <v>-8.0000000000000071E-3</v>
      </c>
      <c r="K182" s="88">
        <v>-7.4534161490683593E-3</v>
      </c>
      <c r="L182" s="42">
        <v>-1.1323701679031628E-2</v>
      </c>
      <c r="M182" s="43">
        <v>-9.6359598435770653E-3</v>
      </c>
      <c r="Q182" s="2"/>
      <c r="R182" s="24"/>
      <c r="S182" s="24"/>
      <c r="T182" s="24"/>
    </row>
    <row r="183" spans="1:20" x14ac:dyDescent="0.25">
      <c r="A183" s="2">
        <v>45140</v>
      </c>
      <c r="B183" s="20">
        <v>2804</v>
      </c>
      <c r="C183" s="20">
        <v>424</v>
      </c>
      <c r="D183" s="20">
        <v>12925</v>
      </c>
      <c r="E183" s="17">
        <f t="shared" si="9"/>
        <v>4.2979942693410766E-3</v>
      </c>
      <c r="F183" s="17">
        <f t="shared" si="9"/>
        <v>2.3640661938533203E-3</v>
      </c>
      <c r="G183" s="17">
        <f t="shared" si="9"/>
        <v>-5.7692307692307487E-3</v>
      </c>
      <c r="H183" s="14">
        <f t="shared" si="10"/>
        <v>-3.9632594814597273E-3</v>
      </c>
      <c r="I183" s="39">
        <f t="shared" si="11"/>
        <v>1.3227513227513227E-3</v>
      </c>
      <c r="J183" s="42">
        <v>-8.0000000000000071E-3</v>
      </c>
      <c r="K183" s="88">
        <v>-7.3710073710073765E-3</v>
      </c>
      <c r="L183" s="42">
        <v>-1.1235955056179803E-2</v>
      </c>
      <c r="M183" s="43">
        <v>-9.6046291255553994E-3</v>
      </c>
      <c r="Q183" s="2"/>
      <c r="R183" s="24"/>
      <c r="S183" s="24"/>
      <c r="T183" s="24"/>
    </row>
    <row r="184" spans="1:20" x14ac:dyDescent="0.25">
      <c r="A184" s="2">
        <v>45139</v>
      </c>
      <c r="B184" s="20">
        <v>2792</v>
      </c>
      <c r="C184" s="20">
        <v>423</v>
      </c>
      <c r="D184" s="20">
        <v>13000</v>
      </c>
      <c r="E184" s="17">
        <f t="shared" si="9"/>
        <v>4.3165467625898568E-3</v>
      </c>
      <c r="F184" s="17">
        <f t="shared" si="9"/>
        <v>1.0752688172043001E-2</v>
      </c>
      <c r="G184" s="17">
        <f t="shared" si="9"/>
        <v>1.4832162373145996E-2</v>
      </c>
      <c r="H184" s="14">
        <f t="shared" si="10"/>
        <v>1.3139760678892578E-2</v>
      </c>
      <c r="I184" s="39">
        <f t="shared" si="11"/>
        <v>1.3227513227513227E-3</v>
      </c>
      <c r="J184" s="42">
        <v>-7.9422382671480163E-3</v>
      </c>
      <c r="K184" s="88">
        <v>-7.3529411764705621E-3</v>
      </c>
      <c r="L184" s="42">
        <v>-1.1212121212121229E-2</v>
      </c>
      <c r="M184" s="43">
        <v>-9.5835595210645996E-3</v>
      </c>
      <c r="Q184" s="2"/>
      <c r="R184" s="24"/>
      <c r="S184" s="24"/>
      <c r="T184" s="24"/>
    </row>
    <row r="185" spans="1:20" x14ac:dyDescent="0.25">
      <c r="A185" s="2">
        <v>45138</v>
      </c>
      <c r="B185" s="20">
        <v>2780</v>
      </c>
      <c r="C185" s="29">
        <v>418.5</v>
      </c>
      <c r="D185" s="20">
        <v>12810</v>
      </c>
      <c r="E185" s="17">
        <f t="shared" si="9"/>
        <v>7.1994240460759862E-4</v>
      </c>
      <c r="F185" s="17">
        <f t="shared" si="9"/>
        <v>-7.1174377224199059E-3</v>
      </c>
      <c r="G185" s="17">
        <f t="shared" si="9"/>
        <v>-6.9767441860465462E-3</v>
      </c>
      <c r="H185" s="14">
        <f t="shared" si="10"/>
        <v>-5.8753826735274016E-3</v>
      </c>
      <c r="I185" s="39">
        <f t="shared" si="11"/>
        <v>1.3227513227513227E-3</v>
      </c>
      <c r="J185" s="42">
        <v>-7.692307692307665E-3</v>
      </c>
      <c r="K185" s="88">
        <v>-7.3529411764705621E-3</v>
      </c>
      <c r="L185" s="42">
        <v>-1.1121408711770142E-2</v>
      </c>
      <c r="M185" s="43">
        <v>-9.5663204908977909E-3</v>
      </c>
      <c r="Q185" s="2"/>
      <c r="R185" s="24"/>
      <c r="S185" s="24"/>
      <c r="T185" s="24"/>
    </row>
    <row r="186" spans="1:20" x14ac:dyDescent="0.25">
      <c r="A186" s="2">
        <v>45135</v>
      </c>
      <c r="B186" s="20">
        <v>2778</v>
      </c>
      <c r="C186" s="29">
        <v>421.5</v>
      </c>
      <c r="D186" s="20">
        <v>12900</v>
      </c>
      <c r="E186" s="17">
        <f t="shared" si="9"/>
        <v>4.3383947939261702E-3</v>
      </c>
      <c r="F186" s="17">
        <f t="shared" si="9"/>
        <v>5.9665871121719061E-3</v>
      </c>
      <c r="G186" s="17">
        <f t="shared" si="9"/>
        <v>5.0642773665756646E-3</v>
      </c>
      <c r="H186" s="14">
        <f t="shared" si="10"/>
        <v>4.9994641115148298E-3</v>
      </c>
      <c r="I186" s="39">
        <f t="shared" si="11"/>
        <v>1.3227513227513227E-3</v>
      </c>
      <c r="J186" s="42">
        <v>-7.575757575757569E-3</v>
      </c>
      <c r="K186" s="88">
        <v>-7.2992700729926918E-3</v>
      </c>
      <c r="L186" s="42">
        <v>-1.1090573012939031E-2</v>
      </c>
      <c r="M186" s="43">
        <v>-9.5240224670901062E-3</v>
      </c>
      <c r="Q186" s="2"/>
      <c r="R186" s="24"/>
      <c r="S186" s="24"/>
      <c r="T186" s="24"/>
    </row>
    <row r="187" spans="1:20" x14ac:dyDescent="0.25">
      <c r="A187" s="2">
        <v>45134</v>
      </c>
      <c r="B187" s="20">
        <v>2766</v>
      </c>
      <c r="C187" s="20">
        <v>419</v>
      </c>
      <c r="D187" s="20">
        <v>12835</v>
      </c>
      <c r="E187" s="17">
        <f t="shared" si="9"/>
        <v>-1.4255167498218091E-2</v>
      </c>
      <c r="F187" s="17">
        <f t="shared" si="9"/>
        <v>1.330108827085863E-2</v>
      </c>
      <c r="G187" s="17">
        <f t="shared" si="9"/>
        <v>-5.0387596899225118E-3</v>
      </c>
      <c r="H187" s="14">
        <f t="shared" si="10"/>
        <v>-5.5592824783730968E-3</v>
      </c>
      <c r="I187" s="39">
        <f t="shared" si="11"/>
        <v>1.3227513227513227E-3</v>
      </c>
      <c r="J187" s="42">
        <v>-7.5601374570446467E-3</v>
      </c>
      <c r="K187" s="88">
        <v>-7.2463768115942351E-3</v>
      </c>
      <c r="L187" s="42">
        <v>-1.0680157391793177E-2</v>
      </c>
      <c r="M187" s="43">
        <v>-9.5216229197513397E-3</v>
      </c>
      <c r="Q187" s="2"/>
      <c r="R187" s="24"/>
      <c r="S187" s="24"/>
      <c r="T187" s="24"/>
    </row>
    <row r="188" spans="1:20" x14ac:dyDescent="0.25">
      <c r="A188" s="2">
        <v>45133</v>
      </c>
      <c r="B188" s="20">
        <v>2806</v>
      </c>
      <c r="C188" s="29">
        <v>413.5</v>
      </c>
      <c r="D188" s="20">
        <v>12900</v>
      </c>
      <c r="E188" s="17">
        <f t="shared" si="9"/>
        <v>-9.8800282286520824E-3</v>
      </c>
      <c r="F188" s="17">
        <f t="shared" si="9"/>
        <v>2.4242424242424399E-3</v>
      </c>
      <c r="G188" s="17">
        <f t="shared" si="9"/>
        <v>-5.3970701619121542E-3</v>
      </c>
      <c r="H188" s="14">
        <f t="shared" si="10"/>
        <v>-5.6985559939567556E-3</v>
      </c>
      <c r="I188" s="39">
        <f t="shared" si="11"/>
        <v>1.3227513227513227E-3</v>
      </c>
      <c r="J188" s="42">
        <v>-7.5445816186556769E-3</v>
      </c>
      <c r="K188" s="88">
        <v>-7.194244604316502E-3</v>
      </c>
      <c r="L188" s="42">
        <v>-1.0633379565418433E-2</v>
      </c>
      <c r="M188" s="43">
        <v>-9.5148457494650916E-3</v>
      </c>
      <c r="Q188" s="2"/>
      <c r="R188" s="24"/>
      <c r="S188" s="24"/>
      <c r="T188" s="24"/>
    </row>
    <row r="189" spans="1:20" x14ac:dyDescent="0.25">
      <c r="A189" s="2">
        <v>45132</v>
      </c>
      <c r="B189" s="20">
        <v>2834</v>
      </c>
      <c r="C189" s="29">
        <v>412.5</v>
      </c>
      <c r="D189" s="20">
        <v>12970</v>
      </c>
      <c r="E189" s="17">
        <f t="shared" si="9"/>
        <v>6.3920454545454142E-3</v>
      </c>
      <c r="F189" s="17">
        <f t="shared" si="9"/>
        <v>-8.4134615384615641E-3</v>
      </c>
      <c r="G189" s="17">
        <f t="shared" si="9"/>
        <v>9.7314130011678657E-3</v>
      </c>
      <c r="H189" s="14">
        <f t="shared" si="10"/>
        <v>8.4537428093187147E-3</v>
      </c>
      <c r="I189" s="39">
        <f t="shared" si="11"/>
        <v>1.3227513227513227E-3</v>
      </c>
      <c r="J189" s="42">
        <v>-7.5376884422110324E-3</v>
      </c>
      <c r="K189" s="88">
        <v>-7.1174377224199059E-3</v>
      </c>
      <c r="L189" s="42">
        <v>-1.0619469026548645E-2</v>
      </c>
      <c r="M189" s="43">
        <v>-9.4702240432394027E-3</v>
      </c>
      <c r="Q189" s="2"/>
      <c r="R189" s="24"/>
      <c r="S189" s="24"/>
      <c r="T189" s="24"/>
    </row>
    <row r="190" spans="1:20" x14ac:dyDescent="0.25">
      <c r="A190" s="2">
        <v>45131</v>
      </c>
      <c r="B190" s="20">
        <v>2816</v>
      </c>
      <c r="C190" s="20">
        <v>416</v>
      </c>
      <c r="D190" s="20">
        <v>12845</v>
      </c>
      <c r="E190" s="17">
        <f t="shared" si="9"/>
        <v>-2.2222222222222254E-2</v>
      </c>
      <c r="F190" s="17">
        <f t="shared" si="9"/>
        <v>8.4848484848485395E-3</v>
      </c>
      <c r="G190" s="17">
        <f t="shared" si="9"/>
        <v>7.4509803921569695E-3</v>
      </c>
      <c r="H190" s="14">
        <f t="shared" si="10"/>
        <v>3.2264678122759173E-3</v>
      </c>
      <c r="I190" s="39">
        <f t="shared" si="11"/>
        <v>1.3227513227513227E-3</v>
      </c>
      <c r="J190" s="42">
        <v>-7.5085324232081474E-3</v>
      </c>
      <c r="K190" s="88">
        <v>-7.058823529411784E-3</v>
      </c>
      <c r="L190" s="42">
        <v>-1.0615711252653925E-2</v>
      </c>
      <c r="M190" s="43">
        <v>-9.360484065360641E-3</v>
      </c>
      <c r="Q190" s="2"/>
      <c r="R190" s="24"/>
      <c r="S190" s="24"/>
      <c r="T190" s="24"/>
    </row>
    <row r="191" spans="1:20" x14ac:dyDescent="0.25">
      <c r="A191" s="2">
        <v>45128</v>
      </c>
      <c r="B191" s="20">
        <v>2880</v>
      </c>
      <c r="C191" s="29">
        <v>412.5</v>
      </c>
      <c r="D191" s="20">
        <v>12750</v>
      </c>
      <c r="E191" s="17">
        <f t="shared" si="9"/>
        <v>3.4843205574912606E-3</v>
      </c>
      <c r="F191" s="17">
        <f t="shared" si="9"/>
        <v>1.2135922330096527E-3</v>
      </c>
      <c r="G191" s="17">
        <f t="shared" si="9"/>
        <v>7.905138339920903E-3</v>
      </c>
      <c r="H191" s="14">
        <f t="shared" si="10"/>
        <v>6.9750161112312522E-3</v>
      </c>
      <c r="I191" s="39">
        <f t="shared" si="11"/>
        <v>1.3227513227513227E-3</v>
      </c>
      <c r="J191" s="42">
        <v>-7.4571215510812472E-3</v>
      </c>
      <c r="K191" s="88">
        <v>-7.0175438596491446E-3</v>
      </c>
      <c r="L191" s="42">
        <v>-1.0561255280627679E-2</v>
      </c>
      <c r="M191" s="43">
        <v>-9.3428551516760057E-3</v>
      </c>
      <c r="Q191" s="2"/>
      <c r="R191" s="24"/>
      <c r="S191" s="24"/>
      <c r="T191" s="24"/>
    </row>
    <row r="192" spans="1:20" x14ac:dyDescent="0.25">
      <c r="A192" s="2">
        <v>45127</v>
      </c>
      <c r="B192" s="20">
        <v>2870</v>
      </c>
      <c r="C192" s="20">
        <v>412</v>
      </c>
      <c r="D192" s="20">
        <v>12650</v>
      </c>
      <c r="E192" s="17">
        <f t="shared" si="9"/>
        <v>-0.10031347962382442</v>
      </c>
      <c r="F192" s="17">
        <f t="shared" si="9"/>
        <v>-8.4235860409145324E-3</v>
      </c>
      <c r="G192" s="17">
        <f t="shared" si="9"/>
        <v>1.2000000000000011E-2</v>
      </c>
      <c r="H192" s="14">
        <f t="shared" si="10"/>
        <v>-5.0590010384367855E-3</v>
      </c>
      <c r="I192" s="39">
        <f t="shared" si="11"/>
        <v>1.3227513227513227E-3</v>
      </c>
      <c r="J192" s="42">
        <v>-7.4019245003701384E-3</v>
      </c>
      <c r="K192" s="88">
        <v>-6.9124423963133896E-3</v>
      </c>
      <c r="L192" s="42">
        <v>-1.0382513661202131E-2</v>
      </c>
      <c r="M192" s="43">
        <v>-9.3365222329906197E-3</v>
      </c>
      <c r="Q192" s="2"/>
      <c r="R192" s="24"/>
      <c r="S192" s="24"/>
      <c r="T192" s="24"/>
    </row>
    <row r="193" spans="1:20" x14ac:dyDescent="0.25">
      <c r="A193" s="2">
        <v>45126</v>
      </c>
      <c r="B193" s="20">
        <v>3190</v>
      </c>
      <c r="C193" s="29">
        <v>415.5</v>
      </c>
      <c r="D193" s="20">
        <v>12500</v>
      </c>
      <c r="E193" s="17">
        <f t="shared" si="9"/>
        <v>1.5923566878980999E-2</v>
      </c>
      <c r="F193" s="17">
        <f t="shared" si="9"/>
        <v>-4.7904191616766623E-3</v>
      </c>
      <c r="G193" s="17">
        <f t="shared" si="9"/>
        <v>-4.3807248108322927E-3</v>
      </c>
      <c r="H193" s="14">
        <f t="shared" si="10"/>
        <v>-1.4769642585019151E-3</v>
      </c>
      <c r="I193" s="39">
        <f t="shared" si="11"/>
        <v>1.3227513227513227E-3</v>
      </c>
      <c r="J193" s="42">
        <v>-7.3529411764705621E-3</v>
      </c>
      <c r="K193" s="88">
        <v>-6.8493150684931781E-3</v>
      </c>
      <c r="L193" s="42">
        <v>-1.036970243462576E-2</v>
      </c>
      <c r="M193" s="43">
        <v>-9.1793062426295102E-3</v>
      </c>
      <c r="Q193" s="2"/>
      <c r="R193" s="24"/>
      <c r="S193" s="24"/>
      <c r="T193" s="24"/>
    </row>
    <row r="194" spans="1:20" x14ac:dyDescent="0.25">
      <c r="A194" s="2">
        <v>45125</v>
      </c>
      <c r="B194" s="20">
        <v>3140</v>
      </c>
      <c r="C194" s="29">
        <v>417.5</v>
      </c>
      <c r="D194" s="20">
        <v>12555</v>
      </c>
      <c r="E194" s="17">
        <f t="shared" si="9"/>
        <v>6.4102564102563875E-3</v>
      </c>
      <c r="F194" s="17">
        <f t="shared" si="9"/>
        <v>-8.3135391923990776E-3</v>
      </c>
      <c r="G194" s="17">
        <f t="shared" si="9"/>
        <v>2.0731707317073189E-2</v>
      </c>
      <c r="H194" s="14">
        <f t="shared" si="10"/>
        <v>1.7394855979563296E-2</v>
      </c>
      <c r="I194" s="39">
        <f t="shared" si="11"/>
        <v>1.3227513227513227E-3</v>
      </c>
      <c r="J194" s="42">
        <v>-7.1428571428571175E-3</v>
      </c>
      <c r="K194" s="88">
        <v>-6.7796610169491567E-3</v>
      </c>
      <c r="L194" s="42">
        <v>-1.0316613304873656E-2</v>
      </c>
      <c r="M194" s="43">
        <v>-9.1650827133656233E-3</v>
      </c>
      <c r="Q194" s="2"/>
      <c r="R194" s="24"/>
      <c r="S194" s="24"/>
      <c r="T194" s="24"/>
    </row>
    <row r="195" spans="1:20" x14ac:dyDescent="0.25">
      <c r="A195" s="2">
        <v>45124</v>
      </c>
      <c r="B195" s="20">
        <v>3120</v>
      </c>
      <c r="C195" s="20">
        <v>421</v>
      </c>
      <c r="D195" s="20">
        <v>12300</v>
      </c>
      <c r="E195" s="17">
        <f t="shared" si="9"/>
        <v>7.7519379844961378E-3</v>
      </c>
      <c r="F195" s="17">
        <f t="shared" si="9"/>
        <v>2.3809523809523725E-3</v>
      </c>
      <c r="G195" s="17">
        <f t="shared" si="9"/>
        <v>8.1366965012197312E-4</v>
      </c>
      <c r="H195" s="14">
        <f t="shared" si="10"/>
        <v>1.8809305758205296E-3</v>
      </c>
      <c r="I195" s="39">
        <f t="shared" si="11"/>
        <v>1.3227513227513227E-3</v>
      </c>
      <c r="J195" s="42">
        <v>-7.1428571428571175E-3</v>
      </c>
      <c r="K195" s="88">
        <v>-6.6740823136818284E-3</v>
      </c>
      <c r="L195" s="42">
        <v>-1.0272443054935243E-2</v>
      </c>
      <c r="M195" s="43">
        <v>-9.1392721909575262E-3</v>
      </c>
      <c r="Q195" s="2"/>
      <c r="R195" s="24"/>
      <c r="S195" s="24"/>
      <c r="T195" s="24"/>
    </row>
    <row r="196" spans="1:20" x14ac:dyDescent="0.25">
      <c r="A196" s="2">
        <v>45121</v>
      </c>
      <c r="B196" s="20">
        <v>3096</v>
      </c>
      <c r="C196" s="20">
        <v>420</v>
      </c>
      <c r="D196" s="20">
        <v>12290</v>
      </c>
      <c r="E196" s="17">
        <f t="shared" si="9"/>
        <v>5.1948051948051965E-3</v>
      </c>
      <c r="F196" s="17">
        <f t="shared" si="9"/>
        <v>1.2048192771084265E-2</v>
      </c>
      <c r="G196" s="17">
        <f t="shared" si="9"/>
        <v>5.7283142389525921E-3</v>
      </c>
      <c r="H196" s="14">
        <f t="shared" si="10"/>
        <v>5.9291876698050376E-3</v>
      </c>
      <c r="I196" s="39">
        <f t="shared" si="11"/>
        <v>1.3227513227513227E-3</v>
      </c>
      <c r="J196" s="42">
        <v>-6.906077348066253E-3</v>
      </c>
      <c r="K196" s="88">
        <v>-6.6666666666667096E-3</v>
      </c>
      <c r="L196" s="42">
        <v>-1.0171306209850073E-2</v>
      </c>
      <c r="M196" s="43">
        <v>-9.0793180233468464E-3</v>
      </c>
      <c r="Q196" s="2"/>
      <c r="R196" s="24"/>
      <c r="S196" s="24"/>
      <c r="T196" s="24"/>
    </row>
    <row r="197" spans="1:20" x14ac:dyDescent="0.25">
      <c r="A197" s="2">
        <v>45120</v>
      </c>
      <c r="B197" s="20">
        <v>3080</v>
      </c>
      <c r="C197" s="20">
        <v>415</v>
      </c>
      <c r="D197" s="20">
        <v>12220</v>
      </c>
      <c r="E197" s="17">
        <f t="shared" si="9"/>
        <v>2.6041666666667407E-3</v>
      </c>
      <c r="F197" s="17">
        <f t="shared" si="9"/>
        <v>0</v>
      </c>
      <c r="G197" s="17">
        <f t="shared" si="9"/>
        <v>1.0752688172043001E-2</v>
      </c>
      <c r="H197" s="14">
        <f t="shared" si="10"/>
        <v>9.1077406597325251E-3</v>
      </c>
      <c r="I197" s="39">
        <f t="shared" si="11"/>
        <v>1.3227513227513227E-3</v>
      </c>
      <c r="J197" s="42">
        <v>-6.8965517241379448E-3</v>
      </c>
      <c r="K197" s="88">
        <v>-6.5789473684210176E-3</v>
      </c>
      <c r="L197" s="42">
        <v>-1.01058710298364E-2</v>
      </c>
      <c r="M197" s="43">
        <v>-9.0660192048999163E-3</v>
      </c>
      <c r="Q197" s="2"/>
      <c r="R197" s="24"/>
      <c r="S197" s="24"/>
      <c r="T197" s="24"/>
    </row>
    <row r="198" spans="1:20" x14ac:dyDescent="0.25">
      <c r="A198" s="2">
        <v>45119</v>
      </c>
      <c r="B198" s="20">
        <v>3072</v>
      </c>
      <c r="C198" s="20">
        <v>415</v>
      </c>
      <c r="D198" s="20">
        <v>12090</v>
      </c>
      <c r="E198" s="17">
        <f t="shared" ref="E198:G261" si="12">+B198/B199-1</f>
        <v>1.5201586252478583E-2</v>
      </c>
      <c r="F198" s="17">
        <f t="shared" si="12"/>
        <v>-3.6014405762304635E-3</v>
      </c>
      <c r="G198" s="17">
        <f t="shared" si="12"/>
        <v>1.1715481171548081E-2</v>
      </c>
      <c r="H198" s="14">
        <f t="shared" ref="H198:H261" si="13">+SUMPRODUCT(E198:G198,$K$9:$M$9)</f>
        <v>1.1544224464679939E-2</v>
      </c>
      <c r="I198" s="39">
        <f t="shared" si="11"/>
        <v>1.3227513227513227E-3</v>
      </c>
      <c r="J198" s="42">
        <v>-6.7796610169491567E-3</v>
      </c>
      <c r="K198" s="88">
        <v>-6.4935064935064402E-3</v>
      </c>
      <c r="L198" s="42">
        <v>-9.9697885196374791E-3</v>
      </c>
      <c r="M198" s="43">
        <v>-8.9387193045603417E-3</v>
      </c>
      <c r="Q198" s="2"/>
      <c r="R198" s="24"/>
      <c r="S198" s="24"/>
      <c r="T198" s="24"/>
    </row>
    <row r="199" spans="1:20" x14ac:dyDescent="0.25">
      <c r="A199" s="2">
        <v>45118</v>
      </c>
      <c r="B199" s="20">
        <v>3026</v>
      </c>
      <c r="C199" s="29">
        <v>416.5</v>
      </c>
      <c r="D199" s="20">
        <v>11950</v>
      </c>
      <c r="E199" s="17">
        <f t="shared" si="12"/>
        <v>7.3235685752330859E-3</v>
      </c>
      <c r="F199" s="17">
        <f t="shared" si="12"/>
        <v>6.0386473429951959E-3</v>
      </c>
      <c r="G199" s="17">
        <f t="shared" si="12"/>
        <v>7.5885328836424737E-3</v>
      </c>
      <c r="H199" s="14">
        <f t="shared" si="13"/>
        <v>7.4823153832911547E-3</v>
      </c>
      <c r="I199" s="39">
        <f t="shared" si="11"/>
        <v>1.3227513227513227E-3</v>
      </c>
      <c r="J199" s="42">
        <v>-6.7264573991031584E-3</v>
      </c>
      <c r="K199" s="88">
        <v>-6.3492063492063266E-3</v>
      </c>
      <c r="L199" s="42">
        <v>-9.9374309900626123E-3</v>
      </c>
      <c r="M199" s="43">
        <v>-8.9260424288915806E-3</v>
      </c>
      <c r="Q199" s="2"/>
      <c r="R199" s="24"/>
      <c r="S199" s="24"/>
      <c r="T199" s="24"/>
    </row>
    <row r="200" spans="1:20" x14ac:dyDescent="0.25">
      <c r="A200" s="2">
        <v>45117</v>
      </c>
      <c r="B200" s="20">
        <v>3004</v>
      </c>
      <c r="C200" s="20">
        <v>414</v>
      </c>
      <c r="D200" s="20">
        <v>11860</v>
      </c>
      <c r="E200" s="17">
        <f t="shared" si="12"/>
        <v>0</v>
      </c>
      <c r="F200" s="17">
        <f t="shared" si="12"/>
        <v>1.2091898428052694E-3</v>
      </c>
      <c r="G200" s="17">
        <f t="shared" si="12"/>
        <v>5.0847457627118953E-3</v>
      </c>
      <c r="H200" s="14">
        <f t="shared" si="13"/>
        <v>4.1827971868533247E-3</v>
      </c>
      <c r="I200" s="39">
        <f t="shared" si="11"/>
        <v>1.3227513227513227E-3</v>
      </c>
      <c r="J200" s="42">
        <v>-6.7064083457526458E-3</v>
      </c>
      <c r="K200" s="88">
        <v>-6.3291139240506666E-3</v>
      </c>
      <c r="L200" s="42">
        <v>-9.7378277153558068E-3</v>
      </c>
      <c r="M200" s="43">
        <v>-8.7979177365342109E-3</v>
      </c>
      <c r="Q200" s="2"/>
      <c r="R200" s="24"/>
      <c r="S200" s="24"/>
      <c r="T200" s="24"/>
    </row>
    <row r="201" spans="1:20" x14ac:dyDescent="0.25">
      <c r="A201" s="2">
        <v>45114</v>
      </c>
      <c r="B201" s="20">
        <v>3004</v>
      </c>
      <c r="C201" s="29">
        <v>413.5</v>
      </c>
      <c r="D201" s="20">
        <v>11800</v>
      </c>
      <c r="E201" s="17">
        <f t="shared" si="12"/>
        <v>-6.6533599467732962E-4</v>
      </c>
      <c r="F201" s="17">
        <f t="shared" si="12"/>
        <v>-1.2077294685990392E-3</v>
      </c>
      <c r="G201" s="17">
        <f t="shared" si="12"/>
        <v>1.6803102111158985E-2</v>
      </c>
      <c r="H201" s="14">
        <f t="shared" si="13"/>
        <v>1.3498167161134562E-2</v>
      </c>
      <c r="I201" s="39">
        <f t="shared" si="11"/>
        <v>1.3227513227513227E-3</v>
      </c>
      <c r="J201" s="42">
        <v>-6.6716085989622087E-3</v>
      </c>
      <c r="K201" s="88">
        <v>-6.2499999999999778E-3</v>
      </c>
      <c r="L201" s="42">
        <v>-9.7276264591439343E-3</v>
      </c>
      <c r="M201" s="43">
        <v>-8.7497282041435875E-3</v>
      </c>
      <c r="Q201" s="2"/>
      <c r="R201" s="24"/>
      <c r="S201" s="24"/>
      <c r="T201" s="24"/>
    </row>
    <row r="202" spans="1:20" x14ac:dyDescent="0.25">
      <c r="A202" s="2">
        <v>45113</v>
      </c>
      <c r="B202" s="20">
        <v>3006</v>
      </c>
      <c r="C202" s="20">
        <v>414</v>
      </c>
      <c r="D202" s="20">
        <v>11605</v>
      </c>
      <c r="E202" s="17">
        <f t="shared" si="12"/>
        <v>-1.1184210526315796E-2</v>
      </c>
      <c r="F202" s="17">
        <f t="shared" si="12"/>
        <v>2.0961775585696563E-2</v>
      </c>
      <c r="G202" s="17">
        <f t="shared" si="12"/>
        <v>-1.6108520559559136E-2</v>
      </c>
      <c r="H202" s="14">
        <f t="shared" si="13"/>
        <v>-1.3771348531812406E-2</v>
      </c>
      <c r="I202" s="39">
        <f t="shared" si="11"/>
        <v>1.3227513227513227E-3</v>
      </c>
      <c r="J202" s="42">
        <v>-6.6666666666667096E-3</v>
      </c>
      <c r="K202" s="88">
        <v>-6.230529595015577E-3</v>
      </c>
      <c r="L202" s="42">
        <v>-9.5874491574665655E-3</v>
      </c>
      <c r="M202" s="43">
        <v>-8.6247520847312544E-3</v>
      </c>
      <c r="Q202" s="2"/>
      <c r="R202" s="24"/>
      <c r="S202" s="24"/>
      <c r="T202" s="24"/>
    </row>
    <row r="203" spans="1:20" x14ac:dyDescent="0.25">
      <c r="A203" s="2">
        <v>45112</v>
      </c>
      <c r="B203" s="20">
        <v>3040</v>
      </c>
      <c r="C203" s="29">
        <v>405.5</v>
      </c>
      <c r="D203" s="20">
        <v>11795</v>
      </c>
      <c r="E203" s="17">
        <f t="shared" si="12"/>
        <v>1.1984021304926706E-2</v>
      </c>
      <c r="F203" s="17">
        <f t="shared" si="12"/>
        <v>-3.6855036855036882E-3</v>
      </c>
      <c r="G203" s="17">
        <f t="shared" si="12"/>
        <v>-1.626355296080062E-2</v>
      </c>
      <c r="H203" s="14">
        <f t="shared" si="13"/>
        <v>-1.1646188129508853E-2</v>
      </c>
      <c r="I203" s="39">
        <f t="shared" si="11"/>
        <v>1.3227513227513227E-3</v>
      </c>
      <c r="J203" s="42">
        <v>-6.6127847171197907E-3</v>
      </c>
      <c r="K203" s="88">
        <v>-6.2111801242236142E-3</v>
      </c>
      <c r="L203" s="42">
        <v>-9.5706863549357424E-3</v>
      </c>
      <c r="M203" s="43">
        <v>-8.6106530624584735E-3</v>
      </c>
      <c r="Q203" s="2"/>
      <c r="R203" s="24"/>
      <c r="S203" s="24"/>
      <c r="T203" s="24"/>
    </row>
    <row r="204" spans="1:20" x14ac:dyDescent="0.25">
      <c r="A204" s="2">
        <v>45111</v>
      </c>
      <c r="B204" s="20">
        <v>3004</v>
      </c>
      <c r="C204" s="20">
        <v>407</v>
      </c>
      <c r="D204" s="20">
        <v>11990</v>
      </c>
      <c r="E204" s="17">
        <f t="shared" si="12"/>
        <v>2.001334222815121E-3</v>
      </c>
      <c r="F204" s="17">
        <f t="shared" si="12"/>
        <v>3.6991368680641123E-3</v>
      </c>
      <c r="G204" s="17">
        <f t="shared" si="12"/>
        <v>-3.3250207813798616E-3</v>
      </c>
      <c r="H204" s="14">
        <f t="shared" si="13"/>
        <v>-2.2499807344243082E-3</v>
      </c>
      <c r="I204" s="39">
        <f t="shared" si="11"/>
        <v>1.3227513227513227E-3</v>
      </c>
      <c r="J204" s="42">
        <v>-6.5741417092768373E-3</v>
      </c>
      <c r="K204" s="88">
        <v>-6.1162079510703737E-3</v>
      </c>
      <c r="L204" s="42">
        <v>-9.565217391304337E-3</v>
      </c>
      <c r="M204" s="43">
        <v>-8.5583075659204505E-3</v>
      </c>
      <c r="Q204" s="2"/>
      <c r="R204" s="24"/>
      <c r="S204" s="24"/>
      <c r="T204" s="24"/>
    </row>
    <row r="205" spans="1:20" x14ac:dyDescent="0.25">
      <c r="A205" s="2">
        <v>45110</v>
      </c>
      <c r="B205" s="20">
        <v>2998</v>
      </c>
      <c r="C205" s="29">
        <v>405.5</v>
      </c>
      <c r="D205" s="20">
        <v>12030</v>
      </c>
      <c r="E205" s="17">
        <f t="shared" si="12"/>
        <v>3.3467202141901353E-3</v>
      </c>
      <c r="F205" s="17">
        <f t="shared" si="12"/>
        <v>2.4721878862794533E-3</v>
      </c>
      <c r="G205" s="17">
        <f t="shared" si="12"/>
        <v>-8.2440230832646622E-3</v>
      </c>
      <c r="H205" s="14">
        <f t="shared" si="13"/>
        <v>-6.1053471756917291E-3</v>
      </c>
      <c r="I205" s="39">
        <f t="shared" si="11"/>
        <v>1.3227513227513227E-3</v>
      </c>
      <c r="J205" s="42">
        <v>-6.5502183406113135E-3</v>
      </c>
      <c r="K205" s="88">
        <v>-6.1162079510703737E-3</v>
      </c>
      <c r="L205" s="42">
        <v>-9.4955489614243493E-3</v>
      </c>
      <c r="M205" s="43">
        <v>-8.3815390895545343E-3</v>
      </c>
      <c r="Q205" s="2"/>
      <c r="R205" s="24"/>
      <c r="S205" s="24"/>
      <c r="T205" s="24"/>
    </row>
    <row r="206" spans="1:20" x14ac:dyDescent="0.25">
      <c r="A206" s="2">
        <v>45107</v>
      </c>
      <c r="B206" s="20">
        <v>2988</v>
      </c>
      <c r="C206" s="29">
        <v>404.5</v>
      </c>
      <c r="D206" s="20">
        <v>12130</v>
      </c>
      <c r="E206" s="17">
        <f t="shared" si="12"/>
        <v>-3.3355570380253496E-3</v>
      </c>
      <c r="F206" s="17">
        <f t="shared" si="12"/>
        <v>-1.3414634146341475E-2</v>
      </c>
      <c r="G206" s="17">
        <f t="shared" si="12"/>
        <v>4.1390728476822236E-3</v>
      </c>
      <c r="H206" s="14">
        <f t="shared" si="13"/>
        <v>2.2923153262009864E-3</v>
      </c>
      <c r="I206" s="39">
        <f t="shared" si="11"/>
        <v>1.3227513227513227E-3</v>
      </c>
      <c r="J206" s="42">
        <v>-6.5412919051512919E-3</v>
      </c>
      <c r="K206" s="88">
        <v>-6.0532687651331241E-3</v>
      </c>
      <c r="L206" s="42">
        <v>-9.4827586206897019E-3</v>
      </c>
      <c r="M206" s="43">
        <v>-8.3424645419471581E-3</v>
      </c>
      <c r="Q206" s="2"/>
      <c r="R206" s="24"/>
      <c r="S206" s="24"/>
      <c r="T206" s="24"/>
    </row>
    <row r="207" spans="1:20" x14ac:dyDescent="0.25">
      <c r="A207" s="2">
        <v>45106</v>
      </c>
      <c r="B207" s="20">
        <v>2998</v>
      </c>
      <c r="C207" s="20">
        <v>410</v>
      </c>
      <c r="D207" s="20">
        <v>12080</v>
      </c>
      <c r="E207" s="17">
        <f t="shared" si="12"/>
        <v>4.0187541862022336E-3</v>
      </c>
      <c r="F207" s="17">
        <f t="shared" si="12"/>
        <v>1.2345679012345734E-2</v>
      </c>
      <c r="G207" s="17">
        <f t="shared" si="12"/>
        <v>3.3222591362125353E-3</v>
      </c>
      <c r="H207" s="14">
        <f t="shared" si="13"/>
        <v>3.8189003034476664E-3</v>
      </c>
      <c r="I207" s="39">
        <f t="shared" si="11"/>
        <v>1.3227513227513227E-3</v>
      </c>
      <c r="J207" s="42">
        <v>-6.5199674001630292E-3</v>
      </c>
      <c r="K207" s="88">
        <v>-6.0532687651331241E-3</v>
      </c>
      <c r="L207" s="42">
        <v>-9.4496942745969648E-3</v>
      </c>
      <c r="M207" s="43">
        <v>-8.2777681167002602E-3</v>
      </c>
      <c r="Q207" s="2"/>
      <c r="R207" s="24"/>
      <c r="S207" s="24"/>
      <c r="T207" s="24"/>
    </row>
    <row r="208" spans="1:20" x14ac:dyDescent="0.25">
      <c r="A208" s="2">
        <v>45105</v>
      </c>
      <c r="B208" s="20">
        <v>2986</v>
      </c>
      <c r="C208" s="20">
        <v>405</v>
      </c>
      <c r="D208" s="20">
        <v>12040</v>
      </c>
      <c r="E208" s="17">
        <f t="shared" si="12"/>
        <v>1.1517615176151796E-2</v>
      </c>
      <c r="F208" s="17">
        <f t="shared" si="12"/>
        <v>-7.3529411764705621E-3</v>
      </c>
      <c r="G208" s="17">
        <f t="shared" si="12"/>
        <v>-3.7236243276789205E-3</v>
      </c>
      <c r="H208" s="14">
        <f t="shared" si="13"/>
        <v>-1.6898742363374768E-3</v>
      </c>
      <c r="I208" s="39">
        <f t="shared" ref="I208:I271" si="14">1/$K$1</f>
        <v>1.3227513227513227E-3</v>
      </c>
      <c r="J208" s="42">
        <v>-6.5075921908893664E-3</v>
      </c>
      <c r="K208" s="88">
        <v>-5.9523809523809312E-3</v>
      </c>
      <c r="L208" s="42">
        <v>-9.3558834112990041E-3</v>
      </c>
      <c r="M208" s="43">
        <v>-8.2144396181302246E-3</v>
      </c>
      <c r="Q208" s="2"/>
      <c r="R208" s="24"/>
      <c r="S208" s="24"/>
      <c r="T208" s="24"/>
    </row>
    <row r="209" spans="1:20" x14ac:dyDescent="0.25">
      <c r="A209" s="2">
        <v>45104</v>
      </c>
      <c r="B209" s="20">
        <v>2952</v>
      </c>
      <c r="C209" s="20">
        <v>408</v>
      </c>
      <c r="D209" s="20">
        <v>12085</v>
      </c>
      <c r="E209" s="17">
        <f t="shared" si="12"/>
        <v>-1.1386470194239773E-2</v>
      </c>
      <c r="F209" s="17">
        <f t="shared" si="12"/>
        <v>-4.8780487804878092E-3</v>
      </c>
      <c r="G209" s="17">
        <f t="shared" si="12"/>
        <v>9.1858037578287366E-3</v>
      </c>
      <c r="H209" s="14">
        <f t="shared" si="13"/>
        <v>5.6076296798006839E-3</v>
      </c>
      <c r="I209" s="39">
        <f t="shared" si="14"/>
        <v>1.3227513227513227E-3</v>
      </c>
      <c r="J209" s="42">
        <v>-6.4777327935222617E-3</v>
      </c>
      <c r="K209" s="88">
        <v>-5.9382422802850554E-3</v>
      </c>
      <c r="L209" s="42">
        <v>-9.3525179856115415E-3</v>
      </c>
      <c r="M209" s="43">
        <v>-8.1799298518411574E-3</v>
      </c>
      <c r="Q209" s="2"/>
      <c r="R209" s="24"/>
      <c r="S209" s="24"/>
      <c r="T209" s="24"/>
    </row>
    <row r="210" spans="1:20" x14ac:dyDescent="0.25">
      <c r="A210" s="2">
        <v>45103</v>
      </c>
      <c r="B210" s="20">
        <v>2986</v>
      </c>
      <c r="C210" s="20">
        <v>410</v>
      </c>
      <c r="D210" s="20">
        <v>11975</v>
      </c>
      <c r="E210" s="17">
        <f t="shared" si="12"/>
        <v>-1.0603048376408242E-2</v>
      </c>
      <c r="F210" s="17">
        <f t="shared" si="12"/>
        <v>1.1097410604192337E-2</v>
      </c>
      <c r="G210" s="17">
        <f t="shared" si="12"/>
        <v>-4.1580041580041582E-3</v>
      </c>
      <c r="H210" s="14">
        <f t="shared" si="13"/>
        <v>-4.4152367843364199E-3</v>
      </c>
      <c r="I210" s="39">
        <f t="shared" si="14"/>
        <v>1.3227513227513227E-3</v>
      </c>
      <c r="J210" s="42">
        <v>-6.4777327935222617E-3</v>
      </c>
      <c r="K210" s="88">
        <v>-5.924170616113722E-3</v>
      </c>
      <c r="L210" s="42">
        <v>-9.3141405588483828E-3</v>
      </c>
      <c r="M210" s="43">
        <v>-8.1610613728950541E-3</v>
      </c>
      <c r="Q210" s="2"/>
      <c r="R210" s="24"/>
      <c r="S210" s="24"/>
      <c r="T210" s="24"/>
    </row>
    <row r="211" spans="1:20" x14ac:dyDescent="0.25">
      <c r="A211" s="2">
        <v>45100</v>
      </c>
      <c r="B211" s="20">
        <v>3018</v>
      </c>
      <c r="C211" s="29">
        <v>405.5</v>
      </c>
      <c r="D211" s="20">
        <v>12025</v>
      </c>
      <c r="E211" s="17">
        <f t="shared" si="12"/>
        <v>7.3431241655541601E-3</v>
      </c>
      <c r="F211" s="17">
        <f t="shared" si="12"/>
        <v>1.2345679012346622E-3</v>
      </c>
      <c r="G211" s="17">
        <f t="shared" si="12"/>
        <v>1.2489592006661443E-3</v>
      </c>
      <c r="H211" s="14">
        <f t="shared" si="13"/>
        <v>2.1252687930750636E-3</v>
      </c>
      <c r="I211" s="39">
        <f t="shared" si="14"/>
        <v>1.3227513227513227E-3</v>
      </c>
      <c r="J211" s="42">
        <v>-6.3593004769475492E-3</v>
      </c>
      <c r="K211" s="88">
        <v>-5.9171597633136397E-3</v>
      </c>
      <c r="L211" s="42">
        <v>-9.2592592592593004E-3</v>
      </c>
      <c r="M211" s="43">
        <v>-8.0895326107210223E-3</v>
      </c>
      <c r="Q211" s="2"/>
      <c r="R211" s="24"/>
      <c r="S211" s="24"/>
      <c r="T211" s="24"/>
    </row>
    <row r="212" spans="1:20" x14ac:dyDescent="0.25">
      <c r="A212" s="2">
        <v>45099</v>
      </c>
      <c r="B212" s="20">
        <v>2996</v>
      </c>
      <c r="C212" s="20">
        <v>405</v>
      </c>
      <c r="D212" s="20">
        <v>12010</v>
      </c>
      <c r="E212" s="17">
        <f t="shared" si="12"/>
        <v>-1.9986675549633626E-3</v>
      </c>
      <c r="F212" s="17">
        <f t="shared" si="12"/>
        <v>-1.098901098901095E-2</v>
      </c>
      <c r="G212" s="17">
        <f t="shared" si="12"/>
        <v>1.6680567139282232E-3</v>
      </c>
      <c r="H212" s="14">
        <f t="shared" si="13"/>
        <v>5.8437044556387829E-4</v>
      </c>
      <c r="I212" s="39">
        <f t="shared" si="14"/>
        <v>1.3227513227513227E-3</v>
      </c>
      <c r="J212" s="42">
        <v>-6.3559322033898136E-3</v>
      </c>
      <c r="K212" s="88">
        <v>-5.8997050147492347E-3</v>
      </c>
      <c r="L212" s="42">
        <v>-9.2485549132947931E-3</v>
      </c>
      <c r="M212" s="43">
        <v>-8.0217544128372981E-3</v>
      </c>
      <c r="Q212" s="2"/>
      <c r="R212" s="24"/>
      <c r="S212" s="24"/>
      <c r="T212" s="24"/>
    </row>
    <row r="213" spans="1:20" x14ac:dyDescent="0.25">
      <c r="A213" s="2">
        <v>45098</v>
      </c>
      <c r="B213" s="20">
        <v>3002</v>
      </c>
      <c r="C213" s="29">
        <v>409.5</v>
      </c>
      <c r="D213" s="20">
        <v>11990</v>
      </c>
      <c r="E213" s="17">
        <f t="shared" si="12"/>
        <v>3.3422459893048817E-3</v>
      </c>
      <c r="F213" s="17">
        <f t="shared" si="12"/>
        <v>-2.4360535931789995E-3</v>
      </c>
      <c r="G213" s="17">
        <f t="shared" si="12"/>
        <v>7.5630252100840067E-3</v>
      </c>
      <c r="H213" s="14">
        <f t="shared" si="13"/>
        <v>6.5163818640430558E-3</v>
      </c>
      <c r="I213" s="39">
        <f t="shared" si="14"/>
        <v>1.3227513227513227E-3</v>
      </c>
      <c r="J213" s="42">
        <v>-6.3424947145876986E-3</v>
      </c>
      <c r="K213" s="88">
        <v>-5.8892815076561078E-3</v>
      </c>
      <c r="L213" s="42">
        <v>-9.2181631956299581E-3</v>
      </c>
      <c r="M213" s="43">
        <v>-7.7545785346679625E-3</v>
      </c>
      <c r="Q213" s="2"/>
      <c r="R213" s="24"/>
      <c r="S213" s="24"/>
      <c r="T213" s="24"/>
    </row>
    <row r="214" spans="1:20" x14ac:dyDescent="0.25">
      <c r="A214" s="2">
        <v>45097</v>
      </c>
      <c r="B214" s="20">
        <v>2992</v>
      </c>
      <c r="C214" s="29">
        <v>410.5</v>
      </c>
      <c r="D214" s="20">
        <v>11900</v>
      </c>
      <c r="E214" s="17">
        <f t="shared" si="12"/>
        <v>1.2178619756427533E-2</v>
      </c>
      <c r="F214" s="17">
        <f t="shared" si="12"/>
        <v>-6.0532687651331241E-3</v>
      </c>
      <c r="G214" s="17">
        <f t="shared" si="12"/>
        <v>5.9171597633136397E-3</v>
      </c>
      <c r="H214" s="14">
        <f t="shared" si="13"/>
        <v>6.2922907527821698E-3</v>
      </c>
      <c r="I214" s="39">
        <f t="shared" si="14"/>
        <v>1.3227513227513227E-3</v>
      </c>
      <c r="J214" s="42">
        <v>-6.2630480167014113E-3</v>
      </c>
      <c r="K214" s="88">
        <v>-5.8651026392961825E-3</v>
      </c>
      <c r="L214" s="42">
        <v>-9.2063492063492181E-3</v>
      </c>
      <c r="M214" s="43">
        <v>-7.7345079530959622E-3</v>
      </c>
      <c r="Q214" s="2"/>
      <c r="R214" s="24"/>
      <c r="S214" s="24"/>
      <c r="T214" s="24"/>
    </row>
    <row r="215" spans="1:20" x14ac:dyDescent="0.25">
      <c r="A215" s="2">
        <v>45096</v>
      </c>
      <c r="B215" s="20">
        <v>2956</v>
      </c>
      <c r="C215" s="20">
        <v>413</v>
      </c>
      <c r="D215" s="20">
        <v>11830</v>
      </c>
      <c r="E215" s="17">
        <f t="shared" si="12"/>
        <v>-1.3513513513513375E-3</v>
      </c>
      <c r="F215" s="17">
        <f t="shared" si="12"/>
        <v>7.3170731707317138E-3</v>
      </c>
      <c r="G215" s="17">
        <f t="shared" si="12"/>
        <v>-2.0695364238410563E-2</v>
      </c>
      <c r="H215" s="14">
        <f t="shared" si="13"/>
        <v>-1.6681146569846785E-2</v>
      </c>
      <c r="I215" s="39">
        <f t="shared" si="14"/>
        <v>1.3227513227513227E-3</v>
      </c>
      <c r="J215" s="42">
        <v>-6.2015503875969546E-3</v>
      </c>
      <c r="K215" s="88">
        <v>-5.8548009367681564E-3</v>
      </c>
      <c r="L215" s="42">
        <v>-9.1396155058304229E-3</v>
      </c>
      <c r="M215" s="43">
        <v>-7.694918894183069E-3</v>
      </c>
      <c r="Q215" s="2"/>
      <c r="R215" s="24"/>
      <c r="S215" s="24"/>
      <c r="T215" s="24"/>
    </row>
    <row r="216" spans="1:20" x14ac:dyDescent="0.25">
      <c r="A216" s="2">
        <v>45093</v>
      </c>
      <c r="B216" s="20">
        <v>2960</v>
      </c>
      <c r="C216" s="20">
        <v>410</v>
      </c>
      <c r="D216" s="20">
        <v>12080</v>
      </c>
      <c r="E216" s="17">
        <f t="shared" si="12"/>
        <v>-5.3763440860215006E-3</v>
      </c>
      <c r="F216" s="17">
        <f t="shared" si="12"/>
        <v>1.4851485148514865E-2</v>
      </c>
      <c r="G216" s="17">
        <f t="shared" si="12"/>
        <v>-7.8028747433265266E-3</v>
      </c>
      <c r="H216" s="14">
        <f t="shared" si="13"/>
        <v>-6.4584499848884969E-3</v>
      </c>
      <c r="I216" s="39">
        <f t="shared" si="14"/>
        <v>1.3227513227513227E-3</v>
      </c>
      <c r="J216" s="42">
        <v>-6.1016949152542521E-3</v>
      </c>
      <c r="K216" s="88">
        <v>-5.8411214953271173E-3</v>
      </c>
      <c r="L216" s="42">
        <v>-9.1283863368668561E-3</v>
      </c>
      <c r="M216" s="43">
        <v>-7.6819363666162637E-3</v>
      </c>
      <c r="Q216" s="2"/>
      <c r="R216" s="24"/>
      <c r="S216" s="24"/>
      <c r="T216" s="24"/>
    </row>
    <row r="217" spans="1:20" x14ac:dyDescent="0.25">
      <c r="A217" s="2">
        <v>45092</v>
      </c>
      <c r="B217" s="20">
        <v>2976</v>
      </c>
      <c r="C217" s="20">
        <v>404</v>
      </c>
      <c r="D217" s="20">
        <v>12175</v>
      </c>
      <c r="E217" s="17">
        <f t="shared" si="12"/>
        <v>-8.0000000000000071E-3</v>
      </c>
      <c r="F217" s="17">
        <f t="shared" si="12"/>
        <v>-1.2224938875305624E-2</v>
      </c>
      <c r="G217" s="17">
        <f t="shared" si="12"/>
        <v>1.9681742043551109E-2</v>
      </c>
      <c r="H217" s="14">
        <f t="shared" si="13"/>
        <v>1.4296655047853282E-2</v>
      </c>
      <c r="I217" s="39">
        <f t="shared" si="14"/>
        <v>1.3227513227513227E-3</v>
      </c>
      <c r="J217" s="42">
        <v>-6.0790273556230456E-3</v>
      </c>
      <c r="K217" s="88">
        <v>-5.8411214953271173E-3</v>
      </c>
      <c r="L217" s="42">
        <v>-9.0852130325814739E-3</v>
      </c>
      <c r="M217" s="43">
        <v>-7.5862227358476876E-3</v>
      </c>
      <c r="Q217" s="2"/>
      <c r="R217" s="24"/>
      <c r="S217" s="24"/>
      <c r="T217" s="24"/>
    </row>
    <row r="218" spans="1:20" x14ac:dyDescent="0.25">
      <c r="A218" s="2">
        <v>45091</v>
      </c>
      <c r="B218" s="20">
        <v>3000</v>
      </c>
      <c r="C218" s="20">
        <v>409</v>
      </c>
      <c r="D218" s="20">
        <v>11940</v>
      </c>
      <c r="E218" s="17">
        <f t="shared" si="12"/>
        <v>-1.3157894736842146E-2</v>
      </c>
      <c r="F218" s="17">
        <f t="shared" si="12"/>
        <v>3.6809815950920033E-3</v>
      </c>
      <c r="G218" s="17">
        <f t="shared" si="12"/>
        <v>7.5949367088608E-3</v>
      </c>
      <c r="H218" s="14">
        <f t="shared" si="13"/>
        <v>4.436685525703715E-3</v>
      </c>
      <c r="I218" s="39">
        <f t="shared" si="14"/>
        <v>1.3227513227513227E-3</v>
      </c>
      <c r="J218" s="42">
        <v>-6.0422960725075026E-3</v>
      </c>
      <c r="K218" s="88">
        <v>-5.8207217694994373E-3</v>
      </c>
      <c r="L218" s="42">
        <v>-9.0221187427240723E-3</v>
      </c>
      <c r="M218" s="43">
        <v>-7.564830941476094E-3</v>
      </c>
      <c r="Q218" s="2"/>
      <c r="R218" s="24"/>
      <c r="S218" s="24"/>
      <c r="T218" s="24"/>
    </row>
    <row r="219" spans="1:20" x14ac:dyDescent="0.25">
      <c r="A219" s="2">
        <v>45090</v>
      </c>
      <c r="B219" s="20">
        <v>3040</v>
      </c>
      <c r="C219" s="29">
        <v>407.5</v>
      </c>
      <c r="D219" s="20">
        <v>11850</v>
      </c>
      <c r="E219" s="17">
        <f t="shared" si="12"/>
        <v>0</v>
      </c>
      <c r="F219" s="17">
        <f t="shared" si="12"/>
        <v>-3.6674816625916762E-3</v>
      </c>
      <c r="G219" s="17">
        <f t="shared" si="12"/>
        <v>-4.2016806722688926E-3</v>
      </c>
      <c r="H219" s="14">
        <f t="shared" si="13"/>
        <v>-3.5735962811136797E-3</v>
      </c>
      <c r="I219" s="39">
        <f t="shared" si="14"/>
        <v>1.3227513227513227E-3</v>
      </c>
      <c r="J219" s="42">
        <v>-6.0015003750937268E-3</v>
      </c>
      <c r="K219" s="88">
        <v>-5.7603686635944173E-3</v>
      </c>
      <c r="L219" s="42">
        <v>-8.9963452347483486E-3</v>
      </c>
      <c r="M219" s="43">
        <v>-7.5387473508369916E-3</v>
      </c>
      <c r="Q219" s="2"/>
      <c r="R219" s="24"/>
      <c r="S219" s="24"/>
      <c r="T219" s="24"/>
    </row>
    <row r="220" spans="1:20" x14ac:dyDescent="0.25">
      <c r="A220" s="2">
        <v>45089</v>
      </c>
      <c r="B220" s="20">
        <v>3040</v>
      </c>
      <c r="C220" s="20">
        <v>409</v>
      </c>
      <c r="D220" s="20">
        <v>11900</v>
      </c>
      <c r="E220" s="17">
        <f t="shared" si="12"/>
        <v>1.3333333333333419E-2</v>
      </c>
      <c r="F220" s="17">
        <f t="shared" si="12"/>
        <v>-1.2210012210012167E-3</v>
      </c>
      <c r="G220" s="17">
        <f t="shared" si="12"/>
        <v>2.7633851468048309E-2</v>
      </c>
      <c r="H220" s="14">
        <f t="shared" si="13"/>
        <v>2.4308376700518761E-2</v>
      </c>
      <c r="I220" s="39">
        <f t="shared" si="14"/>
        <v>1.3227513227513227E-3</v>
      </c>
      <c r="J220" s="42">
        <v>-5.9746079163555121E-3</v>
      </c>
      <c r="K220" s="88">
        <v>-5.6818181818182323E-3</v>
      </c>
      <c r="L220" s="42">
        <v>-8.9115213239974178E-3</v>
      </c>
      <c r="M220" s="43">
        <v>-7.5166111220629243E-3</v>
      </c>
      <c r="Q220" s="2"/>
      <c r="R220" s="24"/>
      <c r="S220" s="24"/>
      <c r="T220" s="24"/>
    </row>
    <row r="221" spans="1:20" x14ac:dyDescent="0.25">
      <c r="A221" s="2">
        <v>45086</v>
      </c>
      <c r="B221" s="20">
        <v>3000</v>
      </c>
      <c r="C221" s="29">
        <v>409.5</v>
      </c>
      <c r="D221" s="20">
        <v>11580</v>
      </c>
      <c r="E221" s="17">
        <f t="shared" si="12"/>
        <v>-3.3222591362126463E-3</v>
      </c>
      <c r="F221" s="17">
        <f t="shared" si="12"/>
        <v>-1.2195121951219523E-3</v>
      </c>
      <c r="G221" s="17">
        <f t="shared" si="12"/>
        <v>5.2083333333332593E-3</v>
      </c>
      <c r="H221" s="14">
        <f t="shared" si="13"/>
        <v>3.6984051475389889E-3</v>
      </c>
      <c r="I221" s="39">
        <f t="shared" si="14"/>
        <v>1.3227513227513227E-3</v>
      </c>
      <c r="J221" s="42">
        <v>-5.9259259259258901E-3</v>
      </c>
      <c r="K221" s="88">
        <v>-5.6561085972850478E-3</v>
      </c>
      <c r="L221" s="42">
        <v>-8.8669950738916592E-3</v>
      </c>
      <c r="M221" s="43">
        <v>-7.4702228013487056E-3</v>
      </c>
      <c r="Q221" s="2"/>
      <c r="R221" s="24"/>
      <c r="S221" s="24"/>
      <c r="T221" s="24"/>
    </row>
    <row r="222" spans="1:20" x14ac:dyDescent="0.25">
      <c r="A222" s="2">
        <v>45085</v>
      </c>
      <c r="B222" s="20">
        <v>3010</v>
      </c>
      <c r="C222" s="20">
        <v>410</v>
      </c>
      <c r="D222" s="20">
        <v>11520</v>
      </c>
      <c r="E222" s="17">
        <f t="shared" si="12"/>
        <v>8.0375083724044671E-3</v>
      </c>
      <c r="F222" s="17">
        <f t="shared" si="12"/>
        <v>-1.2180267965895553E-3</v>
      </c>
      <c r="G222" s="17">
        <f t="shared" si="12"/>
        <v>3.3183856502242204E-2</v>
      </c>
      <c r="H222" s="14">
        <f t="shared" si="13"/>
        <v>2.8053990025202473E-2</v>
      </c>
      <c r="I222" s="39">
        <f t="shared" si="14"/>
        <v>1.3227513227513227E-3</v>
      </c>
      <c r="J222" s="42">
        <v>-5.8910162002945299E-3</v>
      </c>
      <c r="K222" s="88">
        <v>-5.4200542005420349E-3</v>
      </c>
      <c r="L222" s="42">
        <v>-8.8241782484006492E-3</v>
      </c>
      <c r="M222" s="43">
        <v>-7.2934893695526821E-3</v>
      </c>
      <c r="Q222" s="2"/>
      <c r="R222" s="24"/>
      <c r="S222" s="24"/>
      <c r="T222" s="24"/>
    </row>
    <row r="223" spans="1:20" x14ac:dyDescent="0.25">
      <c r="A223" s="2">
        <v>45084</v>
      </c>
      <c r="B223" s="20">
        <v>2986</v>
      </c>
      <c r="C223" s="29">
        <v>410.5</v>
      </c>
      <c r="D223" s="20">
        <v>11150</v>
      </c>
      <c r="E223" s="17">
        <f t="shared" si="12"/>
        <v>4.710632570659401E-3</v>
      </c>
      <c r="F223" s="17">
        <f t="shared" si="12"/>
        <v>-6.0532687651331241E-3</v>
      </c>
      <c r="G223" s="17">
        <f t="shared" si="12"/>
        <v>1.3636363636363669E-2</v>
      </c>
      <c r="H223" s="14">
        <f t="shared" si="13"/>
        <v>1.1486959295933548E-2</v>
      </c>
      <c r="I223" s="39">
        <f t="shared" si="14"/>
        <v>1.3227513227513227E-3</v>
      </c>
      <c r="J223" s="42">
        <v>-5.887300252312877E-3</v>
      </c>
      <c r="K223" s="88">
        <v>-5.3908355795148077E-3</v>
      </c>
      <c r="L223" s="42">
        <v>-8.8235294117646745E-3</v>
      </c>
      <c r="M223" s="43">
        <v>-7.263281667384415E-3</v>
      </c>
      <c r="Q223" s="2"/>
      <c r="R223" s="24"/>
      <c r="S223" s="24"/>
      <c r="T223" s="24"/>
    </row>
    <row r="224" spans="1:20" x14ac:dyDescent="0.25">
      <c r="A224" s="2">
        <v>45083</v>
      </c>
      <c r="B224" s="20">
        <v>2972</v>
      </c>
      <c r="C224" s="20">
        <v>413</v>
      </c>
      <c r="D224" s="20">
        <v>11000</v>
      </c>
      <c r="E224" s="17">
        <f t="shared" si="12"/>
        <v>5.412719891745521E-3</v>
      </c>
      <c r="F224" s="17">
        <f t="shared" si="12"/>
        <v>4.8661800486617945E-3</v>
      </c>
      <c r="G224" s="17">
        <f t="shared" si="12"/>
        <v>-2.7198549410698547E-3</v>
      </c>
      <c r="H224" s="14">
        <f t="shared" si="13"/>
        <v>-1.216319406899415E-3</v>
      </c>
      <c r="I224" s="39">
        <f t="shared" si="14"/>
        <v>1.3227513227513227E-3</v>
      </c>
      <c r="J224" s="42">
        <v>-5.887300252312877E-3</v>
      </c>
      <c r="K224" s="88">
        <v>-5.3380782918149849E-3</v>
      </c>
      <c r="L224" s="42">
        <v>-8.7890625E-3</v>
      </c>
      <c r="M224" s="43">
        <v>-7.2303436516743926E-3</v>
      </c>
      <c r="Q224" s="2"/>
      <c r="R224" s="24"/>
      <c r="S224" s="24"/>
      <c r="T224" s="24"/>
    </row>
    <row r="225" spans="1:20" x14ac:dyDescent="0.25">
      <c r="A225" s="2">
        <v>45082</v>
      </c>
      <c r="B225" s="20">
        <v>2956</v>
      </c>
      <c r="C225" s="20">
        <v>411</v>
      </c>
      <c r="D225" s="20">
        <v>11030</v>
      </c>
      <c r="E225" s="17">
        <f t="shared" si="12"/>
        <v>1.7205781142463961E-2</v>
      </c>
      <c r="F225" s="17">
        <f t="shared" si="12"/>
        <v>-4.8426150121065881E-3</v>
      </c>
      <c r="G225" s="17">
        <f t="shared" si="12"/>
        <v>5.4694621695532408E-3</v>
      </c>
      <c r="H225" s="14">
        <f t="shared" si="13"/>
        <v>6.705272344266159E-3</v>
      </c>
      <c r="I225" s="39">
        <f t="shared" si="14"/>
        <v>1.3227513227513227E-3</v>
      </c>
      <c r="J225" s="42">
        <v>-5.8266569555717185E-3</v>
      </c>
      <c r="K225" s="88">
        <v>-5.300353356890497E-3</v>
      </c>
      <c r="L225" s="42">
        <v>-8.7032201914708507E-3</v>
      </c>
      <c r="M225" s="43">
        <v>-7.1415296360555578E-3</v>
      </c>
      <c r="Q225" s="2"/>
      <c r="R225" s="24"/>
      <c r="S225" s="24"/>
      <c r="T225" s="24"/>
    </row>
    <row r="226" spans="1:20" x14ac:dyDescent="0.25">
      <c r="A226" s="2">
        <v>45079</v>
      </c>
      <c r="B226" s="20">
        <v>2906</v>
      </c>
      <c r="C226" s="20">
        <v>413</v>
      </c>
      <c r="D226" s="20">
        <v>10970</v>
      </c>
      <c r="E226" s="17">
        <f t="shared" si="12"/>
        <v>2.6855123674911718E-2</v>
      </c>
      <c r="F226" s="17">
        <f t="shared" si="12"/>
        <v>-1.6666666666666718E-2</v>
      </c>
      <c r="G226" s="17">
        <f t="shared" si="12"/>
        <v>3.2956685499058391E-2</v>
      </c>
      <c r="H226" s="14">
        <f t="shared" si="13"/>
        <v>2.9898628253824604E-2</v>
      </c>
      <c r="I226" s="39">
        <f t="shared" si="14"/>
        <v>1.3227513227513227E-3</v>
      </c>
      <c r="J226" s="42">
        <v>-5.7947019867549132E-3</v>
      </c>
      <c r="K226" s="88">
        <v>-5.2770448548812299E-3</v>
      </c>
      <c r="L226" s="42">
        <v>-8.6483023702754735E-3</v>
      </c>
      <c r="M226" s="43">
        <v>-7.1127916544531603E-3</v>
      </c>
      <c r="Q226" s="2"/>
      <c r="R226" s="24"/>
      <c r="S226" s="24"/>
      <c r="T226" s="24"/>
    </row>
    <row r="227" spans="1:20" x14ac:dyDescent="0.25">
      <c r="A227" s="2">
        <v>45078</v>
      </c>
      <c r="B227" s="20">
        <v>2830</v>
      </c>
      <c r="C227" s="20">
        <v>420</v>
      </c>
      <c r="D227" s="20">
        <v>10620</v>
      </c>
      <c r="E227" s="17">
        <f t="shared" si="12"/>
        <v>3.5460992907800915E-3</v>
      </c>
      <c r="F227" s="17">
        <f t="shared" si="12"/>
        <v>4.7846889952152249E-3</v>
      </c>
      <c r="G227" s="17">
        <f t="shared" si="12"/>
        <v>-1.6211208893005979E-2</v>
      </c>
      <c r="H227" s="14">
        <f t="shared" si="13"/>
        <v>-1.2445768926932988E-2</v>
      </c>
      <c r="I227" s="39">
        <f t="shared" si="14"/>
        <v>1.3227513227513227E-3</v>
      </c>
      <c r="J227" s="42">
        <v>-5.7929036929761368E-3</v>
      </c>
      <c r="K227" s="88">
        <v>-5.2631578947368585E-3</v>
      </c>
      <c r="L227" s="42">
        <v>-8.6164451009355103E-3</v>
      </c>
      <c r="M227" s="43">
        <v>-7.0792899333453141E-3</v>
      </c>
      <c r="Q227" s="2"/>
      <c r="R227" s="24"/>
      <c r="S227" s="24"/>
      <c r="T227" s="24"/>
    </row>
    <row r="228" spans="1:20" x14ac:dyDescent="0.25">
      <c r="A228" s="2">
        <v>45077</v>
      </c>
      <c r="B228" s="20">
        <v>2820</v>
      </c>
      <c r="C228" s="20">
        <v>418</v>
      </c>
      <c r="D228" s="20">
        <v>10795</v>
      </c>
      <c r="E228" s="17">
        <f t="shared" si="12"/>
        <v>-5.6417489421720646E-3</v>
      </c>
      <c r="F228" s="17">
        <f t="shared" si="12"/>
        <v>1.4563106796116498E-2</v>
      </c>
      <c r="G228" s="17">
        <f t="shared" si="12"/>
        <v>-2.2192028985507206E-2</v>
      </c>
      <c r="H228" s="14">
        <f t="shared" si="13"/>
        <v>-1.8195741716172418E-2</v>
      </c>
      <c r="I228" s="39">
        <f t="shared" si="14"/>
        <v>1.3227513227513227E-3</v>
      </c>
      <c r="J228" s="42">
        <v>-5.7755775577558177E-3</v>
      </c>
      <c r="K228" s="88">
        <v>-5.2356020942407877E-3</v>
      </c>
      <c r="L228" s="42">
        <v>-8.6053412462907541E-3</v>
      </c>
      <c r="M228" s="43">
        <v>-7.0704026221918423E-3</v>
      </c>
      <c r="Q228" s="2"/>
      <c r="R228" s="24"/>
      <c r="S228" s="24"/>
      <c r="T228" s="24"/>
    </row>
    <row r="229" spans="1:20" x14ac:dyDescent="0.25">
      <c r="A229" s="2">
        <v>45076</v>
      </c>
      <c r="B229" s="20">
        <v>2836</v>
      </c>
      <c r="C229" s="20">
        <v>412</v>
      </c>
      <c r="D229" s="20">
        <v>11040</v>
      </c>
      <c r="E229" s="17">
        <f t="shared" si="12"/>
        <v>-1.0467550593161179E-2</v>
      </c>
      <c r="F229" s="17">
        <f t="shared" si="12"/>
        <v>-1.4354066985645897E-2</v>
      </c>
      <c r="G229" s="17">
        <f t="shared" si="12"/>
        <v>-8.5316569375841755E-3</v>
      </c>
      <c r="H229" s="14">
        <f t="shared" si="13"/>
        <v>-9.0660192048999163E-3</v>
      </c>
      <c r="I229" s="39">
        <f t="shared" si="14"/>
        <v>1.3227513227513227E-3</v>
      </c>
      <c r="J229" s="42">
        <v>-5.7224606580830173E-3</v>
      </c>
      <c r="K229" s="88">
        <v>-4.9382716049383157E-3</v>
      </c>
      <c r="L229" s="42">
        <v>-8.5316569375841755E-3</v>
      </c>
      <c r="M229" s="43">
        <v>-7.0672450769925926E-3</v>
      </c>
      <c r="Q229" s="2"/>
      <c r="R229" s="24"/>
      <c r="S229" s="24"/>
      <c r="T229" s="24"/>
    </row>
    <row r="230" spans="1:20" x14ac:dyDescent="0.25">
      <c r="A230" s="2">
        <v>45072</v>
      </c>
      <c r="B230" s="20">
        <v>2866</v>
      </c>
      <c r="C230" s="20">
        <v>418</v>
      </c>
      <c r="D230" s="20">
        <v>11135</v>
      </c>
      <c r="E230" s="17">
        <f t="shared" si="12"/>
        <v>1.272084805653706E-2</v>
      </c>
      <c r="F230" s="17">
        <f t="shared" si="12"/>
        <v>-1.0650887573964485E-2</v>
      </c>
      <c r="G230" s="17">
        <f t="shared" si="12"/>
        <v>1.3489208633092886E-3</v>
      </c>
      <c r="H230" s="14">
        <f t="shared" si="13"/>
        <v>2.4581502312218751E-3</v>
      </c>
      <c r="I230" s="39">
        <f t="shared" si="14"/>
        <v>1.3227513227513227E-3</v>
      </c>
      <c r="J230" s="42">
        <v>-5.7049714751425951E-3</v>
      </c>
      <c r="K230" s="88">
        <v>-4.9180327868852958E-3</v>
      </c>
      <c r="L230" s="42">
        <v>-8.5071906015798948E-3</v>
      </c>
      <c r="M230" s="43">
        <v>-7.0228659145870715E-3</v>
      </c>
      <c r="Q230" s="2"/>
      <c r="R230" s="24"/>
      <c r="S230" s="24"/>
      <c r="T230" s="24"/>
    </row>
    <row r="231" spans="1:20" x14ac:dyDescent="0.25">
      <c r="A231" s="2">
        <v>45071</v>
      </c>
      <c r="B231" s="20">
        <v>2830</v>
      </c>
      <c r="C231" s="29">
        <v>422.5</v>
      </c>
      <c r="D231" s="20">
        <v>11120</v>
      </c>
      <c r="E231" s="17">
        <f t="shared" si="12"/>
        <v>2.0923520923521011E-2</v>
      </c>
      <c r="F231" s="17">
        <f t="shared" si="12"/>
        <v>-2.0857473928157622E-2</v>
      </c>
      <c r="G231" s="17">
        <f t="shared" si="12"/>
        <v>9.0744101633393193E-3</v>
      </c>
      <c r="H231" s="14">
        <f t="shared" si="13"/>
        <v>9.46451438802072E-3</v>
      </c>
      <c r="I231" s="39">
        <f t="shared" si="14"/>
        <v>1.3227513227513227E-3</v>
      </c>
      <c r="J231" s="42">
        <v>-5.6737588652482351E-3</v>
      </c>
      <c r="K231" s="88">
        <v>-4.9019607843137081E-3</v>
      </c>
      <c r="L231" s="42">
        <v>-8.4294587400177701E-3</v>
      </c>
      <c r="M231" s="43">
        <v>-6.991748977593094E-3</v>
      </c>
      <c r="Q231" s="2"/>
      <c r="R231" s="24"/>
      <c r="S231" s="24"/>
      <c r="T231" s="24"/>
    </row>
    <row r="232" spans="1:20" x14ac:dyDescent="0.25">
      <c r="A232" s="2">
        <v>45070</v>
      </c>
      <c r="B232" s="20">
        <v>2772</v>
      </c>
      <c r="C232" s="29">
        <v>431.5</v>
      </c>
      <c r="D232" s="20">
        <v>11020</v>
      </c>
      <c r="E232" s="17">
        <f t="shared" si="12"/>
        <v>-2.1598272138229069E-3</v>
      </c>
      <c r="F232" s="17">
        <f t="shared" si="12"/>
        <v>5.8275058275059077E-3</v>
      </c>
      <c r="G232" s="17">
        <f t="shared" si="12"/>
        <v>-1.1659192825112075E-2</v>
      </c>
      <c r="H232" s="14">
        <f t="shared" si="13"/>
        <v>-9.5240224670901062E-3</v>
      </c>
      <c r="I232" s="39">
        <f t="shared" si="14"/>
        <v>1.3227513227513227E-3</v>
      </c>
      <c r="J232" s="42">
        <v>-5.6417489421720646E-3</v>
      </c>
      <c r="K232" s="88">
        <v>-4.8780487804878092E-3</v>
      </c>
      <c r="L232" s="42">
        <v>-8.4277060837503193E-3</v>
      </c>
      <c r="M232" s="43">
        <v>-6.9866862878224627E-3</v>
      </c>
      <c r="Q232" s="2"/>
      <c r="R232" s="24"/>
      <c r="S232" s="24"/>
      <c r="T232" s="24"/>
    </row>
    <row r="233" spans="1:20" x14ac:dyDescent="0.25">
      <c r="A233" s="2">
        <v>45069</v>
      </c>
      <c r="B233" s="20">
        <v>2778</v>
      </c>
      <c r="C233" s="20">
        <v>429</v>
      </c>
      <c r="D233" s="20">
        <v>11150</v>
      </c>
      <c r="E233" s="17">
        <f t="shared" si="12"/>
        <v>-8.565310492505307E-3</v>
      </c>
      <c r="F233" s="17">
        <f t="shared" si="12"/>
        <v>5.8616647127784915E-3</v>
      </c>
      <c r="G233" s="17">
        <f t="shared" si="12"/>
        <v>-2.6833631484793896E-3</v>
      </c>
      <c r="H233" s="14">
        <f t="shared" si="13"/>
        <v>-3.154367355411229E-3</v>
      </c>
      <c r="I233" s="39">
        <f t="shared" si="14"/>
        <v>1.3227513227513227E-3</v>
      </c>
      <c r="J233" s="42">
        <v>-5.56438791732905E-3</v>
      </c>
      <c r="K233" s="88">
        <v>-4.8543689320388328E-3</v>
      </c>
      <c r="L233" s="42">
        <v>-8.2949308755760898E-3</v>
      </c>
      <c r="M233" s="43">
        <v>-6.8147333420410638E-3</v>
      </c>
      <c r="Q233" s="2"/>
      <c r="R233" s="24"/>
      <c r="S233" s="24"/>
      <c r="T233" s="24"/>
    </row>
    <row r="234" spans="1:20" x14ac:dyDescent="0.25">
      <c r="A234" s="2">
        <v>45068</v>
      </c>
      <c r="B234" s="20">
        <v>2802</v>
      </c>
      <c r="C234" s="29">
        <v>426.5</v>
      </c>
      <c r="D234" s="20">
        <v>11180</v>
      </c>
      <c r="E234" s="17">
        <f t="shared" si="12"/>
        <v>7.1890726096333069E-3</v>
      </c>
      <c r="F234" s="17">
        <f t="shared" si="12"/>
        <v>1.1737089201877549E-3</v>
      </c>
      <c r="G234" s="17">
        <f t="shared" si="12"/>
        <v>-1.0619469026548645E-2</v>
      </c>
      <c r="H234" s="14">
        <f t="shared" si="13"/>
        <v>-7.5387473508369916E-3</v>
      </c>
      <c r="I234" s="39">
        <f t="shared" si="14"/>
        <v>1.3227513227513227E-3</v>
      </c>
      <c r="J234" s="42">
        <v>-5.3763440860215006E-3</v>
      </c>
      <c r="K234" s="88">
        <v>-4.8426150121065881E-3</v>
      </c>
      <c r="L234" s="42">
        <v>-8.2440230832646622E-3</v>
      </c>
      <c r="M234" s="43">
        <v>-6.7916125898599541E-3</v>
      </c>
      <c r="Q234" s="2"/>
      <c r="R234" s="24"/>
      <c r="S234" s="24"/>
      <c r="T234" s="24"/>
    </row>
    <row r="235" spans="1:20" x14ac:dyDescent="0.25">
      <c r="A235" s="2">
        <v>45065</v>
      </c>
      <c r="B235" s="20">
        <v>2782</v>
      </c>
      <c r="C235" s="20">
        <v>426</v>
      </c>
      <c r="D235" s="20">
        <v>11300</v>
      </c>
      <c r="E235" s="17">
        <f t="shared" si="12"/>
        <v>-9.2592592592593004E-3</v>
      </c>
      <c r="F235" s="17">
        <f t="shared" si="12"/>
        <v>2.3529411764706687E-3</v>
      </c>
      <c r="G235" s="17">
        <f t="shared" si="12"/>
        <v>1.8018018018018056E-2</v>
      </c>
      <c r="H235" s="14">
        <f t="shared" si="13"/>
        <v>1.3404658403719474E-2</v>
      </c>
      <c r="I235" s="39">
        <f t="shared" si="14"/>
        <v>1.3227513227513227E-3</v>
      </c>
      <c r="J235" s="42">
        <v>-5.3151100987092192E-3</v>
      </c>
      <c r="K235" s="88">
        <v>-4.8076923076922906E-3</v>
      </c>
      <c r="L235" s="42">
        <v>-8.2205029013540099E-3</v>
      </c>
      <c r="M235" s="43">
        <v>-6.7500770346219253E-3</v>
      </c>
      <c r="Q235" s="2"/>
      <c r="R235" s="24"/>
      <c r="S235" s="24"/>
      <c r="T235" s="24"/>
    </row>
    <row r="236" spans="1:20" x14ac:dyDescent="0.25">
      <c r="A236" s="2">
        <v>45064</v>
      </c>
      <c r="B236" s="20">
        <v>2808</v>
      </c>
      <c r="C236" s="20">
        <v>425</v>
      </c>
      <c r="D236" s="20">
        <v>11100</v>
      </c>
      <c r="E236" s="17">
        <f t="shared" si="12"/>
        <v>8.6206896551723755E-3</v>
      </c>
      <c r="F236" s="17">
        <f t="shared" si="12"/>
        <v>1.1778563015312216E-3</v>
      </c>
      <c r="G236" s="17">
        <f t="shared" si="12"/>
        <v>2.1159153633854677E-2</v>
      </c>
      <c r="H236" s="14">
        <f t="shared" si="13"/>
        <v>1.8477068659536158E-2</v>
      </c>
      <c r="I236" s="39">
        <f t="shared" si="14"/>
        <v>1.3227513227513227E-3</v>
      </c>
      <c r="J236" s="42">
        <v>-5.2493438320210251E-3</v>
      </c>
      <c r="K236" s="88">
        <v>-4.7904191616766623E-3</v>
      </c>
      <c r="L236" s="42">
        <v>-8.0795525170913596E-3</v>
      </c>
      <c r="M236" s="43">
        <v>-6.7175817176280414E-3</v>
      </c>
      <c r="Q236" s="2"/>
      <c r="R236" s="24"/>
      <c r="S236" s="24"/>
      <c r="T236" s="24"/>
    </row>
    <row r="237" spans="1:20" x14ac:dyDescent="0.25">
      <c r="A237" s="2">
        <v>45063</v>
      </c>
      <c r="B237" s="20">
        <v>2784</v>
      </c>
      <c r="C237" s="29">
        <v>424.5</v>
      </c>
      <c r="D237" s="20">
        <v>10870</v>
      </c>
      <c r="E237" s="17">
        <f t="shared" si="12"/>
        <v>1.0159651669085612E-2</v>
      </c>
      <c r="F237" s="17">
        <f t="shared" si="12"/>
        <v>1.4336917562723928E-2</v>
      </c>
      <c r="G237" s="17">
        <f t="shared" si="12"/>
        <v>-2.7522935779816793E-3</v>
      </c>
      <c r="H237" s="14">
        <f t="shared" si="13"/>
        <v>-1.4352017931232265E-4</v>
      </c>
      <c r="I237" s="39">
        <f t="shared" si="14"/>
        <v>1.3227513227513227E-3</v>
      </c>
      <c r="J237" s="42">
        <v>-5.2044609665427011E-3</v>
      </c>
      <c r="K237" s="88">
        <v>-4.784688995215336E-3</v>
      </c>
      <c r="L237" s="42">
        <v>-8.0357142857142572E-3</v>
      </c>
      <c r="M237" s="43">
        <v>-6.6998304463049352E-3</v>
      </c>
      <c r="Q237" s="2"/>
      <c r="R237" s="24"/>
      <c r="S237" s="24"/>
      <c r="T237" s="24"/>
    </row>
    <row r="238" spans="1:20" x14ac:dyDescent="0.25">
      <c r="A238" s="2">
        <v>45062</v>
      </c>
      <c r="B238" s="20">
        <v>2756</v>
      </c>
      <c r="C238" s="29">
        <v>418.5</v>
      </c>
      <c r="D238" s="20">
        <v>10900</v>
      </c>
      <c r="E238" s="17">
        <f t="shared" si="12"/>
        <v>5.1057622173595885E-3</v>
      </c>
      <c r="F238" s="17">
        <f t="shared" si="12"/>
        <v>-1.1933174224343368E-3</v>
      </c>
      <c r="G238" s="17">
        <f t="shared" si="12"/>
        <v>1.3780431786862835E-3</v>
      </c>
      <c r="H238" s="14">
        <f t="shared" si="13"/>
        <v>1.8014918384547196E-3</v>
      </c>
      <c r="I238" s="39">
        <f t="shared" si="14"/>
        <v>1.3227513227513227E-3</v>
      </c>
      <c r="J238" s="42">
        <v>-5.0468637346792189E-3</v>
      </c>
      <c r="K238" s="88">
        <v>-4.784688995215336E-3</v>
      </c>
      <c r="L238" s="42">
        <v>-7.98630918425558E-3</v>
      </c>
      <c r="M238" s="43">
        <v>-6.5792757172528664E-3</v>
      </c>
      <c r="Q238" s="2"/>
      <c r="R238" s="24"/>
      <c r="S238" s="24"/>
      <c r="T238" s="24"/>
    </row>
    <row r="239" spans="1:20" x14ac:dyDescent="0.25">
      <c r="A239" s="2">
        <v>45061</v>
      </c>
      <c r="B239" s="20">
        <v>2742</v>
      </c>
      <c r="C239" s="20">
        <v>419</v>
      </c>
      <c r="D239" s="20">
        <v>10885</v>
      </c>
      <c r="E239" s="17">
        <f t="shared" si="12"/>
        <v>-2.1834061135370675E-3</v>
      </c>
      <c r="F239" s="17">
        <f t="shared" si="12"/>
        <v>-4.7505938242280443E-3</v>
      </c>
      <c r="G239" s="17">
        <f t="shared" si="12"/>
        <v>2.302025782688677E-3</v>
      </c>
      <c r="H239" s="14">
        <f t="shared" si="13"/>
        <v>1.3467430074383332E-3</v>
      </c>
      <c r="I239" s="39">
        <f t="shared" si="14"/>
        <v>1.3227513227513227E-3</v>
      </c>
      <c r="J239" s="42">
        <v>-5.0359712230215736E-3</v>
      </c>
      <c r="K239" s="88">
        <v>-4.761904761904745E-3</v>
      </c>
      <c r="L239" s="42">
        <v>-7.9463620561212034E-3</v>
      </c>
      <c r="M239" s="43">
        <v>-6.4804127734343717E-3</v>
      </c>
      <c r="Q239" s="2"/>
      <c r="R239" s="24"/>
      <c r="S239" s="24"/>
      <c r="T239" s="24"/>
    </row>
    <row r="240" spans="1:20" x14ac:dyDescent="0.25">
      <c r="A240" s="2">
        <v>45058</v>
      </c>
      <c r="B240" s="20">
        <v>2748</v>
      </c>
      <c r="C240" s="20">
        <v>421</v>
      </c>
      <c r="D240" s="20">
        <v>10860</v>
      </c>
      <c r="E240" s="17">
        <f t="shared" si="12"/>
        <v>-6.5075921908893664E-3</v>
      </c>
      <c r="F240" s="17">
        <f t="shared" si="12"/>
        <v>1.2019230769230838E-2</v>
      </c>
      <c r="G240" s="17">
        <f t="shared" si="12"/>
        <v>1.3831258644536604E-3</v>
      </c>
      <c r="H240" s="14">
        <f t="shared" si="13"/>
        <v>7.149274652097767E-4</v>
      </c>
      <c r="I240" s="39">
        <f t="shared" si="14"/>
        <v>1.3227513227513227E-3</v>
      </c>
      <c r="J240" s="42">
        <v>-5.0359712230215736E-3</v>
      </c>
      <c r="K240" s="88">
        <v>-4.7505938242280443E-3</v>
      </c>
      <c r="L240" s="42">
        <v>-7.9225352112676228E-3</v>
      </c>
      <c r="M240" s="43">
        <v>-6.4584499848884969E-3</v>
      </c>
      <c r="Q240" s="2"/>
      <c r="R240" s="24"/>
      <c r="S240" s="24"/>
      <c r="T240" s="24"/>
    </row>
    <row r="241" spans="1:20" x14ac:dyDescent="0.25">
      <c r="A241" s="2">
        <v>45057</v>
      </c>
      <c r="B241" s="20">
        <v>2766</v>
      </c>
      <c r="C241" s="20">
        <v>416</v>
      </c>
      <c r="D241" s="20">
        <v>10845</v>
      </c>
      <c r="E241" s="17">
        <f t="shared" si="12"/>
        <v>-1.3552068473609125E-2</v>
      </c>
      <c r="F241" s="17">
        <f t="shared" si="12"/>
        <v>2.4096385542169418E-3</v>
      </c>
      <c r="G241" s="17">
        <f t="shared" si="12"/>
        <v>7.8996282527881156E-3</v>
      </c>
      <c r="H241" s="14">
        <f t="shared" si="13"/>
        <v>4.5715730464316907E-3</v>
      </c>
      <c r="I241" s="39">
        <f t="shared" si="14"/>
        <v>1.3227513227513227E-3</v>
      </c>
      <c r="J241" s="42">
        <v>-5.0107372942018724E-3</v>
      </c>
      <c r="K241" s="88">
        <v>-4.7225501770956635E-3</v>
      </c>
      <c r="L241" s="42">
        <v>-7.8028747433265266E-3</v>
      </c>
      <c r="M241" s="43">
        <v>-6.4406235037365121E-3</v>
      </c>
      <c r="Q241" s="2"/>
      <c r="R241" s="24"/>
      <c r="S241" s="24"/>
      <c r="T241" s="24"/>
    </row>
    <row r="242" spans="1:20" x14ac:dyDescent="0.25">
      <c r="A242" s="2">
        <v>45056</v>
      </c>
      <c r="B242" s="20">
        <v>2804</v>
      </c>
      <c r="C242" s="20">
        <v>415</v>
      </c>
      <c r="D242" s="20">
        <v>10760</v>
      </c>
      <c r="E242" s="17">
        <f t="shared" si="12"/>
        <v>2.8612303290413976E-3</v>
      </c>
      <c r="F242" s="17">
        <f t="shared" si="12"/>
        <v>-3.6014405762304635E-3</v>
      </c>
      <c r="G242" s="17">
        <f t="shared" si="12"/>
        <v>-2.8880866425992746E-2</v>
      </c>
      <c r="H242" s="14">
        <f t="shared" si="13"/>
        <v>-2.3202648346530033E-2</v>
      </c>
      <c r="I242" s="39">
        <f t="shared" si="14"/>
        <v>1.3227513227513227E-3</v>
      </c>
      <c r="J242" s="42">
        <v>-4.9958368026644662E-3</v>
      </c>
      <c r="K242" s="88">
        <v>-4.6948356807511304E-3</v>
      </c>
      <c r="L242" s="42">
        <v>-7.7756833176249041E-3</v>
      </c>
      <c r="M242" s="43">
        <v>-6.3238191891496062E-3</v>
      </c>
      <c r="Q242" s="2"/>
      <c r="R242" s="24"/>
      <c r="S242" s="24"/>
      <c r="T242" s="24"/>
    </row>
    <row r="243" spans="1:20" x14ac:dyDescent="0.25">
      <c r="A243" s="2">
        <v>45055</v>
      </c>
      <c r="B243" s="20">
        <v>2796</v>
      </c>
      <c r="C243" s="29">
        <v>416.5</v>
      </c>
      <c r="D243" s="20">
        <v>11080</v>
      </c>
      <c r="E243" s="17">
        <f t="shared" si="12"/>
        <v>1.0845986984815648E-2</v>
      </c>
      <c r="F243" s="17">
        <f t="shared" si="12"/>
        <v>-4.9086757990867591E-2</v>
      </c>
      <c r="G243" s="17">
        <f t="shared" si="12"/>
        <v>-1.0272443054935243E-2</v>
      </c>
      <c r="H243" s="14">
        <f t="shared" si="13"/>
        <v>-8.9387193045603417E-3</v>
      </c>
      <c r="I243" s="39">
        <f t="shared" si="14"/>
        <v>1.3227513227513227E-3</v>
      </c>
      <c r="J243" s="42">
        <v>-4.9435028248587809E-3</v>
      </c>
      <c r="K243" s="88">
        <v>-4.6874999999999556E-3</v>
      </c>
      <c r="L243" s="42">
        <v>-7.7490774907749138E-3</v>
      </c>
      <c r="M243" s="43">
        <v>-6.192320774689614E-3</v>
      </c>
      <c r="Q243" s="2"/>
      <c r="R243" s="24"/>
      <c r="S243" s="24"/>
      <c r="T243" s="24"/>
    </row>
    <row r="244" spans="1:20" x14ac:dyDescent="0.25">
      <c r="A244" s="2">
        <v>45054</v>
      </c>
      <c r="B244" s="20">
        <v>2766</v>
      </c>
      <c r="C244" s="20">
        <v>438</v>
      </c>
      <c r="D244" s="20">
        <v>11195</v>
      </c>
      <c r="E244" s="17">
        <f t="shared" si="12"/>
        <v>-5.0359712230215736E-3</v>
      </c>
      <c r="F244" s="17">
        <f t="shared" si="12"/>
        <v>1.8604651162790642E-2</v>
      </c>
      <c r="G244" s="17">
        <f t="shared" si="12"/>
        <v>2.2841480127912206E-2</v>
      </c>
      <c r="H244" s="14">
        <f t="shared" si="13"/>
        <v>1.8643821606653233E-2</v>
      </c>
      <c r="I244" s="39">
        <f t="shared" si="14"/>
        <v>1.3227513227513227E-3</v>
      </c>
      <c r="J244" s="42">
        <v>-4.9423393739703725E-3</v>
      </c>
      <c r="K244" s="88">
        <v>-4.6838407494145251E-3</v>
      </c>
      <c r="L244" s="42">
        <v>-7.6854862548034752E-3</v>
      </c>
      <c r="M244" s="43">
        <v>-6.1385425414452032E-3</v>
      </c>
      <c r="Q244" s="2"/>
      <c r="R244" s="24"/>
      <c r="S244" s="24"/>
      <c r="T244" s="24"/>
    </row>
    <row r="245" spans="1:20" x14ac:dyDescent="0.25">
      <c r="A245" s="2">
        <v>45051</v>
      </c>
      <c r="B245" s="20">
        <v>2780</v>
      </c>
      <c r="C245" s="20">
        <v>430</v>
      </c>
      <c r="D245" s="20">
        <v>10945</v>
      </c>
      <c r="E245" s="17">
        <f t="shared" si="12"/>
        <v>-7.1428571428571175E-3</v>
      </c>
      <c r="F245" s="17">
        <f t="shared" si="12"/>
        <v>1.1764705882352899E-2</v>
      </c>
      <c r="G245" s="17">
        <f t="shared" si="12"/>
        <v>-2.7334851936218207E-3</v>
      </c>
      <c r="H245" s="14">
        <f t="shared" si="13"/>
        <v>-2.7310537415153697E-3</v>
      </c>
      <c r="I245" s="39">
        <f t="shared" si="14"/>
        <v>1.3227513227513227E-3</v>
      </c>
      <c r="J245" s="42">
        <v>-4.9220672682526168E-3</v>
      </c>
      <c r="K245" s="88">
        <v>-4.6728971962616273E-3</v>
      </c>
      <c r="L245" s="42">
        <v>-7.4906367041198685E-3</v>
      </c>
      <c r="M245" s="43">
        <v>-6.1053471756917291E-3</v>
      </c>
      <c r="Q245" s="2"/>
      <c r="R245" s="24"/>
      <c r="S245" s="24"/>
      <c r="T245" s="24"/>
    </row>
    <row r="246" spans="1:20" x14ac:dyDescent="0.25">
      <c r="A246" s="2">
        <v>45050</v>
      </c>
      <c r="B246" s="20">
        <v>2800</v>
      </c>
      <c r="C246" s="20">
        <v>425</v>
      </c>
      <c r="D246" s="20">
        <v>10975</v>
      </c>
      <c r="E246" s="17">
        <f t="shared" si="12"/>
        <v>-2.1382751247327469E-3</v>
      </c>
      <c r="F246" s="17">
        <f t="shared" si="12"/>
        <v>-9.3240093240093413E-3</v>
      </c>
      <c r="G246" s="17">
        <f t="shared" si="12"/>
        <v>-1.036970243462576E-2</v>
      </c>
      <c r="H246" s="14">
        <f t="shared" si="13"/>
        <v>-9.1392721909575262E-3</v>
      </c>
      <c r="I246" s="39">
        <f t="shared" si="14"/>
        <v>1.3227513227513227E-3</v>
      </c>
      <c r="J246" s="42">
        <v>-4.9059689288634134E-3</v>
      </c>
      <c r="K246" s="88">
        <v>-4.6656298600310508E-3</v>
      </c>
      <c r="L246" s="42">
        <v>-7.3784722222222099E-3</v>
      </c>
      <c r="M246" s="43">
        <v>-6.0419813511680444E-3</v>
      </c>
      <c r="Q246" s="2"/>
      <c r="R246" s="24"/>
      <c r="S246" s="24"/>
      <c r="T246" s="24"/>
    </row>
    <row r="247" spans="1:20" x14ac:dyDescent="0.25">
      <c r="A247" s="2">
        <v>45049</v>
      </c>
      <c r="B247" s="20">
        <v>2806</v>
      </c>
      <c r="C247" s="20">
        <v>429</v>
      </c>
      <c r="D247" s="20">
        <v>11090</v>
      </c>
      <c r="E247" s="17">
        <f t="shared" si="12"/>
        <v>2.0363636363636362E-2</v>
      </c>
      <c r="F247" s="17">
        <f t="shared" si="12"/>
        <v>0</v>
      </c>
      <c r="G247" s="17">
        <f t="shared" si="12"/>
        <v>3.9849976558837374E-2</v>
      </c>
      <c r="H247" s="14">
        <f t="shared" si="13"/>
        <v>3.5295231918023771E-2</v>
      </c>
      <c r="I247" s="39">
        <f t="shared" si="14"/>
        <v>1.3227513227513227E-3</v>
      </c>
      <c r="J247" s="42">
        <v>-4.8979591836734171E-3</v>
      </c>
      <c r="K247" s="88">
        <v>-4.6189376443418473E-3</v>
      </c>
      <c r="L247" s="42">
        <v>-7.3145245559038674E-3</v>
      </c>
      <c r="M247" s="43">
        <v>-6.0134294143530838E-3</v>
      </c>
      <c r="Q247" s="2"/>
      <c r="R247" s="24"/>
      <c r="S247" s="24"/>
      <c r="T247" s="24"/>
    </row>
    <row r="248" spans="1:20" x14ac:dyDescent="0.25">
      <c r="A248" s="2">
        <v>45048</v>
      </c>
      <c r="B248" s="20">
        <v>2750</v>
      </c>
      <c r="C248" s="20">
        <v>429</v>
      </c>
      <c r="D248" s="20">
        <v>10665</v>
      </c>
      <c r="E248" s="17">
        <f t="shared" si="12"/>
        <v>2.9175784099197966E-3</v>
      </c>
      <c r="F248" s="17">
        <f t="shared" si="12"/>
        <v>7.0422535211267512E-3</v>
      </c>
      <c r="G248" s="17">
        <f t="shared" si="12"/>
        <v>3.5436893203883546E-2</v>
      </c>
      <c r="H248" s="14">
        <f t="shared" si="13"/>
        <v>2.9509977090800575E-2</v>
      </c>
      <c r="I248" s="39">
        <f t="shared" si="14"/>
        <v>1.3227513227513227E-3</v>
      </c>
      <c r="J248" s="42">
        <v>-4.8678720445062273E-3</v>
      </c>
      <c r="K248" s="88">
        <v>-4.6012269938650041E-3</v>
      </c>
      <c r="L248" s="42">
        <v>-7.2992700729926918E-3</v>
      </c>
      <c r="M248" s="43">
        <v>-5.8753826735274016E-3</v>
      </c>
      <c r="Q248" s="2"/>
      <c r="R248" s="24"/>
      <c r="S248" s="24"/>
      <c r="T248" s="24"/>
    </row>
    <row r="249" spans="1:20" x14ac:dyDescent="0.25">
      <c r="A249" s="2">
        <v>45044</v>
      </c>
      <c r="B249" s="20">
        <v>2742</v>
      </c>
      <c r="C249" s="20">
        <v>426</v>
      </c>
      <c r="D249" s="20">
        <v>10300</v>
      </c>
      <c r="E249" s="17">
        <f t="shared" si="12"/>
        <v>2.9261155815654138E-3</v>
      </c>
      <c r="F249" s="17">
        <f t="shared" si="12"/>
        <v>7.0921985815601829E-3</v>
      </c>
      <c r="G249" s="17">
        <f t="shared" si="12"/>
        <v>1.2782694198623323E-2</v>
      </c>
      <c r="H249" s="14">
        <f t="shared" si="13"/>
        <v>1.1114351682663582E-2</v>
      </c>
      <c r="I249" s="39">
        <f t="shared" si="14"/>
        <v>1.3227513227513227E-3</v>
      </c>
      <c r="J249" s="42">
        <v>-4.8242591316333128E-3</v>
      </c>
      <c r="K249" s="88">
        <v>-4.5871559633027248E-3</v>
      </c>
      <c r="L249" s="42">
        <v>-7.2648020341445907E-3</v>
      </c>
      <c r="M249" s="43">
        <v>-5.824589212665183E-3</v>
      </c>
      <c r="Q249" s="2"/>
      <c r="R249" s="24"/>
      <c r="S249" s="24"/>
      <c r="T249" s="24"/>
    </row>
    <row r="250" spans="1:20" x14ac:dyDescent="0.25">
      <c r="A250" s="2">
        <v>45043</v>
      </c>
      <c r="B250" s="20">
        <v>2734</v>
      </c>
      <c r="C250" s="20">
        <v>423</v>
      </c>
      <c r="D250" s="20">
        <v>10170</v>
      </c>
      <c r="E250" s="17">
        <f t="shared" si="12"/>
        <v>4.0334855403348469E-2</v>
      </c>
      <c r="F250" s="17">
        <f t="shared" si="12"/>
        <v>2.3696682464455776E-3</v>
      </c>
      <c r="G250" s="17">
        <f t="shared" si="12"/>
        <v>5.2359271523178874E-2</v>
      </c>
      <c r="H250" s="14">
        <f t="shared" si="13"/>
        <v>4.8432833685325159E-2</v>
      </c>
      <c r="I250" s="39">
        <f t="shared" si="14"/>
        <v>1.3227513227513227E-3</v>
      </c>
      <c r="J250" s="42">
        <v>-4.7978067169294203E-3</v>
      </c>
      <c r="K250" s="88">
        <v>-4.5871559633027248E-3</v>
      </c>
      <c r="L250" s="42">
        <v>-7.194244604316502E-3</v>
      </c>
      <c r="M250" s="43">
        <v>-5.7412042524424833E-3</v>
      </c>
      <c r="Q250" s="2"/>
      <c r="R250" s="24"/>
      <c r="S250" s="24"/>
      <c r="T250" s="24"/>
    </row>
    <row r="251" spans="1:20" x14ac:dyDescent="0.25">
      <c r="A251" s="2">
        <v>45042</v>
      </c>
      <c r="B251" s="20">
        <v>2628</v>
      </c>
      <c r="C251" s="20">
        <v>422</v>
      </c>
      <c r="D251" s="20">
        <v>9664</v>
      </c>
      <c r="E251" s="17">
        <f t="shared" si="12"/>
        <v>4.5871559633028358E-3</v>
      </c>
      <c r="F251" s="17">
        <f t="shared" si="12"/>
        <v>4.761904761904745E-3</v>
      </c>
      <c r="G251" s="17">
        <f t="shared" si="12"/>
        <v>-1.2870275791624142E-2</v>
      </c>
      <c r="H251" s="14">
        <f t="shared" si="13"/>
        <v>-9.5835595210645996E-3</v>
      </c>
      <c r="I251" s="39">
        <f t="shared" si="14"/>
        <v>1.3227513227513227E-3</v>
      </c>
      <c r="J251" s="42">
        <v>-4.784688995215336E-3</v>
      </c>
      <c r="K251" s="88">
        <v>-4.4593088071348541E-3</v>
      </c>
      <c r="L251" s="42">
        <v>-7.1115973741794347E-3</v>
      </c>
      <c r="M251" s="43">
        <v>-5.722956844287635E-3</v>
      </c>
      <c r="Q251" s="2"/>
      <c r="R251" s="24"/>
      <c r="S251" s="24"/>
      <c r="T251" s="24"/>
    </row>
    <row r="252" spans="1:20" x14ac:dyDescent="0.25">
      <c r="A252" s="2">
        <v>45041</v>
      </c>
      <c r="B252" s="20">
        <v>2616</v>
      </c>
      <c r="C252" s="20">
        <v>420</v>
      </c>
      <c r="D252" s="20">
        <v>9790</v>
      </c>
      <c r="E252" s="17">
        <f t="shared" si="12"/>
        <v>-1.2084592145015116E-2</v>
      </c>
      <c r="F252" s="17">
        <f t="shared" si="12"/>
        <v>-1.1764705882352899E-2</v>
      </c>
      <c r="G252" s="17">
        <f t="shared" si="12"/>
        <v>-8.5071906015798948E-3</v>
      </c>
      <c r="H252" s="14">
        <f t="shared" si="13"/>
        <v>-9.1650827133656233E-3</v>
      </c>
      <c r="I252" s="39">
        <f t="shared" si="14"/>
        <v>1.3227513227513227E-3</v>
      </c>
      <c r="J252" s="42">
        <v>-4.7748976807640009E-3</v>
      </c>
      <c r="K252" s="88">
        <v>-4.4444444444444731E-3</v>
      </c>
      <c r="L252" s="42">
        <v>-7.0108349267049563E-3</v>
      </c>
      <c r="M252" s="43">
        <v>-5.6985559939567556E-3</v>
      </c>
      <c r="Q252" s="2"/>
      <c r="R252" s="24"/>
      <c r="S252" s="24"/>
      <c r="T252" s="24"/>
    </row>
    <row r="253" spans="1:20" x14ac:dyDescent="0.25">
      <c r="A253" s="2">
        <v>45040</v>
      </c>
      <c r="B253" s="20">
        <v>2648</v>
      </c>
      <c r="C253" s="20">
        <v>425</v>
      </c>
      <c r="D253" s="20">
        <v>9874</v>
      </c>
      <c r="E253" s="17">
        <f t="shared" si="12"/>
        <v>-2.215657311669128E-2</v>
      </c>
      <c r="F253" s="17">
        <f t="shared" si="12"/>
        <v>4.7281323877068626E-3</v>
      </c>
      <c r="G253" s="17">
        <f t="shared" si="12"/>
        <v>-1.555333998005981E-2</v>
      </c>
      <c r="H253" s="14">
        <f t="shared" si="13"/>
        <v>-1.561253121985331E-2</v>
      </c>
      <c r="I253" s="39">
        <f t="shared" si="14"/>
        <v>1.3227513227513227E-3</v>
      </c>
      <c r="J253" s="42">
        <v>-4.5836516424752061E-3</v>
      </c>
      <c r="K253" s="88">
        <v>-4.4247787610619538E-3</v>
      </c>
      <c r="L253" s="42">
        <v>-6.9767441860465462E-3</v>
      </c>
      <c r="M253" s="43">
        <v>-5.6017740692145945E-3</v>
      </c>
      <c r="Q253" s="2"/>
      <c r="R253" s="24"/>
      <c r="S253" s="24"/>
      <c r="T253" s="24"/>
    </row>
    <row r="254" spans="1:20" x14ac:dyDescent="0.25">
      <c r="A254" s="2">
        <v>45037</v>
      </c>
      <c r="B254" s="20">
        <v>2708</v>
      </c>
      <c r="C254" s="20">
        <v>423</v>
      </c>
      <c r="D254" s="20">
        <v>10030</v>
      </c>
      <c r="E254" s="17">
        <f t="shared" si="12"/>
        <v>1.0447761194029903E-2</v>
      </c>
      <c r="F254" s="17">
        <f t="shared" si="12"/>
        <v>1.6826923076923128E-2</v>
      </c>
      <c r="G254" s="17">
        <f t="shared" si="12"/>
        <v>4.4061686360905572E-3</v>
      </c>
      <c r="H254" s="14">
        <f t="shared" si="13"/>
        <v>5.8212134314126352E-3</v>
      </c>
      <c r="I254" s="39">
        <f t="shared" si="14"/>
        <v>1.3227513227513227E-3</v>
      </c>
      <c r="J254" s="42">
        <v>-4.4776119402984982E-3</v>
      </c>
      <c r="K254" s="88">
        <v>-4.4247787610619538E-3</v>
      </c>
      <c r="L254" s="42">
        <v>-6.9625761531766361E-3</v>
      </c>
      <c r="M254" s="43">
        <v>-5.5597302514438307E-3</v>
      </c>
      <c r="Q254" s="2"/>
      <c r="R254" s="24"/>
      <c r="S254" s="24"/>
      <c r="T254" s="24"/>
    </row>
    <row r="255" spans="1:20" x14ac:dyDescent="0.25">
      <c r="A255" s="2">
        <v>45036</v>
      </c>
      <c r="B255" s="20">
        <v>2680</v>
      </c>
      <c r="C255" s="20">
        <v>416</v>
      </c>
      <c r="D255" s="20">
        <v>9986</v>
      </c>
      <c r="E255" s="17">
        <f t="shared" si="12"/>
        <v>3.7453183520599342E-3</v>
      </c>
      <c r="F255" s="17">
        <f t="shared" si="12"/>
        <v>-2.3980815347721673E-3</v>
      </c>
      <c r="G255" s="17">
        <f t="shared" si="12"/>
        <v>1.1342920802106526E-2</v>
      </c>
      <c r="H255" s="14">
        <f t="shared" si="13"/>
        <v>9.6459672807007579E-3</v>
      </c>
      <c r="I255" s="39">
        <f t="shared" si="14"/>
        <v>1.3227513227513227E-3</v>
      </c>
      <c r="J255" s="42">
        <v>-4.4411547002221052E-3</v>
      </c>
      <c r="K255" s="88">
        <v>-4.3478260869564966E-3</v>
      </c>
      <c r="L255" s="42">
        <v>-6.9364161849710948E-3</v>
      </c>
      <c r="M255" s="43">
        <v>-5.5592824783730968E-3</v>
      </c>
      <c r="Q255" s="2"/>
      <c r="R255" s="24"/>
      <c r="S255" s="24"/>
      <c r="T255" s="24"/>
    </row>
    <row r="256" spans="1:20" x14ac:dyDescent="0.25">
      <c r="A256" s="2">
        <v>45035</v>
      </c>
      <c r="B256" s="20">
        <v>2670</v>
      </c>
      <c r="C256" s="20">
        <v>417</v>
      </c>
      <c r="D256" s="20">
        <v>9874</v>
      </c>
      <c r="E256" s="17">
        <f t="shared" si="12"/>
        <v>-1.6212232866617549E-2</v>
      </c>
      <c r="F256" s="17">
        <f t="shared" si="12"/>
        <v>-2.3923444976076125E-3</v>
      </c>
      <c r="G256" s="17">
        <f t="shared" si="12"/>
        <v>-2.6262626262626432E-3</v>
      </c>
      <c r="H256" s="14">
        <f t="shared" si="13"/>
        <v>-4.5709882950696135E-3</v>
      </c>
      <c r="I256" s="39">
        <f t="shared" si="14"/>
        <v>1.3227513227513227E-3</v>
      </c>
      <c r="J256" s="42">
        <v>-4.3072505384063042E-3</v>
      </c>
      <c r="K256" s="88">
        <v>-4.3478260869564966E-3</v>
      </c>
      <c r="L256" s="42">
        <v>-6.8762278978389269E-3</v>
      </c>
      <c r="M256" s="43">
        <v>-5.4275345412666872E-3</v>
      </c>
      <c r="Q256" s="2"/>
      <c r="R256" s="24"/>
      <c r="S256" s="24"/>
      <c r="T256" s="24"/>
    </row>
    <row r="257" spans="1:20" x14ac:dyDescent="0.25">
      <c r="A257" s="2">
        <v>45034</v>
      </c>
      <c r="B257" s="20">
        <v>2714</v>
      </c>
      <c r="C257" s="20">
        <v>418</v>
      </c>
      <c r="D257" s="20">
        <v>9900</v>
      </c>
      <c r="E257" s="17">
        <f t="shared" si="12"/>
        <v>0</v>
      </c>
      <c r="F257" s="17">
        <f t="shared" si="12"/>
        <v>7.2289156626506035E-3</v>
      </c>
      <c r="G257" s="17">
        <f t="shared" si="12"/>
        <v>-2.4183796856106499E-3</v>
      </c>
      <c r="H257" s="14">
        <f t="shared" si="13"/>
        <v>-1.6465536522737726E-3</v>
      </c>
      <c r="I257" s="39">
        <f t="shared" si="14"/>
        <v>1.3227513227513227E-3</v>
      </c>
      <c r="J257" s="42">
        <v>-4.2589437819420262E-3</v>
      </c>
      <c r="K257" s="88">
        <v>-3.8461538461538325E-3</v>
      </c>
      <c r="L257" s="42">
        <v>-6.8493150684931781E-3</v>
      </c>
      <c r="M257" s="43">
        <v>-5.3718723771471666E-3</v>
      </c>
      <c r="Q257" s="2"/>
      <c r="R257" s="24"/>
      <c r="S257" s="24"/>
      <c r="T257" s="24"/>
    </row>
    <row r="258" spans="1:20" x14ac:dyDescent="0.25">
      <c r="A258" s="2">
        <v>45033</v>
      </c>
      <c r="B258" s="20">
        <v>2714</v>
      </c>
      <c r="C258" s="20">
        <v>415</v>
      </c>
      <c r="D258" s="20">
        <v>9924</v>
      </c>
      <c r="E258" s="17">
        <f t="shared" si="12"/>
        <v>5.9303187546331237E-3</v>
      </c>
      <c r="F258" s="17">
        <f t="shared" si="12"/>
        <v>1.7156862745097978E-2</v>
      </c>
      <c r="G258" s="17">
        <f t="shared" si="12"/>
        <v>9.5625635808749276E-3</v>
      </c>
      <c r="H258" s="14">
        <f t="shared" si="13"/>
        <v>9.3735210523650594E-3</v>
      </c>
      <c r="I258" s="39">
        <f t="shared" si="14"/>
        <v>1.3227513227513227E-3</v>
      </c>
      <c r="J258" s="42">
        <v>-4.2016806722688926E-3</v>
      </c>
      <c r="K258" s="88">
        <v>-3.8216560509554132E-3</v>
      </c>
      <c r="L258" s="42">
        <v>-6.8350668647845225E-3</v>
      </c>
      <c r="M258" s="43">
        <v>-5.3262535319566293E-3</v>
      </c>
      <c r="Q258" s="2"/>
      <c r="R258" s="24"/>
      <c r="S258" s="24"/>
      <c r="T258" s="24"/>
    </row>
    <row r="259" spans="1:20" x14ac:dyDescent="0.25">
      <c r="A259" s="2">
        <v>45030</v>
      </c>
      <c r="B259" s="20">
        <v>2698</v>
      </c>
      <c r="C259" s="20">
        <v>408</v>
      </c>
      <c r="D259" s="20">
        <v>9830</v>
      </c>
      <c r="E259" s="17">
        <f t="shared" si="12"/>
        <v>3.2924961715160794E-2</v>
      </c>
      <c r="F259" s="17">
        <f t="shared" si="12"/>
        <v>7.4074074074073071E-3</v>
      </c>
      <c r="G259" s="17">
        <f t="shared" si="12"/>
        <v>1.3402061855670055E-2</v>
      </c>
      <c r="H259" s="14">
        <f t="shared" si="13"/>
        <v>1.5948022982766059E-2</v>
      </c>
      <c r="I259" s="39">
        <f t="shared" si="14"/>
        <v>1.3227513227513227E-3</v>
      </c>
      <c r="J259" s="42">
        <v>-4.1493775933609811E-3</v>
      </c>
      <c r="K259" s="88">
        <v>-3.6855036855036882E-3</v>
      </c>
      <c r="L259" s="42">
        <v>-6.3589260480452214E-3</v>
      </c>
      <c r="M259" s="43">
        <v>-5.3017778460266946E-3</v>
      </c>
      <c r="Q259" s="2"/>
      <c r="R259" s="24"/>
      <c r="S259" s="24"/>
      <c r="T259" s="24"/>
    </row>
    <row r="260" spans="1:20" x14ac:dyDescent="0.25">
      <c r="A260" s="2">
        <v>45029</v>
      </c>
      <c r="B260" s="20">
        <v>2612</v>
      </c>
      <c r="C260" s="20">
        <v>405</v>
      </c>
      <c r="D260" s="20">
        <v>9700</v>
      </c>
      <c r="E260" s="17">
        <f t="shared" si="12"/>
        <v>-1.7306245297215916E-2</v>
      </c>
      <c r="F260" s="17">
        <f t="shared" si="12"/>
        <v>1.2499999999999956E-2</v>
      </c>
      <c r="G260" s="17">
        <f t="shared" si="12"/>
        <v>-1.7024726388325861E-2</v>
      </c>
      <c r="H260" s="14">
        <f t="shared" si="13"/>
        <v>-1.5768157530214249E-2</v>
      </c>
      <c r="I260" s="39">
        <f t="shared" si="14"/>
        <v>1.3227513227513227E-3</v>
      </c>
      <c r="J260" s="42">
        <v>-4.1322314049586639E-3</v>
      </c>
      <c r="K260" s="88">
        <v>-3.6674816625916762E-3</v>
      </c>
      <c r="L260" s="42">
        <v>-6.3499529633114227E-3</v>
      </c>
      <c r="M260" s="43">
        <v>-5.2137283861726389E-3</v>
      </c>
      <c r="Q260" s="2"/>
      <c r="R260" s="24"/>
      <c r="S260" s="24"/>
      <c r="T260" s="24"/>
    </row>
    <row r="261" spans="1:20" x14ac:dyDescent="0.25">
      <c r="A261" s="2">
        <v>45028</v>
      </c>
      <c r="B261" s="20">
        <v>2658</v>
      </c>
      <c r="C261" s="20">
        <v>400</v>
      </c>
      <c r="D261" s="20">
        <v>9868</v>
      </c>
      <c r="E261" s="17">
        <f t="shared" si="12"/>
        <v>-1.9188191881918781E-2</v>
      </c>
      <c r="F261" s="17">
        <f t="shared" si="12"/>
        <v>-9.9009900990099098E-3</v>
      </c>
      <c r="G261" s="17">
        <f t="shared" si="12"/>
        <v>-3.4914425427872819E-2</v>
      </c>
      <c r="H261" s="14">
        <f t="shared" si="13"/>
        <v>-3.1552553188772765E-2</v>
      </c>
      <c r="I261" s="39">
        <f t="shared" si="14"/>
        <v>1.3227513227513227E-3</v>
      </c>
      <c r="J261" s="42">
        <v>-4.1152263374485409E-3</v>
      </c>
      <c r="K261" s="88">
        <v>-3.6540803897685548E-3</v>
      </c>
      <c r="L261" s="42">
        <v>-6.3233965672989667E-3</v>
      </c>
      <c r="M261" s="43">
        <v>-5.2078391184434865E-3</v>
      </c>
      <c r="Q261" s="2"/>
      <c r="R261" s="24"/>
      <c r="S261" s="24"/>
      <c r="T261" s="24"/>
    </row>
    <row r="262" spans="1:20" x14ac:dyDescent="0.25">
      <c r="A262" s="2">
        <v>45027</v>
      </c>
      <c r="B262" s="20">
        <v>2710</v>
      </c>
      <c r="C262" s="20">
        <v>404</v>
      </c>
      <c r="D262" s="20">
        <v>10225</v>
      </c>
      <c r="E262" s="17">
        <f t="shared" ref="E262:G325" si="15">+B262/B263-1</f>
        <v>-1.4738393515106862E-3</v>
      </c>
      <c r="F262" s="17">
        <f t="shared" si="15"/>
        <v>8.7390761548065132E-3</v>
      </c>
      <c r="G262" s="17">
        <f t="shared" si="15"/>
        <v>1.4691478942212566E-3</v>
      </c>
      <c r="H262" s="14">
        <f t="shared" ref="H262:H325" si="16">+SUMPRODUCT(E262:G262,$K$9:$M$9)</f>
        <v>1.3650383203969432E-3</v>
      </c>
      <c r="I262" s="39">
        <f t="shared" si="14"/>
        <v>1.3227513227513227E-3</v>
      </c>
      <c r="J262" s="42">
        <v>-4.0844111640572223E-3</v>
      </c>
      <c r="K262" s="88">
        <v>-3.6188178528346882E-3</v>
      </c>
      <c r="L262" s="42">
        <v>-6.2855432505237729E-3</v>
      </c>
      <c r="M262" s="43">
        <v>-5.1718874455888011E-3</v>
      </c>
      <c r="Q262" s="2"/>
      <c r="R262" s="24"/>
      <c r="S262" s="24"/>
      <c r="T262" s="24"/>
    </row>
    <row r="263" spans="1:20" x14ac:dyDescent="0.25">
      <c r="A263" s="2">
        <v>45022</v>
      </c>
      <c r="B263" s="20">
        <v>2714</v>
      </c>
      <c r="C263" s="29">
        <v>400.5</v>
      </c>
      <c r="D263" s="20">
        <v>10210</v>
      </c>
      <c r="E263" s="17">
        <f t="shared" si="15"/>
        <v>3.6982248520709415E-3</v>
      </c>
      <c r="F263" s="17">
        <f t="shared" si="15"/>
        <v>1.2499999999999734E-3</v>
      </c>
      <c r="G263" s="17">
        <f t="shared" si="15"/>
        <v>1.9627085377822429E-3</v>
      </c>
      <c r="H263" s="14">
        <f t="shared" si="16"/>
        <v>2.1811362309883523E-3</v>
      </c>
      <c r="I263" s="39">
        <f t="shared" si="14"/>
        <v>1.3227513227513227E-3</v>
      </c>
      <c r="J263" s="42">
        <v>-4.0816326530612734E-3</v>
      </c>
      <c r="K263" s="88">
        <v>-3.6014405762304635E-3</v>
      </c>
      <c r="L263" s="42">
        <v>-6.1764705882353388E-3</v>
      </c>
      <c r="M263" s="43">
        <v>-5.0888471233831436E-3</v>
      </c>
      <c r="Q263" s="2"/>
      <c r="R263" s="24"/>
      <c r="S263" s="24"/>
      <c r="T263" s="24"/>
    </row>
    <row r="264" spans="1:20" x14ac:dyDescent="0.25">
      <c r="A264" s="2">
        <v>45021</v>
      </c>
      <c r="B264" s="20">
        <v>2704</v>
      </c>
      <c r="C264" s="20">
        <v>400</v>
      </c>
      <c r="D264" s="20">
        <v>10190</v>
      </c>
      <c r="E264" s="17">
        <f t="shared" si="15"/>
        <v>9.7087378640776656E-3</v>
      </c>
      <c r="F264" s="17">
        <f t="shared" si="15"/>
        <v>0</v>
      </c>
      <c r="G264" s="17">
        <f t="shared" si="15"/>
        <v>-2.4473813020068347E-3</v>
      </c>
      <c r="H264" s="14">
        <f t="shared" si="16"/>
        <v>-5.9061447292094844E-4</v>
      </c>
      <c r="I264" s="39">
        <f t="shared" si="14"/>
        <v>1.3227513227513227E-3</v>
      </c>
      <c r="J264" s="42">
        <v>-4.0716612377850181E-3</v>
      </c>
      <c r="K264" s="88">
        <v>-3.6014405762304635E-3</v>
      </c>
      <c r="L264" s="42">
        <v>-6.1055385957261565E-3</v>
      </c>
      <c r="M264" s="43">
        <v>-5.0590010384367855E-3</v>
      </c>
      <c r="Q264" s="2"/>
      <c r="R264" s="24"/>
      <c r="S264" s="24"/>
      <c r="T264" s="24"/>
    </row>
    <row r="265" spans="1:20" x14ac:dyDescent="0.25">
      <c r="A265" s="2">
        <v>45020</v>
      </c>
      <c r="B265" s="20">
        <v>2678</v>
      </c>
      <c r="C265" s="20">
        <v>400</v>
      </c>
      <c r="D265" s="20">
        <v>10215</v>
      </c>
      <c r="E265" s="17">
        <f t="shared" si="15"/>
        <v>2.9208301306687057E-2</v>
      </c>
      <c r="F265" s="17">
        <f t="shared" si="15"/>
        <v>-9.9009900990099098E-3</v>
      </c>
      <c r="G265" s="17">
        <f t="shared" si="15"/>
        <v>9.3873517786560168E-3</v>
      </c>
      <c r="H265" s="14">
        <f t="shared" si="16"/>
        <v>1.1392184120746156E-2</v>
      </c>
      <c r="I265" s="39">
        <f t="shared" si="14"/>
        <v>1.3227513227513227E-3</v>
      </c>
      <c r="J265" s="42">
        <v>-3.9138943248532287E-3</v>
      </c>
      <c r="K265" s="88">
        <v>-3.5885167464114742E-3</v>
      </c>
      <c r="L265" s="42">
        <v>-6.0000000000000053E-3</v>
      </c>
      <c r="M265" s="43">
        <v>-5.0322394078531688E-3</v>
      </c>
      <c r="Q265" s="2"/>
      <c r="R265" s="24"/>
      <c r="S265" s="24"/>
      <c r="T265" s="24"/>
    </row>
    <row r="266" spans="1:20" x14ac:dyDescent="0.25">
      <c r="A266" s="2">
        <v>45019</v>
      </c>
      <c r="B266" s="20">
        <v>2602</v>
      </c>
      <c r="C266" s="20">
        <v>404</v>
      </c>
      <c r="D266" s="20">
        <v>10120</v>
      </c>
      <c r="E266" s="17">
        <f t="shared" si="15"/>
        <v>1.4820592823712841E-2</v>
      </c>
      <c r="F266" s="17">
        <f t="shared" si="15"/>
        <v>8.7390761548065132E-3</v>
      </c>
      <c r="G266" s="17">
        <f t="shared" si="15"/>
        <v>1.3824884792626779E-2</v>
      </c>
      <c r="H266" s="14">
        <f t="shared" si="16"/>
        <v>1.374473625733396E-2</v>
      </c>
      <c r="I266" s="39">
        <f t="shared" si="14"/>
        <v>1.3227513227513227E-3</v>
      </c>
      <c r="J266" s="42">
        <v>-3.9087947882736618E-3</v>
      </c>
      <c r="K266" s="88">
        <v>-3.5629453681710332E-3</v>
      </c>
      <c r="L266" s="42">
        <v>-5.9782608695652106E-3</v>
      </c>
      <c r="M266" s="43">
        <v>-4.9826699697245458E-3</v>
      </c>
      <c r="Q266" s="2"/>
      <c r="R266" s="24"/>
      <c r="S266" s="24"/>
      <c r="T266" s="24"/>
    </row>
    <row r="267" spans="1:20" x14ac:dyDescent="0.25">
      <c r="A267" s="2">
        <v>45016</v>
      </c>
      <c r="B267" s="20">
        <v>2564</v>
      </c>
      <c r="C267" s="29">
        <v>400.5</v>
      </c>
      <c r="D267" s="20">
        <v>9982</v>
      </c>
      <c r="E267" s="17">
        <f t="shared" si="15"/>
        <v>2.5600000000000067E-2</v>
      </c>
      <c r="F267" s="17">
        <f t="shared" si="15"/>
        <v>-8.6633663366336711E-3</v>
      </c>
      <c r="G267" s="17">
        <f t="shared" si="15"/>
        <v>1.8987341772152E-2</v>
      </c>
      <c r="H267" s="14">
        <f t="shared" si="16"/>
        <v>1.8724144315240616E-2</v>
      </c>
      <c r="I267" s="39">
        <f t="shared" si="14"/>
        <v>1.3227513227513227E-3</v>
      </c>
      <c r="J267" s="42">
        <v>-3.8314176245211051E-3</v>
      </c>
      <c r="K267" s="88">
        <v>-3.5335689045936647E-3</v>
      </c>
      <c r="L267" s="42">
        <v>-5.8666666666666867E-3</v>
      </c>
      <c r="M267" s="43">
        <v>-4.9422451642527499E-3</v>
      </c>
      <c r="Q267" s="2"/>
      <c r="R267" s="24"/>
      <c r="S267" s="24"/>
      <c r="T267" s="24"/>
    </row>
    <row r="268" spans="1:20" x14ac:dyDescent="0.25">
      <c r="A268" s="2">
        <v>45015</v>
      </c>
      <c r="B268" s="20">
        <v>2500</v>
      </c>
      <c r="C268" s="20">
        <v>404</v>
      </c>
      <c r="D268" s="20">
        <v>9796</v>
      </c>
      <c r="E268" s="17">
        <f t="shared" si="15"/>
        <v>-2.114330462020364E-2</v>
      </c>
      <c r="F268" s="17">
        <f t="shared" si="15"/>
        <v>2.020202020202011E-2</v>
      </c>
      <c r="G268" s="17">
        <f t="shared" si="15"/>
        <v>-1.2101653892698683E-2</v>
      </c>
      <c r="H268" s="14">
        <f t="shared" si="16"/>
        <v>-1.1983571159660814E-2</v>
      </c>
      <c r="I268" s="39">
        <f t="shared" si="14"/>
        <v>1.3227513227513227E-3</v>
      </c>
      <c r="J268" s="42">
        <v>-3.7565740045079066E-3</v>
      </c>
      <c r="K268" s="88">
        <v>-3.5211267605633756E-3</v>
      </c>
      <c r="L268" s="42">
        <v>-5.7692307692307487E-3</v>
      </c>
      <c r="M268" s="43">
        <v>-4.7758980262839123E-3</v>
      </c>
      <c r="Q268" s="2"/>
      <c r="R268" s="24"/>
      <c r="S268" s="24"/>
      <c r="T268" s="24"/>
    </row>
    <row r="269" spans="1:20" x14ac:dyDescent="0.25">
      <c r="A269" s="2">
        <v>45014</v>
      </c>
      <c r="B269" s="20">
        <v>2554</v>
      </c>
      <c r="C269" s="20">
        <v>396</v>
      </c>
      <c r="D269" s="20">
        <v>9916</v>
      </c>
      <c r="E269" s="17">
        <f t="shared" si="15"/>
        <v>4.7206923682139301E-3</v>
      </c>
      <c r="F269" s="17">
        <f t="shared" si="15"/>
        <v>7.6335877862594437E-3</v>
      </c>
      <c r="G269" s="17">
        <f t="shared" si="15"/>
        <v>1.1836734693877471E-2</v>
      </c>
      <c r="H269" s="14">
        <f t="shared" si="16"/>
        <v>1.0628093665034487E-2</v>
      </c>
      <c r="I269" s="39">
        <f t="shared" si="14"/>
        <v>1.3227513227513227E-3</v>
      </c>
      <c r="J269" s="42">
        <v>-3.7425149700598404E-3</v>
      </c>
      <c r="K269" s="88">
        <v>-3.5169988276670949E-3</v>
      </c>
      <c r="L269" s="42">
        <v>-5.7636887608069065E-3</v>
      </c>
      <c r="M269" s="43">
        <v>-4.7524365597188777E-3</v>
      </c>
      <c r="Q269" s="2"/>
      <c r="R269" s="24"/>
      <c r="S269" s="24"/>
      <c r="T269" s="24"/>
    </row>
    <row r="270" spans="1:20" x14ac:dyDescent="0.25">
      <c r="A270" s="2">
        <v>45013</v>
      </c>
      <c r="B270" s="20">
        <v>2542</v>
      </c>
      <c r="C270" s="20">
        <v>393</v>
      </c>
      <c r="D270" s="20">
        <v>9800</v>
      </c>
      <c r="E270" s="17">
        <f t="shared" si="15"/>
        <v>2.0064205457463791E-2</v>
      </c>
      <c r="F270" s="17">
        <f t="shared" si="15"/>
        <v>1.5503875968992276E-2</v>
      </c>
      <c r="G270" s="17">
        <f t="shared" si="15"/>
        <v>-1.9411646988192865E-2</v>
      </c>
      <c r="H270" s="14">
        <f t="shared" si="16"/>
        <v>-1.2197219649725824E-2</v>
      </c>
      <c r="I270" s="39">
        <f t="shared" si="14"/>
        <v>1.3227513227513227E-3</v>
      </c>
      <c r="J270" s="42">
        <v>-3.7313432835820448E-3</v>
      </c>
      <c r="K270" s="88">
        <v>-3.5087719298245723E-3</v>
      </c>
      <c r="L270" s="42">
        <v>-5.7057057057057214E-3</v>
      </c>
      <c r="M270" s="43">
        <v>-4.6710841032324485E-3</v>
      </c>
      <c r="Q270" s="2"/>
      <c r="R270" s="24"/>
      <c r="S270" s="24"/>
      <c r="T270" s="24"/>
    </row>
    <row r="271" spans="1:20" x14ac:dyDescent="0.25">
      <c r="A271" s="2">
        <v>45012</v>
      </c>
      <c r="B271" s="20">
        <v>2492</v>
      </c>
      <c r="C271" s="20">
        <v>387</v>
      </c>
      <c r="D271" s="20">
        <v>9994</v>
      </c>
      <c r="E271" s="17">
        <f t="shared" si="15"/>
        <v>7.275666936135794E-3</v>
      </c>
      <c r="F271" s="17">
        <f t="shared" si="15"/>
        <v>1.0443864229765065E-2</v>
      </c>
      <c r="G271" s="17">
        <f t="shared" si="15"/>
        <v>1.5237708248679427E-2</v>
      </c>
      <c r="H271" s="14">
        <f t="shared" si="16"/>
        <v>1.3881378666113038E-2</v>
      </c>
      <c r="I271" s="39">
        <f t="shared" si="14"/>
        <v>1.3227513227513227E-3</v>
      </c>
      <c r="J271" s="42">
        <v>-3.7037037037036535E-3</v>
      </c>
      <c r="K271" s="88">
        <v>-3.4883720930232176E-3</v>
      </c>
      <c r="L271" s="42">
        <v>-5.6639395846443952E-3</v>
      </c>
      <c r="M271" s="43">
        <v>-4.667978383198588E-3</v>
      </c>
      <c r="Q271" s="2"/>
      <c r="R271" s="24"/>
      <c r="S271" s="24"/>
      <c r="T271" s="24"/>
    </row>
    <row r="272" spans="1:20" x14ac:dyDescent="0.25">
      <c r="A272" s="2">
        <v>45009</v>
      </c>
      <c r="B272" s="20">
        <v>2474</v>
      </c>
      <c r="C272" s="20">
        <v>383</v>
      </c>
      <c r="D272" s="20">
        <v>9844</v>
      </c>
      <c r="E272" s="17">
        <f t="shared" si="15"/>
        <v>-2.8279654359780082E-2</v>
      </c>
      <c r="F272" s="17">
        <f t="shared" si="15"/>
        <v>-1.2886597938144284E-2</v>
      </c>
      <c r="G272" s="17">
        <f t="shared" si="15"/>
        <v>-5.3461538461538449E-2</v>
      </c>
      <c r="H272" s="14">
        <f t="shared" si="16"/>
        <v>-4.8055363917778995E-2</v>
      </c>
      <c r="I272" s="39">
        <f t="shared" ref="I272:I335" si="17">1/$K$1</f>
        <v>1.3227513227513227E-3</v>
      </c>
      <c r="J272" s="42">
        <v>-3.6927621861152504E-3</v>
      </c>
      <c r="K272" s="88">
        <v>-3.4602076124568004E-3</v>
      </c>
      <c r="L272" s="42">
        <v>-5.5915244261329766E-3</v>
      </c>
      <c r="M272" s="43">
        <v>-4.6239110775136297E-3</v>
      </c>
      <c r="Q272" s="2"/>
      <c r="R272" s="24"/>
      <c r="S272" s="24"/>
      <c r="T272" s="24"/>
    </row>
    <row r="273" spans="1:20" x14ac:dyDescent="0.25">
      <c r="A273" s="2">
        <v>45008</v>
      </c>
      <c r="B273" s="20">
        <v>2546</v>
      </c>
      <c r="C273" s="20">
        <v>388</v>
      </c>
      <c r="D273" s="20">
        <v>10400</v>
      </c>
      <c r="E273" s="17">
        <f t="shared" si="15"/>
        <v>3.4959349593495892E-2</v>
      </c>
      <c r="F273" s="17">
        <f t="shared" si="15"/>
        <v>3.8809831824062613E-3</v>
      </c>
      <c r="G273" s="17">
        <f t="shared" si="15"/>
        <v>3.3797216699801291E-2</v>
      </c>
      <c r="H273" s="14">
        <f t="shared" si="16"/>
        <v>3.2650167289972325E-2</v>
      </c>
      <c r="I273" s="39">
        <f t="shared" si="17"/>
        <v>1.3227513227513227E-3</v>
      </c>
      <c r="J273" s="42">
        <v>-3.6363636363636598E-3</v>
      </c>
      <c r="K273" s="88">
        <v>-3.4443168771527422E-3</v>
      </c>
      <c r="L273" s="42">
        <v>-5.4660529344073838E-3</v>
      </c>
      <c r="M273" s="43">
        <v>-4.5709882950696135E-3</v>
      </c>
      <c r="Q273" s="2"/>
      <c r="R273" s="24"/>
      <c r="S273" s="24"/>
      <c r="T273" s="24"/>
    </row>
    <row r="274" spans="1:20" x14ac:dyDescent="0.25">
      <c r="A274" s="2">
        <v>45007</v>
      </c>
      <c r="B274" s="20">
        <v>2460</v>
      </c>
      <c r="C274" s="29">
        <v>386.5</v>
      </c>
      <c r="D274" s="20">
        <v>10060</v>
      </c>
      <c r="E274" s="17">
        <f t="shared" si="15"/>
        <v>-1.6000000000000014E-2</v>
      </c>
      <c r="F274" s="17">
        <f t="shared" si="15"/>
        <v>9.1383812010443766E-3</v>
      </c>
      <c r="G274" s="17">
        <f t="shared" si="15"/>
        <v>1.5341138473960347E-2</v>
      </c>
      <c r="H274" s="14">
        <f t="shared" si="16"/>
        <v>1.0558693131749034E-2</v>
      </c>
      <c r="I274" s="39">
        <f t="shared" si="17"/>
        <v>1.3227513227513227E-3</v>
      </c>
      <c r="J274" s="42">
        <v>-3.6231884057971175E-3</v>
      </c>
      <c r="K274" s="88">
        <v>-3.4305317324184736E-3</v>
      </c>
      <c r="L274" s="42">
        <v>-5.3970701619121542E-3</v>
      </c>
      <c r="M274" s="43">
        <v>-4.5247452094262751E-3</v>
      </c>
      <c r="Q274" s="2"/>
      <c r="R274" s="24"/>
      <c r="S274" s="24"/>
      <c r="T274" s="24"/>
    </row>
    <row r="275" spans="1:20" x14ac:dyDescent="0.25">
      <c r="A275" s="2">
        <v>45006</v>
      </c>
      <c r="B275" s="20">
        <v>2500</v>
      </c>
      <c r="C275" s="20">
        <v>383</v>
      </c>
      <c r="D275" s="20">
        <v>9908</v>
      </c>
      <c r="E275" s="17">
        <f t="shared" si="15"/>
        <v>0</v>
      </c>
      <c r="F275" s="17">
        <f t="shared" si="15"/>
        <v>2.6178010471205049E-3</v>
      </c>
      <c r="G275" s="17">
        <f t="shared" si="15"/>
        <v>4.492723054207981E-2</v>
      </c>
      <c r="H275" s="14">
        <f t="shared" si="16"/>
        <v>3.6603528715642805E-2</v>
      </c>
      <c r="I275" s="39">
        <f t="shared" si="17"/>
        <v>1.3227513227513227E-3</v>
      </c>
      <c r="J275" s="42">
        <v>-3.6153289949385492E-3</v>
      </c>
      <c r="K275" s="88">
        <v>-3.4188034188034067E-3</v>
      </c>
      <c r="L275" s="42">
        <v>-5.3632374451486609E-3</v>
      </c>
      <c r="M275" s="43">
        <v>-4.5234491162897197E-3</v>
      </c>
      <c r="Q275" s="2"/>
      <c r="R275" s="24"/>
      <c r="S275" s="24"/>
      <c r="T275" s="24"/>
    </row>
    <row r="276" spans="1:20" x14ac:dyDescent="0.25">
      <c r="A276" s="2">
        <v>45005</v>
      </c>
      <c r="B276" s="20">
        <v>2500</v>
      </c>
      <c r="C276" s="20">
        <v>382</v>
      </c>
      <c r="D276" s="20">
        <v>9482</v>
      </c>
      <c r="E276" s="17">
        <f t="shared" si="15"/>
        <v>3.3912324234904867E-2</v>
      </c>
      <c r="F276" s="17">
        <f t="shared" si="15"/>
        <v>-7.7922077922077948E-3</v>
      </c>
      <c r="G276" s="17">
        <f t="shared" si="15"/>
        <v>-8.4299262381448692E-4</v>
      </c>
      <c r="H276" s="14">
        <f t="shared" si="16"/>
        <v>3.8529563221079335E-3</v>
      </c>
      <c r="I276" s="39">
        <f t="shared" si="17"/>
        <v>1.3227513227513227E-3</v>
      </c>
      <c r="J276" s="42">
        <v>-3.5714285714285587E-3</v>
      </c>
      <c r="K276" s="88">
        <v>-3.3557046979866278E-3</v>
      </c>
      <c r="L276" s="42">
        <v>-5.3404539385847327E-3</v>
      </c>
      <c r="M276" s="43">
        <v>-4.4718864695510608E-3</v>
      </c>
      <c r="Q276" s="2"/>
      <c r="R276" s="24"/>
      <c r="S276" s="24"/>
      <c r="T276" s="24"/>
    </row>
    <row r="277" spans="1:20" x14ac:dyDescent="0.25">
      <c r="A277" s="2">
        <v>45002</v>
      </c>
      <c r="B277" s="20">
        <v>2418</v>
      </c>
      <c r="C277" s="20">
        <v>385</v>
      </c>
      <c r="D277" s="20">
        <v>9490</v>
      </c>
      <c r="E277" s="17">
        <f t="shared" si="15"/>
        <v>8.340283569641338E-3</v>
      </c>
      <c r="F277" s="17">
        <f t="shared" si="15"/>
        <v>7.8534031413612926E-3</v>
      </c>
      <c r="G277" s="17">
        <f t="shared" si="15"/>
        <v>-6.3184498736312822E-4</v>
      </c>
      <c r="H277" s="14">
        <f t="shared" si="16"/>
        <v>1.0320053493613874E-3</v>
      </c>
      <c r="I277" s="39">
        <f t="shared" si="17"/>
        <v>1.3227513227513227E-3</v>
      </c>
      <c r="J277" s="42">
        <v>-3.5460992907800915E-3</v>
      </c>
      <c r="K277" s="88">
        <v>-3.3333333333332993E-3</v>
      </c>
      <c r="L277" s="42">
        <v>-5.3038674033148991E-3</v>
      </c>
      <c r="M277" s="43">
        <v>-4.4221554055817259E-3</v>
      </c>
      <c r="Q277" s="2"/>
      <c r="R277" s="24"/>
      <c r="S277" s="24"/>
      <c r="T277" s="24"/>
    </row>
    <row r="278" spans="1:20" x14ac:dyDescent="0.25">
      <c r="A278" s="2">
        <v>45001</v>
      </c>
      <c r="B278" s="20">
        <v>2398</v>
      </c>
      <c r="C278" s="20">
        <v>382</v>
      </c>
      <c r="D278" s="20">
        <v>9496</v>
      </c>
      <c r="E278" s="17">
        <f t="shared" si="15"/>
        <v>-2.5203252032520274E-2</v>
      </c>
      <c r="F278" s="17">
        <f t="shared" si="15"/>
        <v>-1.2919896640826822E-2</v>
      </c>
      <c r="G278" s="17">
        <f t="shared" si="15"/>
        <v>-4.0808080808080849E-2</v>
      </c>
      <c r="H278" s="14">
        <f t="shared" si="16"/>
        <v>-3.7337385201066928E-2</v>
      </c>
      <c r="I278" s="39">
        <f t="shared" si="17"/>
        <v>1.3227513227513227E-3</v>
      </c>
      <c r="J278" s="42">
        <v>-3.5161744022503827E-3</v>
      </c>
      <c r="K278" s="88">
        <v>-3.2644178454842576E-3</v>
      </c>
      <c r="L278" s="42">
        <v>-5.1862329090052173E-3</v>
      </c>
      <c r="M278" s="43">
        <v>-4.4152367843364199E-3</v>
      </c>
      <c r="Q278" s="2"/>
      <c r="R278" s="24"/>
      <c r="S278" s="24"/>
      <c r="T278" s="24"/>
    </row>
    <row r="279" spans="1:20" x14ac:dyDescent="0.25">
      <c r="A279" s="2">
        <v>44999</v>
      </c>
      <c r="B279" s="20">
        <v>2460</v>
      </c>
      <c r="C279" s="20">
        <v>387</v>
      </c>
      <c r="D279" s="20">
        <v>9900</v>
      </c>
      <c r="E279" s="17">
        <f t="shared" si="15"/>
        <v>-3.0732860520094607E-2</v>
      </c>
      <c r="F279" s="17">
        <f t="shared" si="15"/>
        <v>-2.5773195876288568E-3</v>
      </c>
      <c r="G279" s="17">
        <f t="shared" si="15"/>
        <v>2.0618556701030855E-2</v>
      </c>
      <c r="H279" s="14">
        <f t="shared" si="16"/>
        <v>1.2210119194672481E-2</v>
      </c>
      <c r="I279" s="39">
        <f t="shared" si="17"/>
        <v>1.3227513227513227E-3</v>
      </c>
      <c r="J279" s="42">
        <v>-3.4989503149055468E-3</v>
      </c>
      <c r="K279" s="88">
        <v>-3.2432432432432101E-3</v>
      </c>
      <c r="L279" s="42">
        <v>-5.1752528816748633E-3</v>
      </c>
      <c r="M279" s="43">
        <v>-4.1444879562959093E-3</v>
      </c>
      <c r="Q279" s="2"/>
      <c r="R279" s="24"/>
      <c r="S279" s="24"/>
      <c r="T279" s="24"/>
    </row>
    <row r="280" spans="1:20" x14ac:dyDescent="0.25">
      <c r="A280" s="2">
        <v>44998</v>
      </c>
      <c r="B280" s="20">
        <v>2538</v>
      </c>
      <c r="C280" s="20">
        <v>388</v>
      </c>
      <c r="D280" s="20">
        <v>9700</v>
      </c>
      <c r="E280" s="17">
        <f t="shared" si="15"/>
        <v>-1.0140405616224646E-2</v>
      </c>
      <c r="F280" s="17">
        <f t="shared" si="15"/>
        <v>-1.0204081632653073E-2</v>
      </c>
      <c r="G280" s="17">
        <f t="shared" si="15"/>
        <v>-5.3658536585365901E-2</v>
      </c>
      <c r="H280" s="14">
        <f t="shared" si="16"/>
        <v>-4.5487299010047472E-2</v>
      </c>
      <c r="I280" s="39">
        <f t="shared" si="17"/>
        <v>1.3227513227513227E-3</v>
      </c>
      <c r="J280" s="42">
        <v>-3.4482758620689724E-3</v>
      </c>
      <c r="K280" s="88">
        <v>-3.1948881789137795E-3</v>
      </c>
      <c r="L280" s="42">
        <v>-5.1470588235293935E-3</v>
      </c>
      <c r="M280" s="43">
        <v>-4.1418373264464547E-3</v>
      </c>
      <c r="Q280" s="2"/>
      <c r="R280" s="24"/>
      <c r="S280" s="24"/>
      <c r="T280" s="24"/>
    </row>
    <row r="281" spans="1:20" x14ac:dyDescent="0.25">
      <c r="A281" s="2">
        <v>44995</v>
      </c>
      <c r="B281" s="20">
        <v>2564</v>
      </c>
      <c r="C281" s="20">
        <v>392</v>
      </c>
      <c r="D281" s="20">
        <v>10250</v>
      </c>
      <c r="E281" s="17">
        <f t="shared" si="15"/>
        <v>-6.2015503875969546E-3</v>
      </c>
      <c r="F281" s="17">
        <f t="shared" si="15"/>
        <v>2.5575447570331811E-3</v>
      </c>
      <c r="G281" s="17">
        <f t="shared" si="15"/>
        <v>1.8886679920477212E-2</v>
      </c>
      <c r="H281" s="14">
        <f t="shared" si="16"/>
        <v>1.4559147726686799E-2</v>
      </c>
      <c r="I281" s="39">
        <f t="shared" si="17"/>
        <v>1.3227513227513227E-3</v>
      </c>
      <c r="J281" s="42">
        <v>-3.3355570380253496E-3</v>
      </c>
      <c r="K281" s="88">
        <v>-3.1948881789137795E-3</v>
      </c>
      <c r="L281" s="42">
        <v>-5.0815726129981309E-3</v>
      </c>
      <c r="M281" s="43">
        <v>-4.1281871055131999E-3</v>
      </c>
      <c r="Q281" s="2"/>
      <c r="R281" s="24"/>
      <c r="S281" s="24"/>
      <c r="T281" s="24"/>
    </row>
    <row r="282" spans="1:20" x14ac:dyDescent="0.25">
      <c r="A282" s="2">
        <v>44994</v>
      </c>
      <c r="B282" s="20">
        <v>2580</v>
      </c>
      <c r="C282" s="20">
        <v>391</v>
      </c>
      <c r="D282" s="20">
        <v>10060</v>
      </c>
      <c r="E282" s="17">
        <f t="shared" si="15"/>
        <v>-1.5267175572519109E-2</v>
      </c>
      <c r="F282" s="17">
        <f t="shared" si="15"/>
        <v>-3.8216560509554132E-3</v>
      </c>
      <c r="G282" s="17">
        <f t="shared" si="15"/>
        <v>-8.8669950738916592E-3</v>
      </c>
      <c r="H282" s="14">
        <f t="shared" si="16"/>
        <v>-9.5663204908977909E-3</v>
      </c>
      <c r="I282" s="39">
        <f t="shared" si="17"/>
        <v>1.3227513227513227E-3</v>
      </c>
      <c r="J282" s="42">
        <v>-3.3222591362126463E-3</v>
      </c>
      <c r="K282" s="88">
        <v>-3.0120481927711218E-3</v>
      </c>
      <c r="L282" s="42">
        <v>-5.066789497927271E-3</v>
      </c>
      <c r="M282" s="43">
        <v>-4.0423134655141954E-3</v>
      </c>
      <c r="Q282" s="2"/>
      <c r="R282" s="24"/>
      <c r="S282" s="24"/>
      <c r="T282" s="24"/>
    </row>
    <row r="283" spans="1:20" x14ac:dyDescent="0.25">
      <c r="A283" s="2">
        <v>44993</v>
      </c>
      <c r="B283" s="20">
        <v>2620</v>
      </c>
      <c r="C283" s="29">
        <v>392.5</v>
      </c>
      <c r="D283" s="20">
        <v>10150</v>
      </c>
      <c r="E283" s="17">
        <f t="shared" si="15"/>
        <v>-5.3151100987092192E-3</v>
      </c>
      <c r="F283" s="17">
        <f t="shared" si="15"/>
        <v>3.8363171355497716E-3</v>
      </c>
      <c r="G283" s="17">
        <f t="shared" si="15"/>
        <v>-8.7890625E-3</v>
      </c>
      <c r="H283" s="14">
        <f t="shared" si="16"/>
        <v>-7.7345079530959622E-3</v>
      </c>
      <c r="I283" s="39">
        <f t="shared" si="17"/>
        <v>1.3227513227513227E-3</v>
      </c>
      <c r="J283" s="42">
        <v>-3.3222591362126463E-3</v>
      </c>
      <c r="K283" s="88">
        <v>-2.9154518950437192E-3</v>
      </c>
      <c r="L283" s="42">
        <v>-5.0387596899225118E-3</v>
      </c>
      <c r="M283" s="43">
        <v>-3.9632594814597273E-3</v>
      </c>
      <c r="Q283" s="2"/>
      <c r="R283" s="24"/>
      <c r="S283" s="24"/>
      <c r="T283" s="24"/>
    </row>
    <row r="284" spans="1:20" x14ac:dyDescent="0.25">
      <c r="A284" s="2">
        <v>44992</v>
      </c>
      <c r="B284" s="20">
        <v>2634</v>
      </c>
      <c r="C284" s="20">
        <v>391</v>
      </c>
      <c r="D284" s="20">
        <v>10240</v>
      </c>
      <c r="E284" s="17">
        <f t="shared" si="15"/>
        <v>-2.0817843866171026E-2</v>
      </c>
      <c r="F284" s="17">
        <f t="shared" si="15"/>
        <v>-1.5113350125944613E-2</v>
      </c>
      <c r="G284" s="17">
        <f t="shared" si="15"/>
        <v>-2.9383886255924141E-2</v>
      </c>
      <c r="H284" s="14">
        <f t="shared" si="16"/>
        <v>-2.7524312122942034E-2</v>
      </c>
      <c r="I284" s="39">
        <f t="shared" si="17"/>
        <v>1.3227513227513227E-3</v>
      </c>
      <c r="J284" s="42">
        <v>-3.3222591362126463E-3</v>
      </c>
      <c r="K284" s="88">
        <v>-2.6041666666666297E-3</v>
      </c>
      <c r="L284" s="42">
        <v>-5.0125313283208017E-3</v>
      </c>
      <c r="M284" s="43">
        <v>-3.952471347024842E-3</v>
      </c>
      <c r="Q284" s="2"/>
      <c r="R284" s="24"/>
      <c r="S284" s="24"/>
      <c r="T284" s="24"/>
    </row>
    <row r="285" spans="1:20" x14ac:dyDescent="0.25">
      <c r="A285" s="2">
        <v>44991</v>
      </c>
      <c r="B285" s="20">
        <v>2690</v>
      </c>
      <c r="C285" s="20">
        <v>397</v>
      </c>
      <c r="D285" s="20">
        <v>10550</v>
      </c>
      <c r="E285" s="17">
        <f t="shared" si="15"/>
        <v>1.0518407212622094E-2</v>
      </c>
      <c r="F285" s="17">
        <f t="shared" si="15"/>
        <v>1.2610340479193294E-3</v>
      </c>
      <c r="G285" s="17">
        <f t="shared" si="15"/>
        <v>0</v>
      </c>
      <c r="H285" s="14">
        <f t="shared" si="16"/>
        <v>1.5689838078000833E-3</v>
      </c>
      <c r="I285" s="39">
        <f t="shared" si="17"/>
        <v>1.3227513227513227E-3</v>
      </c>
      <c r="J285" s="42">
        <v>-3.1421838177533301E-3</v>
      </c>
      <c r="K285" s="88">
        <v>-2.5773195876288568E-3</v>
      </c>
      <c r="L285" s="42">
        <v>-5.0107372942018724E-3</v>
      </c>
      <c r="M285" s="43">
        <v>-3.7386629053223026E-3</v>
      </c>
      <c r="Q285" s="2"/>
      <c r="R285" s="24"/>
      <c r="S285" s="24"/>
      <c r="T285" s="24"/>
    </row>
    <row r="286" spans="1:20" x14ac:dyDescent="0.25">
      <c r="A286" s="2">
        <v>44988</v>
      </c>
      <c r="B286" s="20">
        <v>2662</v>
      </c>
      <c r="C286" s="29">
        <v>396.5</v>
      </c>
      <c r="D286" s="20">
        <v>10550</v>
      </c>
      <c r="E286" s="17">
        <f t="shared" si="15"/>
        <v>-3.7425149700598404E-3</v>
      </c>
      <c r="F286" s="17">
        <f t="shared" si="15"/>
        <v>6.345177664974555E-3</v>
      </c>
      <c r="G286" s="17">
        <f t="shared" si="15"/>
        <v>-5.1862329090052173E-3</v>
      </c>
      <c r="H286" s="14">
        <f t="shared" si="16"/>
        <v>-4.4718864695510608E-3</v>
      </c>
      <c r="I286" s="39">
        <f t="shared" si="17"/>
        <v>1.3227513227513227E-3</v>
      </c>
      <c r="J286" s="42">
        <v>-3.0557677616500634E-3</v>
      </c>
      <c r="K286" s="88">
        <v>-2.5673940949936247E-3</v>
      </c>
      <c r="L286" s="42">
        <v>-5.0044156608772816E-3</v>
      </c>
      <c r="M286" s="43">
        <v>-3.6598038526927446E-3</v>
      </c>
      <c r="Q286" s="2"/>
      <c r="R286" s="24"/>
      <c r="S286" s="24"/>
      <c r="T286" s="24"/>
    </row>
    <row r="287" spans="1:20" x14ac:dyDescent="0.25">
      <c r="A287" s="2">
        <v>44987</v>
      </c>
      <c r="B287" s="20">
        <v>2672</v>
      </c>
      <c r="C287" s="20">
        <v>394</v>
      </c>
      <c r="D287" s="20">
        <v>10605</v>
      </c>
      <c r="E287" s="17">
        <f t="shared" si="15"/>
        <v>-1.547531319086215E-2</v>
      </c>
      <c r="F287" s="17">
        <f t="shared" si="15"/>
        <v>5.1020408163264808E-3</v>
      </c>
      <c r="G287" s="17">
        <f t="shared" si="15"/>
        <v>-1.2569832402234637E-2</v>
      </c>
      <c r="H287" s="14">
        <f t="shared" si="16"/>
        <v>-1.2211567041494261E-2</v>
      </c>
      <c r="I287" s="39">
        <f t="shared" si="17"/>
        <v>1.3227513227513227E-3</v>
      </c>
      <c r="J287" s="42">
        <v>-3.0303030303030498E-3</v>
      </c>
      <c r="K287" s="88">
        <v>-2.525252525252486E-3</v>
      </c>
      <c r="L287" s="42">
        <v>-5.0035739814152658E-3</v>
      </c>
      <c r="M287" s="43">
        <v>-3.6430410402093268E-3</v>
      </c>
      <c r="Q287" s="2"/>
      <c r="R287" s="24"/>
      <c r="S287" s="24"/>
      <c r="T287" s="24"/>
    </row>
    <row r="288" spans="1:20" x14ac:dyDescent="0.25">
      <c r="A288" s="2">
        <v>44986</v>
      </c>
      <c r="B288" s="20">
        <v>2714</v>
      </c>
      <c r="C288" s="20">
        <v>392</v>
      </c>
      <c r="D288" s="20">
        <v>10740</v>
      </c>
      <c r="E288" s="17">
        <f t="shared" si="15"/>
        <v>-2.9390154298309934E-3</v>
      </c>
      <c r="F288" s="17">
        <f t="shared" si="15"/>
        <v>2.5575447570331811E-3</v>
      </c>
      <c r="G288" s="17">
        <f t="shared" si="15"/>
        <v>-1.1504832029452405E-2</v>
      </c>
      <c r="H288" s="14">
        <f t="shared" si="16"/>
        <v>-9.6544352348654529E-3</v>
      </c>
      <c r="I288" s="39">
        <f t="shared" si="17"/>
        <v>1.3227513227513227E-3</v>
      </c>
      <c r="J288" s="42">
        <v>-3.0075187969924588E-3</v>
      </c>
      <c r="K288" s="88">
        <v>-2.4813895781637951E-3</v>
      </c>
      <c r="L288" s="42">
        <v>-4.8433048433048631E-3</v>
      </c>
      <c r="M288" s="43">
        <v>-3.6182695848043407E-3</v>
      </c>
      <c r="Q288" s="2"/>
      <c r="R288" s="24"/>
      <c r="S288" s="24"/>
      <c r="T288" s="24"/>
    </row>
    <row r="289" spans="1:20" x14ac:dyDescent="0.25">
      <c r="A289" s="2">
        <v>44985</v>
      </c>
      <c r="B289" s="20">
        <v>2722</v>
      </c>
      <c r="C289" s="20">
        <v>391</v>
      </c>
      <c r="D289" s="20">
        <v>10865</v>
      </c>
      <c r="E289" s="17">
        <f t="shared" si="15"/>
        <v>-2.3672883787661414E-2</v>
      </c>
      <c r="F289" s="17">
        <f t="shared" si="15"/>
        <v>-1.2626262626262652E-2</v>
      </c>
      <c r="G289" s="17">
        <f t="shared" si="15"/>
        <v>2.0187793427230094E-2</v>
      </c>
      <c r="H289" s="14">
        <f t="shared" si="16"/>
        <v>1.2434717481630789E-2</v>
      </c>
      <c r="I289" s="39">
        <f t="shared" si="17"/>
        <v>1.3227513227513227E-3</v>
      </c>
      <c r="J289" s="42">
        <v>-2.9784065524943726E-3</v>
      </c>
      <c r="K289" s="88">
        <v>-2.4783147459727095E-3</v>
      </c>
      <c r="L289" s="42">
        <v>-4.7801147227533036E-3</v>
      </c>
      <c r="M289" s="43">
        <v>-3.5735962811136797E-3</v>
      </c>
      <c r="Q289" s="2"/>
      <c r="R289" s="24"/>
      <c r="S289" s="24"/>
      <c r="T289" s="24"/>
    </row>
    <row r="290" spans="1:20" x14ac:dyDescent="0.25">
      <c r="A290" s="2">
        <v>44984</v>
      </c>
      <c r="B290" s="20">
        <v>2788</v>
      </c>
      <c r="C290" s="20">
        <v>396</v>
      </c>
      <c r="D290" s="20">
        <v>10650</v>
      </c>
      <c r="E290" s="17">
        <f t="shared" si="15"/>
        <v>3.5997120230382151E-3</v>
      </c>
      <c r="F290" s="17">
        <f t="shared" si="15"/>
        <v>-1.7369727047146455E-2</v>
      </c>
      <c r="G290" s="17">
        <f t="shared" si="15"/>
        <v>-1.388888888888884E-2</v>
      </c>
      <c r="H290" s="14">
        <f t="shared" si="16"/>
        <v>-1.1525223668890451E-2</v>
      </c>
      <c r="I290" s="39">
        <f t="shared" si="17"/>
        <v>1.3227513227513227E-3</v>
      </c>
      <c r="J290" s="42">
        <v>-2.9761904761904656E-3</v>
      </c>
      <c r="K290" s="88">
        <v>-2.4691358024691024E-3</v>
      </c>
      <c r="L290" s="42">
        <v>-4.6879578083797169E-3</v>
      </c>
      <c r="M290" s="43">
        <v>-3.5422701388312453E-3</v>
      </c>
      <c r="Q290" s="2"/>
      <c r="R290" s="24"/>
      <c r="S290" s="24"/>
      <c r="T290" s="24"/>
    </row>
    <row r="291" spans="1:20" x14ac:dyDescent="0.25">
      <c r="A291" s="2">
        <v>44981</v>
      </c>
      <c r="B291" s="20">
        <v>2778</v>
      </c>
      <c r="C291" s="20">
        <v>403</v>
      </c>
      <c r="D291" s="20">
        <v>10800</v>
      </c>
      <c r="E291" s="17">
        <f t="shared" si="15"/>
        <v>0</v>
      </c>
      <c r="F291" s="17">
        <f t="shared" si="15"/>
        <v>2.2842639593908531E-2</v>
      </c>
      <c r="G291" s="17">
        <f t="shared" si="15"/>
        <v>-5.066789497927271E-3</v>
      </c>
      <c r="H291" s="14">
        <f t="shared" si="16"/>
        <v>-3.1115696996515309E-3</v>
      </c>
      <c r="I291" s="39">
        <f t="shared" si="17"/>
        <v>1.3227513227513227E-3</v>
      </c>
      <c r="J291" s="42">
        <v>-2.952029520295163E-3</v>
      </c>
      <c r="K291" s="88">
        <v>-2.4630541871921707E-3</v>
      </c>
      <c r="L291" s="42">
        <v>-4.3807248108322927E-3</v>
      </c>
      <c r="M291" s="43">
        <v>-3.4826851708573449E-3</v>
      </c>
      <c r="Q291" s="2"/>
      <c r="R291" s="24"/>
      <c r="S291" s="24"/>
      <c r="T291" s="24"/>
    </row>
    <row r="292" spans="1:20" x14ac:dyDescent="0.25">
      <c r="A292" s="2">
        <v>44980</v>
      </c>
      <c r="B292" s="20">
        <v>2778</v>
      </c>
      <c r="C292" s="20">
        <v>394</v>
      </c>
      <c r="D292" s="20">
        <v>10855</v>
      </c>
      <c r="E292" s="17">
        <f t="shared" si="15"/>
        <v>2.73668639053255E-2</v>
      </c>
      <c r="F292" s="17">
        <f t="shared" si="15"/>
        <v>4.5092838196286511E-2</v>
      </c>
      <c r="G292" s="17">
        <f t="shared" si="15"/>
        <v>-1.379944802207933E-3</v>
      </c>
      <c r="H292" s="14">
        <f t="shared" si="16"/>
        <v>4.7983211825141734E-3</v>
      </c>
      <c r="I292" s="39">
        <f t="shared" si="17"/>
        <v>1.3227513227513227E-3</v>
      </c>
      <c r="J292" s="42">
        <v>-2.9390154298309934E-3</v>
      </c>
      <c r="K292" s="88">
        <v>-2.4570024570024218E-3</v>
      </c>
      <c r="L292" s="42">
        <v>-4.2735042735042583E-3</v>
      </c>
      <c r="M292" s="43">
        <v>-3.4729181124482887E-3</v>
      </c>
      <c r="Q292" s="2"/>
      <c r="R292" s="24"/>
      <c r="S292" s="24"/>
      <c r="T292" s="24"/>
    </row>
    <row r="293" spans="1:20" x14ac:dyDescent="0.25">
      <c r="A293" s="2">
        <v>44979</v>
      </c>
      <c r="B293" s="20">
        <v>2704</v>
      </c>
      <c r="C293" s="20">
        <v>377</v>
      </c>
      <c r="D293" s="20">
        <v>10870</v>
      </c>
      <c r="E293" s="17">
        <f t="shared" si="15"/>
        <v>-6.6127847171197907E-3</v>
      </c>
      <c r="F293" s="17">
        <f t="shared" si="15"/>
        <v>0</v>
      </c>
      <c r="G293" s="17">
        <f t="shared" si="15"/>
        <v>2.7675276752767708E-3</v>
      </c>
      <c r="H293" s="14">
        <f t="shared" si="16"/>
        <v>1.2961309086287126E-3</v>
      </c>
      <c r="I293" s="39">
        <f t="shared" si="17"/>
        <v>1.3227513227513227E-3</v>
      </c>
      <c r="J293" s="42">
        <v>-2.9325513196480912E-3</v>
      </c>
      <c r="K293" s="88">
        <v>-2.450980392156854E-3</v>
      </c>
      <c r="L293" s="42">
        <v>-4.2016806722688926E-3</v>
      </c>
      <c r="M293" s="43">
        <v>-3.4268691776880153E-3</v>
      </c>
      <c r="Q293" s="2"/>
      <c r="R293" s="24"/>
      <c r="S293" s="24"/>
      <c r="T293" s="24"/>
    </row>
    <row r="294" spans="1:20" x14ac:dyDescent="0.25">
      <c r="A294" s="2">
        <v>44978</v>
      </c>
      <c r="B294" s="20">
        <v>2722</v>
      </c>
      <c r="C294" s="20">
        <v>377</v>
      </c>
      <c r="D294" s="20">
        <v>10840</v>
      </c>
      <c r="E294" s="17">
        <f t="shared" si="15"/>
        <v>8.1481481481482376E-3</v>
      </c>
      <c r="F294" s="17">
        <f t="shared" si="15"/>
        <v>2.6595744680850686E-3</v>
      </c>
      <c r="G294" s="17">
        <f t="shared" si="15"/>
        <v>2.7752081406104967E-3</v>
      </c>
      <c r="H294" s="14">
        <f t="shared" si="16"/>
        <v>3.5432866928902665E-3</v>
      </c>
      <c r="I294" s="39">
        <f t="shared" si="17"/>
        <v>1.3227513227513227E-3</v>
      </c>
      <c r="J294" s="42">
        <v>-2.8530670470755526E-3</v>
      </c>
      <c r="K294" s="88">
        <v>-2.4390243902439046E-3</v>
      </c>
      <c r="L294" s="42">
        <v>-4.1782729805014407E-3</v>
      </c>
      <c r="M294" s="43">
        <v>-3.3380376426145383E-3</v>
      </c>
      <c r="Q294" s="2"/>
      <c r="R294" s="24"/>
      <c r="S294" s="24"/>
      <c r="T294" s="24"/>
    </row>
    <row r="295" spans="1:20" x14ac:dyDescent="0.25">
      <c r="A295" s="2">
        <v>44977</v>
      </c>
      <c r="B295" s="20">
        <v>2700</v>
      </c>
      <c r="C295" s="20">
        <v>376</v>
      </c>
      <c r="D295" s="20">
        <v>10810</v>
      </c>
      <c r="E295" s="17">
        <f t="shared" si="15"/>
        <v>-1.7467248908296984E-2</v>
      </c>
      <c r="F295" s="17">
        <f t="shared" si="15"/>
        <v>4.0110650069156373E-2</v>
      </c>
      <c r="G295" s="17">
        <f t="shared" si="15"/>
        <v>-1.4135886912904683E-2</v>
      </c>
      <c r="H295" s="14">
        <f t="shared" si="16"/>
        <v>-1.2232108675358795E-2</v>
      </c>
      <c r="I295" s="39">
        <f t="shared" si="17"/>
        <v>1.3227513227513227E-3</v>
      </c>
      <c r="J295" s="42">
        <v>-2.8530670470755526E-3</v>
      </c>
      <c r="K295" s="88">
        <v>-2.4360535931789995E-3</v>
      </c>
      <c r="L295" s="42">
        <v>-4.1580041580041582E-3</v>
      </c>
      <c r="M295" s="43">
        <v>-3.3152546146767779E-3</v>
      </c>
      <c r="Q295" s="2"/>
      <c r="R295" s="24"/>
      <c r="S295" s="24"/>
      <c r="T295" s="24"/>
    </row>
    <row r="296" spans="1:20" x14ac:dyDescent="0.25">
      <c r="A296" s="2">
        <v>44974</v>
      </c>
      <c r="B296" s="20">
        <v>2748</v>
      </c>
      <c r="C296" s="29">
        <v>361.5</v>
      </c>
      <c r="D296" s="20">
        <v>10965</v>
      </c>
      <c r="E296" s="17">
        <f t="shared" si="15"/>
        <v>-1.5759312320916874E-2</v>
      </c>
      <c r="F296" s="17">
        <f t="shared" si="15"/>
        <v>-9.5890410958904271E-3</v>
      </c>
      <c r="G296" s="17">
        <f t="shared" si="15"/>
        <v>-1.8791946308724827E-2</v>
      </c>
      <c r="H296" s="14">
        <f t="shared" si="16"/>
        <v>-1.7951252867574909E-2</v>
      </c>
      <c r="I296" s="39">
        <f t="shared" si="17"/>
        <v>1.3227513227513227E-3</v>
      </c>
      <c r="J296" s="42">
        <v>-2.846975088967918E-3</v>
      </c>
      <c r="K296" s="88">
        <v>-2.4330900243308973E-3</v>
      </c>
      <c r="L296" s="42">
        <v>-4.1100221308884022E-3</v>
      </c>
      <c r="M296" s="43">
        <v>-3.3103748139945693E-3</v>
      </c>
      <c r="Q296" s="2"/>
      <c r="R296" s="24"/>
      <c r="S296" s="24"/>
      <c r="T296" s="24"/>
    </row>
    <row r="297" spans="1:20" x14ac:dyDescent="0.25">
      <c r="A297" s="2">
        <v>44973</v>
      </c>
      <c r="B297" s="20">
        <v>2792</v>
      </c>
      <c r="C297" s="20">
        <v>365</v>
      </c>
      <c r="D297" s="20">
        <v>11175</v>
      </c>
      <c r="E297" s="17">
        <f t="shared" si="15"/>
        <v>-1.4306151645206988E-3</v>
      </c>
      <c r="F297" s="17">
        <f t="shared" si="15"/>
        <v>1.37174211248281E-3</v>
      </c>
      <c r="G297" s="17">
        <f t="shared" si="15"/>
        <v>-8.4294587400177701E-3</v>
      </c>
      <c r="H297" s="14">
        <f t="shared" si="16"/>
        <v>-6.991748977593094E-3</v>
      </c>
      <c r="I297" s="39">
        <f t="shared" si="17"/>
        <v>1.3227513227513227E-3</v>
      </c>
      <c r="J297" s="42">
        <v>-2.8429282160625791E-3</v>
      </c>
      <c r="K297" s="88">
        <v>-2.421307506053294E-3</v>
      </c>
      <c r="L297" s="42">
        <v>-4.0716612377850181E-3</v>
      </c>
      <c r="M297" s="43">
        <v>-3.2525119771305401E-3</v>
      </c>
      <c r="Q297" s="2"/>
      <c r="R297" s="24"/>
      <c r="S297" s="24"/>
      <c r="T297" s="24"/>
    </row>
    <row r="298" spans="1:20" x14ac:dyDescent="0.25">
      <c r="A298" s="2">
        <v>44972</v>
      </c>
      <c r="B298" s="20">
        <v>2796</v>
      </c>
      <c r="C298" s="29">
        <v>364.5</v>
      </c>
      <c r="D298" s="20">
        <v>11270</v>
      </c>
      <c r="E298" s="17">
        <f t="shared" si="15"/>
        <v>-2.8530670470755526E-3</v>
      </c>
      <c r="F298" s="17">
        <f t="shared" si="15"/>
        <v>8.2987551867219622E-3</v>
      </c>
      <c r="G298" s="17">
        <f t="shared" si="15"/>
        <v>-7.9225352112676228E-3</v>
      </c>
      <c r="H298" s="14">
        <f t="shared" si="16"/>
        <v>-6.4804127734343717E-3</v>
      </c>
      <c r="I298" s="39">
        <f t="shared" si="17"/>
        <v>1.3227513227513227E-3</v>
      </c>
      <c r="J298" s="42">
        <v>-2.8288543140028155E-3</v>
      </c>
      <c r="K298" s="88">
        <v>-2.4038461538461453E-3</v>
      </c>
      <c r="L298" s="42">
        <v>-4.0572792362768562E-3</v>
      </c>
      <c r="M298" s="43">
        <v>-3.1702491938418211E-3</v>
      </c>
      <c r="Q298" s="2"/>
      <c r="R298" s="24"/>
      <c r="S298" s="24"/>
      <c r="T298" s="24"/>
    </row>
    <row r="299" spans="1:20" x14ac:dyDescent="0.25">
      <c r="A299" s="2">
        <v>44971</v>
      </c>
      <c r="B299" s="20">
        <v>2804</v>
      </c>
      <c r="C299" s="29">
        <v>361.5</v>
      </c>
      <c r="D299" s="20">
        <v>11360</v>
      </c>
      <c r="E299" s="17">
        <f t="shared" si="15"/>
        <v>-5.6737588652482351E-3</v>
      </c>
      <c r="F299" s="17">
        <f t="shared" si="15"/>
        <v>-1.2295081967213073E-2</v>
      </c>
      <c r="G299" s="17">
        <f t="shared" si="15"/>
        <v>1.4285714285714235E-2</v>
      </c>
      <c r="H299" s="14">
        <f t="shared" si="16"/>
        <v>1.024582754339253E-2</v>
      </c>
      <c r="I299" s="39">
        <f t="shared" si="17"/>
        <v>1.3227513227513227E-3</v>
      </c>
      <c r="J299" s="42">
        <v>-2.8268551236748651E-3</v>
      </c>
      <c r="K299" s="88">
        <v>-2.3980815347721673E-3</v>
      </c>
      <c r="L299" s="42">
        <v>-3.8690476190476053E-3</v>
      </c>
      <c r="M299" s="43">
        <v>-3.1591369660044083E-3</v>
      </c>
      <c r="Q299" s="2"/>
      <c r="R299" s="24"/>
      <c r="S299" s="24"/>
      <c r="T299" s="24"/>
    </row>
    <row r="300" spans="1:20" x14ac:dyDescent="0.25">
      <c r="A300" s="2">
        <v>44970</v>
      </c>
      <c r="B300" s="20">
        <v>2820</v>
      </c>
      <c r="C300" s="20">
        <v>366</v>
      </c>
      <c r="D300" s="20">
        <v>11200</v>
      </c>
      <c r="E300" s="17">
        <f t="shared" si="15"/>
        <v>8.5836909871244149E-3</v>
      </c>
      <c r="F300" s="17">
        <f t="shared" si="15"/>
        <v>0</v>
      </c>
      <c r="G300" s="17">
        <f t="shared" si="15"/>
        <v>8.1008100810080474E-3</v>
      </c>
      <c r="H300" s="14">
        <f t="shared" si="16"/>
        <v>7.8144115219849382E-3</v>
      </c>
      <c r="I300" s="39">
        <f t="shared" si="17"/>
        <v>1.3227513227513227E-3</v>
      </c>
      <c r="J300" s="42">
        <v>-2.8109627547434624E-3</v>
      </c>
      <c r="K300" s="88">
        <v>-2.3923444976076125E-3</v>
      </c>
      <c r="L300" s="42">
        <v>-3.7995725480883813E-3</v>
      </c>
      <c r="M300" s="43">
        <v>-3.154367355411229E-3</v>
      </c>
      <c r="Q300" s="2"/>
      <c r="R300" s="24"/>
      <c r="S300" s="24"/>
      <c r="T300" s="24"/>
    </row>
    <row r="301" spans="1:20" x14ac:dyDescent="0.25">
      <c r="A301" s="2">
        <v>44967</v>
      </c>
      <c r="B301" s="20">
        <v>2796</v>
      </c>
      <c r="C301" s="20">
        <v>366</v>
      </c>
      <c r="D301" s="20">
        <v>11110</v>
      </c>
      <c r="E301" s="17">
        <f t="shared" si="15"/>
        <v>1.1577424023154759E-2</v>
      </c>
      <c r="F301" s="17">
        <f t="shared" si="15"/>
        <v>1.6666666666666607E-2</v>
      </c>
      <c r="G301" s="17">
        <f t="shared" si="15"/>
        <v>-8.0357142857142572E-3</v>
      </c>
      <c r="H301" s="14">
        <f t="shared" si="16"/>
        <v>-4.1281871055131999E-3</v>
      </c>
      <c r="I301" s="39">
        <f t="shared" si="17"/>
        <v>1.3227513227513227E-3</v>
      </c>
      <c r="J301" s="42">
        <v>-2.7777777777777679E-3</v>
      </c>
      <c r="K301" s="88">
        <v>-2.3809523809523725E-3</v>
      </c>
      <c r="L301" s="42">
        <v>-3.793626707132014E-3</v>
      </c>
      <c r="M301" s="43">
        <v>-3.1333390979061257E-3</v>
      </c>
      <c r="Q301" s="2"/>
      <c r="R301" s="24"/>
      <c r="S301" s="24"/>
      <c r="T301" s="24"/>
    </row>
    <row r="302" spans="1:20" x14ac:dyDescent="0.25">
      <c r="A302" s="2">
        <v>44966</v>
      </c>
      <c r="B302" s="20">
        <v>2764</v>
      </c>
      <c r="C302" s="20">
        <v>360</v>
      </c>
      <c r="D302" s="20">
        <v>11200</v>
      </c>
      <c r="E302" s="17">
        <f t="shared" si="15"/>
        <v>7.2411296162200323E-4</v>
      </c>
      <c r="F302" s="17">
        <f t="shared" si="15"/>
        <v>-2.9649595687331498E-2</v>
      </c>
      <c r="G302" s="17">
        <f t="shared" si="15"/>
        <v>2.4234110653863716E-2</v>
      </c>
      <c r="H302" s="14">
        <f t="shared" si="16"/>
        <v>1.8483838090984223E-2</v>
      </c>
      <c r="I302" s="39">
        <f t="shared" si="17"/>
        <v>1.3227513227513227E-3</v>
      </c>
      <c r="J302" s="42">
        <v>-2.7758501040944239E-3</v>
      </c>
      <c r="K302" s="88">
        <v>-2.3696682464454666E-3</v>
      </c>
      <c r="L302" s="42">
        <v>-3.7858301784748916E-3</v>
      </c>
      <c r="M302" s="43">
        <v>-3.1219614693509812E-3</v>
      </c>
      <c r="Q302" s="2"/>
      <c r="R302" s="24"/>
      <c r="S302" s="24"/>
      <c r="T302" s="24"/>
    </row>
    <row r="303" spans="1:20" x14ac:dyDescent="0.25">
      <c r="A303" s="2">
        <v>44965</v>
      </c>
      <c r="B303" s="20">
        <v>2762</v>
      </c>
      <c r="C303" s="20">
        <v>371</v>
      </c>
      <c r="D303" s="20">
        <v>10935</v>
      </c>
      <c r="E303" s="17">
        <f t="shared" si="15"/>
        <v>9.5029239766082352E-3</v>
      </c>
      <c r="F303" s="17">
        <f t="shared" si="15"/>
        <v>1.0899182561307841E-2</v>
      </c>
      <c r="G303" s="17">
        <f t="shared" si="15"/>
        <v>2.0055970149253755E-2</v>
      </c>
      <c r="H303" s="14">
        <f t="shared" si="16"/>
        <v>1.8135125931524894E-2</v>
      </c>
      <c r="I303" s="39">
        <f t="shared" si="17"/>
        <v>1.3227513227513227E-3</v>
      </c>
      <c r="J303" s="42">
        <v>-2.7586206896551557E-3</v>
      </c>
      <c r="K303" s="88">
        <v>-2.3529411764705577E-3</v>
      </c>
      <c r="L303" s="42">
        <v>-3.7774725274725141E-3</v>
      </c>
      <c r="M303" s="43">
        <v>-3.1115696996515309E-3</v>
      </c>
      <c r="Q303" s="2"/>
      <c r="R303" s="24"/>
      <c r="S303" s="24"/>
      <c r="T303" s="24"/>
    </row>
    <row r="304" spans="1:20" x14ac:dyDescent="0.25">
      <c r="A304" s="2">
        <v>44964</v>
      </c>
      <c r="B304" s="20">
        <v>2736</v>
      </c>
      <c r="C304" s="20">
        <v>367</v>
      </c>
      <c r="D304" s="20">
        <v>10720</v>
      </c>
      <c r="E304" s="17">
        <f t="shared" si="15"/>
        <v>2.0134228187919545E-2</v>
      </c>
      <c r="F304" s="17">
        <f t="shared" si="15"/>
        <v>-9.4466936572199511E-3</v>
      </c>
      <c r="G304" s="17">
        <f t="shared" si="15"/>
        <v>1.4671083767155757E-2</v>
      </c>
      <c r="H304" s="14">
        <f t="shared" si="16"/>
        <v>1.4397681440259691E-2</v>
      </c>
      <c r="I304" s="39">
        <f t="shared" si="17"/>
        <v>1.3227513227513227E-3</v>
      </c>
      <c r="J304" s="42">
        <v>-2.7341079972659221E-3</v>
      </c>
      <c r="K304" s="88">
        <v>-2.3529411764705577E-3</v>
      </c>
      <c r="L304" s="42">
        <v>-3.7236243276789205E-3</v>
      </c>
      <c r="M304" s="43">
        <v>-3.1091775691607141E-3</v>
      </c>
      <c r="Q304" s="2"/>
      <c r="R304" s="24"/>
      <c r="S304" s="24"/>
      <c r="T304" s="24"/>
    </row>
    <row r="305" spans="1:20" x14ac:dyDescent="0.25">
      <c r="A305" s="2">
        <v>44963</v>
      </c>
      <c r="B305" s="20">
        <v>2682</v>
      </c>
      <c r="C305" s="29">
        <v>370.5</v>
      </c>
      <c r="D305" s="20">
        <v>10565</v>
      </c>
      <c r="E305" s="17">
        <f t="shared" si="15"/>
        <v>-2.116788321167884E-2</v>
      </c>
      <c r="F305" s="17">
        <f t="shared" si="15"/>
        <v>-1.4627659574468099E-2</v>
      </c>
      <c r="G305" s="17">
        <f t="shared" si="15"/>
        <v>-1.4918414918414946E-2</v>
      </c>
      <c r="H305" s="14">
        <f t="shared" si="16"/>
        <v>-1.580493122939498E-2</v>
      </c>
      <c r="I305" s="39">
        <f t="shared" si="17"/>
        <v>1.3227513227513227E-3</v>
      </c>
      <c r="J305" s="42">
        <v>-2.7210884353741083E-3</v>
      </c>
      <c r="K305" s="88">
        <v>-2.3501762632197609E-3</v>
      </c>
      <c r="L305" s="42">
        <v>-3.6900369003689537E-3</v>
      </c>
      <c r="M305" s="43">
        <v>-3.1072066887021547E-3</v>
      </c>
      <c r="Q305" s="2"/>
      <c r="R305" s="24"/>
      <c r="S305" s="24"/>
      <c r="T305" s="24"/>
    </row>
    <row r="306" spans="1:20" x14ac:dyDescent="0.25">
      <c r="A306" s="2">
        <v>44960</v>
      </c>
      <c r="B306" s="20">
        <v>2740</v>
      </c>
      <c r="C306" s="20">
        <v>376</v>
      </c>
      <c r="D306" s="20">
        <v>10725</v>
      </c>
      <c r="E306" s="17">
        <f t="shared" si="15"/>
        <v>-3.6363636363636598E-3</v>
      </c>
      <c r="F306" s="17">
        <f t="shared" si="15"/>
        <v>-1.9556714471968717E-2</v>
      </c>
      <c r="G306" s="17">
        <f t="shared" si="15"/>
        <v>-4.1782729805014407E-3</v>
      </c>
      <c r="H306" s="14">
        <f t="shared" si="16"/>
        <v>-4.7758980262839123E-3</v>
      </c>
      <c r="I306" s="39">
        <f t="shared" si="17"/>
        <v>1.3227513227513227E-3</v>
      </c>
      <c r="J306" s="42">
        <v>-2.6917900403768957E-3</v>
      </c>
      <c r="K306" s="88">
        <v>-2.3474178403756207E-3</v>
      </c>
      <c r="L306" s="42">
        <v>-3.4863451481697005E-3</v>
      </c>
      <c r="M306" s="43">
        <v>-3.0557209022366084E-3</v>
      </c>
      <c r="Q306" s="2"/>
      <c r="R306" s="24"/>
      <c r="S306" s="24"/>
      <c r="T306" s="24"/>
    </row>
    <row r="307" spans="1:20" x14ac:dyDescent="0.25">
      <c r="A307" s="2">
        <v>44959</v>
      </c>
      <c r="B307" s="20">
        <v>2750</v>
      </c>
      <c r="C307" s="29">
        <v>383.5</v>
      </c>
      <c r="D307" s="20">
        <v>10770</v>
      </c>
      <c r="E307" s="17">
        <f t="shared" si="15"/>
        <v>1.4760147601476037E-2</v>
      </c>
      <c r="F307" s="17">
        <f t="shared" si="15"/>
        <v>0</v>
      </c>
      <c r="G307" s="17">
        <f t="shared" si="15"/>
        <v>1.3170272812794037E-2</v>
      </c>
      <c r="H307" s="14">
        <f t="shared" si="16"/>
        <v>1.2820457704794969E-2</v>
      </c>
      <c r="I307" s="39">
        <f t="shared" si="17"/>
        <v>1.3227513227513227E-3</v>
      </c>
      <c r="J307" s="42">
        <v>-2.6431718061673548E-3</v>
      </c>
      <c r="K307" s="88">
        <v>-2.3419203747072626E-3</v>
      </c>
      <c r="L307" s="42">
        <v>-3.418154196733747E-3</v>
      </c>
      <c r="M307" s="43">
        <v>-3.0415120463704059E-3</v>
      </c>
      <c r="Q307" s="2"/>
      <c r="R307" s="24"/>
      <c r="S307" s="24"/>
      <c r="T307" s="24"/>
    </row>
    <row r="308" spans="1:20" x14ac:dyDescent="0.25">
      <c r="A308" s="2">
        <v>44958</v>
      </c>
      <c r="B308" s="20">
        <v>2710</v>
      </c>
      <c r="C308" s="29">
        <v>383.5</v>
      </c>
      <c r="D308" s="20">
        <v>10630</v>
      </c>
      <c r="E308" s="17">
        <f t="shared" si="15"/>
        <v>1.0439970171513879E-2</v>
      </c>
      <c r="F308" s="17">
        <f t="shared" si="15"/>
        <v>3.9267015706805353E-3</v>
      </c>
      <c r="G308" s="17">
        <f t="shared" si="15"/>
        <v>-1.8013856812932993E-2</v>
      </c>
      <c r="H308" s="14">
        <f t="shared" si="16"/>
        <v>-1.2955499147582003E-2</v>
      </c>
      <c r="I308" s="39">
        <f t="shared" si="17"/>
        <v>1.3227513227513227E-3</v>
      </c>
      <c r="J308" s="42">
        <v>-2.6269702276707774E-3</v>
      </c>
      <c r="K308" s="88">
        <v>-2.3364485981308691E-3</v>
      </c>
      <c r="L308" s="42">
        <v>-3.3412887828162541E-3</v>
      </c>
      <c r="M308" s="43">
        <v>-2.8876458126273815E-3</v>
      </c>
      <c r="Q308" s="2"/>
      <c r="R308" s="24"/>
      <c r="S308" s="24"/>
      <c r="T308" s="24"/>
    </row>
    <row r="309" spans="1:20" x14ac:dyDescent="0.25">
      <c r="A309" s="2">
        <v>44957</v>
      </c>
      <c r="B309" s="20">
        <v>2682</v>
      </c>
      <c r="C309" s="20">
        <v>382</v>
      </c>
      <c r="D309" s="20">
        <v>10825</v>
      </c>
      <c r="E309" s="17">
        <f t="shared" si="15"/>
        <v>-7.4019245003701384E-3</v>
      </c>
      <c r="F309" s="17">
        <f t="shared" si="15"/>
        <v>2.826379542395685E-2</v>
      </c>
      <c r="G309" s="17">
        <f t="shared" si="15"/>
        <v>-1.5909090909090873E-2</v>
      </c>
      <c r="H309" s="14">
        <f t="shared" si="16"/>
        <v>-1.2744320157987493E-2</v>
      </c>
      <c r="I309" s="39">
        <f t="shared" si="17"/>
        <v>1.3227513227513227E-3</v>
      </c>
      <c r="J309" s="42">
        <v>-2.4937655860348684E-3</v>
      </c>
      <c r="K309" s="88">
        <v>-2.3310023310023631E-3</v>
      </c>
      <c r="L309" s="42">
        <v>-3.3250207813798616E-3</v>
      </c>
      <c r="M309" s="43">
        <v>-2.8819222840411034E-3</v>
      </c>
      <c r="Q309" s="2"/>
      <c r="R309" s="24"/>
      <c r="S309" s="24"/>
      <c r="T309" s="24"/>
    </row>
    <row r="310" spans="1:20" x14ac:dyDescent="0.25">
      <c r="A310" s="2">
        <v>44956</v>
      </c>
      <c r="B310" s="20">
        <v>2702</v>
      </c>
      <c r="C310" s="29">
        <v>371.5</v>
      </c>
      <c r="D310" s="20">
        <v>11000</v>
      </c>
      <c r="E310" s="17">
        <f t="shared" si="15"/>
        <v>-3.0846484935437624E-2</v>
      </c>
      <c r="F310" s="17">
        <f t="shared" si="15"/>
        <v>4.0540540540541237E-3</v>
      </c>
      <c r="G310" s="17">
        <f t="shared" si="15"/>
        <v>-2.2222222222222254E-2</v>
      </c>
      <c r="H310" s="14">
        <f t="shared" si="16"/>
        <v>-2.2308873323722403E-2</v>
      </c>
      <c r="I310" s="39">
        <f t="shared" si="17"/>
        <v>1.3227513227513227E-3</v>
      </c>
      <c r="J310" s="42">
        <v>-2.4896265560165887E-3</v>
      </c>
      <c r="K310" s="88">
        <v>-2.3255813953488857E-3</v>
      </c>
      <c r="L310" s="42">
        <v>-3.3222591362126463E-3</v>
      </c>
      <c r="M310" s="43">
        <v>-2.7310537415153697E-3</v>
      </c>
      <c r="Q310" s="2"/>
      <c r="R310" s="24"/>
      <c r="S310" s="24"/>
      <c r="T310" s="24"/>
    </row>
    <row r="311" spans="1:20" x14ac:dyDescent="0.25">
      <c r="A311" s="2">
        <v>44953</v>
      </c>
      <c r="B311" s="20">
        <v>2788</v>
      </c>
      <c r="C311" s="20">
        <v>370</v>
      </c>
      <c r="D311" s="20">
        <v>11250</v>
      </c>
      <c r="E311" s="17">
        <f t="shared" si="15"/>
        <v>1.4556040756914079E-2</v>
      </c>
      <c r="F311" s="17">
        <f t="shared" si="15"/>
        <v>-2.1164021164021163E-2</v>
      </c>
      <c r="G311" s="17">
        <f t="shared" si="15"/>
        <v>-1.3157894736842146E-2</v>
      </c>
      <c r="H311" s="14">
        <f t="shared" si="16"/>
        <v>-9.5216229197513397E-3</v>
      </c>
      <c r="I311" s="39">
        <f t="shared" si="17"/>
        <v>1.3227513227513227E-3</v>
      </c>
      <c r="J311" s="42">
        <v>-2.4855012427505985E-3</v>
      </c>
      <c r="K311" s="88">
        <v>-2.3201856148491462E-3</v>
      </c>
      <c r="L311" s="42">
        <v>-3.2739177882866732E-3</v>
      </c>
      <c r="M311" s="43">
        <v>-2.7106155593501473E-3</v>
      </c>
      <c r="Q311" s="2"/>
      <c r="R311" s="24"/>
      <c r="S311" s="24"/>
      <c r="T311" s="24"/>
    </row>
    <row r="312" spans="1:20" x14ac:dyDescent="0.25">
      <c r="A312" s="2">
        <v>44952</v>
      </c>
      <c r="B312" s="20">
        <v>2748</v>
      </c>
      <c r="C312" s="20">
        <v>378</v>
      </c>
      <c r="D312" s="20">
        <v>11400</v>
      </c>
      <c r="E312" s="17">
        <f t="shared" si="15"/>
        <v>2.9213483146067309E-2</v>
      </c>
      <c r="F312" s="17">
        <f t="shared" si="15"/>
        <v>-5.2631578947368585E-3</v>
      </c>
      <c r="G312" s="17">
        <f t="shared" si="15"/>
        <v>1.3333333333333419E-2</v>
      </c>
      <c r="H312" s="14">
        <f t="shared" si="16"/>
        <v>1.4801484451748417E-2</v>
      </c>
      <c r="I312" s="39">
        <f t="shared" si="17"/>
        <v>1.3227513227513227E-3</v>
      </c>
      <c r="J312" s="42">
        <v>-2.4630541871921707E-3</v>
      </c>
      <c r="K312" s="88">
        <v>-2.3201856148491462E-3</v>
      </c>
      <c r="L312" s="42">
        <v>-3.1645569620253333E-3</v>
      </c>
      <c r="M312" s="43">
        <v>-2.5980899874794255E-3</v>
      </c>
      <c r="Q312" s="2"/>
      <c r="R312" s="24"/>
      <c r="S312" s="24"/>
      <c r="T312" s="24"/>
    </row>
    <row r="313" spans="1:20" x14ac:dyDescent="0.25">
      <c r="A313" s="2">
        <v>44951</v>
      </c>
      <c r="B313" s="20">
        <v>2670</v>
      </c>
      <c r="C313" s="20">
        <v>380</v>
      </c>
      <c r="D313" s="20">
        <v>11250</v>
      </c>
      <c r="E313" s="17">
        <f t="shared" si="15"/>
        <v>4.5146726862301811E-3</v>
      </c>
      <c r="F313" s="17">
        <f t="shared" si="15"/>
        <v>-7.8328981723237989E-3</v>
      </c>
      <c r="G313" s="17">
        <f t="shared" si="15"/>
        <v>-2.5974025974025983E-2</v>
      </c>
      <c r="H313" s="14">
        <f t="shared" si="16"/>
        <v>-2.0789769539702685E-2</v>
      </c>
      <c r="I313" s="39">
        <f t="shared" si="17"/>
        <v>1.3227513227513227E-3</v>
      </c>
      <c r="J313" s="42">
        <v>-2.4549918166939522E-3</v>
      </c>
      <c r="K313" s="88">
        <v>-2.3148148148147696E-3</v>
      </c>
      <c r="L313" s="42">
        <v>-3.1595576619273258E-3</v>
      </c>
      <c r="M313" s="43">
        <v>-2.5702240412895519E-3</v>
      </c>
      <c r="Q313" s="2"/>
      <c r="R313" s="24"/>
      <c r="S313" s="24"/>
      <c r="T313" s="24"/>
    </row>
    <row r="314" spans="1:20" x14ac:dyDescent="0.25">
      <c r="A314" s="2">
        <v>44950</v>
      </c>
      <c r="B314" s="20">
        <v>2658</v>
      </c>
      <c r="C314" s="20">
        <v>383</v>
      </c>
      <c r="D314" s="20">
        <v>11550</v>
      </c>
      <c r="E314" s="17">
        <f t="shared" si="15"/>
        <v>-6.7264573991031584E-3</v>
      </c>
      <c r="F314" s="17">
        <f t="shared" si="15"/>
        <v>2.1333333333333426E-2</v>
      </c>
      <c r="G314" s="17">
        <f t="shared" si="15"/>
        <v>4.3478260869564966E-3</v>
      </c>
      <c r="H314" s="14">
        <f t="shared" si="16"/>
        <v>3.5004587430416626E-3</v>
      </c>
      <c r="I314" s="39">
        <f t="shared" si="17"/>
        <v>1.3227513227513227E-3</v>
      </c>
      <c r="J314" s="42">
        <v>-2.4291497975708065E-3</v>
      </c>
      <c r="K314" s="88">
        <v>-2.2753128555176305E-3</v>
      </c>
      <c r="L314" s="42">
        <v>-3.127792672028562E-3</v>
      </c>
      <c r="M314" s="43">
        <v>-2.5281759080567475E-3</v>
      </c>
      <c r="Q314" s="2"/>
      <c r="R314" s="24"/>
      <c r="S314" s="24"/>
      <c r="T314" s="24"/>
    </row>
    <row r="315" spans="1:20" x14ac:dyDescent="0.25">
      <c r="A315" s="2">
        <v>44949</v>
      </c>
      <c r="B315" s="20">
        <v>2676</v>
      </c>
      <c r="C315" s="20">
        <v>375</v>
      </c>
      <c r="D315" s="20">
        <v>11500</v>
      </c>
      <c r="E315" s="17">
        <f t="shared" si="15"/>
        <v>-5.2044609665427011E-3</v>
      </c>
      <c r="F315" s="17">
        <f t="shared" si="15"/>
        <v>2.673796791443861E-3</v>
      </c>
      <c r="G315" s="17">
        <f t="shared" si="15"/>
        <v>1.1433597185576128E-2</v>
      </c>
      <c r="H315" s="14">
        <f t="shared" si="16"/>
        <v>8.6545686639775757E-3</v>
      </c>
      <c r="I315" s="39">
        <f t="shared" si="17"/>
        <v>1.3227513227513227E-3</v>
      </c>
      <c r="J315" s="42">
        <v>-2.2658610271902857E-3</v>
      </c>
      <c r="K315" s="88">
        <v>-2.2421524663677195E-3</v>
      </c>
      <c r="L315" s="42">
        <v>-3.1230480949406836E-3</v>
      </c>
      <c r="M315" s="43">
        <v>-2.5135927568678898E-3</v>
      </c>
      <c r="Q315" s="2"/>
      <c r="R315" s="24"/>
      <c r="S315" s="24"/>
      <c r="T315" s="24"/>
    </row>
    <row r="316" spans="1:20" x14ac:dyDescent="0.25">
      <c r="A316" s="2">
        <v>44946</v>
      </c>
      <c r="B316" s="20">
        <v>2690</v>
      </c>
      <c r="C316" s="20">
        <v>374</v>
      </c>
      <c r="D316" s="20">
        <v>11370</v>
      </c>
      <c r="E316" s="17">
        <f t="shared" si="15"/>
        <v>-3.7037037037036535E-3</v>
      </c>
      <c r="F316" s="17">
        <f t="shared" si="15"/>
        <v>-1.8372703412073532E-2</v>
      </c>
      <c r="G316" s="17">
        <f t="shared" si="15"/>
        <v>-2.1939447125932654E-3</v>
      </c>
      <c r="H316" s="14">
        <f t="shared" si="16"/>
        <v>-3.1219614693509812E-3</v>
      </c>
      <c r="I316" s="39">
        <f t="shared" si="17"/>
        <v>1.3227513227513227E-3</v>
      </c>
      <c r="J316" s="42">
        <v>-2.2488755622188661E-3</v>
      </c>
      <c r="K316" s="88">
        <v>-1.7889087656529634E-3</v>
      </c>
      <c r="L316" s="42">
        <v>-3.0257186081694698E-3</v>
      </c>
      <c r="M316" s="43">
        <v>-2.3867222233969051E-3</v>
      </c>
      <c r="Q316" s="2"/>
      <c r="R316" s="24"/>
      <c r="S316" s="24"/>
      <c r="T316" s="24"/>
    </row>
    <row r="317" spans="1:20" x14ac:dyDescent="0.25">
      <c r="A317" s="2">
        <v>44945</v>
      </c>
      <c r="B317" s="20">
        <v>2700</v>
      </c>
      <c r="C317" s="20">
        <v>381</v>
      </c>
      <c r="D317" s="20">
        <v>11395</v>
      </c>
      <c r="E317" s="17">
        <f t="shared" si="15"/>
        <v>4.4642857142858094E-3</v>
      </c>
      <c r="F317" s="17">
        <f t="shared" si="15"/>
        <v>3.2520325203251987E-2</v>
      </c>
      <c r="G317" s="17">
        <f t="shared" si="15"/>
        <v>-6.1055385957261565E-3</v>
      </c>
      <c r="H317" s="14">
        <f t="shared" si="16"/>
        <v>-2.8876458126273815E-3</v>
      </c>
      <c r="I317" s="39">
        <f t="shared" si="17"/>
        <v>1.3227513227513227E-3</v>
      </c>
      <c r="J317" s="42">
        <v>-2.1834061135370675E-3</v>
      </c>
      <c r="K317" s="88">
        <v>-1.7761989342806039E-3</v>
      </c>
      <c r="L317" s="42">
        <v>-2.9607698001480331E-3</v>
      </c>
      <c r="M317" s="43">
        <v>-2.3673079111592469E-3</v>
      </c>
      <c r="Q317" s="2"/>
      <c r="R317" s="24"/>
      <c r="S317" s="24"/>
      <c r="T317" s="24"/>
    </row>
    <row r="318" spans="1:20" x14ac:dyDescent="0.25">
      <c r="A318" s="2">
        <v>44944</v>
      </c>
      <c r="B318" s="20">
        <v>2688</v>
      </c>
      <c r="C318" s="20">
        <v>369</v>
      </c>
      <c r="D318" s="20">
        <v>11465</v>
      </c>
      <c r="E318" s="17">
        <f t="shared" si="15"/>
        <v>7.446016381236209E-4</v>
      </c>
      <c r="F318" s="17">
        <f t="shared" si="15"/>
        <v>-5.3908355795148077E-3</v>
      </c>
      <c r="G318" s="17">
        <f t="shared" si="15"/>
        <v>2.7790228597041722E-2</v>
      </c>
      <c r="H318" s="14">
        <f t="shared" si="16"/>
        <v>2.2440691522342252E-2</v>
      </c>
      <c r="I318" s="39">
        <f t="shared" si="17"/>
        <v>1.3227513227513227E-3</v>
      </c>
      <c r="J318" s="42">
        <v>-2.1598272138229069E-3</v>
      </c>
      <c r="K318" s="88">
        <v>-1.6556291390728006E-3</v>
      </c>
      <c r="L318" s="42">
        <v>-2.9594554601952705E-3</v>
      </c>
      <c r="M318" s="43">
        <v>-2.2499807344243082E-3</v>
      </c>
      <c r="Q318" s="2"/>
      <c r="R318" s="24"/>
      <c r="S318" s="24"/>
      <c r="T318" s="24"/>
    </row>
    <row r="319" spans="1:20" x14ac:dyDescent="0.25">
      <c r="A319" s="2">
        <v>44943</v>
      </c>
      <c r="B319" s="20">
        <v>2686</v>
      </c>
      <c r="C319" s="20">
        <v>371</v>
      </c>
      <c r="D319" s="20">
        <v>11155</v>
      </c>
      <c r="E319" s="17">
        <f t="shared" si="15"/>
        <v>-8.1240768094534843E-3</v>
      </c>
      <c r="F319" s="17">
        <f t="shared" si="15"/>
        <v>1.3661202185792254E-2</v>
      </c>
      <c r="G319" s="17">
        <f t="shared" si="15"/>
        <v>-3.127792672028562E-3</v>
      </c>
      <c r="H319" s="14">
        <f t="shared" si="16"/>
        <v>-3.1091775691607141E-3</v>
      </c>
      <c r="I319" s="39">
        <f t="shared" si="17"/>
        <v>1.3227513227513227E-3</v>
      </c>
      <c r="J319" s="42">
        <v>-2.1382751247327469E-3</v>
      </c>
      <c r="K319" s="88">
        <v>-1.6474464579900872E-3</v>
      </c>
      <c r="L319" s="42">
        <v>-2.8993911278631934E-3</v>
      </c>
      <c r="M319" s="43">
        <v>-2.1982131777978061E-3</v>
      </c>
      <c r="Q319" s="2"/>
      <c r="R319" s="24"/>
      <c r="S319" s="24"/>
      <c r="T319" s="24"/>
    </row>
    <row r="320" spans="1:20" x14ac:dyDescent="0.25">
      <c r="A320" s="2">
        <v>44942</v>
      </c>
      <c r="B320" s="20">
        <v>2708</v>
      </c>
      <c r="C320" s="20">
        <v>366</v>
      </c>
      <c r="D320" s="20">
        <v>11190</v>
      </c>
      <c r="E320" s="17">
        <f t="shared" si="15"/>
        <v>7.4404761904762751E-3</v>
      </c>
      <c r="F320" s="17">
        <f t="shared" si="15"/>
        <v>5.494505494505475E-3</v>
      </c>
      <c r="G320" s="17">
        <f t="shared" si="15"/>
        <v>1.7272727272727328E-2</v>
      </c>
      <c r="H320" s="14">
        <f t="shared" si="16"/>
        <v>1.5340439725773562E-2</v>
      </c>
      <c r="I320" s="39">
        <f t="shared" si="17"/>
        <v>1.3227513227513227E-3</v>
      </c>
      <c r="J320" s="42">
        <v>-2.135231316725994E-3</v>
      </c>
      <c r="K320" s="88">
        <v>-1.6447368421053099E-3</v>
      </c>
      <c r="L320" s="42">
        <v>-2.8901734104046506E-3</v>
      </c>
      <c r="M320" s="43">
        <v>-2.1413000438156634E-3</v>
      </c>
      <c r="Q320" s="2"/>
      <c r="R320" s="24"/>
      <c r="S320" s="24"/>
      <c r="T320" s="24"/>
    </row>
    <row r="321" spans="1:20" x14ac:dyDescent="0.25">
      <c r="A321" s="2">
        <v>44939</v>
      </c>
      <c r="B321" s="20">
        <v>2688</v>
      </c>
      <c r="C321" s="20">
        <v>364</v>
      </c>
      <c r="D321" s="20">
        <v>11000</v>
      </c>
      <c r="E321" s="17">
        <f t="shared" si="15"/>
        <v>-7.4349442379184616E-4</v>
      </c>
      <c r="F321" s="17">
        <f t="shared" si="15"/>
        <v>-8.1743869209809361E-3</v>
      </c>
      <c r="G321" s="17">
        <f t="shared" si="15"/>
        <v>-6.3233965672989667E-3</v>
      </c>
      <c r="H321" s="14">
        <f t="shared" si="16"/>
        <v>-5.6017740692145945E-3</v>
      </c>
      <c r="I321" s="39">
        <f t="shared" si="17"/>
        <v>1.3227513227513227E-3</v>
      </c>
      <c r="J321" s="42">
        <v>-2.1231422505307851E-3</v>
      </c>
      <c r="K321" s="88">
        <v>-1.5455950540957941E-3</v>
      </c>
      <c r="L321" s="42">
        <v>-2.8727377190462811E-3</v>
      </c>
      <c r="M321" s="43">
        <v>-2.1295254092044877E-3</v>
      </c>
      <c r="Q321" s="2"/>
      <c r="R321" s="24"/>
      <c r="S321" s="24"/>
      <c r="T321" s="24"/>
    </row>
    <row r="322" spans="1:20" x14ac:dyDescent="0.25">
      <c r="A322" s="2">
        <v>44938</v>
      </c>
      <c r="B322" s="20">
        <v>2690</v>
      </c>
      <c r="C322" s="20">
        <v>367</v>
      </c>
      <c r="D322" s="20">
        <v>11070</v>
      </c>
      <c r="E322" s="17">
        <f t="shared" si="15"/>
        <v>-4.4411547002221052E-3</v>
      </c>
      <c r="F322" s="17">
        <f t="shared" si="15"/>
        <v>1.3812154696132506E-2</v>
      </c>
      <c r="G322" s="17">
        <f t="shared" si="15"/>
        <v>4.5372050816696596E-3</v>
      </c>
      <c r="H322" s="14">
        <f t="shared" si="16"/>
        <v>3.6526983395541411E-3</v>
      </c>
      <c r="I322" s="39">
        <f t="shared" si="17"/>
        <v>1.3227513227513227E-3</v>
      </c>
      <c r="J322" s="42">
        <v>-2.1141649048626032E-3</v>
      </c>
      <c r="K322" s="88">
        <v>-1.5313935681470214E-3</v>
      </c>
      <c r="L322" s="42">
        <v>-2.7522935779816793E-3</v>
      </c>
      <c r="M322" s="43">
        <v>-2.0581090156157351E-3</v>
      </c>
      <c r="Q322" s="2"/>
      <c r="R322" s="24"/>
      <c r="S322" s="24"/>
      <c r="T322" s="24"/>
    </row>
    <row r="323" spans="1:20" x14ac:dyDescent="0.25">
      <c r="A323" s="2">
        <v>44937</v>
      </c>
      <c r="B323" s="20">
        <v>2702</v>
      </c>
      <c r="C323" s="20">
        <v>362</v>
      </c>
      <c r="D323" s="20">
        <v>11020</v>
      </c>
      <c r="E323" s="17">
        <f t="shared" si="15"/>
        <v>8.208955223880654E-3</v>
      </c>
      <c r="F323" s="17">
        <f t="shared" si="15"/>
        <v>0</v>
      </c>
      <c r="G323" s="17">
        <f t="shared" si="15"/>
        <v>9.157509157509125E-3</v>
      </c>
      <c r="H323" s="14">
        <f t="shared" si="16"/>
        <v>8.618706264156983E-3</v>
      </c>
      <c r="I323" s="39">
        <f t="shared" si="17"/>
        <v>1.3227513227513227E-3</v>
      </c>
      <c r="J323" s="42">
        <v>-2.0703933747412417E-3</v>
      </c>
      <c r="K323" s="88">
        <v>-1.4992503748125774E-3</v>
      </c>
      <c r="L323" s="42">
        <v>-2.7334851936218207E-3</v>
      </c>
      <c r="M323" s="43">
        <v>-2.0136594169812877E-3</v>
      </c>
      <c r="Q323" s="2"/>
      <c r="R323" s="24"/>
      <c r="S323" s="24"/>
      <c r="T323" s="24"/>
    </row>
    <row r="324" spans="1:20" x14ac:dyDescent="0.25">
      <c r="A324" s="2">
        <v>44936</v>
      </c>
      <c r="B324" s="20">
        <v>2680</v>
      </c>
      <c r="C324" s="20">
        <v>362</v>
      </c>
      <c r="D324" s="20">
        <v>10920</v>
      </c>
      <c r="E324" s="17">
        <f t="shared" si="15"/>
        <v>7.468259895444529E-4</v>
      </c>
      <c r="F324" s="17">
        <f t="shared" si="15"/>
        <v>5.5555555555555358E-3</v>
      </c>
      <c r="G324" s="17">
        <f t="shared" si="15"/>
        <v>2.2946305644790943E-3</v>
      </c>
      <c r="H324" s="14">
        <f t="shared" si="16"/>
        <v>2.2151624663931295E-3</v>
      </c>
      <c r="I324" s="39">
        <f t="shared" si="17"/>
        <v>1.3227513227513227E-3</v>
      </c>
      <c r="J324" s="42">
        <v>-2.0562028786840214E-3</v>
      </c>
      <c r="K324" s="88">
        <v>-1.2987012987012436E-3</v>
      </c>
      <c r="L324" s="42">
        <v>-2.7198549410698547E-3</v>
      </c>
      <c r="M324" s="43">
        <v>-1.9148671766722764E-3</v>
      </c>
      <c r="Q324" s="2"/>
      <c r="R324" s="24"/>
      <c r="S324" s="24"/>
      <c r="T324" s="24"/>
    </row>
    <row r="325" spans="1:20" x14ac:dyDescent="0.25">
      <c r="A325" s="2">
        <v>44935</v>
      </c>
      <c r="B325" s="20">
        <v>2678</v>
      </c>
      <c r="C325" s="20">
        <v>360</v>
      </c>
      <c r="D325" s="20">
        <v>10895</v>
      </c>
      <c r="E325" s="17">
        <f t="shared" si="15"/>
        <v>1.1329305135951762E-2</v>
      </c>
      <c r="F325" s="17">
        <f t="shared" si="15"/>
        <v>1.4084507042253502E-2</v>
      </c>
      <c r="G325" s="17">
        <f t="shared" si="15"/>
        <v>1.1136890951276124E-2</v>
      </c>
      <c r="H325" s="14">
        <f t="shared" si="16"/>
        <v>1.129407362977241E-2</v>
      </c>
      <c r="I325" s="39">
        <f t="shared" si="17"/>
        <v>1.3227513227513227E-3</v>
      </c>
      <c r="J325" s="42">
        <v>-1.9986675549633626E-3</v>
      </c>
      <c r="K325" s="88">
        <v>-1.2562814070351536E-3</v>
      </c>
      <c r="L325" s="42">
        <v>-2.7012425715828847E-3</v>
      </c>
      <c r="M325" s="43">
        <v>-1.8699886897702916E-3</v>
      </c>
      <c r="Q325" s="2"/>
      <c r="R325" s="24"/>
      <c r="S325" s="24"/>
      <c r="T325" s="24"/>
    </row>
    <row r="326" spans="1:20" x14ac:dyDescent="0.25">
      <c r="A326" s="2">
        <v>44932</v>
      </c>
      <c r="B326" s="20">
        <v>2648</v>
      </c>
      <c r="C326" s="20">
        <v>355</v>
      </c>
      <c r="D326" s="20">
        <v>10775</v>
      </c>
      <c r="E326" s="17">
        <f t="shared" ref="E326:G389" si="18">+B326/B327-1</f>
        <v>1.1459129106187849E-2</v>
      </c>
      <c r="F326" s="17">
        <f t="shared" si="18"/>
        <v>2.0114942528735691E-2</v>
      </c>
      <c r="G326" s="17">
        <f t="shared" si="18"/>
        <v>-9.2721372276305392E-4</v>
      </c>
      <c r="H326" s="14">
        <f t="shared" ref="H326:H389" si="19">+SUMPRODUCT(E326:G326,$K$9:$M$9)</f>
        <v>1.7795868398382503E-3</v>
      </c>
      <c r="I326" s="39">
        <f t="shared" si="17"/>
        <v>1.3227513227513227E-3</v>
      </c>
      <c r="J326" s="42">
        <v>-1.98281559814939E-3</v>
      </c>
      <c r="K326" s="88">
        <v>-1.2547051442910462E-3</v>
      </c>
      <c r="L326" s="42">
        <v>-2.6833631484793896E-3</v>
      </c>
      <c r="M326" s="43">
        <v>-1.8343076397080815E-3</v>
      </c>
      <c r="Q326" s="2"/>
      <c r="R326" s="24"/>
      <c r="S326" s="24"/>
      <c r="T326" s="24"/>
    </row>
    <row r="327" spans="1:20" x14ac:dyDescent="0.25">
      <c r="A327" s="2">
        <v>44931</v>
      </c>
      <c r="B327" s="20">
        <v>2618</v>
      </c>
      <c r="C327" s="20">
        <v>348</v>
      </c>
      <c r="D327" s="20">
        <v>10785</v>
      </c>
      <c r="E327" s="17">
        <f t="shared" si="18"/>
        <v>2.2970903522205877E-3</v>
      </c>
      <c r="F327" s="17">
        <f t="shared" si="18"/>
        <v>1.3100436681222627E-2</v>
      </c>
      <c r="G327" s="17">
        <f t="shared" si="18"/>
        <v>9.8314606741574107E-3</v>
      </c>
      <c r="H327" s="14">
        <f t="shared" si="19"/>
        <v>8.890887819831635E-3</v>
      </c>
      <c r="I327" s="39">
        <f t="shared" si="17"/>
        <v>1.3227513227513227E-3</v>
      </c>
      <c r="J327" s="42">
        <v>-1.9417475728155109E-3</v>
      </c>
      <c r="K327" s="88">
        <v>-1.2376237623762387E-3</v>
      </c>
      <c r="L327" s="42">
        <v>-2.666666666666706E-3</v>
      </c>
      <c r="M327" s="43">
        <v>-1.8020838060488998E-3</v>
      </c>
      <c r="Q327" s="2"/>
      <c r="R327" s="24"/>
      <c r="S327" s="24"/>
      <c r="T327" s="24"/>
    </row>
    <row r="328" spans="1:20" x14ac:dyDescent="0.25">
      <c r="A328" s="2">
        <v>44930</v>
      </c>
      <c r="B328" s="20">
        <v>2612</v>
      </c>
      <c r="C328" s="29">
        <v>343.5</v>
      </c>
      <c r="D328" s="20">
        <v>10680</v>
      </c>
      <c r="E328" s="17">
        <f t="shared" si="18"/>
        <v>-1.4339622641509453E-2</v>
      </c>
      <c r="F328" s="17">
        <f t="shared" si="18"/>
        <v>-4.3478260869564966E-3</v>
      </c>
      <c r="G328" s="17">
        <f t="shared" si="18"/>
        <v>2.3969319271332612E-2</v>
      </c>
      <c r="H328" s="14">
        <f t="shared" si="19"/>
        <v>1.7212688376153425E-2</v>
      </c>
      <c r="I328" s="39">
        <f t="shared" si="17"/>
        <v>1.3227513227513227E-3</v>
      </c>
      <c r="J328" s="42">
        <v>-1.9323671497584183E-3</v>
      </c>
      <c r="K328" s="88">
        <v>-1.2210012210012167E-3</v>
      </c>
      <c r="L328" s="42">
        <v>-2.6262626262626432E-3</v>
      </c>
      <c r="M328" s="43">
        <v>-1.8013940779749442E-3</v>
      </c>
      <c r="Q328" s="2"/>
      <c r="R328" s="24"/>
      <c r="S328" s="24"/>
      <c r="T328" s="24"/>
    </row>
    <row r="329" spans="1:20" x14ac:dyDescent="0.25">
      <c r="A329" s="2">
        <v>44929</v>
      </c>
      <c r="B329" s="20">
        <v>2650</v>
      </c>
      <c r="C329" s="20">
        <v>345</v>
      </c>
      <c r="D329" s="20">
        <v>10430</v>
      </c>
      <c r="E329" s="17">
        <f t="shared" si="18"/>
        <v>1.6104294478527681E-2</v>
      </c>
      <c r="F329" s="17">
        <f t="shared" si="18"/>
        <v>2.3738872403560762E-2</v>
      </c>
      <c r="G329" s="17">
        <f t="shared" si="18"/>
        <v>3.3696729435084283E-2</v>
      </c>
      <c r="H329" s="14">
        <f t="shared" si="19"/>
        <v>3.0727734450004679E-2</v>
      </c>
      <c r="I329" s="39">
        <f t="shared" si="17"/>
        <v>1.3227513227513227E-3</v>
      </c>
      <c r="J329" s="42">
        <v>-1.6722408026755842E-3</v>
      </c>
      <c r="K329" s="88">
        <v>-1.2195121951219523E-3</v>
      </c>
      <c r="L329" s="42">
        <v>-2.4922118380061864E-3</v>
      </c>
      <c r="M329" s="43">
        <v>-1.7511381497292478E-3</v>
      </c>
      <c r="Q329" s="2"/>
      <c r="R329" s="24"/>
      <c r="S329" s="24"/>
      <c r="T329" s="24"/>
    </row>
    <row r="330" spans="1:20" x14ac:dyDescent="0.25">
      <c r="A330" s="2">
        <v>44928</v>
      </c>
      <c r="B330" s="20">
        <v>2608</v>
      </c>
      <c r="C330" s="20">
        <v>337</v>
      </c>
      <c r="D330" s="20">
        <v>10090</v>
      </c>
      <c r="E330" s="17">
        <f t="shared" si="18"/>
        <v>2.3059185242122471E-3</v>
      </c>
      <c r="F330" s="17">
        <f t="shared" si="18"/>
        <v>-5.8997050147492347E-3</v>
      </c>
      <c r="G330" s="17">
        <f t="shared" si="18"/>
        <v>-1.9782393669633969E-3</v>
      </c>
      <c r="H330" s="14">
        <f t="shared" si="19"/>
        <v>-1.534032691207362E-3</v>
      </c>
      <c r="I330" s="39">
        <f t="shared" si="17"/>
        <v>1.3227513227513227E-3</v>
      </c>
      <c r="J330" s="42">
        <v>-1.6638935108153063E-3</v>
      </c>
      <c r="K330" s="88">
        <v>-1.2180267965895553E-3</v>
      </c>
      <c r="L330" s="42">
        <v>-2.4473813020068347E-3</v>
      </c>
      <c r="M330" s="43">
        <v>-1.7239714497743752E-3</v>
      </c>
      <c r="Q330" s="2"/>
      <c r="R330" s="24"/>
      <c r="S330" s="24"/>
      <c r="T330" s="24"/>
    </row>
    <row r="331" spans="1:20" x14ac:dyDescent="0.25">
      <c r="A331" s="2">
        <v>44925</v>
      </c>
      <c r="B331" s="20">
        <v>2602</v>
      </c>
      <c r="C331" s="20">
        <v>339</v>
      </c>
      <c r="D331" s="20">
        <v>10110</v>
      </c>
      <c r="E331" s="17">
        <f t="shared" si="18"/>
        <v>-1.0646387832699666E-2</v>
      </c>
      <c r="F331" s="17">
        <f t="shared" si="18"/>
        <v>2.9585798816567088E-3</v>
      </c>
      <c r="G331" s="17">
        <f t="shared" si="18"/>
        <v>-6.8762278978389269E-3</v>
      </c>
      <c r="H331" s="14">
        <f t="shared" si="19"/>
        <v>-6.9866862878224627E-3</v>
      </c>
      <c r="I331" s="39">
        <f t="shared" si="17"/>
        <v>1.3227513227513227E-3</v>
      </c>
      <c r="J331" s="42">
        <v>-1.491424310216205E-3</v>
      </c>
      <c r="K331" s="88">
        <v>-1.2077294685990392E-3</v>
      </c>
      <c r="L331" s="42">
        <v>-2.4183796856106499E-3</v>
      </c>
      <c r="M331" s="43">
        <v>-1.6898742363374768E-3</v>
      </c>
      <c r="Q331" s="2"/>
      <c r="R331" s="24"/>
      <c r="S331" s="24"/>
      <c r="T331" s="24"/>
    </row>
    <row r="332" spans="1:20" x14ac:dyDescent="0.25">
      <c r="A332" s="2">
        <v>44924</v>
      </c>
      <c r="B332" s="20">
        <v>2630</v>
      </c>
      <c r="C332" s="20">
        <v>338</v>
      </c>
      <c r="D332" s="20">
        <v>10180</v>
      </c>
      <c r="E332" s="17">
        <f t="shared" si="18"/>
        <v>5.3516819571866048E-3</v>
      </c>
      <c r="F332" s="17">
        <f t="shared" si="18"/>
        <v>-2.0289855072463725E-2</v>
      </c>
      <c r="G332" s="17">
        <f t="shared" si="18"/>
        <v>-9.7276264591439343E-3</v>
      </c>
      <c r="H332" s="14">
        <f t="shared" si="19"/>
        <v>-8.0217544128372981E-3</v>
      </c>
      <c r="I332" s="39">
        <f t="shared" si="17"/>
        <v>1.3227513227513227E-3</v>
      </c>
      <c r="J332" s="42">
        <v>-1.4869888475836923E-3</v>
      </c>
      <c r="K332" s="88">
        <v>-1.2004801920768582E-3</v>
      </c>
      <c r="L332" s="42">
        <v>-2.2087244616234569E-3</v>
      </c>
      <c r="M332" s="43">
        <v>-1.661488627992239E-3</v>
      </c>
      <c r="Q332" s="2"/>
      <c r="R332" s="24"/>
      <c r="S332" s="24"/>
      <c r="T332" s="24"/>
    </row>
    <row r="333" spans="1:20" x14ac:dyDescent="0.25">
      <c r="A333" s="2">
        <v>44923</v>
      </c>
      <c r="B333" s="20">
        <v>2616</v>
      </c>
      <c r="C333" s="20">
        <v>345</v>
      </c>
      <c r="D333" s="20">
        <v>10280</v>
      </c>
      <c r="E333" s="17">
        <f t="shared" si="18"/>
        <v>-6.0790273556230456E-3</v>
      </c>
      <c r="F333" s="17">
        <f t="shared" si="18"/>
        <v>0</v>
      </c>
      <c r="G333" s="17">
        <f t="shared" si="18"/>
        <v>-1.4570179698882857E-3</v>
      </c>
      <c r="H333" s="14">
        <f t="shared" si="19"/>
        <v>-2.0581090156157351E-3</v>
      </c>
      <c r="I333" s="39">
        <f t="shared" si="17"/>
        <v>1.3227513227513227E-3</v>
      </c>
      <c r="J333" s="42">
        <v>-1.4738393515106862E-3</v>
      </c>
      <c r="K333" s="88">
        <v>-1.1933174224343368E-3</v>
      </c>
      <c r="L333" s="42">
        <v>-2.1939447125932654E-3</v>
      </c>
      <c r="M333" s="43">
        <v>-1.6465536522737726E-3</v>
      </c>
      <c r="Q333" s="2"/>
      <c r="R333" s="24"/>
      <c r="S333" s="24"/>
      <c r="T333" s="24"/>
    </row>
    <row r="334" spans="1:20" x14ac:dyDescent="0.25">
      <c r="A334" s="2">
        <v>44922</v>
      </c>
      <c r="B334" s="20">
        <v>2632</v>
      </c>
      <c r="C334" s="20">
        <v>345</v>
      </c>
      <c r="D334" s="20">
        <v>10295</v>
      </c>
      <c r="E334" s="17">
        <f t="shared" si="18"/>
        <v>-3.0303030303030498E-3</v>
      </c>
      <c r="F334" s="17">
        <f t="shared" si="18"/>
        <v>-7.194244604316502E-3</v>
      </c>
      <c r="G334" s="17">
        <f t="shared" si="18"/>
        <v>-4.8543689320390548E-4</v>
      </c>
      <c r="H334" s="14">
        <f t="shared" si="19"/>
        <v>-1.1463706352196883E-3</v>
      </c>
      <c r="I334" s="39">
        <f t="shared" si="17"/>
        <v>1.3227513227513227E-3</v>
      </c>
      <c r="J334" s="42">
        <v>-1.4336917562723928E-3</v>
      </c>
      <c r="K334" s="88">
        <v>-1.1820330969266601E-3</v>
      </c>
      <c r="L334" s="42">
        <v>-2.1567217828900587E-3</v>
      </c>
      <c r="M334" s="43">
        <v>-1.565806678427659E-3</v>
      </c>
      <c r="Q334" s="2"/>
      <c r="R334" s="24"/>
      <c r="S334" s="24"/>
      <c r="T334" s="24"/>
    </row>
    <row r="335" spans="1:20" x14ac:dyDescent="0.25">
      <c r="A335" s="2">
        <v>44918</v>
      </c>
      <c r="B335" s="20">
        <v>2640</v>
      </c>
      <c r="C335" s="29">
        <v>347.5</v>
      </c>
      <c r="D335" s="20">
        <v>10300</v>
      </c>
      <c r="E335" s="17">
        <f t="shared" si="18"/>
        <v>0</v>
      </c>
      <c r="F335" s="17">
        <f t="shared" si="18"/>
        <v>-1.2784090909090939E-2</v>
      </c>
      <c r="G335" s="17">
        <f t="shared" si="18"/>
        <v>-1.3409961685823757E-2</v>
      </c>
      <c r="H335" s="14">
        <f t="shared" si="19"/>
        <v>-1.1452791192311802E-2</v>
      </c>
      <c r="I335" s="39">
        <f t="shared" si="17"/>
        <v>1.3227513227513227E-3</v>
      </c>
      <c r="J335" s="42">
        <v>-1.4306151645206988E-3</v>
      </c>
      <c r="K335" s="88">
        <v>-1.1820330969266601E-3</v>
      </c>
      <c r="L335" s="42">
        <v>-2.1160822249093325E-3</v>
      </c>
      <c r="M335" s="43">
        <v>-1.550466337572026E-3</v>
      </c>
      <c r="Q335" s="2"/>
      <c r="R335" s="24"/>
      <c r="S335" s="24"/>
      <c r="T335" s="24"/>
    </row>
    <row r="336" spans="1:20" x14ac:dyDescent="0.25">
      <c r="A336" s="2">
        <v>44917</v>
      </c>
      <c r="B336" s="20">
        <v>2640</v>
      </c>
      <c r="C336" s="20">
        <v>352</v>
      </c>
      <c r="D336" s="20">
        <v>10440</v>
      </c>
      <c r="E336" s="17">
        <f t="shared" si="18"/>
        <v>3.0395136778116338E-3</v>
      </c>
      <c r="F336" s="17">
        <f t="shared" si="18"/>
        <v>1.1494252873563315E-2</v>
      </c>
      <c r="G336" s="17">
        <f t="shared" si="18"/>
        <v>1.4388489208632116E-3</v>
      </c>
      <c r="H336" s="14">
        <f t="shared" si="19"/>
        <v>2.1109359275994638E-3</v>
      </c>
      <c r="I336" s="39">
        <f t="shared" ref="I336:I399" si="20">1/$K$1</f>
        <v>1.3227513227513227E-3</v>
      </c>
      <c r="J336" s="42">
        <v>-1.4255167498218313E-3</v>
      </c>
      <c r="K336" s="88">
        <v>-1.166861143523934E-3</v>
      </c>
      <c r="L336" s="42">
        <v>-2.0775623268698418E-3</v>
      </c>
      <c r="M336" s="43">
        <v>-1.534032691207362E-3</v>
      </c>
      <c r="Q336" s="2"/>
      <c r="R336" s="24"/>
      <c r="S336" s="24"/>
      <c r="T336" s="24"/>
    </row>
    <row r="337" spans="1:20" x14ac:dyDescent="0.25">
      <c r="A337" s="2">
        <v>44916</v>
      </c>
      <c r="B337" s="20">
        <v>2632</v>
      </c>
      <c r="C337" s="20">
        <v>348</v>
      </c>
      <c r="D337" s="20">
        <v>10425</v>
      </c>
      <c r="E337" s="17">
        <f t="shared" si="18"/>
        <v>-6.0422960725075026E-3</v>
      </c>
      <c r="F337" s="17">
        <f t="shared" si="18"/>
        <v>2.3529411764705799E-2</v>
      </c>
      <c r="G337" s="17">
        <f t="shared" si="18"/>
        <v>7.2463768115942351E-3</v>
      </c>
      <c r="H337" s="14">
        <f t="shared" si="19"/>
        <v>6.0495009416167075E-3</v>
      </c>
      <c r="I337" s="39">
        <f t="shared" si="20"/>
        <v>1.3227513227513227E-3</v>
      </c>
      <c r="J337" s="42">
        <v>-1.4174344436569397E-3</v>
      </c>
      <c r="K337" s="88">
        <v>-1.1627906976744429E-3</v>
      </c>
      <c r="L337" s="42">
        <v>-2.0297699594046259E-3</v>
      </c>
      <c r="M337" s="43">
        <v>-1.5318962598645904E-3</v>
      </c>
      <c r="Q337" s="2"/>
      <c r="R337" s="24"/>
      <c r="S337" s="24"/>
      <c r="T337" s="24"/>
    </row>
    <row r="338" spans="1:20" x14ac:dyDescent="0.25">
      <c r="A338" s="2">
        <v>44915</v>
      </c>
      <c r="B338" s="20">
        <v>2648</v>
      </c>
      <c r="C338" s="20">
        <v>340</v>
      </c>
      <c r="D338" s="20">
        <v>10350</v>
      </c>
      <c r="E338" s="17">
        <f t="shared" si="18"/>
        <v>1.5128593040847349E-3</v>
      </c>
      <c r="F338" s="17">
        <f t="shared" si="18"/>
        <v>2.9498525073745618E-3</v>
      </c>
      <c r="G338" s="17">
        <f t="shared" si="18"/>
        <v>6.3198833252309239E-3</v>
      </c>
      <c r="H338" s="14">
        <f t="shared" si="19"/>
        <v>5.480107227745573E-3</v>
      </c>
      <c r="I338" s="39">
        <f t="shared" si="20"/>
        <v>1.3227513227513227E-3</v>
      </c>
      <c r="J338" s="42">
        <v>-1.4114326040931546E-3</v>
      </c>
      <c r="K338" s="88">
        <v>-1.1600928074245731E-3</v>
      </c>
      <c r="L338" s="42">
        <v>-2.0000000000000018E-3</v>
      </c>
      <c r="M338" s="43">
        <v>-1.5031359462689348E-3</v>
      </c>
      <c r="Q338" s="2"/>
      <c r="R338" s="24"/>
      <c r="S338" s="24"/>
      <c r="T338" s="24"/>
    </row>
    <row r="339" spans="1:20" x14ac:dyDescent="0.25">
      <c r="A339" s="2">
        <v>44914</v>
      </c>
      <c r="B339" s="20">
        <v>2644</v>
      </c>
      <c r="C339" s="20">
        <v>339</v>
      </c>
      <c r="D339" s="20">
        <v>10285</v>
      </c>
      <c r="E339" s="17">
        <f t="shared" si="18"/>
        <v>1.0703363914372988E-2</v>
      </c>
      <c r="F339" s="17">
        <f t="shared" si="18"/>
        <v>2.108433734939763E-2</v>
      </c>
      <c r="G339" s="17">
        <f t="shared" si="18"/>
        <v>-1.01058710298364E-2</v>
      </c>
      <c r="H339" s="14">
        <f t="shared" si="19"/>
        <v>-5.7412042524424833E-3</v>
      </c>
      <c r="I339" s="39">
        <f t="shared" si="20"/>
        <v>1.3227513227513227E-3</v>
      </c>
      <c r="J339" s="42">
        <v>-1.4104372355430161E-3</v>
      </c>
      <c r="K339" s="88">
        <v>-1.1520737327188613E-3</v>
      </c>
      <c r="L339" s="42">
        <v>-1.980982567353462E-3</v>
      </c>
      <c r="M339" s="43">
        <v>-1.4769642585019151E-3</v>
      </c>
      <c r="Q339" s="2"/>
      <c r="R339" s="24"/>
      <c r="S339" s="24"/>
      <c r="T339" s="24"/>
    </row>
    <row r="340" spans="1:20" x14ac:dyDescent="0.25">
      <c r="A340" s="2">
        <v>44911</v>
      </c>
      <c r="B340" s="20">
        <v>2616</v>
      </c>
      <c r="C340" s="20">
        <v>332</v>
      </c>
      <c r="D340" s="20">
        <v>10390</v>
      </c>
      <c r="E340" s="17">
        <f t="shared" si="18"/>
        <v>3.0674846625766694E-3</v>
      </c>
      <c r="F340" s="17">
        <f t="shared" si="18"/>
        <v>-3.4883720930232509E-2</v>
      </c>
      <c r="G340" s="17">
        <f t="shared" si="18"/>
        <v>1.8627450980392091E-2</v>
      </c>
      <c r="H340" s="14">
        <f t="shared" si="19"/>
        <v>1.4037543000147252E-2</v>
      </c>
      <c r="I340" s="39">
        <f t="shared" si="20"/>
        <v>1.3227513227513227E-3</v>
      </c>
      <c r="J340" s="42">
        <v>-1.3679890560875929E-3</v>
      </c>
      <c r="K340" s="88">
        <v>-1.098901098901095E-3</v>
      </c>
      <c r="L340" s="42">
        <v>-1.9782393669633969E-3</v>
      </c>
      <c r="M340" s="43">
        <v>-1.472076499955564E-3</v>
      </c>
      <c r="Q340" s="2"/>
      <c r="R340" s="24"/>
      <c r="S340" s="24"/>
      <c r="T340" s="24"/>
    </row>
    <row r="341" spans="1:20" x14ac:dyDescent="0.25">
      <c r="A341" s="2">
        <v>44910</v>
      </c>
      <c r="B341" s="20">
        <v>2608</v>
      </c>
      <c r="C341" s="20">
        <v>344</v>
      </c>
      <c r="D341" s="20">
        <v>10200</v>
      </c>
      <c r="E341" s="17">
        <f t="shared" si="18"/>
        <v>-1.2869038607115857E-2</v>
      </c>
      <c r="F341" s="17">
        <f t="shared" si="18"/>
        <v>1.4749262536873253E-2</v>
      </c>
      <c r="G341" s="17">
        <f t="shared" si="18"/>
        <v>-5.3632374451486609E-3</v>
      </c>
      <c r="H341" s="14">
        <f t="shared" si="19"/>
        <v>-5.5597302514438307E-3</v>
      </c>
      <c r="I341" s="39">
        <f t="shared" si="20"/>
        <v>1.3227513227513227E-3</v>
      </c>
      <c r="J341" s="42">
        <v>-1.3651877133106227E-3</v>
      </c>
      <c r="K341" s="88">
        <v>-1.0741138560687036E-3</v>
      </c>
      <c r="L341" s="42">
        <v>-1.9011406844106071E-3</v>
      </c>
      <c r="M341" s="43">
        <v>-1.4701005123963706E-3</v>
      </c>
      <c r="Q341" s="2"/>
      <c r="R341" s="24"/>
      <c r="S341" s="24"/>
      <c r="T341" s="24"/>
    </row>
    <row r="342" spans="1:20" x14ac:dyDescent="0.25">
      <c r="A342" s="2">
        <v>44909</v>
      </c>
      <c r="B342" s="20">
        <v>2642</v>
      </c>
      <c r="C342" s="20">
        <v>339</v>
      </c>
      <c r="D342" s="20">
        <v>10255</v>
      </c>
      <c r="E342" s="17">
        <f t="shared" si="18"/>
        <v>1.3036809815951012E-2</v>
      </c>
      <c r="F342" s="17">
        <f t="shared" si="18"/>
        <v>2.4169184290030232E-2</v>
      </c>
      <c r="G342" s="17">
        <f t="shared" si="18"/>
        <v>-8.2205029013540099E-3</v>
      </c>
      <c r="H342" s="14">
        <f t="shared" si="19"/>
        <v>-3.7386629053223026E-3</v>
      </c>
      <c r="I342" s="39">
        <f t="shared" si="20"/>
        <v>1.3227513227513227E-3</v>
      </c>
      <c r="J342" s="42">
        <v>-1.3513513513513375E-3</v>
      </c>
      <c r="K342" s="88">
        <v>0</v>
      </c>
      <c r="L342" s="42">
        <v>-1.7064846416382506E-3</v>
      </c>
      <c r="M342" s="43">
        <v>-1.3958180824464711E-3</v>
      </c>
      <c r="Q342" s="2"/>
      <c r="R342" s="24"/>
      <c r="S342" s="24"/>
      <c r="T342" s="24"/>
    </row>
    <row r="343" spans="1:20" x14ac:dyDescent="0.25">
      <c r="A343" s="2">
        <v>44908</v>
      </c>
      <c r="B343" s="20">
        <v>2608</v>
      </c>
      <c r="C343" s="20">
        <v>331</v>
      </c>
      <c r="D343" s="20">
        <v>10340</v>
      </c>
      <c r="E343" s="17">
        <f t="shared" si="18"/>
        <v>1.0852713178294504E-2</v>
      </c>
      <c r="F343" s="17">
        <f t="shared" si="18"/>
        <v>1.5337423312883347E-2</v>
      </c>
      <c r="G343" s="17">
        <f t="shared" si="18"/>
        <v>3.607214428857719E-2</v>
      </c>
      <c r="H343" s="14">
        <f t="shared" si="19"/>
        <v>3.1532186472184025E-2</v>
      </c>
      <c r="I343" s="39">
        <f t="shared" si="20"/>
        <v>1.3227513227513227E-3</v>
      </c>
      <c r="J343" s="42">
        <v>-1.3192612137202797E-3</v>
      </c>
      <c r="K343" s="88">
        <v>0</v>
      </c>
      <c r="L343" s="42">
        <v>-1.7041581458759891E-3</v>
      </c>
      <c r="M343" s="43">
        <v>-1.3176691700738517E-3</v>
      </c>
      <c r="Q343" s="2"/>
      <c r="R343" s="24"/>
      <c r="S343" s="24"/>
      <c r="T343" s="24"/>
    </row>
    <row r="344" spans="1:20" x14ac:dyDescent="0.25">
      <c r="A344" s="2">
        <v>44907</v>
      </c>
      <c r="B344" s="20">
        <v>2580</v>
      </c>
      <c r="C344" s="20">
        <v>326</v>
      </c>
      <c r="D344" s="20">
        <v>9980</v>
      </c>
      <c r="E344" s="17">
        <f t="shared" si="18"/>
        <v>-7.692307692307665E-3</v>
      </c>
      <c r="F344" s="17">
        <f t="shared" si="18"/>
        <v>4.6224961479199855E-3</v>
      </c>
      <c r="G344" s="17">
        <f t="shared" si="18"/>
        <v>-2.0000000000000018E-3</v>
      </c>
      <c r="H344" s="14">
        <f t="shared" si="19"/>
        <v>-2.5281759080567475E-3</v>
      </c>
      <c r="I344" s="39">
        <f t="shared" si="20"/>
        <v>1.3227513227513227E-3</v>
      </c>
      <c r="J344" s="42">
        <v>-8.4033613445377853E-4</v>
      </c>
      <c r="K344" s="88">
        <v>0</v>
      </c>
      <c r="L344" s="42">
        <v>-1.6806722689075571E-3</v>
      </c>
      <c r="M344" s="43">
        <v>-1.2863536084572347E-3</v>
      </c>
      <c r="Q344" s="2"/>
      <c r="R344" s="24"/>
      <c r="S344" s="24"/>
      <c r="T344" s="24"/>
    </row>
    <row r="345" spans="1:20" x14ac:dyDescent="0.25">
      <c r="A345" s="2">
        <v>44904</v>
      </c>
      <c r="B345" s="20">
        <v>2600</v>
      </c>
      <c r="C345" s="29">
        <v>324.5</v>
      </c>
      <c r="D345" s="20">
        <v>10000</v>
      </c>
      <c r="E345" s="17">
        <f t="shared" si="18"/>
        <v>7.698229407235857E-4</v>
      </c>
      <c r="F345" s="17">
        <f t="shared" si="18"/>
        <v>-4.6012269938650041E-3</v>
      </c>
      <c r="G345" s="17">
        <f t="shared" si="18"/>
        <v>6.0362173038228661E-3</v>
      </c>
      <c r="H345" s="14">
        <f t="shared" si="19"/>
        <v>4.8110667525755203E-3</v>
      </c>
      <c r="I345" s="39">
        <f t="shared" si="20"/>
        <v>1.3227513227513227E-3</v>
      </c>
      <c r="J345" s="42">
        <v>-8.382229673092878E-4</v>
      </c>
      <c r="K345" s="88">
        <v>0</v>
      </c>
      <c r="L345" s="42">
        <v>-1.6568047337277569E-3</v>
      </c>
      <c r="M345" s="43">
        <v>-1.216319406899415E-3</v>
      </c>
      <c r="Q345" s="2"/>
      <c r="R345" s="24"/>
      <c r="S345" s="24"/>
      <c r="T345" s="24"/>
    </row>
    <row r="346" spans="1:20" x14ac:dyDescent="0.25">
      <c r="A346" s="2">
        <v>44903</v>
      </c>
      <c r="B346" s="20">
        <v>2598</v>
      </c>
      <c r="C346" s="20">
        <v>326</v>
      </c>
      <c r="D346" s="20">
        <v>9940</v>
      </c>
      <c r="E346" s="17">
        <f t="shared" si="18"/>
        <v>-5.389657683903859E-2</v>
      </c>
      <c r="F346" s="17">
        <f t="shared" si="18"/>
        <v>-1.2121212121212088E-2</v>
      </c>
      <c r="G346" s="17">
        <f t="shared" si="18"/>
        <v>-6.0000000000000053E-3</v>
      </c>
      <c r="H346" s="14">
        <f t="shared" si="19"/>
        <v>-1.3161167371689816E-2</v>
      </c>
      <c r="I346" s="39">
        <f t="shared" si="20"/>
        <v>1.3227513227513227E-3</v>
      </c>
      <c r="J346" s="42">
        <v>-8.3682008368202165E-4</v>
      </c>
      <c r="K346" s="88">
        <v>0</v>
      </c>
      <c r="L346" s="42">
        <v>-1.4965579167913745E-3</v>
      </c>
      <c r="M346" s="43">
        <v>-1.1463706352196883E-3</v>
      </c>
      <c r="Q346" s="2"/>
      <c r="R346" s="24"/>
      <c r="S346" s="24"/>
      <c r="T346" s="24"/>
    </row>
    <row r="347" spans="1:20" x14ac:dyDescent="0.25">
      <c r="A347" s="2">
        <v>44902</v>
      </c>
      <c r="B347" s="20">
        <v>2746</v>
      </c>
      <c r="C347" s="20">
        <v>330</v>
      </c>
      <c r="D347" s="20">
        <v>10000</v>
      </c>
      <c r="E347" s="17">
        <f t="shared" si="18"/>
        <v>-2.5550035486160416E-2</v>
      </c>
      <c r="F347" s="17">
        <f t="shared" si="18"/>
        <v>1.2269938650306678E-2</v>
      </c>
      <c r="G347" s="17">
        <f t="shared" si="18"/>
        <v>-1.9607843137254943E-2</v>
      </c>
      <c r="H347" s="14">
        <f t="shared" si="19"/>
        <v>-1.9062462953596617E-2</v>
      </c>
      <c r="I347" s="39">
        <f t="shared" si="20"/>
        <v>1.3227513227513227E-3</v>
      </c>
      <c r="J347" s="42">
        <v>-8.3402835696411159E-4</v>
      </c>
      <c r="K347" s="88">
        <v>0</v>
      </c>
      <c r="L347" s="42">
        <v>-1.468428781204123E-3</v>
      </c>
      <c r="M347" s="43">
        <v>-1.0591997623698654E-3</v>
      </c>
      <c r="Q347" s="2"/>
      <c r="R347" s="24"/>
      <c r="S347" s="24"/>
      <c r="T347" s="24"/>
    </row>
    <row r="348" spans="1:20" x14ac:dyDescent="0.25">
      <c r="A348" s="2">
        <v>44901</v>
      </c>
      <c r="B348" s="20">
        <v>2818</v>
      </c>
      <c r="C348" s="20">
        <v>326</v>
      </c>
      <c r="D348" s="20">
        <v>10200</v>
      </c>
      <c r="E348" s="17">
        <f t="shared" si="18"/>
        <v>2.1014492753623104E-2</v>
      </c>
      <c r="F348" s="17">
        <f t="shared" si="18"/>
        <v>-1.5313935681470214E-3</v>
      </c>
      <c r="G348" s="17">
        <f t="shared" si="18"/>
        <v>1.090188305252715E-2</v>
      </c>
      <c r="H348" s="14">
        <f t="shared" si="19"/>
        <v>1.1810855285483181E-2</v>
      </c>
      <c r="I348" s="39">
        <f t="shared" si="20"/>
        <v>1.3227513227513227E-3</v>
      </c>
      <c r="J348" s="42">
        <v>-8.3333333333335258E-4</v>
      </c>
      <c r="K348" s="88">
        <v>0</v>
      </c>
      <c r="L348" s="42">
        <v>-1.4570179698882857E-3</v>
      </c>
      <c r="M348" s="43">
        <v>-1.0437622286166076E-3</v>
      </c>
      <c r="Q348" s="2"/>
      <c r="R348" s="24"/>
      <c r="S348" s="24"/>
      <c r="T348" s="24"/>
    </row>
    <row r="349" spans="1:20" x14ac:dyDescent="0.25">
      <c r="A349" s="2">
        <v>44900</v>
      </c>
      <c r="B349" s="20">
        <v>2760</v>
      </c>
      <c r="C349" s="29">
        <v>326.5</v>
      </c>
      <c r="D349" s="20">
        <v>10090</v>
      </c>
      <c r="E349" s="17">
        <f t="shared" si="18"/>
        <v>-2.9535864978902926E-2</v>
      </c>
      <c r="F349" s="17">
        <f t="shared" si="18"/>
        <v>4.6153846153846878E-3</v>
      </c>
      <c r="G349" s="17">
        <f t="shared" si="18"/>
        <v>-4.7663992449268555E-2</v>
      </c>
      <c r="H349" s="14">
        <f t="shared" si="19"/>
        <v>-4.2758644823875959E-2</v>
      </c>
      <c r="I349" s="39">
        <f t="shared" si="20"/>
        <v>1.3227513227513227E-3</v>
      </c>
      <c r="J349" s="42">
        <v>-8.3333333333335258E-4</v>
      </c>
      <c r="K349" s="88">
        <v>0</v>
      </c>
      <c r="L349" s="42">
        <v>-1.4529604068289625E-3</v>
      </c>
      <c r="M349" s="43">
        <v>-1.0251193014690493E-3</v>
      </c>
      <c r="Q349" s="2"/>
      <c r="R349" s="24"/>
      <c r="S349" s="24"/>
      <c r="T349" s="24"/>
    </row>
    <row r="350" spans="1:20" x14ac:dyDescent="0.25">
      <c r="A350" s="2">
        <v>44897</v>
      </c>
      <c r="B350" s="20">
        <v>2844</v>
      </c>
      <c r="C350" s="20">
        <v>325</v>
      </c>
      <c r="D350" s="20">
        <v>10595</v>
      </c>
      <c r="E350" s="17">
        <f t="shared" si="18"/>
        <v>2.8208744710860323E-3</v>
      </c>
      <c r="F350" s="17">
        <f t="shared" si="18"/>
        <v>-2.2556390977443663E-2</v>
      </c>
      <c r="G350" s="17">
        <f t="shared" si="18"/>
        <v>-2.7089072543618031E-2</v>
      </c>
      <c r="H350" s="14">
        <f t="shared" si="19"/>
        <v>-2.2585943349906733E-2</v>
      </c>
      <c r="I350" s="39">
        <f t="shared" si="20"/>
        <v>1.3227513227513227E-3</v>
      </c>
      <c r="J350" s="42">
        <v>-8.2034454470880647E-4</v>
      </c>
      <c r="K350" s="88">
        <v>0</v>
      </c>
      <c r="L350" s="42">
        <v>-1.4475969889982121E-3</v>
      </c>
      <c r="M350" s="43">
        <v>-9.0792605887166002E-4</v>
      </c>
      <c r="Q350" s="2"/>
      <c r="R350" s="24"/>
      <c r="S350" s="24"/>
      <c r="T350" s="24"/>
    </row>
    <row r="351" spans="1:20" x14ac:dyDescent="0.25">
      <c r="A351" s="2">
        <v>44896</v>
      </c>
      <c r="B351" s="20">
        <v>2836</v>
      </c>
      <c r="C351" s="29">
        <v>332.5</v>
      </c>
      <c r="D351" s="20">
        <v>10890</v>
      </c>
      <c r="E351" s="17">
        <f t="shared" si="18"/>
        <v>5.6737588652482351E-3</v>
      </c>
      <c r="F351" s="17">
        <f t="shared" si="18"/>
        <v>4.5317220543805714E-3</v>
      </c>
      <c r="G351" s="17">
        <f t="shared" si="18"/>
        <v>1.3023255813953583E-2</v>
      </c>
      <c r="H351" s="14">
        <f t="shared" si="19"/>
        <v>1.1592623760233829E-2</v>
      </c>
      <c r="I351" s="39">
        <f t="shared" si="20"/>
        <v>1.3227513227513227E-3</v>
      </c>
      <c r="J351" s="42">
        <v>-8.1433224755700362E-4</v>
      </c>
      <c r="K351" s="88">
        <v>0</v>
      </c>
      <c r="L351" s="42">
        <v>-1.379944802207933E-3</v>
      </c>
      <c r="M351" s="43">
        <v>-8.9823202833015127E-4</v>
      </c>
      <c r="Q351" s="2"/>
      <c r="R351" s="24"/>
      <c r="S351" s="24"/>
      <c r="T351" s="24"/>
    </row>
    <row r="352" spans="1:20" x14ac:dyDescent="0.25">
      <c r="A352" s="2">
        <v>44895</v>
      </c>
      <c r="B352" s="20">
        <v>2820</v>
      </c>
      <c r="C352" s="20">
        <v>331</v>
      </c>
      <c r="D352" s="20">
        <v>10750</v>
      </c>
      <c r="E352" s="17">
        <f t="shared" si="18"/>
        <v>1.0752688172043001E-2</v>
      </c>
      <c r="F352" s="17">
        <f t="shared" si="18"/>
        <v>-3.0120481927711218E-3</v>
      </c>
      <c r="G352" s="17">
        <f t="shared" si="18"/>
        <v>4.6728971962617383E-3</v>
      </c>
      <c r="H352" s="14">
        <f t="shared" si="19"/>
        <v>5.2101559325351994E-3</v>
      </c>
      <c r="I352" s="39">
        <f t="shared" si="20"/>
        <v>1.3227513227513227E-3</v>
      </c>
      <c r="J352" s="42">
        <v>-7.6219512195119243E-4</v>
      </c>
      <c r="K352" s="88">
        <v>0</v>
      </c>
      <c r="L352" s="42">
        <v>-1.3786764705882026E-3</v>
      </c>
      <c r="M352" s="43">
        <v>-8.6409672886186666E-4</v>
      </c>
      <c r="Q352" s="2"/>
      <c r="R352" s="24"/>
      <c r="S352" s="24"/>
      <c r="T352" s="24"/>
    </row>
    <row r="353" spans="1:20" x14ac:dyDescent="0.25">
      <c r="A353" s="2">
        <v>44894</v>
      </c>
      <c r="B353" s="20">
        <v>2790</v>
      </c>
      <c r="C353" s="20">
        <v>332</v>
      </c>
      <c r="D353" s="20">
        <v>10700</v>
      </c>
      <c r="E353" s="17">
        <f t="shared" si="18"/>
        <v>2.5735294117646967E-2</v>
      </c>
      <c r="F353" s="17">
        <f t="shared" si="18"/>
        <v>-8.9552238805969964E-3</v>
      </c>
      <c r="G353" s="17">
        <f t="shared" si="18"/>
        <v>-1.0633379565418433E-2</v>
      </c>
      <c r="H353" s="14">
        <f t="shared" si="19"/>
        <v>-5.3262535319566293E-3</v>
      </c>
      <c r="I353" s="39">
        <f t="shared" si="20"/>
        <v>1.3227513227513227E-3</v>
      </c>
      <c r="J353" s="42">
        <v>-7.4349442379184616E-4</v>
      </c>
      <c r="K353" s="88">
        <v>0</v>
      </c>
      <c r="L353" s="42">
        <v>-1.3311148086522229E-3</v>
      </c>
      <c r="M353" s="43">
        <v>-8.625486437322707E-4</v>
      </c>
      <c r="Q353" s="2"/>
      <c r="R353" s="24"/>
      <c r="S353" s="24"/>
      <c r="T353" s="24"/>
    </row>
    <row r="354" spans="1:20" x14ac:dyDescent="0.25">
      <c r="A354" s="2">
        <v>44893</v>
      </c>
      <c r="B354" s="20">
        <v>2720</v>
      </c>
      <c r="C354" s="20">
        <v>335</v>
      </c>
      <c r="D354" s="20">
        <v>10815</v>
      </c>
      <c r="E354" s="17">
        <f t="shared" si="18"/>
        <v>-1.7341040462427793E-2</v>
      </c>
      <c r="F354" s="17">
        <f t="shared" si="18"/>
        <v>1.6691957511380862E-2</v>
      </c>
      <c r="G354" s="17">
        <f t="shared" si="18"/>
        <v>1.388888888888884E-3</v>
      </c>
      <c r="H354" s="14">
        <f t="shared" si="19"/>
        <v>-6.3402802972924947E-4</v>
      </c>
      <c r="I354" s="39">
        <f t="shared" si="20"/>
        <v>1.3227513227513227E-3</v>
      </c>
      <c r="J354" s="42">
        <v>-7.2780203784572617E-4</v>
      </c>
      <c r="K354" s="88">
        <v>0</v>
      </c>
      <c r="L354" s="42">
        <v>-1.1451474377326409E-3</v>
      </c>
      <c r="M354" s="43">
        <v>-8.3503956246285536E-4</v>
      </c>
      <c r="Q354" s="2"/>
      <c r="R354" s="24"/>
      <c r="S354" s="24"/>
      <c r="T354" s="24"/>
    </row>
    <row r="355" spans="1:20" x14ac:dyDescent="0.25">
      <c r="A355" s="2">
        <v>44890</v>
      </c>
      <c r="B355" s="20">
        <v>2768</v>
      </c>
      <c r="C355" s="29">
        <v>329.5</v>
      </c>
      <c r="D355" s="20">
        <v>10800</v>
      </c>
      <c r="E355" s="17">
        <f t="shared" si="18"/>
        <v>2.1723388848660097E-3</v>
      </c>
      <c r="F355" s="17">
        <f t="shared" si="18"/>
        <v>9.1883614088821286E-3</v>
      </c>
      <c r="G355" s="17">
        <f t="shared" si="18"/>
        <v>4.6511627906977715E-3</v>
      </c>
      <c r="H355" s="14">
        <f t="shared" si="19"/>
        <v>4.4937915099217702E-3</v>
      </c>
      <c r="I355" s="39">
        <f t="shared" si="20"/>
        <v>1.3227513227513227E-3</v>
      </c>
      <c r="J355" s="42">
        <v>-7.2306579898773204E-4</v>
      </c>
      <c r="K355" s="88">
        <v>0</v>
      </c>
      <c r="L355" s="42">
        <v>-9.4007050528788216E-4</v>
      </c>
      <c r="M355" s="43">
        <v>-8.20253469757397E-4</v>
      </c>
      <c r="Q355" s="2"/>
      <c r="R355" s="24"/>
      <c r="S355" s="24"/>
      <c r="T355" s="24"/>
    </row>
    <row r="356" spans="1:20" x14ac:dyDescent="0.25">
      <c r="A356" s="2">
        <v>44889</v>
      </c>
      <c r="B356" s="20">
        <v>2762</v>
      </c>
      <c r="C356" s="29">
        <v>326.5</v>
      </c>
      <c r="D356" s="20">
        <v>10750</v>
      </c>
      <c r="E356" s="17">
        <f t="shared" si="18"/>
        <v>8.0291970802919277E-3</v>
      </c>
      <c r="F356" s="17">
        <f t="shared" si="18"/>
        <v>4.6153846153846878E-3</v>
      </c>
      <c r="G356" s="17">
        <f t="shared" si="18"/>
        <v>3.7348272642390157E-3</v>
      </c>
      <c r="H356" s="14">
        <f t="shared" si="19"/>
        <v>4.391465693849541E-3</v>
      </c>
      <c r="I356" s="39">
        <f t="shared" si="20"/>
        <v>1.3227513227513227E-3</v>
      </c>
      <c r="J356" s="42">
        <v>-7.1377587437548851E-4</v>
      </c>
      <c r="K356" s="88">
        <v>0</v>
      </c>
      <c r="L356" s="42">
        <v>-9.2721372276305392E-4</v>
      </c>
      <c r="M356" s="43">
        <v>-6.7943016762847877E-4</v>
      </c>
      <c r="Q356" s="2"/>
      <c r="R356" s="24"/>
      <c r="S356" s="24"/>
      <c r="T356" s="24"/>
    </row>
    <row r="357" spans="1:20" x14ac:dyDescent="0.25">
      <c r="A357" s="2">
        <v>44888</v>
      </c>
      <c r="B357" s="20">
        <v>2740</v>
      </c>
      <c r="C357" s="20">
        <v>325</v>
      </c>
      <c r="D357" s="20">
        <v>10710</v>
      </c>
      <c r="E357" s="17">
        <f t="shared" si="18"/>
        <v>-1.0830324909747335E-2</v>
      </c>
      <c r="F357" s="17">
        <f t="shared" si="18"/>
        <v>-6.1162079510703737E-3</v>
      </c>
      <c r="G357" s="17">
        <f t="shared" si="18"/>
        <v>-1.1992619926199266E-2</v>
      </c>
      <c r="H357" s="14">
        <f t="shared" si="19"/>
        <v>-1.1567205012645463E-2</v>
      </c>
      <c r="I357" s="39">
        <f t="shared" si="20"/>
        <v>1.3227513227513227E-3</v>
      </c>
      <c r="J357" s="42">
        <v>-7.1326676176886039E-4</v>
      </c>
      <c r="K357" s="88">
        <v>0</v>
      </c>
      <c r="L357" s="42">
        <v>-8.4299262381448692E-4</v>
      </c>
      <c r="M357" s="43">
        <v>-6.3402802972924947E-4</v>
      </c>
      <c r="Q357" s="2"/>
      <c r="R357" s="24"/>
      <c r="S357" s="24"/>
      <c r="T357" s="24"/>
    </row>
    <row r="358" spans="1:20" x14ac:dyDescent="0.25">
      <c r="A358" s="2">
        <v>44887</v>
      </c>
      <c r="B358" s="20">
        <v>2770</v>
      </c>
      <c r="C358" s="20">
        <v>327</v>
      </c>
      <c r="D358" s="20">
        <v>10840</v>
      </c>
      <c r="E358" s="17">
        <f t="shared" si="18"/>
        <v>2.6686434395848835E-2</v>
      </c>
      <c r="F358" s="17">
        <f t="shared" si="18"/>
        <v>1.7107309486780631E-2</v>
      </c>
      <c r="G358" s="17">
        <f t="shared" si="18"/>
        <v>2.0715630885122405E-2</v>
      </c>
      <c r="H358" s="14">
        <f t="shared" si="19"/>
        <v>2.1416300550778415E-2</v>
      </c>
      <c r="I358" s="39">
        <f t="shared" si="20"/>
        <v>1.3227513227513227E-3</v>
      </c>
      <c r="J358" s="42">
        <v>-7.1123755334279171E-4</v>
      </c>
      <c r="K358" s="88">
        <v>0</v>
      </c>
      <c r="L358" s="42">
        <v>-6.3492063492065487E-4</v>
      </c>
      <c r="M358" s="43">
        <v>-6.339904322015177E-4</v>
      </c>
      <c r="Q358" s="2"/>
      <c r="R358" s="24"/>
      <c r="S358" s="24"/>
      <c r="T358" s="24"/>
    </row>
    <row r="359" spans="1:20" x14ac:dyDescent="0.25">
      <c r="A359" s="2">
        <v>44886</v>
      </c>
      <c r="B359" s="20">
        <v>2698</v>
      </c>
      <c r="C359" s="29">
        <v>321.5</v>
      </c>
      <c r="D359" s="20">
        <v>10620</v>
      </c>
      <c r="E359" s="17">
        <f t="shared" si="18"/>
        <v>6.7164179104477473E-3</v>
      </c>
      <c r="F359" s="17">
        <f t="shared" si="18"/>
        <v>3.1201248049921304E-3</v>
      </c>
      <c r="G359" s="17">
        <f t="shared" si="18"/>
        <v>3.780718336483968E-3</v>
      </c>
      <c r="H359" s="14">
        <f t="shared" si="19"/>
        <v>4.1741402394398523E-3</v>
      </c>
      <c r="I359" s="39">
        <f t="shared" si="20"/>
        <v>1.3227513227513227E-3</v>
      </c>
      <c r="J359" s="42">
        <v>-7.0472163495416407E-4</v>
      </c>
      <c r="K359" s="88">
        <v>0</v>
      </c>
      <c r="L359" s="42">
        <v>-6.3184498736312822E-4</v>
      </c>
      <c r="M359" s="43">
        <v>-6.1897112267765239E-4</v>
      </c>
      <c r="Q359" s="2"/>
      <c r="R359" s="24"/>
      <c r="S359" s="24"/>
      <c r="T359" s="24"/>
    </row>
    <row r="360" spans="1:20" x14ac:dyDescent="0.25">
      <c r="A360" s="2">
        <v>44883</v>
      </c>
      <c r="B360" s="20">
        <v>2680</v>
      </c>
      <c r="C360" s="29">
        <v>320.5</v>
      </c>
      <c r="D360" s="20">
        <v>10580</v>
      </c>
      <c r="E360" s="17">
        <f t="shared" si="18"/>
        <v>1.0558069381598756E-2</v>
      </c>
      <c r="F360" s="17">
        <f t="shared" si="18"/>
        <v>4.7021943573668512E-3</v>
      </c>
      <c r="G360" s="17">
        <f t="shared" si="18"/>
        <v>2.2222222222222143E-2</v>
      </c>
      <c r="H360" s="14">
        <f t="shared" si="19"/>
        <v>1.9774077786615378E-2</v>
      </c>
      <c r="I360" s="39">
        <f t="shared" si="20"/>
        <v>1.3227513227513227E-3</v>
      </c>
      <c r="J360" s="42">
        <v>-6.8027210884358258E-4</v>
      </c>
      <c r="K360" s="88">
        <v>0</v>
      </c>
      <c r="L360" s="42">
        <v>-6.2972292191432189E-4</v>
      </c>
      <c r="M360" s="43">
        <v>-5.9061447292094844E-4</v>
      </c>
      <c r="Q360" s="2"/>
      <c r="R360" s="24"/>
      <c r="S360" s="24"/>
      <c r="T360" s="24"/>
    </row>
    <row r="361" spans="1:20" x14ac:dyDescent="0.25">
      <c r="A361" s="2">
        <v>44882</v>
      </c>
      <c r="B361" s="20">
        <v>2652</v>
      </c>
      <c r="C361" s="20">
        <v>319</v>
      </c>
      <c r="D361" s="20">
        <v>10350</v>
      </c>
      <c r="E361" s="17">
        <f t="shared" si="18"/>
        <v>1.7651573292402079E-2</v>
      </c>
      <c r="F361" s="17">
        <f t="shared" si="18"/>
        <v>3.1446540880504248E-3</v>
      </c>
      <c r="G361" s="17">
        <f t="shared" si="18"/>
        <v>-1.3346043851286904E-2</v>
      </c>
      <c r="H361" s="14">
        <f t="shared" si="19"/>
        <v>-8.1610613728950541E-3</v>
      </c>
      <c r="I361" s="39">
        <f t="shared" si="20"/>
        <v>1.3227513227513227E-3</v>
      </c>
      <c r="J361" s="42">
        <v>-6.6533599467732962E-4</v>
      </c>
      <c r="K361" s="88">
        <v>0</v>
      </c>
      <c r="L361" s="42">
        <v>-6.1274509803921351E-4</v>
      </c>
      <c r="M361" s="43">
        <v>-5.8710521312375376E-4</v>
      </c>
      <c r="Q361" s="2"/>
      <c r="R361" s="24"/>
      <c r="S361" s="24"/>
      <c r="T361" s="24"/>
    </row>
    <row r="362" spans="1:20" x14ac:dyDescent="0.25">
      <c r="A362" s="2">
        <v>44881</v>
      </c>
      <c r="B362" s="20">
        <v>2606</v>
      </c>
      <c r="C362" s="20">
        <v>318</v>
      </c>
      <c r="D362" s="20">
        <v>10490</v>
      </c>
      <c r="E362" s="17">
        <f t="shared" si="18"/>
        <v>-4.5836516424752061E-3</v>
      </c>
      <c r="F362" s="17">
        <f t="shared" si="18"/>
        <v>3.154574132492094E-3</v>
      </c>
      <c r="G362" s="17">
        <f t="shared" si="18"/>
        <v>-4.7641734159120652E-4</v>
      </c>
      <c r="H362" s="14">
        <f t="shared" si="19"/>
        <v>-9.0792605887166002E-4</v>
      </c>
      <c r="I362" s="39">
        <f t="shared" si="20"/>
        <v>1.3227513227513227E-3</v>
      </c>
      <c r="J362" s="42">
        <v>0</v>
      </c>
      <c r="K362" s="88">
        <v>0</v>
      </c>
      <c r="L362" s="42">
        <v>-5.6931397665815897E-4</v>
      </c>
      <c r="M362" s="43">
        <v>-5.7529543852989748E-4</v>
      </c>
      <c r="Q362" s="2"/>
      <c r="R362" s="24"/>
      <c r="S362" s="24"/>
      <c r="T362" s="24"/>
    </row>
    <row r="363" spans="1:20" x14ac:dyDescent="0.25">
      <c r="A363" s="2">
        <v>44880</v>
      </c>
      <c r="B363" s="20">
        <v>2618</v>
      </c>
      <c r="C363" s="20">
        <v>317</v>
      </c>
      <c r="D363" s="20">
        <v>10495</v>
      </c>
      <c r="E363" s="17">
        <f t="shared" si="18"/>
        <v>-9.8335854765506658E-3</v>
      </c>
      <c r="F363" s="17">
        <f t="shared" si="18"/>
        <v>-9.3750000000000222E-3</v>
      </c>
      <c r="G363" s="17">
        <f t="shared" si="18"/>
        <v>2.490234375E-2</v>
      </c>
      <c r="H363" s="14">
        <f t="shared" si="19"/>
        <v>1.8398021207393481E-2</v>
      </c>
      <c r="I363" s="39">
        <f t="shared" si="20"/>
        <v>1.3227513227513227E-3</v>
      </c>
      <c r="J363" s="42">
        <v>0</v>
      </c>
      <c r="K363" s="88">
        <v>0</v>
      </c>
      <c r="L363" s="42">
        <v>-4.8543689320390548E-4</v>
      </c>
      <c r="M363" s="43">
        <v>-4.290807871838592E-4</v>
      </c>
      <c r="Q363" s="2"/>
      <c r="R363" s="24"/>
      <c r="S363" s="24"/>
      <c r="T363" s="24"/>
    </row>
    <row r="364" spans="1:20" x14ac:dyDescent="0.25">
      <c r="A364" s="2">
        <v>44879</v>
      </c>
      <c r="B364" s="20">
        <v>2644</v>
      </c>
      <c r="C364" s="20">
        <v>320</v>
      </c>
      <c r="D364" s="20">
        <v>10240</v>
      </c>
      <c r="E364" s="17">
        <f t="shared" si="18"/>
        <v>8.3905415713196874E-3</v>
      </c>
      <c r="F364" s="17">
        <f t="shared" si="18"/>
        <v>-1.3867488443759624E-2</v>
      </c>
      <c r="G364" s="17">
        <f t="shared" si="18"/>
        <v>2.3488255872063935E-2</v>
      </c>
      <c r="H364" s="14">
        <f t="shared" si="19"/>
        <v>1.9674604876331485E-2</v>
      </c>
      <c r="I364" s="39">
        <f t="shared" si="20"/>
        <v>1.3227513227513227E-3</v>
      </c>
      <c r="J364" s="42">
        <v>0</v>
      </c>
      <c r="K364" s="88">
        <v>0</v>
      </c>
      <c r="L364" s="42">
        <v>-4.7641734159120652E-4</v>
      </c>
      <c r="M364" s="43">
        <v>-4.0306123152973952E-4</v>
      </c>
      <c r="Q364" s="2"/>
      <c r="R364" s="24"/>
      <c r="S364" s="24"/>
      <c r="T364" s="24"/>
    </row>
    <row r="365" spans="1:20" x14ac:dyDescent="0.25">
      <c r="A365" s="2">
        <v>44876</v>
      </c>
      <c r="B365" s="20">
        <v>2622</v>
      </c>
      <c r="C365" s="29">
        <v>324.5</v>
      </c>
      <c r="D365" s="20">
        <v>10005</v>
      </c>
      <c r="E365" s="17">
        <f t="shared" si="18"/>
        <v>-7.6219512195119243E-4</v>
      </c>
      <c r="F365" s="17">
        <f t="shared" si="18"/>
        <v>2.0440251572326984E-2</v>
      </c>
      <c r="G365" s="17">
        <f t="shared" si="18"/>
        <v>3.5714285714285809E-2</v>
      </c>
      <c r="H365" s="14">
        <f t="shared" si="19"/>
        <v>2.9794352822289726E-2</v>
      </c>
      <c r="I365" s="39">
        <f t="shared" si="20"/>
        <v>1.3227513227513227E-3</v>
      </c>
      <c r="J365" s="42">
        <v>0</v>
      </c>
      <c r="K365" s="88">
        <v>0</v>
      </c>
      <c r="L365" s="42">
        <v>-3.5460992907798694E-4</v>
      </c>
      <c r="M365" s="43">
        <v>-3.9236392576252335E-4</v>
      </c>
      <c r="Q365" s="2"/>
      <c r="R365" s="24"/>
      <c r="S365" s="24"/>
      <c r="T365" s="24"/>
    </row>
    <row r="366" spans="1:20" x14ac:dyDescent="0.25">
      <c r="A366" s="2">
        <v>44875</v>
      </c>
      <c r="B366" s="20">
        <v>2624</v>
      </c>
      <c r="C366" s="20">
        <v>318</v>
      </c>
      <c r="D366" s="20">
        <v>9660</v>
      </c>
      <c r="E366" s="17">
        <f t="shared" si="18"/>
        <v>-1.0558069381598756E-2</v>
      </c>
      <c r="F366" s="17">
        <f t="shared" si="18"/>
        <v>1.5974440894568787E-2</v>
      </c>
      <c r="G366" s="17">
        <f t="shared" si="18"/>
        <v>-3.2258064516129004E-2</v>
      </c>
      <c r="H366" s="14">
        <f t="shared" si="19"/>
        <v>-2.7016517115597976E-2</v>
      </c>
      <c r="I366" s="39">
        <f t="shared" si="20"/>
        <v>1.3227513227513227E-3</v>
      </c>
      <c r="J366" s="42">
        <v>0</v>
      </c>
      <c r="K366" s="88">
        <v>0</v>
      </c>
      <c r="L366" s="42">
        <v>-3.2041012495998E-4</v>
      </c>
      <c r="M366" s="43">
        <v>-1.4352017931232265E-4</v>
      </c>
      <c r="Q366" s="2"/>
      <c r="R366" s="24"/>
      <c r="S366" s="24"/>
      <c r="T366" s="24"/>
    </row>
    <row r="367" spans="1:20" x14ac:dyDescent="0.25">
      <c r="A367" s="2">
        <v>44874</v>
      </c>
      <c r="B367" s="20">
        <v>2652</v>
      </c>
      <c r="C367" s="20">
        <v>313</v>
      </c>
      <c r="D367" s="20">
        <v>9982</v>
      </c>
      <c r="E367" s="17">
        <f t="shared" si="18"/>
        <v>9.1324200913243114E-3</v>
      </c>
      <c r="F367" s="17">
        <f t="shared" si="18"/>
        <v>2.6229508196721207E-2</v>
      </c>
      <c r="G367" s="17">
        <f t="shared" si="18"/>
        <v>2.0040080160321772E-4</v>
      </c>
      <c r="H367" s="14">
        <f t="shared" si="19"/>
        <v>2.6292155570831095E-3</v>
      </c>
      <c r="I367" s="39">
        <f t="shared" si="20"/>
        <v>1.3227513227513227E-3</v>
      </c>
      <c r="J367" s="42">
        <v>0</v>
      </c>
      <c r="K367" s="88">
        <v>0</v>
      </c>
      <c r="L367" s="42">
        <v>-2.7337342810274112E-4</v>
      </c>
      <c r="M367" s="43">
        <v>-1.2867588025842081E-4</v>
      </c>
      <c r="Q367" s="2"/>
      <c r="R367" s="24"/>
      <c r="S367" s="24"/>
      <c r="T367" s="24"/>
    </row>
    <row r="368" spans="1:20" x14ac:dyDescent="0.25">
      <c r="A368" s="2">
        <v>44873</v>
      </c>
      <c r="B368" s="20">
        <v>2628</v>
      </c>
      <c r="C368" s="20">
        <v>305</v>
      </c>
      <c r="D368" s="20">
        <v>9980</v>
      </c>
      <c r="E368" s="17">
        <f t="shared" si="18"/>
        <v>-2.3048327137546454E-2</v>
      </c>
      <c r="F368" s="17">
        <f t="shared" si="18"/>
        <v>9.9337748344370258E-3</v>
      </c>
      <c r="G368" s="17">
        <f t="shared" si="18"/>
        <v>7.0635721493441661E-3</v>
      </c>
      <c r="H368" s="14">
        <f t="shared" si="19"/>
        <v>2.8566055047187285E-3</v>
      </c>
      <c r="I368" s="39">
        <f t="shared" si="20"/>
        <v>1.3227513227513227E-3</v>
      </c>
      <c r="J368" s="42">
        <v>0</v>
      </c>
      <c r="K368" s="88">
        <v>0</v>
      </c>
      <c r="L368" s="42">
        <v>-2.6888948642111998E-4</v>
      </c>
      <c r="M368" s="43">
        <v>-1.0697910011847645E-4</v>
      </c>
      <c r="Q368" s="2"/>
      <c r="R368" s="24"/>
      <c r="S368" s="24"/>
      <c r="T368" s="24"/>
    </row>
    <row r="369" spans="1:20" x14ac:dyDescent="0.25">
      <c r="A369" s="2">
        <v>44872</v>
      </c>
      <c r="B369" s="20">
        <v>2690</v>
      </c>
      <c r="C369" s="20">
        <v>302</v>
      </c>
      <c r="D369" s="20">
        <v>9910</v>
      </c>
      <c r="E369" s="17">
        <f t="shared" si="18"/>
        <v>2.1260440394836655E-2</v>
      </c>
      <c r="F369" s="17">
        <f t="shared" si="18"/>
        <v>1.6835016835016869E-2</v>
      </c>
      <c r="G369" s="17">
        <f t="shared" si="18"/>
        <v>3.7696335078533982E-2</v>
      </c>
      <c r="H369" s="14">
        <f t="shared" si="19"/>
        <v>3.4414754225373038E-2</v>
      </c>
      <c r="I369" s="39">
        <f t="shared" si="20"/>
        <v>1.3227513227513227E-3</v>
      </c>
      <c r="J369" s="42">
        <v>0</v>
      </c>
      <c r="K369" s="88">
        <v>0</v>
      </c>
      <c r="L369" s="42">
        <v>-2.6329647182732341E-4</v>
      </c>
      <c r="M369" s="43">
        <v>-5.30939682872576E-5</v>
      </c>
      <c r="Q369" s="2"/>
      <c r="R369" s="24"/>
      <c r="S369" s="24"/>
      <c r="T369" s="24"/>
    </row>
    <row r="370" spans="1:20" x14ac:dyDescent="0.25">
      <c r="A370" s="2">
        <v>44869</v>
      </c>
      <c r="B370" s="20">
        <v>2634</v>
      </c>
      <c r="C370" s="20">
        <v>297</v>
      </c>
      <c r="D370" s="20">
        <v>9550</v>
      </c>
      <c r="E370" s="17">
        <f t="shared" si="18"/>
        <v>2.0139426800929616E-2</v>
      </c>
      <c r="F370" s="17">
        <f t="shared" si="18"/>
        <v>2.4137931034482696E-2</v>
      </c>
      <c r="G370" s="17">
        <f t="shared" si="18"/>
        <v>3.8043478260869623E-2</v>
      </c>
      <c r="H370" s="14">
        <f t="shared" si="19"/>
        <v>3.4856212336642836E-2</v>
      </c>
      <c r="I370" s="39">
        <f t="shared" si="20"/>
        <v>1.3227513227513227E-3</v>
      </c>
      <c r="J370" s="42">
        <v>0</v>
      </c>
      <c r="K370" s="88">
        <v>0</v>
      </c>
      <c r="L370" s="42">
        <v>0</v>
      </c>
      <c r="M370" s="43">
        <v>-5.1929028225395752E-5</v>
      </c>
      <c r="Q370" s="2"/>
      <c r="R370" s="24"/>
      <c r="S370" s="24"/>
      <c r="T370" s="24"/>
    </row>
    <row r="371" spans="1:20" x14ac:dyDescent="0.25">
      <c r="A371" s="2">
        <v>44868</v>
      </c>
      <c r="B371" s="20">
        <v>2582</v>
      </c>
      <c r="C371" s="20">
        <v>290</v>
      </c>
      <c r="D371" s="20">
        <v>9200</v>
      </c>
      <c r="E371" s="17">
        <f t="shared" si="18"/>
        <v>3.9452495974235058E-2</v>
      </c>
      <c r="F371" s="17">
        <f t="shared" si="18"/>
        <v>-1.1925042589437829E-2</v>
      </c>
      <c r="G371" s="17">
        <f t="shared" si="18"/>
        <v>1.0101010101010166E-2</v>
      </c>
      <c r="H371" s="14">
        <f t="shared" si="19"/>
        <v>1.3357000321458356E-2</v>
      </c>
      <c r="I371" s="39">
        <f t="shared" si="20"/>
        <v>1.3227513227513227E-3</v>
      </c>
      <c r="J371" s="42">
        <v>0</v>
      </c>
      <c r="K371" s="88">
        <v>0</v>
      </c>
      <c r="L371" s="42">
        <v>0</v>
      </c>
      <c r="M371" s="43">
        <v>4.5564810436244481E-5</v>
      </c>
      <c r="Q371" s="2"/>
      <c r="R371" s="24"/>
      <c r="S371" s="24"/>
      <c r="T371" s="24"/>
    </row>
    <row r="372" spans="1:20" x14ac:dyDescent="0.25">
      <c r="A372" s="2">
        <v>44867</v>
      </c>
      <c r="B372" s="20">
        <v>2484</v>
      </c>
      <c r="C372" s="29">
        <v>293.5</v>
      </c>
      <c r="D372" s="20">
        <v>9108</v>
      </c>
      <c r="E372" s="17">
        <f t="shared" si="18"/>
        <v>0</v>
      </c>
      <c r="F372" s="17">
        <f t="shared" si="18"/>
        <v>-1.1784511784511786E-2</v>
      </c>
      <c r="G372" s="17">
        <f t="shared" si="18"/>
        <v>8.6378737541528139E-3</v>
      </c>
      <c r="H372" s="14">
        <f t="shared" si="19"/>
        <v>6.4977003990191471E-3</v>
      </c>
      <c r="I372" s="39">
        <f t="shared" si="20"/>
        <v>1.3227513227513227E-3</v>
      </c>
      <c r="J372" s="42">
        <v>0</v>
      </c>
      <c r="K372" s="88">
        <v>0</v>
      </c>
      <c r="L372" s="42">
        <v>0</v>
      </c>
      <c r="M372" s="43">
        <v>6.1335430863419631E-5</v>
      </c>
      <c r="Q372" s="2"/>
      <c r="R372" s="24"/>
      <c r="S372" s="24"/>
      <c r="T372" s="24"/>
    </row>
    <row r="373" spans="1:20" x14ac:dyDescent="0.25">
      <c r="A373" s="2">
        <v>44862</v>
      </c>
      <c r="B373" s="20">
        <v>2484</v>
      </c>
      <c r="C373" s="20">
        <v>297</v>
      </c>
      <c r="D373" s="20">
        <v>9030</v>
      </c>
      <c r="E373" s="17">
        <f t="shared" si="18"/>
        <v>1.612903225806539E-3</v>
      </c>
      <c r="F373" s="17">
        <f t="shared" si="18"/>
        <v>-8.3472454090149917E-3</v>
      </c>
      <c r="G373" s="17">
        <f t="shared" si="18"/>
        <v>8.0375083724044671E-3</v>
      </c>
      <c r="H373" s="14">
        <f t="shared" si="19"/>
        <v>6.3932023482373883E-3</v>
      </c>
      <c r="I373" s="39">
        <f t="shared" si="20"/>
        <v>1.3227513227513227E-3</v>
      </c>
      <c r="J373" s="42">
        <v>0</v>
      </c>
      <c r="K373" s="88">
        <v>0</v>
      </c>
      <c r="L373" s="42">
        <v>0</v>
      </c>
      <c r="M373" s="43">
        <v>9.3563146740964932E-5</v>
      </c>
      <c r="Q373" s="2"/>
      <c r="R373" s="24"/>
      <c r="S373" s="24"/>
      <c r="T373" s="24"/>
    </row>
    <row r="374" spans="1:20" x14ac:dyDescent="0.25">
      <c r="A374" s="2">
        <v>44861</v>
      </c>
      <c r="B374" s="20">
        <v>2480</v>
      </c>
      <c r="C374" s="29">
        <v>299.5</v>
      </c>
      <c r="D374" s="20">
        <v>8958</v>
      </c>
      <c r="E374" s="17">
        <f t="shared" si="18"/>
        <v>6.4935064935065512E-3</v>
      </c>
      <c r="F374" s="17">
        <f t="shared" si="18"/>
        <v>1.5254237288135686E-2</v>
      </c>
      <c r="G374" s="17">
        <f t="shared" si="18"/>
        <v>6.5168539325841657E-3</v>
      </c>
      <c r="H374" s="14">
        <f t="shared" si="19"/>
        <v>6.8973446262423407E-3</v>
      </c>
      <c r="I374" s="39">
        <f t="shared" si="20"/>
        <v>1.3227513227513227E-3</v>
      </c>
      <c r="J374" s="42">
        <v>0</v>
      </c>
      <c r="K374" s="88">
        <v>0</v>
      </c>
      <c r="L374" s="42">
        <v>0</v>
      </c>
      <c r="M374" s="43">
        <v>9.9278567972295396E-5</v>
      </c>
      <c r="Q374" s="2"/>
      <c r="R374" s="24"/>
      <c r="S374" s="24"/>
      <c r="T374" s="24"/>
    </row>
    <row r="375" spans="1:20" x14ac:dyDescent="0.25">
      <c r="A375" s="2">
        <v>44860</v>
      </c>
      <c r="B375" s="20">
        <v>2464</v>
      </c>
      <c r="C375" s="20">
        <v>295</v>
      </c>
      <c r="D375" s="20">
        <v>8900</v>
      </c>
      <c r="E375" s="17">
        <f t="shared" si="18"/>
        <v>-2.4291497975708065E-3</v>
      </c>
      <c r="F375" s="17">
        <f t="shared" si="18"/>
        <v>3.327495621716281E-2</v>
      </c>
      <c r="G375" s="17">
        <f t="shared" si="18"/>
        <v>5.6497175141243527E-3</v>
      </c>
      <c r="H375" s="14">
        <f t="shared" si="19"/>
        <v>5.7008106099876053E-3</v>
      </c>
      <c r="I375" s="39">
        <f t="shared" si="20"/>
        <v>1.3227513227513227E-3</v>
      </c>
      <c r="J375" s="42">
        <v>0</v>
      </c>
      <c r="K375" s="88">
        <v>0</v>
      </c>
      <c r="L375" s="42">
        <v>0</v>
      </c>
      <c r="M375" s="43">
        <v>2.0053201506509046E-4</v>
      </c>
      <c r="Q375" s="2"/>
      <c r="R375" s="24"/>
      <c r="S375" s="24"/>
      <c r="T375" s="24"/>
    </row>
    <row r="376" spans="1:20" x14ac:dyDescent="0.25">
      <c r="A376" s="2">
        <v>44859</v>
      </c>
      <c r="B376" s="20">
        <v>2470</v>
      </c>
      <c r="C376" s="29">
        <v>285.5</v>
      </c>
      <c r="D376" s="20">
        <v>8850</v>
      </c>
      <c r="E376" s="17">
        <f t="shared" si="18"/>
        <v>8.1632653061225469E-3</v>
      </c>
      <c r="F376" s="17">
        <f t="shared" si="18"/>
        <v>5.2816901408450079E-3</v>
      </c>
      <c r="G376" s="17">
        <f t="shared" si="18"/>
        <v>2.0380434782609758E-3</v>
      </c>
      <c r="H376" s="14">
        <f t="shared" si="19"/>
        <v>3.0619540964076583E-3</v>
      </c>
      <c r="I376" s="39">
        <f t="shared" si="20"/>
        <v>1.3227513227513227E-3</v>
      </c>
      <c r="J376" s="42">
        <v>0</v>
      </c>
      <c r="K376" s="88">
        <v>0</v>
      </c>
      <c r="L376" s="42">
        <v>0</v>
      </c>
      <c r="M376" s="43">
        <v>2.1842833364865959E-4</v>
      </c>
      <c r="Q376" s="2"/>
      <c r="R376" s="24"/>
      <c r="S376" s="24"/>
      <c r="T376" s="24"/>
    </row>
    <row r="377" spans="1:20" x14ac:dyDescent="0.25">
      <c r="A377" s="2">
        <v>44858</v>
      </c>
      <c r="B377" s="20">
        <v>2450</v>
      </c>
      <c r="C377" s="20">
        <v>284</v>
      </c>
      <c r="D377" s="20">
        <v>8832</v>
      </c>
      <c r="E377" s="17">
        <f t="shared" si="18"/>
        <v>1.6353229762877675E-3</v>
      </c>
      <c r="F377" s="17">
        <f t="shared" si="18"/>
        <v>5.3097345132744334E-3</v>
      </c>
      <c r="G377" s="17">
        <f t="shared" si="18"/>
        <v>-1.2080536912751683E-2</v>
      </c>
      <c r="H377" s="14">
        <f t="shared" si="19"/>
        <v>-9.3428551516760057E-3</v>
      </c>
      <c r="I377" s="39">
        <f t="shared" si="20"/>
        <v>1.3227513227513227E-3</v>
      </c>
      <c r="J377" s="42">
        <v>0</v>
      </c>
      <c r="K377" s="88">
        <v>0</v>
      </c>
      <c r="L377" s="42">
        <v>0</v>
      </c>
      <c r="M377" s="43">
        <v>2.49620477644238E-4</v>
      </c>
      <c r="Q377" s="2"/>
      <c r="R377" s="24"/>
      <c r="S377" s="24"/>
      <c r="T377" s="24"/>
    </row>
    <row r="378" spans="1:20" x14ac:dyDescent="0.25">
      <c r="A378" s="2">
        <v>44855</v>
      </c>
      <c r="B378" s="20">
        <v>2446</v>
      </c>
      <c r="C378" s="29">
        <v>282.5</v>
      </c>
      <c r="D378" s="20">
        <v>8940</v>
      </c>
      <c r="E378" s="17">
        <f t="shared" si="18"/>
        <v>3.2813781788350038E-3</v>
      </c>
      <c r="F378" s="17">
        <f t="shared" si="18"/>
        <v>8.9285714285713969E-3</v>
      </c>
      <c r="G378" s="17">
        <f t="shared" si="18"/>
        <v>-5.3404539385847327E-3</v>
      </c>
      <c r="H378" s="14">
        <f t="shared" si="19"/>
        <v>-3.4729181124482887E-3</v>
      </c>
      <c r="I378" s="39">
        <f t="shared" si="20"/>
        <v>1.3227513227513227E-3</v>
      </c>
      <c r="J378" s="42">
        <v>0</v>
      </c>
      <c r="K378" s="88">
        <v>0</v>
      </c>
      <c r="L378" s="42">
        <v>2.0040080160321772E-4</v>
      </c>
      <c r="M378" s="43">
        <v>3.0951579200604805E-4</v>
      </c>
      <c r="Q378" s="2"/>
      <c r="R378" s="24"/>
      <c r="S378" s="24"/>
      <c r="T378" s="24"/>
    </row>
    <row r="379" spans="1:20" x14ac:dyDescent="0.25">
      <c r="A379" s="2">
        <v>44854</v>
      </c>
      <c r="B379" s="20">
        <v>2438</v>
      </c>
      <c r="C379" s="20">
        <v>280</v>
      </c>
      <c r="D379" s="20">
        <v>8988</v>
      </c>
      <c r="E379" s="17">
        <f t="shared" si="18"/>
        <v>1.6433853738702098E-3</v>
      </c>
      <c r="F379" s="17">
        <f t="shared" si="18"/>
        <v>-1.9264448336252182E-2</v>
      </c>
      <c r="G379" s="17">
        <f t="shared" si="18"/>
        <v>2.2256843979517882E-4</v>
      </c>
      <c r="H379" s="14">
        <f t="shared" si="19"/>
        <v>-4.290807871838592E-4</v>
      </c>
      <c r="I379" s="39">
        <f t="shared" si="20"/>
        <v>1.3227513227513227E-3</v>
      </c>
      <c r="J379" s="42">
        <v>0</v>
      </c>
      <c r="K379" s="88">
        <v>0</v>
      </c>
      <c r="L379" s="42">
        <v>2.2256843979517882E-4</v>
      </c>
      <c r="M379" s="43">
        <v>3.2397784993591736E-4</v>
      </c>
      <c r="Q379" s="2"/>
      <c r="R379" s="24"/>
      <c r="S379" s="24"/>
      <c r="T379" s="24"/>
    </row>
    <row r="380" spans="1:20" x14ac:dyDescent="0.25">
      <c r="A380" s="2">
        <v>44853</v>
      </c>
      <c r="B380" s="20">
        <v>2434</v>
      </c>
      <c r="C380" s="29">
        <v>285.5</v>
      </c>
      <c r="D380" s="20">
        <v>8986</v>
      </c>
      <c r="E380" s="17">
        <f t="shared" si="18"/>
        <v>-1.3776337115072979E-2</v>
      </c>
      <c r="F380" s="17">
        <f t="shared" si="18"/>
        <v>-1.8900343642611728E-2</v>
      </c>
      <c r="G380" s="17">
        <f t="shared" si="18"/>
        <v>-8.8241782484006492E-3</v>
      </c>
      <c r="H380" s="14">
        <f t="shared" si="19"/>
        <v>-9.9794526692713343E-3</v>
      </c>
      <c r="I380" s="39">
        <f t="shared" si="20"/>
        <v>1.3227513227513227E-3</v>
      </c>
      <c r="J380" s="42">
        <v>0</v>
      </c>
      <c r="K380" s="88">
        <v>0</v>
      </c>
      <c r="L380" s="42">
        <v>3.4952813701494279E-4</v>
      </c>
      <c r="M380" s="43">
        <v>3.4385414386201994E-4</v>
      </c>
      <c r="Q380" s="2"/>
      <c r="R380" s="24"/>
      <c r="S380" s="24"/>
      <c r="T380" s="24"/>
    </row>
    <row r="381" spans="1:20" x14ac:dyDescent="0.25">
      <c r="A381" s="2">
        <v>44852</v>
      </c>
      <c r="B381" s="20">
        <v>2468</v>
      </c>
      <c r="C381" s="20">
        <v>291</v>
      </c>
      <c r="D381" s="20">
        <v>9066</v>
      </c>
      <c r="E381" s="17">
        <f t="shared" si="18"/>
        <v>4.0683482506103097E-3</v>
      </c>
      <c r="F381" s="17">
        <f t="shared" si="18"/>
        <v>3.3747779751332141E-2</v>
      </c>
      <c r="G381" s="17">
        <f t="shared" si="18"/>
        <v>5.418604651162795E-2</v>
      </c>
      <c r="H381" s="14">
        <f t="shared" si="19"/>
        <v>4.6076286626877107E-2</v>
      </c>
      <c r="I381" s="39">
        <f t="shared" si="20"/>
        <v>1.3227513227513227E-3</v>
      </c>
      <c r="J381" s="42">
        <v>0</v>
      </c>
      <c r="K381" s="88">
        <v>0</v>
      </c>
      <c r="L381" s="42">
        <v>3.8109756097570724E-4</v>
      </c>
      <c r="M381" s="43">
        <v>3.6076588829636277E-4</v>
      </c>
      <c r="Q381" s="2"/>
      <c r="R381" s="24"/>
      <c r="S381" s="24"/>
      <c r="T381" s="24"/>
    </row>
    <row r="382" spans="1:20" x14ac:dyDescent="0.25">
      <c r="A382" s="2">
        <v>44851</v>
      </c>
      <c r="B382" s="20">
        <v>2458</v>
      </c>
      <c r="C382" s="29">
        <v>281.5</v>
      </c>
      <c r="D382" s="20">
        <v>8600</v>
      </c>
      <c r="E382" s="17">
        <f t="shared" si="18"/>
        <v>3.2653061224490187E-3</v>
      </c>
      <c r="F382" s="17">
        <f t="shared" si="18"/>
        <v>-5.300353356890497E-3</v>
      </c>
      <c r="G382" s="17">
        <f t="shared" si="18"/>
        <v>1.678883896902339E-2</v>
      </c>
      <c r="H382" s="14">
        <f t="shared" si="19"/>
        <v>1.3872400005801051E-2</v>
      </c>
      <c r="I382" s="39">
        <f t="shared" si="20"/>
        <v>1.3227513227513227E-3</v>
      </c>
      <c r="J382" s="42">
        <v>0</v>
      </c>
      <c r="K382" s="88">
        <v>0</v>
      </c>
      <c r="L382" s="42">
        <v>5.0620096178177754E-4</v>
      </c>
      <c r="M382" s="43">
        <v>4.0186111693695837E-4</v>
      </c>
      <c r="Q382" s="2"/>
      <c r="R382" s="24"/>
      <c r="S382" s="24"/>
      <c r="T382" s="24"/>
    </row>
    <row r="383" spans="1:20" x14ac:dyDescent="0.25">
      <c r="A383" s="2">
        <v>44848</v>
      </c>
      <c r="B383" s="20">
        <v>2450</v>
      </c>
      <c r="C383" s="20">
        <v>283</v>
      </c>
      <c r="D383" s="20">
        <v>8458</v>
      </c>
      <c r="E383" s="17">
        <f t="shared" si="18"/>
        <v>1.9983347210657865E-2</v>
      </c>
      <c r="F383" s="17">
        <f t="shared" si="18"/>
        <v>3.5460992907800915E-3</v>
      </c>
      <c r="G383" s="17">
        <f t="shared" si="18"/>
        <v>4.0600393700787496E-2</v>
      </c>
      <c r="H383" s="14">
        <f t="shared" si="19"/>
        <v>3.600576179311997E-2</v>
      </c>
      <c r="I383" s="39">
        <f t="shared" si="20"/>
        <v>1.3227513227513227E-3</v>
      </c>
      <c r="J383" s="42">
        <v>0</v>
      </c>
      <c r="K383" s="88">
        <v>0</v>
      </c>
      <c r="L383" s="42">
        <v>5.3475935828872778E-4</v>
      </c>
      <c r="M383" s="43">
        <v>5.8437044556387829E-4</v>
      </c>
      <c r="Q383" s="2"/>
      <c r="R383" s="24"/>
      <c r="S383" s="24"/>
      <c r="T383" s="24"/>
    </row>
    <row r="384" spans="1:20" x14ac:dyDescent="0.25">
      <c r="A384" s="2">
        <v>44847</v>
      </c>
      <c r="B384" s="20">
        <v>2402</v>
      </c>
      <c r="C384" s="20">
        <v>282</v>
      </c>
      <c r="D384" s="20">
        <v>8128</v>
      </c>
      <c r="E384" s="17">
        <f t="shared" si="18"/>
        <v>-1.4766201804757961E-2</v>
      </c>
      <c r="F384" s="17">
        <f t="shared" si="18"/>
        <v>3.558718861210064E-3</v>
      </c>
      <c r="G384" s="17">
        <f t="shared" si="18"/>
        <v>3.4567901234567877E-3</v>
      </c>
      <c r="H384" s="14">
        <f t="shared" si="19"/>
        <v>8.3900495516212818E-4</v>
      </c>
      <c r="I384" s="39">
        <f t="shared" si="20"/>
        <v>1.3227513227513227E-3</v>
      </c>
      <c r="J384" s="42">
        <v>0</v>
      </c>
      <c r="K384" s="88">
        <v>0</v>
      </c>
      <c r="L384" s="42">
        <v>5.7421762848108848E-4</v>
      </c>
      <c r="M384" s="43">
        <v>5.880163560593231E-4</v>
      </c>
      <c r="Q384" s="2"/>
      <c r="R384" s="24"/>
      <c r="S384" s="24"/>
      <c r="T384" s="24"/>
    </row>
    <row r="385" spans="1:20" x14ac:dyDescent="0.25">
      <c r="A385" s="2">
        <v>44846</v>
      </c>
      <c r="B385" s="20">
        <v>2438</v>
      </c>
      <c r="C385" s="20">
        <v>281</v>
      </c>
      <c r="D385" s="20">
        <v>8100</v>
      </c>
      <c r="E385" s="17">
        <f t="shared" si="18"/>
        <v>-6.5199674001630292E-3</v>
      </c>
      <c r="F385" s="17">
        <f t="shared" si="18"/>
        <v>-1.7761989342806039E-3</v>
      </c>
      <c r="G385" s="17">
        <f t="shared" si="18"/>
        <v>6.2111801242235032E-3</v>
      </c>
      <c r="H385" s="14">
        <f t="shared" si="19"/>
        <v>4.0282845690899393E-3</v>
      </c>
      <c r="I385" s="39">
        <f t="shared" si="20"/>
        <v>1.3227513227513227E-3</v>
      </c>
      <c r="J385" s="42">
        <v>0</v>
      </c>
      <c r="K385" s="88">
        <v>0</v>
      </c>
      <c r="L385" s="42">
        <v>7.360157016682578E-4</v>
      </c>
      <c r="M385" s="43">
        <v>6.0420021535805349E-4</v>
      </c>
      <c r="Q385" s="2"/>
      <c r="R385" s="24"/>
      <c r="S385" s="24"/>
      <c r="T385" s="24"/>
    </row>
    <row r="386" spans="1:20" x14ac:dyDescent="0.25">
      <c r="A386" s="2">
        <v>44845</v>
      </c>
      <c r="B386" s="20">
        <v>2454</v>
      </c>
      <c r="C386" s="29">
        <v>281.5</v>
      </c>
      <c r="D386" s="20">
        <v>8050</v>
      </c>
      <c r="E386" s="17">
        <f t="shared" si="18"/>
        <v>-6.4777327935222617E-3</v>
      </c>
      <c r="F386" s="17">
        <f t="shared" si="18"/>
        <v>-2.4263431542461023E-2</v>
      </c>
      <c r="G386" s="17">
        <f t="shared" si="18"/>
        <v>-1.8292682926829285E-2</v>
      </c>
      <c r="H386" s="14">
        <f t="shared" si="19"/>
        <v>-1.68548347742122E-2</v>
      </c>
      <c r="I386" s="39">
        <f t="shared" si="20"/>
        <v>1.3227513227513227E-3</v>
      </c>
      <c r="J386" s="42">
        <v>0</v>
      </c>
      <c r="K386" s="88">
        <v>0</v>
      </c>
      <c r="L386" s="42">
        <v>7.468259895444529E-4</v>
      </c>
      <c r="M386" s="43">
        <v>7.0803071510449635E-4</v>
      </c>
      <c r="Q386" s="2"/>
      <c r="R386" s="24"/>
      <c r="S386" s="24"/>
      <c r="T386" s="24"/>
    </row>
    <row r="387" spans="1:20" x14ac:dyDescent="0.25">
      <c r="A387" s="2">
        <v>44844</v>
      </c>
      <c r="B387" s="20">
        <v>2470</v>
      </c>
      <c r="C387" s="29">
        <v>288.5</v>
      </c>
      <c r="D387" s="20">
        <v>8200</v>
      </c>
      <c r="E387" s="17">
        <f t="shared" si="18"/>
        <v>-3.8910505836575848E-2</v>
      </c>
      <c r="F387" s="17">
        <f t="shared" si="18"/>
        <v>-1.0291595197255532E-2</v>
      </c>
      <c r="G387" s="17">
        <f t="shared" si="18"/>
        <v>5.1483206668301307E-3</v>
      </c>
      <c r="H387" s="14">
        <f t="shared" si="19"/>
        <v>-1.8699886897702916E-3</v>
      </c>
      <c r="I387" s="39">
        <f t="shared" si="20"/>
        <v>1.3227513227513227E-3</v>
      </c>
      <c r="J387" s="42">
        <v>0</v>
      </c>
      <c r="K387" s="88">
        <v>0</v>
      </c>
      <c r="L387" s="42">
        <v>7.5930144267277733E-4</v>
      </c>
      <c r="M387" s="43">
        <v>7.149274652097767E-4</v>
      </c>
      <c r="Q387" s="2"/>
      <c r="R387" s="24"/>
      <c r="S387" s="24"/>
      <c r="T387" s="24"/>
    </row>
    <row r="388" spans="1:20" x14ac:dyDescent="0.25">
      <c r="A388" s="2">
        <v>44841</v>
      </c>
      <c r="B388" s="20">
        <v>2570</v>
      </c>
      <c r="C388" s="29">
        <v>291.5</v>
      </c>
      <c r="D388" s="20">
        <v>8158</v>
      </c>
      <c r="E388" s="17">
        <f t="shared" si="18"/>
        <v>-2.7252081756245272E-2</v>
      </c>
      <c r="F388" s="17">
        <f t="shared" si="18"/>
        <v>-1.5202702702702742E-2</v>
      </c>
      <c r="G388" s="17">
        <f t="shared" si="18"/>
        <v>2.6938569989929606E-2</v>
      </c>
      <c r="H388" s="14">
        <f t="shared" si="19"/>
        <v>1.7289262242464264E-2</v>
      </c>
      <c r="I388" s="39">
        <f t="shared" si="20"/>
        <v>1.3227513227513227E-3</v>
      </c>
      <c r="J388" s="42">
        <v>0</v>
      </c>
      <c r="K388" s="88">
        <v>0</v>
      </c>
      <c r="L388" s="42">
        <v>8.1366965012197312E-4</v>
      </c>
      <c r="M388" s="43">
        <v>7.3627900641032979E-4</v>
      </c>
      <c r="Q388" s="2"/>
      <c r="R388" s="24"/>
      <c r="S388" s="24"/>
      <c r="T388" s="24"/>
    </row>
    <row r="389" spans="1:20" x14ac:dyDescent="0.25">
      <c r="A389" s="2">
        <v>44840</v>
      </c>
      <c r="B389" s="20">
        <v>2642</v>
      </c>
      <c r="C389" s="20">
        <v>296</v>
      </c>
      <c r="D389" s="20">
        <v>7944</v>
      </c>
      <c r="E389" s="17">
        <f t="shared" si="18"/>
        <v>-2.2658610271902857E-3</v>
      </c>
      <c r="F389" s="17">
        <f t="shared" si="18"/>
        <v>1.0238907849829282E-2</v>
      </c>
      <c r="G389" s="17">
        <f t="shared" si="18"/>
        <v>-1.6588264421886656E-2</v>
      </c>
      <c r="H389" s="14">
        <f t="shared" si="19"/>
        <v>-1.3348720366685574E-2</v>
      </c>
      <c r="I389" s="39">
        <f t="shared" si="20"/>
        <v>1.3227513227513227E-3</v>
      </c>
      <c r="J389" s="42">
        <v>0</v>
      </c>
      <c r="K389" s="88">
        <v>0</v>
      </c>
      <c r="L389" s="42">
        <v>9.0009000900082015E-4</v>
      </c>
      <c r="M389" s="43">
        <v>7.7177908748887205E-4</v>
      </c>
      <c r="Q389" s="2"/>
      <c r="R389" s="24"/>
      <c r="S389" s="24"/>
      <c r="T389" s="24"/>
    </row>
    <row r="390" spans="1:20" x14ac:dyDescent="0.25">
      <c r="A390" s="2">
        <v>44839</v>
      </c>
      <c r="B390" s="20">
        <v>2648</v>
      </c>
      <c r="C390" s="20">
        <v>293</v>
      </c>
      <c r="D390" s="20">
        <v>8078</v>
      </c>
      <c r="E390" s="17">
        <f t="shared" ref="E390:G453" si="21">+B390/B391-1</f>
        <v>9.1463414634145312E-3</v>
      </c>
      <c r="F390" s="17">
        <f t="shared" si="21"/>
        <v>-2.3333333333333317E-2</v>
      </c>
      <c r="G390" s="17">
        <f t="shared" si="21"/>
        <v>-2.0848484848484894E-2</v>
      </c>
      <c r="H390" s="14">
        <f t="shared" ref="H390:H453" si="22">+SUMPRODUCT(E390:G390,$K$9:$M$9)</f>
        <v>-1.6641435477021321E-2</v>
      </c>
      <c r="I390" s="39">
        <f t="shared" si="20"/>
        <v>1.3227513227513227E-3</v>
      </c>
      <c r="J390" s="42">
        <v>0</v>
      </c>
      <c r="K390" s="88">
        <v>0</v>
      </c>
      <c r="L390" s="42">
        <v>9.009009009008917E-4</v>
      </c>
      <c r="M390" s="43">
        <v>7.8844314963355782E-4</v>
      </c>
      <c r="Q390" s="2"/>
      <c r="R390" s="24"/>
      <c r="S390" s="24"/>
      <c r="T390" s="24"/>
    </row>
    <row r="391" spans="1:20" x14ac:dyDescent="0.25">
      <c r="A391" s="2">
        <v>44838</v>
      </c>
      <c r="B391" s="20">
        <v>2624</v>
      </c>
      <c r="C391" s="20">
        <v>300</v>
      </c>
      <c r="D391" s="20">
        <v>8250</v>
      </c>
      <c r="E391" s="17">
        <f t="shared" si="21"/>
        <v>6.4071370640713665E-2</v>
      </c>
      <c r="F391" s="17">
        <f t="shared" si="21"/>
        <v>1.3513513513513598E-2</v>
      </c>
      <c r="G391" s="17">
        <f t="shared" si="21"/>
        <v>3.279919879819726E-2</v>
      </c>
      <c r="H391" s="14">
        <f t="shared" si="22"/>
        <v>3.6451962753594469E-2</v>
      </c>
      <c r="I391" s="39">
        <f t="shared" si="20"/>
        <v>1.3227513227513227E-3</v>
      </c>
      <c r="J391" s="42">
        <v>0</v>
      </c>
      <c r="K391" s="88">
        <v>0</v>
      </c>
      <c r="L391" s="42">
        <v>1.021798365122617E-3</v>
      </c>
      <c r="M391" s="43">
        <v>8.32018603578595E-4</v>
      </c>
      <c r="Q391" s="2"/>
      <c r="R391" s="24"/>
      <c r="S391" s="24"/>
      <c r="T391" s="24"/>
    </row>
    <row r="392" spans="1:20" x14ac:dyDescent="0.25">
      <c r="A392" s="2">
        <v>44837</v>
      </c>
      <c r="B392" s="20">
        <v>2466</v>
      </c>
      <c r="C392" s="20">
        <v>296</v>
      </c>
      <c r="D392" s="20">
        <v>7988</v>
      </c>
      <c r="E392" s="17">
        <f t="shared" si="21"/>
        <v>2.4937655860349128E-2</v>
      </c>
      <c r="F392" s="17">
        <f t="shared" si="21"/>
        <v>1.6920473773265332E-3</v>
      </c>
      <c r="G392" s="17">
        <f t="shared" si="21"/>
        <v>1.0116337885685445E-2</v>
      </c>
      <c r="H392" s="14">
        <f t="shared" si="22"/>
        <v>1.1879009274391663E-2</v>
      </c>
      <c r="I392" s="39">
        <f t="shared" si="20"/>
        <v>1.3227513227513227E-3</v>
      </c>
      <c r="J392" s="42">
        <v>0</v>
      </c>
      <c r="K392" s="88">
        <v>0</v>
      </c>
      <c r="L392" s="42">
        <v>1.0902747492367304E-3</v>
      </c>
      <c r="M392" s="43">
        <v>8.3514828046181563E-4</v>
      </c>
      <c r="Q392" s="2"/>
      <c r="R392" s="24"/>
      <c r="S392" s="24"/>
      <c r="T392" s="24"/>
    </row>
    <row r="393" spans="1:20" x14ac:dyDescent="0.25">
      <c r="A393" s="2">
        <v>44834</v>
      </c>
      <c r="B393" s="20">
        <v>2406</v>
      </c>
      <c r="C393" s="29">
        <v>295.5</v>
      </c>
      <c r="D393" s="20">
        <v>7908</v>
      </c>
      <c r="E393" s="17">
        <f t="shared" si="21"/>
        <v>3.4393809114359408E-2</v>
      </c>
      <c r="F393" s="17">
        <f t="shared" si="21"/>
        <v>3.6842105263157787E-2</v>
      </c>
      <c r="G393" s="17">
        <f t="shared" si="21"/>
        <v>7.5930144267277733E-4</v>
      </c>
      <c r="H393" s="14">
        <f t="shared" si="22"/>
        <v>7.1844483569997808E-3</v>
      </c>
      <c r="I393" s="39">
        <f t="shared" si="20"/>
        <v>1.3227513227513227E-3</v>
      </c>
      <c r="J393" s="42">
        <v>0</v>
      </c>
      <c r="K393" s="88">
        <v>1.1235955056179137E-3</v>
      </c>
      <c r="L393" s="42">
        <v>1.1082379017361976E-3</v>
      </c>
      <c r="M393" s="43">
        <v>8.3900495516212818E-4</v>
      </c>
      <c r="Q393" s="2"/>
      <c r="R393" s="24"/>
      <c r="S393" s="24"/>
      <c r="T393" s="24"/>
    </row>
    <row r="394" spans="1:20" x14ac:dyDescent="0.25">
      <c r="A394" s="2">
        <v>44833</v>
      </c>
      <c r="B394" s="20">
        <v>2326</v>
      </c>
      <c r="C394" s="20">
        <v>285</v>
      </c>
      <c r="D394" s="20">
        <v>7902</v>
      </c>
      <c r="E394" s="17">
        <f t="shared" si="21"/>
        <v>-1.690617075232459E-2</v>
      </c>
      <c r="F394" s="17">
        <f t="shared" si="21"/>
        <v>-2.3972602739726012E-2</v>
      </c>
      <c r="G394" s="17">
        <f t="shared" si="21"/>
        <v>-2.7086924402856427E-2</v>
      </c>
      <c r="H394" s="14">
        <f t="shared" si="22"/>
        <v>-2.5485109917793656E-2</v>
      </c>
      <c r="I394" s="39">
        <f t="shared" si="20"/>
        <v>1.3227513227513227E-3</v>
      </c>
      <c r="J394" s="42">
        <v>6.8870523415975882E-4</v>
      </c>
      <c r="K394" s="88">
        <v>1.1325028312569874E-3</v>
      </c>
      <c r="L394" s="42">
        <v>1.1214953271028172E-3</v>
      </c>
      <c r="M394" s="43">
        <v>9.1776045037713434E-4</v>
      </c>
      <c r="Q394" s="2"/>
      <c r="R394" s="24"/>
      <c r="S394" s="24"/>
      <c r="T394" s="24"/>
    </row>
    <row r="395" spans="1:20" x14ac:dyDescent="0.25">
      <c r="A395" s="2">
        <v>44832</v>
      </c>
      <c r="B395" s="20">
        <v>2366</v>
      </c>
      <c r="C395" s="20">
        <v>292</v>
      </c>
      <c r="D395" s="20">
        <v>8122</v>
      </c>
      <c r="E395" s="17">
        <f t="shared" si="21"/>
        <v>-2.0695364238410563E-2</v>
      </c>
      <c r="F395" s="17">
        <f t="shared" si="21"/>
        <v>-1.6835016835016869E-2</v>
      </c>
      <c r="G395" s="17">
        <f t="shared" si="21"/>
        <v>-1.9555770159343289E-2</v>
      </c>
      <c r="H395" s="14">
        <f t="shared" si="22"/>
        <v>-1.9600228135888496E-2</v>
      </c>
      <c r="I395" s="39">
        <f t="shared" si="20"/>
        <v>1.3227513227513227E-3</v>
      </c>
      <c r="J395" s="42">
        <v>6.9735006973492553E-4</v>
      </c>
      <c r="K395" s="88">
        <v>1.1534025374855261E-3</v>
      </c>
      <c r="L395" s="42">
        <v>1.2489592006661443E-3</v>
      </c>
      <c r="M395" s="43">
        <v>9.2774628157649489E-4</v>
      </c>
      <c r="Q395" s="2"/>
      <c r="R395" s="24"/>
      <c r="S395" s="24"/>
      <c r="T395" s="24"/>
    </row>
    <row r="396" spans="1:20" x14ac:dyDescent="0.25">
      <c r="A396" s="2">
        <v>44831</v>
      </c>
      <c r="B396" s="20">
        <v>2416</v>
      </c>
      <c r="C396" s="20">
        <v>297</v>
      </c>
      <c r="D396" s="20">
        <v>8284</v>
      </c>
      <c r="E396" s="17">
        <f t="shared" si="21"/>
        <v>-4.9423393739703725E-3</v>
      </c>
      <c r="F396" s="17">
        <f t="shared" si="21"/>
        <v>-3.3557046979866278E-3</v>
      </c>
      <c r="G396" s="17">
        <f t="shared" si="21"/>
        <v>7.2957198443579507E-3</v>
      </c>
      <c r="H396" s="14">
        <f t="shared" si="22"/>
        <v>5.0667422740814354E-3</v>
      </c>
      <c r="I396" s="39">
        <f t="shared" si="20"/>
        <v>1.3227513227513227E-3</v>
      </c>
      <c r="J396" s="42">
        <v>7.1994240460759862E-4</v>
      </c>
      <c r="K396" s="88">
        <v>1.1587485515642815E-3</v>
      </c>
      <c r="L396" s="42">
        <v>1.3293452974409981E-3</v>
      </c>
      <c r="M396" s="43">
        <v>9.377233139892349E-4</v>
      </c>
      <c r="Q396" s="2"/>
      <c r="R396" s="24"/>
      <c r="S396" s="24"/>
      <c r="T396" s="24"/>
    </row>
    <row r="397" spans="1:20" x14ac:dyDescent="0.25">
      <c r="A397" s="2">
        <v>44830</v>
      </c>
      <c r="B397" s="20">
        <v>2428</v>
      </c>
      <c r="C397" s="20">
        <v>298</v>
      </c>
      <c r="D397" s="20">
        <v>8224</v>
      </c>
      <c r="E397" s="17">
        <f t="shared" si="21"/>
        <v>7.468879668049766E-3</v>
      </c>
      <c r="F397" s="17">
        <f t="shared" si="21"/>
        <v>-6.6666666666667096E-3</v>
      </c>
      <c r="G397" s="17">
        <f t="shared" si="21"/>
        <v>-1.2487992315081686E-2</v>
      </c>
      <c r="H397" s="14">
        <f t="shared" si="22"/>
        <v>-9.360484065360641E-3</v>
      </c>
      <c r="I397" s="39">
        <f t="shared" si="20"/>
        <v>1.3227513227513227E-3</v>
      </c>
      <c r="J397" s="42">
        <v>7.2358900144720018E-4</v>
      </c>
      <c r="K397" s="88">
        <v>1.1709601873535203E-3</v>
      </c>
      <c r="L397" s="42">
        <v>1.3489208633092886E-3</v>
      </c>
      <c r="M397" s="43">
        <v>9.6930563041291507E-4</v>
      </c>
      <c r="Q397" s="2"/>
      <c r="R397" s="24"/>
      <c r="S397" s="24"/>
      <c r="T397" s="24"/>
    </row>
    <row r="398" spans="1:20" x14ac:dyDescent="0.25">
      <c r="A398" s="2">
        <v>44827</v>
      </c>
      <c r="B398" s="20">
        <v>2410</v>
      </c>
      <c r="C398" s="20">
        <v>300</v>
      </c>
      <c r="D398" s="20">
        <v>8328</v>
      </c>
      <c r="E398" s="17">
        <f t="shared" si="21"/>
        <v>-2.6655896607431395E-2</v>
      </c>
      <c r="F398" s="17">
        <f t="shared" si="21"/>
        <v>-1.1532125205930832E-2</v>
      </c>
      <c r="G398" s="17">
        <f t="shared" si="21"/>
        <v>-2.8464769015398961E-2</v>
      </c>
      <c r="H398" s="14">
        <f t="shared" si="22"/>
        <v>-2.7460590606651087E-2</v>
      </c>
      <c r="I398" s="39">
        <f t="shared" si="20"/>
        <v>1.3227513227513227E-3</v>
      </c>
      <c r="J398" s="42">
        <v>7.2411296162200323E-4</v>
      </c>
      <c r="K398" s="88">
        <v>1.1737089201877549E-3</v>
      </c>
      <c r="L398" s="42">
        <v>1.3590649633052898E-3</v>
      </c>
      <c r="M398" s="43">
        <v>1.0320053493613874E-3</v>
      </c>
      <c r="Q398" s="2"/>
      <c r="R398" s="24"/>
      <c r="S398" s="24"/>
      <c r="T398" s="24"/>
    </row>
    <row r="399" spans="1:20" x14ac:dyDescent="0.25">
      <c r="A399" s="2">
        <v>44826</v>
      </c>
      <c r="B399" s="20">
        <v>2476</v>
      </c>
      <c r="C399" s="29">
        <v>303.5</v>
      </c>
      <c r="D399" s="20">
        <v>8572</v>
      </c>
      <c r="E399" s="17">
        <f t="shared" si="21"/>
        <v>-9.6000000000000529E-3</v>
      </c>
      <c r="F399" s="17">
        <f t="shared" si="21"/>
        <v>3.3057851239668423E-3</v>
      </c>
      <c r="G399" s="17">
        <f t="shared" si="21"/>
        <v>3.0288461538461542E-2</v>
      </c>
      <c r="H399" s="14">
        <f t="shared" si="22"/>
        <v>2.3363165807755958E-2</v>
      </c>
      <c r="I399" s="39">
        <f t="shared" si="20"/>
        <v>1.3227513227513227E-3</v>
      </c>
      <c r="J399" s="42">
        <v>7.2886297376095754E-4</v>
      </c>
      <c r="K399" s="88">
        <v>1.1778563015312216E-3</v>
      </c>
      <c r="L399" s="42">
        <v>1.3780431786862835E-3</v>
      </c>
      <c r="M399" s="43">
        <v>1.1329691062904042E-3</v>
      </c>
      <c r="Q399" s="2"/>
      <c r="R399" s="24"/>
      <c r="S399" s="24"/>
      <c r="T399" s="24"/>
    </row>
    <row r="400" spans="1:20" x14ac:dyDescent="0.25">
      <c r="A400" s="2">
        <v>44825</v>
      </c>
      <c r="B400" s="20">
        <v>2500</v>
      </c>
      <c r="C400" s="29">
        <v>302.5</v>
      </c>
      <c r="D400" s="20">
        <v>8320</v>
      </c>
      <c r="E400" s="17">
        <f t="shared" si="21"/>
        <v>0</v>
      </c>
      <c r="F400" s="17">
        <f t="shared" si="21"/>
        <v>-8.1967213114754189E-3</v>
      </c>
      <c r="G400" s="17">
        <f t="shared" si="21"/>
        <v>-2.1176470588235241E-2</v>
      </c>
      <c r="H400" s="14">
        <f t="shared" si="22"/>
        <v>-1.7558980236605997E-2</v>
      </c>
      <c r="I400" s="39">
        <f t="shared" ref="I400:I463" si="23">1/$K$1</f>
        <v>1.3227513227513227E-3</v>
      </c>
      <c r="J400" s="42">
        <v>7.446016381236209E-4</v>
      </c>
      <c r="K400" s="88">
        <v>1.1778563015312216E-3</v>
      </c>
      <c r="L400" s="42">
        <v>1.3831258644536604E-3</v>
      </c>
      <c r="M400" s="43">
        <v>1.1595769673103501E-3</v>
      </c>
      <c r="Q400" s="2"/>
      <c r="R400" s="24"/>
      <c r="S400" s="24"/>
      <c r="T400" s="24"/>
    </row>
    <row r="401" spans="1:20" x14ac:dyDescent="0.25">
      <c r="A401" s="2">
        <v>44824</v>
      </c>
      <c r="B401" s="20">
        <v>2500</v>
      </c>
      <c r="C401" s="20">
        <v>305</v>
      </c>
      <c r="D401" s="20">
        <v>8500</v>
      </c>
      <c r="E401" s="17">
        <f t="shared" si="21"/>
        <v>-6.3593004769475492E-3</v>
      </c>
      <c r="F401" s="17">
        <f t="shared" si="21"/>
        <v>9.9337748344370258E-3</v>
      </c>
      <c r="G401" s="17">
        <f t="shared" si="21"/>
        <v>-3.4090909090909061E-2</v>
      </c>
      <c r="H401" s="14">
        <f t="shared" si="22"/>
        <v>-2.8166278767693124E-2</v>
      </c>
      <c r="I401" s="39">
        <f t="shared" si="23"/>
        <v>1.3227513227513227E-3</v>
      </c>
      <c r="J401" s="42">
        <v>7.468259895444529E-4</v>
      </c>
      <c r="K401" s="88">
        <v>1.1778563015312216E-3</v>
      </c>
      <c r="L401" s="42">
        <v>1.388888888888884E-3</v>
      </c>
      <c r="M401" s="43">
        <v>1.1669654380864836E-3</v>
      </c>
      <c r="Q401" s="2"/>
      <c r="R401" s="24"/>
      <c r="S401" s="24"/>
      <c r="T401" s="24"/>
    </row>
    <row r="402" spans="1:20" x14ac:dyDescent="0.25">
      <c r="A402" s="2">
        <v>44823</v>
      </c>
      <c r="B402" s="20">
        <v>2516</v>
      </c>
      <c r="C402" s="20">
        <v>302</v>
      </c>
      <c r="D402" s="20">
        <v>8800</v>
      </c>
      <c r="E402" s="17">
        <f t="shared" si="21"/>
        <v>0</v>
      </c>
      <c r="F402" s="17">
        <f t="shared" si="21"/>
        <v>-9.8360655737704805E-3</v>
      </c>
      <c r="G402" s="17">
        <f t="shared" si="21"/>
        <v>1.6401016401016433E-2</v>
      </c>
      <c r="H402" s="14">
        <f t="shared" si="22"/>
        <v>1.2888286658231702E-2</v>
      </c>
      <c r="I402" s="39">
        <f t="shared" si="23"/>
        <v>1.3227513227513227E-3</v>
      </c>
      <c r="J402" s="42">
        <v>7.698229407235857E-4</v>
      </c>
      <c r="K402" s="88">
        <v>1.1918951132301459E-3</v>
      </c>
      <c r="L402" s="42">
        <v>1.4316392269149159E-3</v>
      </c>
      <c r="M402" s="43">
        <v>1.1689753429556841E-3</v>
      </c>
      <c r="Q402" s="2"/>
      <c r="R402" s="24"/>
      <c r="S402" s="24"/>
      <c r="T402" s="24"/>
    </row>
    <row r="403" spans="1:20" x14ac:dyDescent="0.25">
      <c r="A403" s="2">
        <v>44820</v>
      </c>
      <c r="B403" s="20">
        <v>2516</v>
      </c>
      <c r="C403" s="20">
        <v>305</v>
      </c>
      <c r="D403" s="20">
        <v>8658</v>
      </c>
      <c r="E403" s="17">
        <f t="shared" si="21"/>
        <v>-3.230769230769226E-2</v>
      </c>
      <c r="F403" s="17">
        <f t="shared" si="21"/>
        <v>6.6006600660066805E-3</v>
      </c>
      <c r="G403" s="17">
        <f t="shared" si="21"/>
        <v>3.2444959443800325E-3</v>
      </c>
      <c r="H403" s="14">
        <f t="shared" si="22"/>
        <v>-1.7239714497743752E-3</v>
      </c>
      <c r="I403" s="39">
        <f t="shared" si="23"/>
        <v>1.3227513227513227E-3</v>
      </c>
      <c r="J403" s="42">
        <v>8.1300813008122752E-4</v>
      </c>
      <c r="K403" s="88">
        <v>1.2004801920768582E-3</v>
      </c>
      <c r="L403" s="42">
        <v>1.4388489208632116E-3</v>
      </c>
      <c r="M403" s="43">
        <v>1.1849125272613906E-3</v>
      </c>
      <c r="Q403" s="2"/>
      <c r="R403" s="24"/>
      <c r="S403" s="24"/>
      <c r="T403" s="24"/>
    </row>
    <row r="404" spans="1:20" x14ac:dyDescent="0.25">
      <c r="A404" s="2">
        <v>44819</v>
      </c>
      <c r="B404" s="20">
        <v>2600</v>
      </c>
      <c r="C404" s="20">
        <v>303</v>
      </c>
      <c r="D404" s="20">
        <v>8630</v>
      </c>
      <c r="E404" s="17">
        <f t="shared" si="21"/>
        <v>-2.9126213592232997E-2</v>
      </c>
      <c r="F404" s="17">
        <f t="shared" si="21"/>
        <v>-1.7828200972447306E-2</v>
      </c>
      <c r="G404" s="17">
        <f t="shared" si="21"/>
        <v>3.4883720930232176E-3</v>
      </c>
      <c r="H404" s="14">
        <f t="shared" si="22"/>
        <v>-2.1413000438156634E-3</v>
      </c>
      <c r="I404" s="39">
        <f t="shared" si="23"/>
        <v>1.3227513227513227E-3</v>
      </c>
      <c r="J404" s="42">
        <v>8.1499592502032314E-4</v>
      </c>
      <c r="K404" s="88">
        <v>1.2091898428052694E-3</v>
      </c>
      <c r="L404" s="42">
        <v>1.4566642388929019E-3</v>
      </c>
      <c r="M404" s="43">
        <v>1.1866189887156835E-3</v>
      </c>
      <c r="Q404" s="2"/>
      <c r="R404" s="24"/>
      <c r="S404" s="24"/>
      <c r="T404" s="24"/>
    </row>
    <row r="405" spans="1:20" x14ac:dyDescent="0.25">
      <c r="A405" s="2">
        <v>44818</v>
      </c>
      <c r="B405" s="20">
        <v>2678</v>
      </c>
      <c r="C405" s="29">
        <v>308.5</v>
      </c>
      <c r="D405" s="20">
        <v>8600</v>
      </c>
      <c r="E405" s="17">
        <f t="shared" si="21"/>
        <v>-2.9784065524943726E-3</v>
      </c>
      <c r="F405" s="17">
        <f t="shared" si="21"/>
        <v>-1.1217948717948678E-2</v>
      </c>
      <c r="G405" s="17">
        <f t="shared" si="21"/>
        <v>-2.2727272727272707E-2</v>
      </c>
      <c r="H405" s="14">
        <f t="shared" si="22"/>
        <v>-1.9379811318570781E-2</v>
      </c>
      <c r="I405" s="39">
        <f t="shared" si="23"/>
        <v>1.3227513227513227E-3</v>
      </c>
      <c r="J405" s="42">
        <v>8.2034454470880647E-4</v>
      </c>
      <c r="K405" s="88">
        <v>1.2135922330096527E-3</v>
      </c>
      <c r="L405" s="42">
        <v>1.4691478942212566E-3</v>
      </c>
      <c r="M405" s="43">
        <v>1.2210348166434917E-3</v>
      </c>
      <c r="Q405" s="2"/>
      <c r="R405" s="24"/>
      <c r="S405" s="24"/>
      <c r="T405" s="24"/>
    </row>
    <row r="406" spans="1:20" x14ac:dyDescent="0.25">
      <c r="A406" s="2">
        <v>44817</v>
      </c>
      <c r="B406" s="20">
        <v>2686</v>
      </c>
      <c r="C406" s="20">
        <v>312</v>
      </c>
      <c r="D406" s="20">
        <v>8800</v>
      </c>
      <c r="E406" s="17">
        <f t="shared" si="21"/>
        <v>1.35849056603774E-2</v>
      </c>
      <c r="F406" s="17">
        <f t="shared" si="21"/>
        <v>-3.1948881789137795E-3</v>
      </c>
      <c r="G406" s="17">
        <f t="shared" si="21"/>
        <v>-2.8697571743929395E-2</v>
      </c>
      <c r="H406" s="14">
        <f t="shared" si="22"/>
        <v>-2.1492799455943932E-2</v>
      </c>
      <c r="I406" s="39">
        <f t="shared" si="23"/>
        <v>1.3227513227513227E-3</v>
      </c>
      <c r="J406" s="42">
        <v>8.3402835696411159E-4</v>
      </c>
      <c r="K406" s="88">
        <v>1.2135922330096527E-3</v>
      </c>
      <c r="L406" s="42">
        <v>1.501877346683278E-3</v>
      </c>
      <c r="M406" s="43">
        <v>1.2438315089896923E-3</v>
      </c>
      <c r="Q406" s="2"/>
      <c r="R406" s="24"/>
      <c r="S406" s="24"/>
      <c r="T406" s="24"/>
    </row>
    <row r="407" spans="1:20" x14ac:dyDescent="0.25">
      <c r="A407" s="2">
        <v>44816</v>
      </c>
      <c r="B407" s="20">
        <v>2650</v>
      </c>
      <c r="C407" s="20">
        <v>313</v>
      </c>
      <c r="D407" s="20">
        <v>9060</v>
      </c>
      <c r="E407" s="17">
        <f t="shared" si="21"/>
        <v>0</v>
      </c>
      <c r="F407" s="17">
        <f t="shared" si="21"/>
        <v>-6.3492063492063266E-3</v>
      </c>
      <c r="G407" s="17">
        <f t="shared" si="21"/>
        <v>4.9096804075961176E-2</v>
      </c>
      <c r="H407" s="14">
        <f t="shared" si="22"/>
        <v>3.9595990719054175E-2</v>
      </c>
      <c r="I407" s="39">
        <f t="shared" si="23"/>
        <v>1.3227513227513227E-3</v>
      </c>
      <c r="J407" s="42">
        <v>9.7847358121327943E-4</v>
      </c>
      <c r="K407" s="88">
        <v>1.2195121951219523E-3</v>
      </c>
      <c r="L407" s="42">
        <v>1.6680567139282232E-3</v>
      </c>
      <c r="M407" s="43">
        <v>1.2825492196624031E-3</v>
      </c>
      <c r="Q407" s="2"/>
      <c r="R407" s="24"/>
      <c r="S407" s="24"/>
      <c r="T407" s="24"/>
    </row>
    <row r="408" spans="1:20" x14ac:dyDescent="0.25">
      <c r="A408" s="2">
        <v>44813</v>
      </c>
      <c r="B408" s="20">
        <v>2650</v>
      </c>
      <c r="C408" s="20">
        <v>315</v>
      </c>
      <c r="D408" s="20">
        <v>8636</v>
      </c>
      <c r="E408" s="17">
        <f t="shared" si="21"/>
        <v>-6.0015003750937268E-3</v>
      </c>
      <c r="F408" s="17">
        <f t="shared" si="21"/>
        <v>3.1847133757962887E-3</v>
      </c>
      <c r="G408" s="17">
        <f t="shared" si="21"/>
        <v>3.2527881040891327E-3</v>
      </c>
      <c r="H408" s="14">
        <f t="shared" si="22"/>
        <v>1.9181182557726395E-3</v>
      </c>
      <c r="I408" s="39">
        <f t="shared" si="23"/>
        <v>1.3227513227513227E-3</v>
      </c>
      <c r="J408" s="42">
        <v>1.3513513513514486E-3</v>
      </c>
      <c r="K408" s="88">
        <v>1.2330456226881115E-3</v>
      </c>
      <c r="L408" s="42">
        <v>1.9627085377822429E-3</v>
      </c>
      <c r="M408" s="43">
        <v>1.2961309086287126E-3</v>
      </c>
      <c r="Q408" s="2"/>
      <c r="R408" s="24"/>
      <c r="S408" s="24"/>
      <c r="T408" s="24"/>
    </row>
    <row r="409" spans="1:20" x14ac:dyDescent="0.25">
      <c r="A409" s="2">
        <v>44812</v>
      </c>
      <c r="B409" s="20">
        <v>2666</v>
      </c>
      <c r="C409" s="20">
        <v>314</v>
      </c>
      <c r="D409" s="20">
        <v>8608</v>
      </c>
      <c r="E409" s="17">
        <f t="shared" si="21"/>
        <v>-6.7064083457526458E-3</v>
      </c>
      <c r="F409" s="17">
        <f t="shared" si="21"/>
        <v>-2.786377708978327E-2</v>
      </c>
      <c r="G409" s="17">
        <f t="shared" si="21"/>
        <v>-8.2949308755760898E-3</v>
      </c>
      <c r="H409" s="14">
        <f t="shared" si="22"/>
        <v>-8.9260424288915806E-3</v>
      </c>
      <c r="I409" s="39">
        <f t="shared" si="23"/>
        <v>1.3227513227513227E-3</v>
      </c>
      <c r="J409" s="42">
        <v>1.3764624913970014E-3</v>
      </c>
      <c r="K409" s="88">
        <v>1.2345679012346622E-3</v>
      </c>
      <c r="L409" s="42">
        <v>1.9640852974185385E-3</v>
      </c>
      <c r="M409" s="43">
        <v>1.3467430074383332E-3</v>
      </c>
      <c r="Q409" s="2"/>
      <c r="R409" s="24"/>
      <c r="S409" s="24"/>
      <c r="T409" s="24"/>
    </row>
    <row r="410" spans="1:20" x14ac:dyDescent="0.25">
      <c r="A410" s="2">
        <v>44811</v>
      </c>
      <c r="B410" s="20">
        <v>2684</v>
      </c>
      <c r="C410" s="20">
        <v>323</v>
      </c>
      <c r="D410" s="20">
        <v>8680</v>
      </c>
      <c r="E410" s="17">
        <f t="shared" si="21"/>
        <v>-5.9259259259258901E-3</v>
      </c>
      <c r="F410" s="17">
        <f t="shared" si="21"/>
        <v>-1.5455950540957941E-3</v>
      </c>
      <c r="G410" s="17">
        <f t="shared" si="21"/>
        <v>2.8923660502607973E-2</v>
      </c>
      <c r="H410" s="14">
        <f t="shared" si="22"/>
        <v>2.2570279617419371E-2</v>
      </c>
      <c r="I410" s="39">
        <f t="shared" si="23"/>
        <v>1.3227513227513227E-3</v>
      </c>
      <c r="J410" s="42">
        <v>1.4134275618373771E-3</v>
      </c>
      <c r="K410" s="88">
        <v>1.2499999999999734E-3</v>
      </c>
      <c r="L410" s="42">
        <v>1.9651191353475816E-3</v>
      </c>
      <c r="M410" s="43">
        <v>1.3650383203969432E-3</v>
      </c>
      <c r="Q410" s="2"/>
      <c r="R410" s="24"/>
      <c r="S410" s="24"/>
      <c r="T410" s="24"/>
    </row>
    <row r="411" spans="1:20" x14ac:dyDescent="0.25">
      <c r="A411" s="2">
        <v>44810</v>
      </c>
      <c r="B411" s="20">
        <v>2700</v>
      </c>
      <c r="C411" s="29">
        <v>323.5</v>
      </c>
      <c r="D411" s="20">
        <v>8436</v>
      </c>
      <c r="E411" s="17">
        <f t="shared" si="21"/>
        <v>2.2271714922048602E-3</v>
      </c>
      <c r="F411" s="17">
        <f t="shared" si="21"/>
        <v>0</v>
      </c>
      <c r="G411" s="17">
        <f t="shared" si="21"/>
        <v>-1.6568047337277569E-3</v>
      </c>
      <c r="H411" s="14">
        <f t="shared" si="22"/>
        <v>-1.0251193014690493E-3</v>
      </c>
      <c r="I411" s="39">
        <f t="shared" si="23"/>
        <v>1.3227513227513227E-3</v>
      </c>
      <c r="J411" s="42">
        <v>1.4295925661187425E-3</v>
      </c>
      <c r="K411" s="88">
        <v>1.2515644555695093E-3</v>
      </c>
      <c r="L411" s="42">
        <v>2.0272227048943048E-3</v>
      </c>
      <c r="M411" s="43">
        <v>1.4246974182188453E-3</v>
      </c>
      <c r="Q411" s="2"/>
      <c r="R411" s="24"/>
      <c r="S411" s="24"/>
      <c r="T411" s="24"/>
    </row>
    <row r="412" spans="1:20" x14ac:dyDescent="0.25">
      <c r="A412" s="2">
        <v>44809</v>
      </c>
      <c r="B412" s="20">
        <v>2694</v>
      </c>
      <c r="C412" s="29">
        <v>323.5</v>
      </c>
      <c r="D412" s="20">
        <v>8450</v>
      </c>
      <c r="E412" s="17">
        <f t="shared" si="21"/>
        <v>-2.1786492374727628E-2</v>
      </c>
      <c r="F412" s="17">
        <f t="shared" si="21"/>
        <v>-3.2884902840059738E-2</v>
      </c>
      <c r="G412" s="17">
        <f t="shared" si="21"/>
        <v>-6.3499529633114227E-3</v>
      </c>
      <c r="H412" s="14">
        <f t="shared" si="22"/>
        <v>-9.7369817339236532E-3</v>
      </c>
      <c r="I412" s="39">
        <f t="shared" si="23"/>
        <v>1.3227513227513227E-3</v>
      </c>
      <c r="J412" s="42">
        <v>1.4792899408284654E-3</v>
      </c>
      <c r="K412" s="88">
        <v>1.2562814070351536E-3</v>
      </c>
      <c r="L412" s="42">
        <v>2.0319303338172112E-3</v>
      </c>
      <c r="M412" s="43">
        <v>1.53366280059052E-3</v>
      </c>
      <c r="Q412" s="2"/>
      <c r="R412" s="24"/>
      <c r="S412" s="24"/>
      <c r="T412" s="24"/>
    </row>
    <row r="413" spans="1:20" x14ac:dyDescent="0.25">
      <c r="A413" s="2">
        <v>44806</v>
      </c>
      <c r="B413" s="20">
        <v>2754</v>
      </c>
      <c r="C413" s="29">
        <v>334.5</v>
      </c>
      <c r="D413" s="20">
        <v>8504</v>
      </c>
      <c r="E413" s="17">
        <f t="shared" si="21"/>
        <v>1.1013215859030812E-2</v>
      </c>
      <c r="F413" s="17">
        <f t="shared" si="21"/>
        <v>1.3636363636363669E-2</v>
      </c>
      <c r="G413" s="17">
        <f t="shared" si="21"/>
        <v>7.8217587105948727E-3</v>
      </c>
      <c r="H413" s="14">
        <f t="shared" si="22"/>
        <v>8.5364519173340633E-3</v>
      </c>
      <c r="I413" s="39">
        <f t="shared" si="23"/>
        <v>1.3227513227513227E-3</v>
      </c>
      <c r="J413" s="42">
        <v>1.4925373134329067E-3</v>
      </c>
      <c r="K413" s="88">
        <v>1.2610340479193294E-3</v>
      </c>
      <c r="L413" s="42">
        <v>2.0380434782609758E-3</v>
      </c>
      <c r="M413" s="43">
        <v>1.5689838078000833E-3</v>
      </c>
      <c r="Q413" s="2"/>
      <c r="R413" s="24"/>
      <c r="S413" s="24"/>
      <c r="T413" s="24"/>
    </row>
    <row r="414" spans="1:20" x14ac:dyDescent="0.25">
      <c r="A414" s="2">
        <v>44805</v>
      </c>
      <c r="B414" s="20">
        <v>2724</v>
      </c>
      <c r="C414" s="20">
        <v>330</v>
      </c>
      <c r="D414" s="20">
        <v>8438</v>
      </c>
      <c r="E414" s="17">
        <f t="shared" si="21"/>
        <v>-9.4545454545454932E-3</v>
      </c>
      <c r="F414" s="17">
        <f t="shared" si="21"/>
        <v>-2.3668639053254448E-2</v>
      </c>
      <c r="G414" s="17">
        <f t="shared" si="21"/>
        <v>-6.3589260480452214E-3</v>
      </c>
      <c r="H414" s="14">
        <f t="shared" si="22"/>
        <v>-7.564830941476094E-3</v>
      </c>
      <c r="I414" s="39">
        <f t="shared" si="23"/>
        <v>1.3227513227513227E-3</v>
      </c>
      <c r="J414" s="42">
        <v>1.5128593040847349E-3</v>
      </c>
      <c r="K414" s="88">
        <v>1.3003901170351995E-3</v>
      </c>
      <c r="L414" s="42">
        <v>2.0454545454544615E-3</v>
      </c>
      <c r="M414" s="43">
        <v>1.6791872838506012E-3</v>
      </c>
      <c r="Q414" s="2"/>
      <c r="R414" s="24"/>
      <c r="S414" s="24"/>
      <c r="T414" s="24"/>
    </row>
    <row r="415" spans="1:20" x14ac:dyDescent="0.25">
      <c r="A415" s="2">
        <v>44804</v>
      </c>
      <c r="B415" s="20">
        <v>2750</v>
      </c>
      <c r="C415" s="20">
        <v>338</v>
      </c>
      <c r="D415" s="20">
        <v>8492</v>
      </c>
      <c r="E415" s="17">
        <f t="shared" si="21"/>
        <v>-1.5748031496062964E-2</v>
      </c>
      <c r="F415" s="17">
        <f t="shared" si="21"/>
        <v>1.1976047904191711E-2</v>
      </c>
      <c r="G415" s="17">
        <f t="shared" si="21"/>
        <v>-1.4620561615223959E-2</v>
      </c>
      <c r="H415" s="14">
        <f t="shared" si="22"/>
        <v>-1.3614361827890494E-2</v>
      </c>
      <c r="I415" s="39">
        <f t="shared" si="23"/>
        <v>1.3227513227513227E-3</v>
      </c>
      <c r="J415" s="42">
        <v>1.5151515151514694E-3</v>
      </c>
      <c r="K415" s="88">
        <v>1.3568521031208647E-3</v>
      </c>
      <c r="L415" s="42">
        <v>2.0668274199104886E-3</v>
      </c>
      <c r="M415" s="43">
        <v>1.7455520470808547E-3</v>
      </c>
      <c r="Q415" s="2"/>
      <c r="R415" s="24"/>
      <c r="S415" s="24"/>
      <c r="T415" s="24"/>
    </row>
    <row r="416" spans="1:20" x14ac:dyDescent="0.25">
      <c r="A416" s="2">
        <v>44803</v>
      </c>
      <c r="B416" s="20">
        <v>2794</v>
      </c>
      <c r="C416" s="20">
        <v>334</v>
      </c>
      <c r="D416" s="20">
        <v>8618</v>
      </c>
      <c r="E416" s="17">
        <f t="shared" si="21"/>
        <v>1.2318840579710111E-2</v>
      </c>
      <c r="F416" s="17">
        <f t="shared" si="21"/>
        <v>-5.9523809523809312E-3</v>
      </c>
      <c r="G416" s="17">
        <f t="shared" si="21"/>
        <v>-3.1685393258427008E-2</v>
      </c>
      <c r="H416" s="14">
        <f t="shared" si="22"/>
        <v>-2.4222743830812361E-2</v>
      </c>
      <c r="I416" s="39">
        <f t="shared" si="23"/>
        <v>1.3227513227513227E-3</v>
      </c>
      <c r="J416" s="42">
        <v>1.5637216575450363E-3</v>
      </c>
      <c r="K416" s="88">
        <v>1.37174211248281E-3</v>
      </c>
      <c r="L416" s="42">
        <v>2.0675396278428959E-3</v>
      </c>
      <c r="M416" s="43">
        <v>1.7795868398382503E-3</v>
      </c>
      <c r="Q416" s="2"/>
      <c r="R416" s="24"/>
      <c r="S416" s="24"/>
      <c r="T416" s="24"/>
    </row>
    <row r="417" spans="1:20" x14ac:dyDescent="0.25">
      <c r="A417" s="2">
        <v>44802</v>
      </c>
      <c r="B417" s="20">
        <v>2760</v>
      </c>
      <c r="C417" s="20">
        <v>336</v>
      </c>
      <c r="D417" s="20">
        <v>8900</v>
      </c>
      <c r="E417" s="17">
        <f t="shared" si="21"/>
        <v>-1.7094017094017144E-2</v>
      </c>
      <c r="F417" s="17">
        <f t="shared" si="21"/>
        <v>-5.9171597633136397E-3</v>
      </c>
      <c r="G417" s="17">
        <f t="shared" si="21"/>
        <v>-3.0501089324618702E-2</v>
      </c>
      <c r="H417" s="14">
        <f t="shared" si="22"/>
        <v>-2.7491810190300316E-2</v>
      </c>
      <c r="I417" s="39">
        <f t="shared" si="23"/>
        <v>1.3227513227513227E-3</v>
      </c>
      <c r="J417" s="42">
        <v>1.612903225806539E-3</v>
      </c>
      <c r="K417" s="88">
        <v>1.4925373134329067E-3</v>
      </c>
      <c r="L417" s="42">
        <v>2.1428571428572241E-3</v>
      </c>
      <c r="M417" s="43">
        <v>1.8014918384547196E-3</v>
      </c>
      <c r="Q417" s="2"/>
      <c r="R417" s="24"/>
      <c r="S417" s="24"/>
      <c r="T417" s="24"/>
    </row>
    <row r="418" spans="1:20" x14ac:dyDescent="0.25">
      <c r="A418" s="2">
        <v>44799</v>
      </c>
      <c r="B418" s="20">
        <v>2808</v>
      </c>
      <c r="C418" s="20">
        <v>338</v>
      </c>
      <c r="D418" s="20">
        <v>9180</v>
      </c>
      <c r="E418" s="17">
        <f t="shared" si="21"/>
        <v>-8.4745762711864181E-3</v>
      </c>
      <c r="F418" s="17">
        <f t="shared" si="21"/>
        <v>-1.744186046511631E-2</v>
      </c>
      <c r="G418" s="17">
        <f t="shared" si="21"/>
        <v>-3.6900369003689537E-3</v>
      </c>
      <c r="H418" s="14">
        <f t="shared" si="22"/>
        <v>-4.9826699697245458E-3</v>
      </c>
      <c r="I418" s="39">
        <f t="shared" si="23"/>
        <v>1.3227513227513227E-3</v>
      </c>
      <c r="J418" s="42">
        <v>1.6353229762877675E-3</v>
      </c>
      <c r="K418" s="88">
        <v>1.5015015015014122E-3</v>
      </c>
      <c r="L418" s="42">
        <v>2.1897810218978186E-3</v>
      </c>
      <c r="M418" s="43">
        <v>1.8322491211925473E-3</v>
      </c>
      <c r="Q418" s="2"/>
      <c r="R418" s="24"/>
      <c r="S418" s="24"/>
      <c r="T418" s="24"/>
    </row>
    <row r="419" spans="1:20" x14ac:dyDescent="0.25">
      <c r="A419" s="2">
        <v>44798</v>
      </c>
      <c r="B419" s="20">
        <v>2832</v>
      </c>
      <c r="C419" s="20">
        <v>344</v>
      </c>
      <c r="D419" s="20">
        <v>9214</v>
      </c>
      <c r="E419" s="17">
        <f t="shared" si="21"/>
        <v>1.1428571428571344E-2</v>
      </c>
      <c r="F419" s="17">
        <f t="shared" si="21"/>
        <v>2.0771513353115667E-2</v>
      </c>
      <c r="G419" s="17">
        <f t="shared" si="21"/>
        <v>3.4850795033760651E-3</v>
      </c>
      <c r="H419" s="14">
        <f t="shared" si="22"/>
        <v>5.3875637852433952E-3</v>
      </c>
      <c r="I419" s="39">
        <f t="shared" si="23"/>
        <v>1.3227513227513227E-3</v>
      </c>
      <c r="J419" s="42">
        <v>1.6366612111293755E-3</v>
      </c>
      <c r="K419" s="88">
        <v>1.6000000000000458E-3</v>
      </c>
      <c r="L419" s="42">
        <v>2.2222222222221255E-3</v>
      </c>
      <c r="M419" s="43">
        <v>1.8809305758205296E-3</v>
      </c>
      <c r="Q419" s="2"/>
      <c r="R419" s="24"/>
      <c r="S419" s="24"/>
      <c r="T419" s="24"/>
    </row>
    <row r="420" spans="1:20" x14ac:dyDescent="0.25">
      <c r="A420" s="2">
        <v>44797</v>
      </c>
      <c r="B420" s="20">
        <v>2800</v>
      </c>
      <c r="C420" s="20">
        <v>337</v>
      </c>
      <c r="D420" s="20">
        <v>9182</v>
      </c>
      <c r="E420" s="17">
        <f t="shared" si="21"/>
        <v>-7.1377587437548851E-4</v>
      </c>
      <c r="F420" s="17">
        <f t="shared" si="21"/>
        <v>1.0494752623688264E-2</v>
      </c>
      <c r="G420" s="17">
        <f t="shared" si="21"/>
        <v>1.0902747492367304E-3</v>
      </c>
      <c r="H420" s="14">
        <f t="shared" si="22"/>
        <v>1.2438315089896923E-3</v>
      </c>
      <c r="I420" s="39">
        <f t="shared" si="23"/>
        <v>1.3227513227513227E-3</v>
      </c>
      <c r="J420" s="42">
        <v>1.6433853738702098E-3</v>
      </c>
      <c r="K420" s="88">
        <v>1.6920473773265332E-3</v>
      </c>
      <c r="L420" s="42">
        <v>2.2556390977443996E-3</v>
      </c>
      <c r="M420" s="43">
        <v>1.9181182557726395E-3</v>
      </c>
      <c r="Q420" s="2"/>
      <c r="R420" s="24"/>
      <c r="S420" s="24"/>
      <c r="T420" s="24"/>
    </row>
    <row r="421" spans="1:20" x14ac:dyDescent="0.25">
      <c r="A421" s="2">
        <v>44796</v>
      </c>
      <c r="B421" s="20">
        <v>2802</v>
      </c>
      <c r="C421" s="29">
        <v>333.5</v>
      </c>
      <c r="D421" s="20">
        <v>9172</v>
      </c>
      <c r="E421" s="17">
        <f t="shared" si="21"/>
        <v>-7.1326676176886039E-4</v>
      </c>
      <c r="F421" s="17">
        <f t="shared" si="21"/>
        <v>1.0606060606060508E-2</v>
      </c>
      <c r="G421" s="17">
        <f t="shared" si="21"/>
        <v>2.092609082813901E-2</v>
      </c>
      <c r="H421" s="14">
        <f t="shared" si="22"/>
        <v>1.7358838348686102E-2</v>
      </c>
      <c r="I421" s="39">
        <f t="shared" si="23"/>
        <v>1.3227513227513227E-3</v>
      </c>
      <c r="J421" s="42">
        <v>1.6528925619834212E-3</v>
      </c>
      <c r="K421" s="88">
        <v>1.7636684303350414E-3</v>
      </c>
      <c r="L421" s="42">
        <v>2.2692889561271024E-3</v>
      </c>
      <c r="M421" s="43">
        <v>2.1109359275994638E-3</v>
      </c>
      <c r="Q421" s="2"/>
      <c r="R421" s="24"/>
      <c r="S421" s="24"/>
      <c r="T421" s="24"/>
    </row>
    <row r="422" spans="1:20" x14ac:dyDescent="0.25">
      <c r="A422" s="2">
        <v>44795</v>
      </c>
      <c r="B422" s="20">
        <v>2804</v>
      </c>
      <c r="C422" s="20">
        <v>330</v>
      </c>
      <c r="D422" s="20">
        <v>8984</v>
      </c>
      <c r="E422" s="17">
        <f t="shared" si="21"/>
        <v>-1.0585744530698604E-2</v>
      </c>
      <c r="F422" s="17">
        <f t="shared" si="21"/>
        <v>1.538461538461533E-2</v>
      </c>
      <c r="G422" s="17">
        <f t="shared" si="21"/>
        <v>-1.792741582859636E-2</v>
      </c>
      <c r="H422" s="14">
        <f t="shared" si="22"/>
        <v>-1.5407496826441103E-2</v>
      </c>
      <c r="I422" s="39">
        <f t="shared" si="23"/>
        <v>1.3227513227513227E-3</v>
      </c>
      <c r="J422" s="42">
        <v>1.6680567139282232E-3</v>
      </c>
      <c r="K422" s="88">
        <v>2.1097046413502962E-3</v>
      </c>
      <c r="L422" s="42">
        <v>2.2946305644790943E-3</v>
      </c>
      <c r="M422" s="43">
        <v>2.1252687930750636E-3</v>
      </c>
      <c r="Q422" s="2"/>
      <c r="R422" s="24"/>
      <c r="S422" s="24"/>
      <c r="T422" s="24"/>
    </row>
    <row r="423" spans="1:20" x14ac:dyDescent="0.25">
      <c r="A423" s="2">
        <v>44792</v>
      </c>
      <c r="B423" s="20">
        <v>2834</v>
      </c>
      <c r="C423" s="20">
        <v>325</v>
      </c>
      <c r="D423" s="20">
        <v>9148</v>
      </c>
      <c r="E423" s="17">
        <f t="shared" si="21"/>
        <v>8.5409252669039759E-3</v>
      </c>
      <c r="F423" s="17">
        <f t="shared" si="21"/>
        <v>-6.1162079510703737E-3</v>
      </c>
      <c r="G423" s="17">
        <f t="shared" si="21"/>
        <v>-7.3784722222222099E-3</v>
      </c>
      <c r="H423" s="14">
        <f t="shared" si="22"/>
        <v>-5.0322394078531688E-3</v>
      </c>
      <c r="I423" s="39">
        <f t="shared" si="23"/>
        <v>1.3227513227513227E-3</v>
      </c>
      <c r="J423" s="42">
        <v>1.6736401673640433E-3</v>
      </c>
      <c r="K423" s="88">
        <v>2.2471910112360494E-3</v>
      </c>
      <c r="L423" s="42">
        <v>2.302025782688677E-3</v>
      </c>
      <c r="M423" s="43">
        <v>2.1811362309883523E-3</v>
      </c>
      <c r="Q423" s="2"/>
      <c r="R423" s="24"/>
      <c r="S423" s="24"/>
      <c r="T423" s="24"/>
    </row>
    <row r="424" spans="1:20" x14ac:dyDescent="0.25">
      <c r="A424" s="2">
        <v>44791</v>
      </c>
      <c r="B424" s="20">
        <v>2810</v>
      </c>
      <c r="C424" s="20">
        <v>327</v>
      </c>
      <c r="D424" s="20">
        <v>9216</v>
      </c>
      <c r="E424" s="17">
        <f t="shared" si="21"/>
        <v>-1.8169112508735097E-2</v>
      </c>
      <c r="F424" s="17">
        <f t="shared" si="21"/>
        <v>2.1875000000000089E-2</v>
      </c>
      <c r="G424" s="17">
        <f t="shared" si="21"/>
        <v>2.5139043381535053E-2</v>
      </c>
      <c r="H424" s="14">
        <f t="shared" si="22"/>
        <v>1.8763664395191552E-2</v>
      </c>
      <c r="I424" s="39">
        <f t="shared" si="23"/>
        <v>1.3227513227513227E-3</v>
      </c>
      <c r="J424" s="42">
        <v>1.6750418760469454E-3</v>
      </c>
      <c r="K424" s="88">
        <v>2.2988505747125743E-3</v>
      </c>
      <c r="L424" s="42">
        <v>2.3684210526315752E-3</v>
      </c>
      <c r="M424" s="43">
        <v>2.1876488156694863E-3</v>
      </c>
      <c r="Q424" s="2"/>
      <c r="R424" s="24"/>
      <c r="S424" s="24"/>
      <c r="T424" s="24"/>
    </row>
    <row r="425" spans="1:20" x14ac:dyDescent="0.25">
      <c r="A425" s="2">
        <v>44790</v>
      </c>
      <c r="B425" s="20">
        <v>2862</v>
      </c>
      <c r="C425" s="20">
        <v>320</v>
      </c>
      <c r="D425" s="20">
        <v>8990</v>
      </c>
      <c r="E425" s="17">
        <f t="shared" si="21"/>
        <v>-1.851851851851849E-2</v>
      </c>
      <c r="F425" s="17">
        <f t="shared" si="21"/>
        <v>0</v>
      </c>
      <c r="G425" s="17">
        <f t="shared" si="21"/>
        <v>-2.4099001302648748E-2</v>
      </c>
      <c r="H425" s="14">
        <f t="shared" si="22"/>
        <v>-2.2237261310791144E-2</v>
      </c>
      <c r="I425" s="39">
        <f t="shared" si="23"/>
        <v>1.3227513227513227E-3</v>
      </c>
      <c r="J425" s="42">
        <v>2.001334222815121E-3</v>
      </c>
      <c r="K425" s="88">
        <v>2.2988505747125743E-3</v>
      </c>
      <c r="L425" s="42">
        <v>2.5015634771732298E-3</v>
      </c>
      <c r="M425" s="43">
        <v>2.2151624663931295E-3</v>
      </c>
      <c r="Q425" s="2"/>
      <c r="R425" s="24"/>
      <c r="S425" s="24"/>
      <c r="T425" s="24"/>
    </row>
    <row r="426" spans="1:20" x14ac:dyDescent="0.25">
      <c r="A426" s="2">
        <v>44789</v>
      </c>
      <c r="B426" s="20">
        <v>2916</v>
      </c>
      <c r="C426" s="20">
        <v>320</v>
      </c>
      <c r="D426" s="20">
        <v>9212</v>
      </c>
      <c r="E426" s="17">
        <f t="shared" si="21"/>
        <v>1.039501039501034E-2</v>
      </c>
      <c r="F426" s="17">
        <f t="shared" si="21"/>
        <v>3.1347962382444194E-3</v>
      </c>
      <c r="G426" s="17">
        <f t="shared" si="21"/>
        <v>2.6292335115864596E-2</v>
      </c>
      <c r="H426" s="14">
        <f t="shared" si="22"/>
        <v>2.2987376260280391E-2</v>
      </c>
      <c r="I426" s="39">
        <f t="shared" si="23"/>
        <v>1.3227513227513227E-3</v>
      </c>
      <c r="J426" s="42">
        <v>2.0242914979757831E-3</v>
      </c>
      <c r="K426" s="88">
        <v>2.3228803716608404E-3</v>
      </c>
      <c r="L426" s="42">
        <v>2.5362318840580489E-3</v>
      </c>
      <c r="M426" s="43">
        <v>2.2434358285760734E-3</v>
      </c>
      <c r="Q426" s="2"/>
      <c r="R426" s="24"/>
      <c r="S426" s="24"/>
      <c r="T426" s="24"/>
    </row>
    <row r="427" spans="1:20" x14ac:dyDescent="0.25">
      <c r="A427" s="2">
        <v>44788</v>
      </c>
      <c r="B427" s="20">
        <v>2886</v>
      </c>
      <c r="C427" s="20">
        <v>319</v>
      </c>
      <c r="D427" s="20">
        <v>8976</v>
      </c>
      <c r="E427" s="17">
        <f t="shared" si="21"/>
        <v>0</v>
      </c>
      <c r="F427" s="17">
        <f t="shared" si="21"/>
        <v>-6.230529595015577E-3</v>
      </c>
      <c r="G427" s="17">
        <f t="shared" si="21"/>
        <v>-4.0820688181235298E-2</v>
      </c>
      <c r="H427" s="14">
        <f t="shared" si="22"/>
        <v>-3.34270347517873E-2</v>
      </c>
      <c r="I427" s="39">
        <f t="shared" si="23"/>
        <v>1.3227513227513227E-3</v>
      </c>
      <c r="J427" s="42">
        <v>2.035278154681075E-3</v>
      </c>
      <c r="K427" s="88">
        <v>2.3310023310023631E-3</v>
      </c>
      <c r="L427" s="42">
        <v>2.5830258302583786E-3</v>
      </c>
      <c r="M427" s="43">
        <v>2.2923153262009864E-3</v>
      </c>
      <c r="Q427" s="2"/>
      <c r="R427" s="24"/>
      <c r="S427" s="24"/>
      <c r="T427" s="24"/>
    </row>
    <row r="428" spans="1:20" x14ac:dyDescent="0.25">
      <c r="A428" s="2">
        <v>44785</v>
      </c>
      <c r="B428" s="20">
        <v>2886</v>
      </c>
      <c r="C428" s="20">
        <v>321</v>
      </c>
      <c r="D428" s="20">
        <v>9358</v>
      </c>
      <c r="E428" s="17">
        <f t="shared" si="21"/>
        <v>-2.3019634394041977E-2</v>
      </c>
      <c r="F428" s="17">
        <f t="shared" si="21"/>
        <v>7.8492935635792183E-3</v>
      </c>
      <c r="G428" s="17">
        <f t="shared" si="21"/>
        <v>-1.7016806722689126E-2</v>
      </c>
      <c r="H428" s="14">
        <f t="shared" si="22"/>
        <v>-1.6788188773651447E-2</v>
      </c>
      <c r="I428" s="39">
        <f t="shared" si="23"/>
        <v>1.3227513227513227E-3</v>
      </c>
      <c r="J428" s="42">
        <v>2.0562028786841324E-3</v>
      </c>
      <c r="K428" s="88">
        <v>2.3419203747072626E-3</v>
      </c>
      <c r="L428" s="42">
        <v>2.5983667409057443E-3</v>
      </c>
      <c r="M428" s="43">
        <v>2.3236884558648576E-3</v>
      </c>
      <c r="Q428" s="2"/>
      <c r="R428" s="24"/>
      <c r="S428" s="24"/>
      <c r="T428" s="24"/>
    </row>
    <row r="429" spans="1:20" x14ac:dyDescent="0.25">
      <c r="A429" s="2">
        <v>44784</v>
      </c>
      <c r="B429" s="20">
        <v>2954</v>
      </c>
      <c r="C429" s="29">
        <v>318.5</v>
      </c>
      <c r="D429" s="20">
        <v>9520</v>
      </c>
      <c r="E429" s="17">
        <f t="shared" si="21"/>
        <v>2.035278154681075E-3</v>
      </c>
      <c r="F429" s="17">
        <f t="shared" si="21"/>
        <v>-1.0869565217391353E-2</v>
      </c>
      <c r="G429" s="17">
        <f t="shared" si="21"/>
        <v>1.6008537886873064E-2</v>
      </c>
      <c r="H429" s="14">
        <f t="shared" si="22"/>
        <v>1.2816997626075827E-2</v>
      </c>
      <c r="I429" s="39">
        <f t="shared" si="23"/>
        <v>1.3227513227513227E-3</v>
      </c>
      <c r="J429" s="42">
        <v>2.0732550103663705E-3</v>
      </c>
      <c r="K429" s="88">
        <v>2.3529411764706687E-3</v>
      </c>
      <c r="L429" s="42">
        <v>2.7675276752767708E-3</v>
      </c>
      <c r="M429" s="43">
        <v>2.3443480296371786E-3</v>
      </c>
      <c r="Q429" s="2"/>
      <c r="R429" s="24"/>
      <c r="S429" s="24"/>
      <c r="T429" s="24"/>
    </row>
    <row r="430" spans="1:20" x14ac:dyDescent="0.25">
      <c r="A430" s="2">
        <v>44783</v>
      </c>
      <c r="B430" s="20">
        <v>2948</v>
      </c>
      <c r="C430" s="20">
        <v>322</v>
      </c>
      <c r="D430" s="20">
        <v>9370</v>
      </c>
      <c r="E430" s="17">
        <f t="shared" si="21"/>
        <v>4.7619047619047672E-2</v>
      </c>
      <c r="F430" s="17">
        <f t="shared" si="21"/>
        <v>2.5477707006369421E-2</v>
      </c>
      <c r="G430" s="17">
        <f t="shared" si="21"/>
        <v>5.0684009867683288E-2</v>
      </c>
      <c r="H430" s="14">
        <f t="shared" si="22"/>
        <v>4.9135603843524951E-2</v>
      </c>
      <c r="I430" s="39">
        <f t="shared" si="23"/>
        <v>1.3227513227513227E-3</v>
      </c>
      <c r="J430" s="42">
        <v>2.1067415730338102E-3</v>
      </c>
      <c r="K430" s="88">
        <v>2.3529411764706687E-3</v>
      </c>
      <c r="L430" s="42">
        <v>2.7752081406104967E-3</v>
      </c>
      <c r="M430" s="43">
        <v>2.4010343272308221E-3</v>
      </c>
      <c r="Q430" s="2"/>
      <c r="R430" s="24"/>
      <c r="S430" s="24"/>
      <c r="T430" s="24"/>
    </row>
    <row r="431" spans="1:20" x14ac:dyDescent="0.25">
      <c r="A431" s="2">
        <v>44782</v>
      </c>
      <c r="B431" s="20">
        <v>2814</v>
      </c>
      <c r="C431" s="20">
        <v>314</v>
      </c>
      <c r="D431" s="20">
        <v>8918</v>
      </c>
      <c r="E431" s="17">
        <f t="shared" si="21"/>
        <v>-4.1553133514986351E-2</v>
      </c>
      <c r="F431" s="17">
        <f t="shared" si="21"/>
        <v>-6.3291139240506666E-3</v>
      </c>
      <c r="G431" s="17">
        <f t="shared" si="21"/>
        <v>-4.0043057050592079E-2</v>
      </c>
      <c r="H431" s="14">
        <f t="shared" si="22"/>
        <v>-3.8779235416237456E-2</v>
      </c>
      <c r="I431" s="39">
        <f t="shared" si="23"/>
        <v>1.3227513227513227E-3</v>
      </c>
      <c r="J431" s="42">
        <v>2.1171489061397875E-3</v>
      </c>
      <c r="K431" s="88">
        <v>2.3529411764706687E-3</v>
      </c>
      <c r="L431" s="42">
        <v>2.818489289740711E-3</v>
      </c>
      <c r="M431" s="43">
        <v>2.4581502312218751E-3</v>
      </c>
      <c r="Q431" s="2"/>
      <c r="R431" s="24"/>
      <c r="S431" s="24"/>
      <c r="T431" s="24"/>
    </row>
    <row r="432" spans="1:20" x14ac:dyDescent="0.25">
      <c r="A432" s="2">
        <v>44781</v>
      </c>
      <c r="B432" s="20">
        <v>2936</v>
      </c>
      <c r="C432" s="20">
        <v>316</v>
      </c>
      <c r="D432" s="20">
        <v>9290</v>
      </c>
      <c r="E432" s="17">
        <f t="shared" si="21"/>
        <v>1.2413793103448256E-2</v>
      </c>
      <c r="F432" s="17">
        <f t="shared" si="21"/>
        <v>3.1746031746031633E-3</v>
      </c>
      <c r="G432" s="17">
        <f t="shared" si="21"/>
        <v>4.031354983202684E-2</v>
      </c>
      <c r="H432" s="14">
        <f t="shared" si="22"/>
        <v>3.4667227149487556E-2</v>
      </c>
      <c r="I432" s="39">
        <f t="shared" si="23"/>
        <v>1.3227513227513227E-3</v>
      </c>
      <c r="J432" s="42">
        <v>2.1723388848660097E-3</v>
      </c>
      <c r="K432" s="88">
        <v>2.3529411764706687E-3</v>
      </c>
      <c r="L432" s="42">
        <v>2.8540849090259446E-3</v>
      </c>
      <c r="M432" s="43">
        <v>2.5009661438073947E-3</v>
      </c>
      <c r="Q432" s="2"/>
      <c r="R432" s="24"/>
      <c r="S432" s="24"/>
      <c r="T432" s="24"/>
    </row>
    <row r="433" spans="1:20" x14ac:dyDescent="0.25">
      <c r="A433" s="2">
        <v>44778</v>
      </c>
      <c r="B433" s="20">
        <v>2900</v>
      </c>
      <c r="C433" s="20">
        <v>315</v>
      </c>
      <c r="D433" s="20">
        <v>8930</v>
      </c>
      <c r="E433" s="17">
        <f t="shared" si="21"/>
        <v>-3.3333333333333326E-2</v>
      </c>
      <c r="F433" s="17">
        <f t="shared" si="21"/>
        <v>2.2727272727272707E-2</v>
      </c>
      <c r="G433" s="17">
        <f t="shared" si="21"/>
        <v>3.4043538675312623E-2</v>
      </c>
      <c r="H433" s="14">
        <f t="shared" si="22"/>
        <v>2.385095513930445E-2</v>
      </c>
      <c r="I433" s="39">
        <f t="shared" si="23"/>
        <v>1.3227513227513227E-3</v>
      </c>
      <c r="J433" s="42">
        <v>2.1865889212828726E-3</v>
      </c>
      <c r="K433" s="88">
        <v>2.3584905660376521E-3</v>
      </c>
      <c r="L433" s="42">
        <v>2.944423997055523E-3</v>
      </c>
      <c r="M433" s="43">
        <v>2.6292155570831095E-3</v>
      </c>
      <c r="Q433" s="2"/>
      <c r="R433" s="24"/>
      <c r="S433" s="24"/>
      <c r="T433" s="24"/>
    </row>
    <row r="434" spans="1:20" x14ac:dyDescent="0.25">
      <c r="A434" s="2">
        <v>44777</v>
      </c>
      <c r="B434" s="20">
        <v>3000</v>
      </c>
      <c r="C434" s="20">
        <v>308</v>
      </c>
      <c r="D434" s="20">
        <v>8636</v>
      </c>
      <c r="E434" s="17">
        <f t="shared" si="21"/>
        <v>2.1798365122615904E-2</v>
      </c>
      <c r="F434" s="17">
        <f t="shared" si="21"/>
        <v>-1.2820512820512775E-2</v>
      </c>
      <c r="G434" s="17">
        <f t="shared" si="21"/>
        <v>1.4806110458284394E-2</v>
      </c>
      <c r="H434" s="14">
        <f t="shared" si="22"/>
        <v>1.4598594492364071E-2</v>
      </c>
      <c r="I434" s="39">
        <f t="shared" si="23"/>
        <v>1.3227513227513227E-3</v>
      </c>
      <c r="J434" s="42">
        <v>2.2271714922048602E-3</v>
      </c>
      <c r="K434" s="88">
        <v>2.3584905660376521E-3</v>
      </c>
      <c r="L434" s="42">
        <v>2.9533372711163519E-3</v>
      </c>
      <c r="M434" s="43">
        <v>2.7210673023333135E-3</v>
      </c>
      <c r="Q434" s="2"/>
      <c r="R434" s="24"/>
      <c r="S434" s="24"/>
      <c r="T434" s="24"/>
    </row>
    <row r="435" spans="1:20" x14ac:dyDescent="0.25">
      <c r="A435" s="2">
        <v>44776</v>
      </c>
      <c r="B435" s="20">
        <v>2936</v>
      </c>
      <c r="C435" s="20">
        <v>312</v>
      </c>
      <c r="D435" s="20">
        <v>8510</v>
      </c>
      <c r="E435" s="17">
        <f t="shared" si="21"/>
        <v>1.6620498614958512E-2</v>
      </c>
      <c r="F435" s="17">
        <f t="shared" si="21"/>
        <v>0</v>
      </c>
      <c r="G435" s="17">
        <f t="shared" si="21"/>
        <v>1.9650131799664461E-2</v>
      </c>
      <c r="H435" s="14">
        <f t="shared" si="22"/>
        <v>1.8350903051529779E-2</v>
      </c>
      <c r="I435" s="39">
        <f t="shared" si="23"/>
        <v>1.3227513227513227E-3</v>
      </c>
      <c r="J435" s="42">
        <v>2.2539444027047661E-3</v>
      </c>
      <c r="K435" s="88">
        <v>2.3584905660376521E-3</v>
      </c>
      <c r="L435" s="42">
        <v>2.9989094874591782E-3</v>
      </c>
      <c r="M435" s="43">
        <v>2.7675922371431945E-3</v>
      </c>
      <c r="Q435" s="2"/>
      <c r="R435" s="24"/>
      <c r="S435" s="24"/>
      <c r="T435" s="24"/>
    </row>
    <row r="436" spans="1:20" x14ac:dyDescent="0.25">
      <c r="A436" s="2">
        <v>44775</v>
      </c>
      <c r="B436" s="20">
        <v>2888</v>
      </c>
      <c r="C436" s="20">
        <v>312</v>
      </c>
      <c r="D436" s="20">
        <v>8346</v>
      </c>
      <c r="E436" s="17">
        <f t="shared" si="21"/>
        <v>-7.5601374570446467E-3</v>
      </c>
      <c r="F436" s="17">
        <f t="shared" si="21"/>
        <v>-3.1948881789137795E-3</v>
      </c>
      <c r="G436" s="17">
        <f t="shared" si="21"/>
        <v>-4.0572792362768562E-3</v>
      </c>
      <c r="H436" s="14">
        <f t="shared" si="22"/>
        <v>-4.5234491162897197E-3</v>
      </c>
      <c r="I436" s="39">
        <f t="shared" si="23"/>
        <v>1.3227513227513227E-3</v>
      </c>
      <c r="J436" s="42">
        <v>2.2607385079125297E-3</v>
      </c>
      <c r="K436" s="88">
        <v>2.3584905660376521E-3</v>
      </c>
      <c r="L436" s="42">
        <v>3.1012122920777152E-3</v>
      </c>
      <c r="M436" s="43">
        <v>2.8000268536130272E-3</v>
      </c>
      <c r="Q436" s="2"/>
      <c r="R436" s="24"/>
      <c r="S436" s="24"/>
      <c r="T436" s="24"/>
    </row>
    <row r="437" spans="1:20" x14ac:dyDescent="0.25">
      <c r="A437" s="2">
        <v>44774</v>
      </c>
      <c r="B437" s="20">
        <v>2910</v>
      </c>
      <c r="C437" s="20">
        <v>313</v>
      </c>
      <c r="D437" s="20">
        <v>8380</v>
      </c>
      <c r="E437" s="17">
        <f t="shared" si="21"/>
        <v>1.3764624913970014E-3</v>
      </c>
      <c r="F437" s="17">
        <f t="shared" si="21"/>
        <v>1.6000000000000458E-3</v>
      </c>
      <c r="G437" s="17">
        <f t="shared" si="21"/>
        <v>3.2019704433497553E-2</v>
      </c>
      <c r="H437" s="14">
        <f t="shared" si="22"/>
        <v>2.6273787525276829E-2</v>
      </c>
      <c r="I437" s="39">
        <f t="shared" si="23"/>
        <v>1.3227513227513227E-3</v>
      </c>
      <c r="J437" s="42">
        <v>2.2727272727272041E-3</v>
      </c>
      <c r="K437" s="88">
        <v>2.3640661938533203E-3</v>
      </c>
      <c r="L437" s="42">
        <v>3.2444959443800325E-3</v>
      </c>
      <c r="M437" s="43">
        <v>2.8379497339168394E-3</v>
      </c>
      <c r="Q437" s="2"/>
      <c r="R437" s="24"/>
      <c r="S437" s="24"/>
      <c r="T437" s="24"/>
    </row>
    <row r="438" spans="1:20" x14ac:dyDescent="0.25">
      <c r="A438" s="2">
        <v>44771</v>
      </c>
      <c r="B438" s="20">
        <v>2906</v>
      </c>
      <c r="C438" s="29">
        <v>312.5</v>
      </c>
      <c r="D438" s="20">
        <v>8120</v>
      </c>
      <c r="E438" s="17">
        <f t="shared" si="21"/>
        <v>9.0277777777778567E-3</v>
      </c>
      <c r="F438" s="17">
        <f t="shared" si="21"/>
        <v>8.0645161290322509E-3</v>
      </c>
      <c r="G438" s="17">
        <f t="shared" si="21"/>
        <v>2.7068049582595455E-2</v>
      </c>
      <c r="H438" s="14">
        <f t="shared" si="22"/>
        <v>2.3637217224719894E-2</v>
      </c>
      <c r="I438" s="39">
        <f t="shared" si="23"/>
        <v>1.3227513227513227E-3</v>
      </c>
      <c r="J438" s="42">
        <v>2.2970903522205877E-3</v>
      </c>
      <c r="K438" s="88">
        <v>2.3668639053253671E-3</v>
      </c>
      <c r="L438" s="42">
        <v>3.2527881040891327E-3</v>
      </c>
      <c r="M438" s="43">
        <v>2.8566055047187285E-3</v>
      </c>
      <c r="Q438" s="2"/>
      <c r="R438" s="24"/>
      <c r="S438" s="24"/>
      <c r="T438" s="24"/>
    </row>
    <row r="439" spans="1:20" x14ac:dyDescent="0.25">
      <c r="A439" s="2">
        <v>44770</v>
      </c>
      <c r="B439" s="20">
        <v>2880</v>
      </c>
      <c r="C439" s="20">
        <v>310</v>
      </c>
      <c r="D439" s="20">
        <v>7906</v>
      </c>
      <c r="E439" s="17">
        <f t="shared" si="21"/>
        <v>1.7667844522968101E-2</v>
      </c>
      <c r="F439" s="17">
        <f t="shared" si="21"/>
        <v>-1.7432646592709933E-2</v>
      </c>
      <c r="G439" s="17">
        <f t="shared" si="21"/>
        <v>5.0620096178177754E-4</v>
      </c>
      <c r="H439" s="14">
        <f t="shared" si="22"/>
        <v>2.1876488156694863E-3</v>
      </c>
      <c r="I439" s="39">
        <f t="shared" si="23"/>
        <v>1.3227513227513227E-3</v>
      </c>
      <c r="J439" s="42">
        <v>2.3059185242122471E-3</v>
      </c>
      <c r="K439" s="88">
        <v>2.3696682464455776E-3</v>
      </c>
      <c r="L439" s="42">
        <v>3.3222591362125353E-3</v>
      </c>
      <c r="M439" s="43">
        <v>2.880776214031904E-3</v>
      </c>
      <c r="Q439" s="2"/>
      <c r="R439" s="24"/>
      <c r="S439" s="24"/>
      <c r="T439" s="24"/>
    </row>
    <row r="440" spans="1:20" x14ac:dyDescent="0.25">
      <c r="A440" s="2">
        <v>44769</v>
      </c>
      <c r="B440" s="20">
        <v>2830</v>
      </c>
      <c r="C440" s="29">
        <v>315.5</v>
      </c>
      <c r="D440" s="20">
        <v>7902</v>
      </c>
      <c r="E440" s="17">
        <f t="shared" si="21"/>
        <v>1.2884753042233354E-2</v>
      </c>
      <c r="F440" s="17">
        <f t="shared" si="21"/>
        <v>-7.8616352201258399E-3</v>
      </c>
      <c r="G440" s="17">
        <f t="shared" si="21"/>
        <v>6.1115355233001267E-3</v>
      </c>
      <c r="H440" s="14">
        <f t="shared" si="22"/>
        <v>6.4723233196378408E-3</v>
      </c>
      <c r="I440" s="39">
        <f t="shared" si="23"/>
        <v>1.3227513227513227E-3</v>
      </c>
      <c r="J440" s="42">
        <v>2.3980815347721673E-3</v>
      </c>
      <c r="K440" s="88">
        <v>2.3752969121140222E-3</v>
      </c>
      <c r="L440" s="42">
        <v>3.3546813052760527E-3</v>
      </c>
      <c r="M440" s="43">
        <v>2.9911837777555541E-3</v>
      </c>
      <c r="Q440" s="2"/>
      <c r="R440" s="24"/>
      <c r="S440" s="24"/>
      <c r="T440" s="24"/>
    </row>
    <row r="441" spans="1:20" x14ac:dyDescent="0.25">
      <c r="A441" s="2">
        <v>44768</v>
      </c>
      <c r="B441" s="20">
        <v>2794</v>
      </c>
      <c r="C441" s="20">
        <v>318</v>
      </c>
      <c r="D441" s="20">
        <v>7854</v>
      </c>
      <c r="E441" s="17">
        <f t="shared" si="21"/>
        <v>-1.6197183098591528E-2</v>
      </c>
      <c r="F441" s="17">
        <f t="shared" si="21"/>
        <v>-6.2499999999999778E-3</v>
      </c>
      <c r="G441" s="17">
        <f t="shared" si="21"/>
        <v>-3.7264035302770337E-2</v>
      </c>
      <c r="H441" s="14">
        <f t="shared" si="22"/>
        <v>-3.2870037389501443E-2</v>
      </c>
      <c r="I441" s="39">
        <f t="shared" si="23"/>
        <v>1.3227513227513227E-3</v>
      </c>
      <c r="J441" s="42">
        <v>2.4999999999999467E-3</v>
      </c>
      <c r="K441" s="88">
        <v>2.3809523809523725E-3</v>
      </c>
      <c r="L441" s="42">
        <v>3.4055727554178628E-3</v>
      </c>
      <c r="M441" s="43">
        <v>3.0521370780916572E-3</v>
      </c>
      <c r="Q441" s="2"/>
      <c r="R441" s="24"/>
      <c r="S441" s="24"/>
      <c r="T441" s="24"/>
    </row>
    <row r="442" spans="1:20" x14ac:dyDescent="0.25">
      <c r="A442" s="2">
        <v>44767</v>
      </c>
      <c r="B442" s="20">
        <v>2840</v>
      </c>
      <c r="C442" s="20">
        <v>320</v>
      </c>
      <c r="D442" s="20">
        <v>8158</v>
      </c>
      <c r="E442" s="17">
        <f t="shared" si="21"/>
        <v>-3.0054644808743203E-2</v>
      </c>
      <c r="F442" s="17">
        <f t="shared" si="21"/>
        <v>-1.3867488443759624E-2</v>
      </c>
      <c r="G442" s="17">
        <f t="shared" si="21"/>
        <v>1.9651191353475816E-3</v>
      </c>
      <c r="H442" s="14">
        <f t="shared" si="22"/>
        <v>-3.3380376426145383E-3</v>
      </c>
      <c r="I442" s="39">
        <f t="shared" si="23"/>
        <v>1.3227513227513227E-3</v>
      </c>
      <c r="J442" s="42">
        <v>2.5273799494522908E-3</v>
      </c>
      <c r="K442" s="88">
        <v>2.3866348448686736E-3</v>
      </c>
      <c r="L442" s="42">
        <v>3.4567901234567877E-3</v>
      </c>
      <c r="M442" s="43">
        <v>3.0619540964076583E-3</v>
      </c>
      <c r="Q442" s="2"/>
      <c r="R442" s="24"/>
      <c r="S442" s="24"/>
      <c r="T442" s="24"/>
    </row>
    <row r="443" spans="1:20" x14ac:dyDescent="0.25">
      <c r="A443" s="2">
        <v>44764</v>
      </c>
      <c r="B443" s="20">
        <v>2928</v>
      </c>
      <c r="C443" s="29">
        <v>324.5</v>
      </c>
      <c r="D443" s="20">
        <v>8142</v>
      </c>
      <c r="E443" s="17">
        <f t="shared" si="21"/>
        <v>1.3850415512465464E-2</v>
      </c>
      <c r="F443" s="17">
        <f t="shared" si="21"/>
        <v>4.6439628482972672E-3</v>
      </c>
      <c r="G443" s="17">
        <f t="shared" si="21"/>
        <v>1.2686567164179152E-2</v>
      </c>
      <c r="H443" s="14">
        <f t="shared" si="22"/>
        <v>1.2500715962605873E-2</v>
      </c>
      <c r="I443" s="39">
        <f t="shared" si="23"/>
        <v>1.3227513227513227E-3</v>
      </c>
      <c r="J443" s="42">
        <v>2.6041666666667407E-3</v>
      </c>
      <c r="K443" s="88">
        <v>2.4096385542169418E-3</v>
      </c>
      <c r="L443" s="42">
        <v>3.4762456546928444E-3</v>
      </c>
      <c r="M443" s="43">
        <v>3.1580122972959578E-3</v>
      </c>
      <c r="Q443" s="2"/>
      <c r="R443" s="24"/>
      <c r="S443" s="24"/>
      <c r="T443" s="24"/>
    </row>
    <row r="444" spans="1:20" x14ac:dyDescent="0.25">
      <c r="A444" s="2">
        <v>44763</v>
      </c>
      <c r="B444" s="20">
        <v>2888</v>
      </c>
      <c r="C444" s="20">
        <v>323</v>
      </c>
      <c r="D444" s="20">
        <v>8040</v>
      </c>
      <c r="E444" s="17">
        <f t="shared" si="21"/>
        <v>3.7356321839080442E-2</v>
      </c>
      <c r="F444" s="17">
        <f t="shared" si="21"/>
        <v>1.2539184952978122E-2</v>
      </c>
      <c r="G444" s="17">
        <f t="shared" si="21"/>
        <v>4.7488127968007277E-3</v>
      </c>
      <c r="H444" s="14">
        <f t="shared" si="22"/>
        <v>9.7832341259892885E-3</v>
      </c>
      <c r="I444" s="39">
        <f t="shared" si="23"/>
        <v>1.3227513227513227E-3</v>
      </c>
      <c r="J444" s="42">
        <v>2.6064291920069316E-3</v>
      </c>
      <c r="K444" s="88">
        <v>2.4154589371980784E-3</v>
      </c>
      <c r="L444" s="42">
        <v>3.4850795033760651E-3</v>
      </c>
      <c r="M444" s="43">
        <v>3.1997872426038944E-3</v>
      </c>
      <c r="Q444" s="2"/>
      <c r="R444" s="24"/>
      <c r="S444" s="24"/>
      <c r="T444" s="24"/>
    </row>
    <row r="445" spans="1:20" x14ac:dyDescent="0.25">
      <c r="A445" s="2">
        <v>44762</v>
      </c>
      <c r="B445" s="20">
        <v>2784</v>
      </c>
      <c r="C445" s="20">
        <v>319</v>
      </c>
      <c r="D445" s="20">
        <v>8002</v>
      </c>
      <c r="E445" s="17">
        <f t="shared" si="21"/>
        <v>-8.4812623274161725E-2</v>
      </c>
      <c r="F445" s="17">
        <f t="shared" si="21"/>
        <v>2.4077046548956593E-2</v>
      </c>
      <c r="G445" s="17">
        <f t="shared" si="21"/>
        <v>1.501877346683278E-3</v>
      </c>
      <c r="H445" s="14">
        <f t="shared" si="22"/>
        <v>-9.926887406280744E-3</v>
      </c>
      <c r="I445" s="39">
        <f t="shared" si="23"/>
        <v>1.3227513227513227E-3</v>
      </c>
      <c r="J445" s="42">
        <v>2.7027027027026751E-3</v>
      </c>
      <c r="K445" s="88">
        <v>2.4242424242424399E-3</v>
      </c>
      <c r="L445" s="42">
        <v>3.4883720930232176E-3</v>
      </c>
      <c r="M445" s="43">
        <v>3.2264678122759173E-3</v>
      </c>
      <c r="Q445" s="2"/>
      <c r="R445" s="24"/>
      <c r="S445" s="24"/>
      <c r="T445" s="24"/>
    </row>
    <row r="446" spans="1:20" x14ac:dyDescent="0.25">
      <c r="A446" s="2">
        <v>44761</v>
      </c>
      <c r="B446" s="20">
        <v>3042</v>
      </c>
      <c r="C446" s="29">
        <v>311.5</v>
      </c>
      <c r="D446" s="20">
        <v>7990</v>
      </c>
      <c r="E446" s="17">
        <f t="shared" si="21"/>
        <v>7.2847682119205892E-3</v>
      </c>
      <c r="F446" s="17">
        <f t="shared" si="21"/>
        <v>-9.5389507154213238E-3</v>
      </c>
      <c r="G446" s="17">
        <f t="shared" si="21"/>
        <v>-7.9463620561212034E-3</v>
      </c>
      <c r="H446" s="14">
        <f t="shared" si="22"/>
        <v>-5.824589212665183E-3</v>
      </c>
      <c r="I446" s="39">
        <f t="shared" si="23"/>
        <v>1.3227513227513227E-3</v>
      </c>
      <c r="J446" s="42">
        <v>2.7662517289073207E-3</v>
      </c>
      <c r="K446" s="88">
        <v>2.4360535931791105E-3</v>
      </c>
      <c r="L446" s="42">
        <v>3.4989503149054357E-3</v>
      </c>
      <c r="M446" s="43">
        <v>3.2718647437915823E-3</v>
      </c>
      <c r="Q446" s="2"/>
      <c r="R446" s="24"/>
      <c r="S446" s="24"/>
      <c r="T446" s="24"/>
    </row>
    <row r="447" spans="1:20" x14ac:dyDescent="0.25">
      <c r="A447" s="2">
        <v>44760</v>
      </c>
      <c r="B447" s="20">
        <v>3020</v>
      </c>
      <c r="C447" s="29">
        <v>314.5</v>
      </c>
      <c r="D447" s="20">
        <v>8054</v>
      </c>
      <c r="E447" s="17">
        <f t="shared" si="21"/>
        <v>2.5815217391304435E-2</v>
      </c>
      <c r="F447" s="17">
        <f t="shared" si="21"/>
        <v>3.1147540983606614E-2</v>
      </c>
      <c r="G447" s="17">
        <f t="shared" si="21"/>
        <v>-8.6164451009355103E-3</v>
      </c>
      <c r="H447" s="14">
        <f t="shared" si="22"/>
        <v>-1.9148671766722764E-3</v>
      </c>
      <c r="I447" s="39">
        <f t="shared" si="23"/>
        <v>1.3227513227513227E-3</v>
      </c>
      <c r="J447" s="42">
        <v>2.7662517289073207E-3</v>
      </c>
      <c r="K447" s="88">
        <v>2.4420024420024333E-3</v>
      </c>
      <c r="L447" s="42">
        <v>3.5199999999999676E-3</v>
      </c>
      <c r="M447" s="43">
        <v>3.2963536459592871E-3</v>
      </c>
      <c r="Q447" s="2"/>
      <c r="R447" s="24"/>
      <c r="S447" s="24"/>
      <c r="T447" s="24"/>
    </row>
    <row r="448" spans="1:20" x14ac:dyDescent="0.25">
      <c r="A448" s="2">
        <v>44757</v>
      </c>
      <c r="B448" s="20">
        <v>2944</v>
      </c>
      <c r="C448" s="20">
        <v>305</v>
      </c>
      <c r="D448" s="20">
        <v>8124</v>
      </c>
      <c r="E448" s="17">
        <f t="shared" si="21"/>
        <v>1.5172413793103523E-2</v>
      </c>
      <c r="F448" s="17">
        <f t="shared" si="21"/>
        <v>1.6666666666666607E-2</v>
      </c>
      <c r="G448" s="17">
        <f t="shared" si="21"/>
        <v>1.5500000000000069E-2</v>
      </c>
      <c r="H448" s="14">
        <f t="shared" si="22"/>
        <v>1.5504114753029992E-2</v>
      </c>
      <c r="I448" s="39">
        <f t="shared" si="23"/>
        <v>1.3227513227513227E-3</v>
      </c>
      <c r="J448" s="42">
        <v>2.7662517289073207E-3</v>
      </c>
      <c r="K448" s="88">
        <v>2.4721878862794533E-3</v>
      </c>
      <c r="L448" s="42">
        <v>3.6036036036035668E-3</v>
      </c>
      <c r="M448" s="43">
        <v>3.4554712760797288E-3</v>
      </c>
      <c r="Q448" s="2"/>
      <c r="R448" s="24"/>
      <c r="S448" s="24"/>
      <c r="T448" s="24"/>
    </row>
    <row r="449" spans="1:20" x14ac:dyDescent="0.25">
      <c r="A449" s="2">
        <v>44756</v>
      </c>
      <c r="B449" s="20">
        <v>2900</v>
      </c>
      <c r="C449" s="20">
        <v>300</v>
      </c>
      <c r="D449" s="20">
        <v>8000</v>
      </c>
      <c r="E449" s="17">
        <f t="shared" si="21"/>
        <v>2.1846370683580085E-2</v>
      </c>
      <c r="F449" s="17">
        <f t="shared" si="21"/>
        <v>-4.4585987261146487E-2</v>
      </c>
      <c r="G449" s="17">
        <f t="shared" si="21"/>
        <v>0</v>
      </c>
      <c r="H449" s="14">
        <f t="shared" si="22"/>
        <v>1.1849125272613906E-3</v>
      </c>
      <c r="I449" s="39">
        <f t="shared" si="23"/>
        <v>1.3227513227513227E-3</v>
      </c>
      <c r="J449" s="42">
        <v>2.7662517289073207E-3</v>
      </c>
      <c r="K449" s="88">
        <v>2.4937655860348684E-3</v>
      </c>
      <c r="L449" s="42">
        <v>3.6312849162010163E-3</v>
      </c>
      <c r="M449" s="43">
        <v>3.4958388108318936E-3</v>
      </c>
      <c r="Q449" s="2"/>
      <c r="R449" s="24"/>
      <c r="S449" s="24"/>
      <c r="T449" s="24"/>
    </row>
    <row r="450" spans="1:20" x14ac:dyDescent="0.25">
      <c r="A450" s="2">
        <v>44755</v>
      </c>
      <c r="B450" s="20">
        <v>2838</v>
      </c>
      <c r="C450" s="20">
        <v>314</v>
      </c>
      <c r="D450" s="20">
        <v>8000</v>
      </c>
      <c r="E450" s="17">
        <f t="shared" si="21"/>
        <v>-2.8109627547434624E-3</v>
      </c>
      <c r="F450" s="17">
        <f t="shared" si="21"/>
        <v>-9.4637223974763929E-3</v>
      </c>
      <c r="G450" s="17">
        <f t="shared" si="21"/>
        <v>0</v>
      </c>
      <c r="H450" s="14">
        <f t="shared" si="22"/>
        <v>-8.20253469757397E-4</v>
      </c>
      <c r="I450" s="39">
        <f t="shared" si="23"/>
        <v>1.3227513227513227E-3</v>
      </c>
      <c r="J450" s="42">
        <v>2.8208744710860323E-3</v>
      </c>
      <c r="K450" s="88">
        <v>2.5575447570331811E-3</v>
      </c>
      <c r="L450" s="42">
        <v>3.6706869428422273E-3</v>
      </c>
      <c r="M450" s="43">
        <v>3.5004587430416626E-3</v>
      </c>
      <c r="Q450" s="2"/>
      <c r="R450" s="24"/>
      <c r="S450" s="24"/>
      <c r="T450" s="24"/>
    </row>
    <row r="451" spans="1:20" x14ac:dyDescent="0.25">
      <c r="A451" s="2">
        <v>44754</v>
      </c>
      <c r="B451" s="20">
        <v>2846</v>
      </c>
      <c r="C451" s="20">
        <v>317</v>
      </c>
      <c r="D451" s="20">
        <v>8000</v>
      </c>
      <c r="E451" s="17">
        <f t="shared" si="21"/>
        <v>-9.0529247910863253E-3</v>
      </c>
      <c r="F451" s="17">
        <f t="shared" si="21"/>
        <v>-3.6474164133738607E-2</v>
      </c>
      <c r="G451" s="17">
        <f t="shared" si="21"/>
        <v>-1.9367492032360878E-2</v>
      </c>
      <c r="H451" s="14">
        <f t="shared" si="22"/>
        <v>-1.8634769804735257E-2</v>
      </c>
      <c r="I451" s="39">
        <f t="shared" si="23"/>
        <v>1.3227513227513227E-3</v>
      </c>
      <c r="J451" s="42">
        <v>2.8368794326241176E-3</v>
      </c>
      <c r="K451" s="88">
        <v>2.5575447570331811E-3</v>
      </c>
      <c r="L451" s="42">
        <v>3.714285714285781E-3</v>
      </c>
      <c r="M451" s="43">
        <v>3.5432866928902665E-3</v>
      </c>
      <c r="Q451" s="2"/>
      <c r="R451" s="24"/>
      <c r="S451" s="24"/>
      <c r="T451" s="24"/>
    </row>
    <row r="452" spans="1:20" x14ac:dyDescent="0.25">
      <c r="A452" s="2">
        <v>44753</v>
      </c>
      <c r="B452" s="20">
        <v>2872</v>
      </c>
      <c r="C452" s="20">
        <v>329</v>
      </c>
      <c r="D452" s="20">
        <v>8158</v>
      </c>
      <c r="E452" s="17">
        <f t="shared" si="21"/>
        <v>-1.4413177762525708E-2</v>
      </c>
      <c r="F452" s="17">
        <f t="shared" si="21"/>
        <v>3.0487804878047697E-3</v>
      </c>
      <c r="G452" s="17">
        <f t="shared" si="21"/>
        <v>-3.6835891381345909E-2</v>
      </c>
      <c r="H452" s="14">
        <f t="shared" si="22"/>
        <v>-3.1857082471440069E-2</v>
      </c>
      <c r="I452" s="39">
        <f t="shared" si="23"/>
        <v>1.3227513227513227E-3</v>
      </c>
      <c r="J452" s="42">
        <v>2.8388928317955031E-3</v>
      </c>
      <c r="K452" s="88">
        <v>2.580645161290418E-3</v>
      </c>
      <c r="L452" s="42">
        <v>3.7348272642390157E-3</v>
      </c>
      <c r="M452" s="43">
        <v>3.6051775024378892E-3</v>
      </c>
      <c r="Q452" s="2"/>
      <c r="R452" s="24"/>
      <c r="S452" s="24"/>
      <c r="T452" s="24"/>
    </row>
    <row r="453" spans="1:20" x14ac:dyDescent="0.25">
      <c r="A453" s="2">
        <v>44750</v>
      </c>
      <c r="B453" s="20">
        <v>2914</v>
      </c>
      <c r="C453" s="20">
        <v>328</v>
      </c>
      <c r="D453" s="20">
        <v>8470</v>
      </c>
      <c r="E453" s="17">
        <f t="shared" si="21"/>
        <v>9.0027700831025737E-3</v>
      </c>
      <c r="F453" s="17">
        <f t="shared" si="21"/>
        <v>-7.5642965204235635E-3</v>
      </c>
      <c r="G453" s="17">
        <f t="shared" si="21"/>
        <v>1.0739856801909253E-2</v>
      </c>
      <c r="H453" s="14">
        <f t="shared" si="22"/>
        <v>9.6857551554620711E-3</v>
      </c>
      <c r="I453" s="39">
        <f t="shared" si="23"/>
        <v>1.3227513227513227E-3</v>
      </c>
      <c r="J453" s="42">
        <v>2.855103497501732E-3</v>
      </c>
      <c r="K453" s="88">
        <v>2.6041666666667407E-3</v>
      </c>
      <c r="L453" s="42">
        <v>3.780718336483968E-3</v>
      </c>
      <c r="M453" s="43">
        <v>3.6526983395541411E-3</v>
      </c>
      <c r="Q453" s="2"/>
      <c r="R453" s="24"/>
      <c r="S453" s="24"/>
      <c r="T453" s="24"/>
    </row>
    <row r="454" spans="1:20" x14ac:dyDescent="0.25">
      <c r="A454" s="2">
        <v>44749</v>
      </c>
      <c r="B454" s="20">
        <v>2888</v>
      </c>
      <c r="C454" s="29">
        <v>330.5</v>
      </c>
      <c r="D454" s="20">
        <v>8380</v>
      </c>
      <c r="E454" s="17">
        <f t="shared" ref="E454:G517" si="24">+B454/B455-1</f>
        <v>-4.8242591316333128E-3</v>
      </c>
      <c r="F454" s="17">
        <f t="shared" si="24"/>
        <v>3.2812499999999911E-2</v>
      </c>
      <c r="G454" s="17">
        <f t="shared" si="24"/>
        <v>2.7212552096101961E-2</v>
      </c>
      <c r="H454" s="14">
        <f t="shared" ref="H454:H517" si="25">+SUMPRODUCT(E454:G454,$K$9:$M$9)</f>
        <v>2.2848516362535154E-2</v>
      </c>
      <c r="I454" s="39">
        <f t="shared" si="23"/>
        <v>1.3227513227513227E-3</v>
      </c>
      <c r="J454" s="42">
        <v>2.8612303290413976E-3</v>
      </c>
      <c r="K454" s="88">
        <v>2.6041666666667407E-3</v>
      </c>
      <c r="L454" s="42">
        <v>3.9670430271590007E-3</v>
      </c>
      <c r="M454" s="43">
        <v>3.6984051475389889E-3</v>
      </c>
      <c r="Q454" s="2"/>
      <c r="R454" s="24"/>
      <c r="S454" s="24"/>
      <c r="T454" s="24"/>
    </row>
    <row r="455" spans="1:20" x14ac:dyDescent="0.25">
      <c r="A455" s="2">
        <v>44748</v>
      </c>
      <c r="B455" s="20">
        <v>2902</v>
      </c>
      <c r="C455" s="20">
        <v>320</v>
      </c>
      <c r="D455" s="20">
        <v>8158</v>
      </c>
      <c r="E455" s="17">
        <f t="shared" si="24"/>
        <v>-1.0231923601637161E-2</v>
      </c>
      <c r="F455" s="17">
        <f t="shared" si="24"/>
        <v>-1.538461538461533E-2</v>
      </c>
      <c r="G455" s="17">
        <f t="shared" si="24"/>
        <v>7.360157016682578E-4</v>
      </c>
      <c r="H455" s="14">
        <f t="shared" si="25"/>
        <v>-1.550466337572026E-3</v>
      </c>
      <c r="I455" s="39">
        <f t="shared" si="23"/>
        <v>1.3227513227513227E-3</v>
      </c>
      <c r="J455" s="42">
        <v>2.9175784099197966E-3</v>
      </c>
      <c r="K455" s="88">
        <v>2.6178010471205049E-3</v>
      </c>
      <c r="L455" s="42">
        <v>3.9936102236421966E-3</v>
      </c>
      <c r="M455" s="43">
        <v>3.7125584857559931E-3</v>
      </c>
      <c r="Q455" s="2"/>
      <c r="R455" s="24"/>
      <c r="S455" s="24"/>
      <c r="T455" s="24"/>
    </row>
    <row r="456" spans="1:20" x14ac:dyDescent="0.25">
      <c r="A456" s="2">
        <v>44747</v>
      </c>
      <c r="B456" s="20">
        <v>2932</v>
      </c>
      <c r="C456" s="20">
        <v>325</v>
      </c>
      <c r="D456" s="20">
        <v>8152</v>
      </c>
      <c r="E456" s="17">
        <f t="shared" si="24"/>
        <v>-6.1016949152542521E-3</v>
      </c>
      <c r="F456" s="17">
        <f t="shared" si="24"/>
        <v>-2.4024024024024038E-2</v>
      </c>
      <c r="G456" s="17">
        <f t="shared" si="24"/>
        <v>-4.4762127958753228E-2</v>
      </c>
      <c r="H456" s="14">
        <f t="shared" si="25"/>
        <v>-3.8287880109170766E-2</v>
      </c>
      <c r="I456" s="39">
        <f t="shared" si="23"/>
        <v>1.3227513227513227E-3</v>
      </c>
      <c r="J456" s="42">
        <v>2.9261155815654138E-3</v>
      </c>
      <c r="K456" s="88">
        <v>2.6595744680850686E-3</v>
      </c>
      <c r="L456" s="42">
        <v>4.0650406504065817E-3</v>
      </c>
      <c r="M456" s="43">
        <v>3.7518569918686055E-3</v>
      </c>
      <c r="Q456" s="2"/>
      <c r="R456" s="24"/>
      <c r="S456" s="24"/>
      <c r="T456" s="24"/>
    </row>
    <row r="457" spans="1:20" x14ac:dyDescent="0.25">
      <c r="A457" s="2">
        <v>44746</v>
      </c>
      <c r="B457" s="20">
        <v>2950</v>
      </c>
      <c r="C457" s="20">
        <v>333</v>
      </c>
      <c r="D457" s="20">
        <v>8534</v>
      </c>
      <c r="E457" s="17">
        <f t="shared" si="24"/>
        <v>1.3049450549450503E-2</v>
      </c>
      <c r="F457" s="17">
        <f t="shared" si="24"/>
        <v>3.4161490683229712E-2</v>
      </c>
      <c r="G457" s="17">
        <f t="shared" si="24"/>
        <v>1.7163289630512502E-2</v>
      </c>
      <c r="H457" s="14">
        <f t="shared" si="25"/>
        <v>1.7318078182749507E-2</v>
      </c>
      <c r="I457" s="39">
        <f t="shared" si="23"/>
        <v>1.3227513227513227E-3</v>
      </c>
      <c r="J457" s="42">
        <v>2.9390154298309934E-3</v>
      </c>
      <c r="K457" s="88">
        <v>2.673796791443861E-3</v>
      </c>
      <c r="L457" s="42">
        <v>4.0770941438101893E-3</v>
      </c>
      <c r="M457" s="43">
        <v>3.7777182734701304E-3</v>
      </c>
      <c r="Q457" s="2"/>
      <c r="R457" s="24"/>
      <c r="S457" s="24"/>
      <c r="T457" s="24"/>
    </row>
    <row r="458" spans="1:20" x14ac:dyDescent="0.25">
      <c r="A458" s="2">
        <v>44743</v>
      </c>
      <c r="B458" s="20">
        <v>2912</v>
      </c>
      <c r="C458" s="20">
        <v>322</v>
      </c>
      <c r="D458" s="20">
        <v>8390</v>
      </c>
      <c r="E458" s="17">
        <f t="shared" si="24"/>
        <v>-2.0562028786840214E-3</v>
      </c>
      <c r="F458" s="17">
        <f t="shared" si="24"/>
        <v>6.2500000000000888E-3</v>
      </c>
      <c r="G458" s="17">
        <f t="shared" si="24"/>
        <v>-3.7995725480883813E-3</v>
      </c>
      <c r="H458" s="14">
        <f t="shared" si="25"/>
        <v>-3.1072066887021547E-3</v>
      </c>
      <c r="I458" s="39">
        <f t="shared" si="23"/>
        <v>1.3227513227513227E-3</v>
      </c>
      <c r="J458" s="42">
        <v>2.9411764705882248E-3</v>
      </c>
      <c r="K458" s="88">
        <v>2.7855153203342198E-3</v>
      </c>
      <c r="L458" s="42">
        <v>4.1249263406011316E-3</v>
      </c>
      <c r="M458" s="43">
        <v>3.8189003034476664E-3</v>
      </c>
      <c r="Q458" s="2"/>
      <c r="R458" s="24"/>
      <c r="S458" s="24"/>
      <c r="T458" s="24"/>
    </row>
    <row r="459" spans="1:20" x14ac:dyDescent="0.25">
      <c r="A459" s="2">
        <v>44742</v>
      </c>
      <c r="B459" s="20">
        <v>2918</v>
      </c>
      <c r="C459" s="20">
        <v>320</v>
      </c>
      <c r="D459" s="20">
        <v>8422</v>
      </c>
      <c r="E459" s="17">
        <f t="shared" si="24"/>
        <v>-1.7508417508417473E-2</v>
      </c>
      <c r="F459" s="17">
        <f t="shared" si="24"/>
        <v>6.2893081761006275E-3</v>
      </c>
      <c r="G459" s="17">
        <f t="shared" si="24"/>
        <v>-7.7756833176249041E-3</v>
      </c>
      <c r="H459" s="14">
        <f t="shared" si="25"/>
        <v>-8.5583075659204505E-3</v>
      </c>
      <c r="I459" s="39">
        <f t="shared" si="23"/>
        <v>1.3227513227513227E-3</v>
      </c>
      <c r="J459" s="42">
        <v>3.0395136778116338E-3</v>
      </c>
      <c r="K459" s="88">
        <v>2.9498525073745618E-3</v>
      </c>
      <c r="L459" s="42">
        <v>4.1379310344826781E-3</v>
      </c>
      <c r="M459" s="43">
        <v>3.8529563221079335E-3</v>
      </c>
      <c r="Q459" s="2"/>
      <c r="R459" s="24"/>
      <c r="S459" s="24"/>
      <c r="T459" s="24"/>
    </row>
    <row r="460" spans="1:20" x14ac:dyDescent="0.25">
      <c r="A460" s="2">
        <v>44741</v>
      </c>
      <c r="B460" s="20">
        <v>2970</v>
      </c>
      <c r="C460" s="20">
        <v>318</v>
      </c>
      <c r="D460" s="20">
        <v>8488</v>
      </c>
      <c r="E460" s="17">
        <f t="shared" si="24"/>
        <v>-7.3529411764705621E-3</v>
      </c>
      <c r="F460" s="17">
        <f t="shared" si="24"/>
        <v>-2.3041474654377891E-2</v>
      </c>
      <c r="G460" s="17">
        <f t="shared" si="24"/>
        <v>-2.994285714285716E-2</v>
      </c>
      <c r="H460" s="14">
        <f t="shared" si="25"/>
        <v>-2.6389008528340297E-2</v>
      </c>
      <c r="I460" s="39">
        <f t="shared" si="23"/>
        <v>1.3227513227513227E-3</v>
      </c>
      <c r="J460" s="42">
        <v>3.0674846625766694E-3</v>
      </c>
      <c r="K460" s="88">
        <v>2.9585798816567088E-3</v>
      </c>
      <c r="L460" s="42">
        <v>4.1390728476822236E-3</v>
      </c>
      <c r="M460" s="43">
        <v>3.9660497244799371E-3</v>
      </c>
      <c r="Q460" s="2"/>
      <c r="R460" s="24"/>
      <c r="S460" s="24"/>
      <c r="T460" s="24"/>
    </row>
    <row r="461" spans="1:20" x14ac:dyDescent="0.25">
      <c r="A461" s="2">
        <v>44740</v>
      </c>
      <c r="B461" s="20">
        <v>2992</v>
      </c>
      <c r="C461" s="29">
        <v>325.5</v>
      </c>
      <c r="D461" s="20">
        <v>8750</v>
      </c>
      <c r="E461" s="17">
        <f t="shared" si="24"/>
        <v>2.7472527472527375E-2</v>
      </c>
      <c r="F461" s="17">
        <f t="shared" si="24"/>
        <v>-7.6219512195121464E-3</v>
      </c>
      <c r="G461" s="17">
        <f t="shared" si="24"/>
        <v>3.9439296745070074E-2</v>
      </c>
      <c r="H461" s="14">
        <f t="shared" si="25"/>
        <v>3.564980259028741E-2</v>
      </c>
      <c r="I461" s="39">
        <f t="shared" si="23"/>
        <v>1.3227513227513227E-3</v>
      </c>
      <c r="J461" s="42">
        <v>3.2653061224490187E-3</v>
      </c>
      <c r="K461" s="88">
        <v>3.0165912518853588E-3</v>
      </c>
      <c r="L461" s="42">
        <v>4.1502839667977298E-3</v>
      </c>
      <c r="M461" s="43">
        <v>4.0282845690899393E-3</v>
      </c>
      <c r="Q461" s="2"/>
      <c r="R461" s="24"/>
      <c r="S461" s="24"/>
      <c r="T461" s="24"/>
    </row>
    <row r="462" spans="1:20" x14ac:dyDescent="0.25">
      <c r="A462" s="2">
        <v>44739</v>
      </c>
      <c r="B462" s="20">
        <v>2912</v>
      </c>
      <c r="C462" s="20">
        <v>328</v>
      </c>
      <c r="D462" s="20">
        <v>8418</v>
      </c>
      <c r="E462" s="17">
        <f t="shared" si="24"/>
        <v>-4.784688995215336E-3</v>
      </c>
      <c r="F462" s="17">
        <f t="shared" si="24"/>
        <v>-1.0558069381598756E-2</v>
      </c>
      <c r="G462" s="17">
        <f t="shared" si="24"/>
        <v>2.1428571428572241E-3</v>
      </c>
      <c r="H462" s="14">
        <f t="shared" si="25"/>
        <v>5.880163560593231E-4</v>
      </c>
      <c r="I462" s="39">
        <f t="shared" si="23"/>
        <v>1.3227513227513227E-3</v>
      </c>
      <c r="J462" s="42">
        <v>3.2813781788350038E-3</v>
      </c>
      <c r="K462" s="88">
        <v>3.0487804878047697E-3</v>
      </c>
      <c r="L462" s="42">
        <v>4.2270531400965261E-3</v>
      </c>
      <c r="M462" s="43">
        <v>4.0619841437215497E-3</v>
      </c>
      <c r="Q462" s="2"/>
      <c r="R462" s="24"/>
      <c r="S462" s="24"/>
      <c r="T462" s="24"/>
    </row>
    <row r="463" spans="1:20" x14ac:dyDescent="0.25">
      <c r="A463" s="2">
        <v>44736</v>
      </c>
      <c r="B463" s="20">
        <v>2926</v>
      </c>
      <c r="C463" s="29">
        <v>331.5</v>
      </c>
      <c r="D463" s="20">
        <v>8400</v>
      </c>
      <c r="E463" s="17">
        <f t="shared" si="24"/>
        <v>-1.3651877133106227E-3</v>
      </c>
      <c r="F463" s="17">
        <f t="shared" si="24"/>
        <v>-1.1922503725782407E-2</v>
      </c>
      <c r="G463" s="17">
        <f t="shared" si="24"/>
        <v>5.5063442662197648E-3</v>
      </c>
      <c r="H463" s="14">
        <f t="shared" si="25"/>
        <v>3.7518569918686055E-3</v>
      </c>
      <c r="I463" s="39">
        <f t="shared" si="23"/>
        <v>1.3227513227513227E-3</v>
      </c>
      <c r="J463" s="42">
        <v>3.303055326176807E-3</v>
      </c>
      <c r="K463" s="88">
        <v>3.1201248049921304E-3</v>
      </c>
      <c r="L463" s="42">
        <v>4.2424242424241587E-3</v>
      </c>
      <c r="M463" s="43">
        <v>4.0658386279593464E-3</v>
      </c>
      <c r="Q463" s="2"/>
      <c r="R463" s="24"/>
      <c r="S463" s="24"/>
      <c r="T463" s="24"/>
    </row>
    <row r="464" spans="1:20" x14ac:dyDescent="0.25">
      <c r="A464" s="2">
        <v>44735</v>
      </c>
      <c r="B464" s="20">
        <v>2930</v>
      </c>
      <c r="C464" s="29">
        <v>335.5</v>
      </c>
      <c r="D464" s="20">
        <v>8354</v>
      </c>
      <c r="E464" s="17">
        <f t="shared" si="24"/>
        <v>5.4907343857240054E-3</v>
      </c>
      <c r="F464" s="17">
        <f t="shared" si="24"/>
        <v>1.4925373134329067E-3</v>
      </c>
      <c r="G464" s="17">
        <f t="shared" si="24"/>
        <v>-2.0633059788980113E-2</v>
      </c>
      <c r="H464" s="14">
        <f t="shared" si="25"/>
        <v>-1.59018614787866E-2</v>
      </c>
      <c r="I464" s="39">
        <f t="shared" ref="I464:I527" si="26">1/$K$1</f>
        <v>1.3227513227513227E-3</v>
      </c>
      <c r="J464" s="42">
        <v>3.3112582781456013E-3</v>
      </c>
      <c r="K464" s="88">
        <v>3.1347962382444194E-3</v>
      </c>
      <c r="L464" s="42">
        <v>4.2992261392948983E-3</v>
      </c>
      <c r="M464" s="43">
        <v>4.1741402394398523E-3</v>
      </c>
      <c r="Q464" s="2"/>
      <c r="R464" s="24"/>
      <c r="S464" s="24"/>
      <c r="T464" s="24"/>
    </row>
    <row r="465" spans="1:20" x14ac:dyDescent="0.25">
      <c r="A465" s="2">
        <v>44734</v>
      </c>
      <c r="B465" s="20">
        <v>2914</v>
      </c>
      <c r="C465" s="20">
        <v>335</v>
      </c>
      <c r="D465" s="20">
        <v>8530</v>
      </c>
      <c r="E465" s="17">
        <f t="shared" si="24"/>
        <v>-3.8283828382838281E-2</v>
      </c>
      <c r="F465" s="17">
        <f t="shared" si="24"/>
        <v>-2.0467836257309968E-2</v>
      </c>
      <c r="G465" s="17">
        <f t="shared" si="24"/>
        <v>-2.6255707762557035E-2</v>
      </c>
      <c r="H465" s="14">
        <f t="shared" si="25"/>
        <v>-2.7732265000152287E-2</v>
      </c>
      <c r="I465" s="39">
        <f t="shared" si="26"/>
        <v>1.3227513227513227E-3</v>
      </c>
      <c r="J465" s="42">
        <v>3.3178500331785266E-3</v>
      </c>
      <c r="K465" s="88">
        <v>3.1446540880504248E-3</v>
      </c>
      <c r="L465" s="42">
        <v>4.3478260869564966E-3</v>
      </c>
      <c r="M465" s="43">
        <v>4.1827971868533247E-3</v>
      </c>
      <c r="Q465" s="2"/>
      <c r="R465" s="24"/>
      <c r="S465" s="24"/>
      <c r="T465" s="24"/>
    </row>
    <row r="466" spans="1:20" x14ac:dyDescent="0.25">
      <c r="A466" s="2">
        <v>44733</v>
      </c>
      <c r="B466" s="20">
        <v>3030</v>
      </c>
      <c r="C466" s="20">
        <v>342</v>
      </c>
      <c r="D466" s="20">
        <v>8760</v>
      </c>
      <c r="E466" s="17">
        <f t="shared" si="24"/>
        <v>4.482758620689653E-2</v>
      </c>
      <c r="F466" s="17">
        <f t="shared" si="24"/>
        <v>-2.9154518950437192E-3</v>
      </c>
      <c r="G466" s="17">
        <f t="shared" si="24"/>
        <v>2.0503261882572232E-2</v>
      </c>
      <c r="H466" s="14">
        <f t="shared" si="25"/>
        <v>2.2974668246344927E-2</v>
      </c>
      <c r="I466" s="39">
        <f t="shared" si="26"/>
        <v>1.3227513227513227E-3</v>
      </c>
      <c r="J466" s="42">
        <v>3.3333333333334103E-3</v>
      </c>
      <c r="K466" s="88">
        <v>3.154574132492094E-3</v>
      </c>
      <c r="L466" s="42">
        <v>4.4061686360905572E-3</v>
      </c>
      <c r="M466" s="43">
        <v>4.3244317972133987E-3</v>
      </c>
      <c r="Q466" s="2"/>
      <c r="R466" s="24"/>
      <c r="S466" s="24"/>
      <c r="T466" s="24"/>
    </row>
    <row r="467" spans="1:20" x14ac:dyDescent="0.25">
      <c r="A467" s="2">
        <v>44732</v>
      </c>
      <c r="B467" s="20">
        <v>2900</v>
      </c>
      <c r="C467" s="20">
        <v>343</v>
      </c>
      <c r="D467" s="20">
        <v>8584</v>
      </c>
      <c r="E467" s="17">
        <f t="shared" si="24"/>
        <v>2.7662517289073207E-3</v>
      </c>
      <c r="F467" s="17">
        <f t="shared" si="24"/>
        <v>1.1799410029498469E-2</v>
      </c>
      <c r="G467" s="17">
        <f t="shared" si="24"/>
        <v>1.4897138803499743E-2</v>
      </c>
      <c r="H467" s="14">
        <f t="shared" si="25"/>
        <v>1.3015431799406814E-2</v>
      </c>
      <c r="I467" s="39">
        <f t="shared" si="26"/>
        <v>1.3227513227513227E-3</v>
      </c>
      <c r="J467" s="42">
        <v>3.3422459893048817E-3</v>
      </c>
      <c r="K467" s="88">
        <v>3.1746031746031633E-3</v>
      </c>
      <c r="L467" s="42">
        <v>4.4080604534004753E-3</v>
      </c>
      <c r="M467" s="43">
        <v>4.391465693849541E-3</v>
      </c>
      <c r="Q467" s="2"/>
      <c r="R467" s="24"/>
      <c r="S467" s="24"/>
      <c r="T467" s="24"/>
    </row>
    <row r="468" spans="1:20" x14ac:dyDescent="0.25">
      <c r="A468" s="2">
        <v>44729</v>
      </c>
      <c r="B468" s="20">
        <v>2892</v>
      </c>
      <c r="C468" s="20">
        <v>339</v>
      </c>
      <c r="D468" s="20">
        <v>8458</v>
      </c>
      <c r="E468" s="17">
        <f t="shared" si="24"/>
        <v>-2.7586206896551557E-3</v>
      </c>
      <c r="F468" s="17">
        <f t="shared" si="24"/>
        <v>1.0432190760059523E-2</v>
      </c>
      <c r="G468" s="17">
        <f t="shared" si="24"/>
        <v>-5.1752528816748633E-3</v>
      </c>
      <c r="H468" s="14">
        <f t="shared" si="25"/>
        <v>-4.1418373264464547E-3</v>
      </c>
      <c r="I468" s="39">
        <f t="shared" si="26"/>
        <v>1.3227513227513227E-3</v>
      </c>
      <c r="J468" s="42">
        <v>3.3467202141901353E-3</v>
      </c>
      <c r="K468" s="88">
        <v>3.1847133757962887E-3</v>
      </c>
      <c r="L468" s="42">
        <v>4.4629574531389604E-3</v>
      </c>
      <c r="M468" s="43">
        <v>4.4222510963373152E-3</v>
      </c>
      <c r="Q468" s="2"/>
      <c r="R468" s="24"/>
      <c r="S468" s="24"/>
      <c r="T468" s="24"/>
    </row>
    <row r="469" spans="1:20" x14ac:dyDescent="0.25">
      <c r="A469" s="2">
        <v>44728</v>
      </c>
      <c r="B469" s="20">
        <v>2900</v>
      </c>
      <c r="C469" s="29">
        <v>335.5</v>
      </c>
      <c r="D469" s="20">
        <v>8502</v>
      </c>
      <c r="E469" s="17">
        <f t="shared" si="24"/>
        <v>0</v>
      </c>
      <c r="F469" s="17">
        <f t="shared" si="24"/>
        <v>-1.6129032258064502E-2</v>
      </c>
      <c r="G469" s="17">
        <f t="shared" si="24"/>
        <v>-9.4007050528788216E-4</v>
      </c>
      <c r="H469" s="14">
        <f t="shared" si="25"/>
        <v>-1.472076499955564E-3</v>
      </c>
      <c r="I469" s="39">
        <f t="shared" si="26"/>
        <v>1.3227513227513227E-3</v>
      </c>
      <c r="J469" s="42">
        <v>3.4223134839150848E-3</v>
      </c>
      <c r="K469" s="88">
        <v>3.3003300330032292E-3</v>
      </c>
      <c r="L469" s="42">
        <v>4.5372050816696596E-3</v>
      </c>
      <c r="M469" s="43">
        <v>4.436685525703715E-3</v>
      </c>
      <c r="Q469" s="2"/>
      <c r="R469" s="24"/>
      <c r="S469" s="24"/>
      <c r="T469" s="24"/>
    </row>
    <row r="470" spans="1:20" x14ac:dyDescent="0.25">
      <c r="A470" s="2">
        <v>44727</v>
      </c>
      <c r="B470" s="20">
        <v>2900</v>
      </c>
      <c r="C470" s="20">
        <v>341</v>
      </c>
      <c r="D470" s="20">
        <v>8510</v>
      </c>
      <c r="E470" s="17">
        <f t="shared" si="24"/>
        <v>3.7938439513242717E-2</v>
      </c>
      <c r="F470" s="17">
        <f t="shared" si="24"/>
        <v>-1.1594202898550732E-2</v>
      </c>
      <c r="G470" s="17">
        <f t="shared" si="24"/>
        <v>7.1005917159763232E-3</v>
      </c>
      <c r="H470" s="14">
        <f t="shared" si="25"/>
        <v>1.0716816031655103E-2</v>
      </c>
      <c r="I470" s="39">
        <f t="shared" si="26"/>
        <v>1.3227513227513227E-3</v>
      </c>
      <c r="J470" s="42">
        <v>3.4270047978066653E-3</v>
      </c>
      <c r="K470" s="88">
        <v>3.3003300330032292E-3</v>
      </c>
      <c r="L470" s="42">
        <v>4.6511627906977715E-3</v>
      </c>
      <c r="M470" s="43">
        <v>4.4937915099217702E-3</v>
      </c>
      <c r="Q470" s="2"/>
      <c r="R470" s="24"/>
      <c r="S470" s="24"/>
      <c r="T470" s="24"/>
    </row>
    <row r="471" spans="1:20" x14ac:dyDescent="0.25">
      <c r="A471" s="2">
        <v>44726</v>
      </c>
      <c r="B471" s="20">
        <v>2794</v>
      </c>
      <c r="C471" s="20">
        <v>345</v>
      </c>
      <c r="D471" s="20">
        <v>8450</v>
      </c>
      <c r="E471" s="17">
        <f t="shared" si="24"/>
        <v>6.5598779557589637E-2</v>
      </c>
      <c r="F471" s="17">
        <f t="shared" si="24"/>
        <v>5.8309037900874383E-3</v>
      </c>
      <c r="G471" s="17">
        <f t="shared" si="24"/>
        <v>0</v>
      </c>
      <c r="H471" s="14">
        <f t="shared" si="25"/>
        <v>9.6957358154277102E-3</v>
      </c>
      <c r="I471" s="39">
        <f t="shared" si="26"/>
        <v>1.3227513227513227E-3</v>
      </c>
      <c r="J471" s="42">
        <v>3.4317089910775866E-3</v>
      </c>
      <c r="K471" s="88">
        <v>3.3057851239668423E-3</v>
      </c>
      <c r="L471" s="42">
        <v>4.6728971962617383E-3</v>
      </c>
      <c r="M471" s="43">
        <v>4.5033498955209189E-3</v>
      </c>
      <c r="Q471" s="2"/>
      <c r="R471" s="24"/>
      <c r="S471" s="24"/>
      <c r="T471" s="24"/>
    </row>
    <row r="472" spans="1:20" x14ac:dyDescent="0.25">
      <c r="A472" s="2">
        <v>44725</v>
      </c>
      <c r="B472" s="20">
        <v>2622</v>
      </c>
      <c r="C472" s="20">
        <v>343</v>
      </c>
      <c r="D472" s="20">
        <v>8450</v>
      </c>
      <c r="E472" s="17">
        <f t="shared" si="24"/>
        <v>-1.5026296018031515E-2</v>
      </c>
      <c r="F472" s="17">
        <f t="shared" si="24"/>
        <v>-4.1899441340782162E-2</v>
      </c>
      <c r="G472" s="17">
        <f t="shared" si="24"/>
        <v>-3.5608308605341255E-2</v>
      </c>
      <c r="H472" s="14">
        <f t="shared" si="25"/>
        <v>-3.2922967506966119E-2</v>
      </c>
      <c r="I472" s="39">
        <f t="shared" si="26"/>
        <v>1.3227513227513227E-3</v>
      </c>
      <c r="J472" s="42">
        <v>3.4843205574912606E-3</v>
      </c>
      <c r="K472" s="88">
        <v>3.3444816053511683E-3</v>
      </c>
      <c r="L472" s="42">
        <v>4.7100382690610232E-3</v>
      </c>
      <c r="M472" s="43">
        <v>4.5715730464316907E-3</v>
      </c>
      <c r="Q472" s="2"/>
      <c r="R472" s="24"/>
      <c r="S472" s="24"/>
      <c r="T472" s="24"/>
    </row>
    <row r="473" spans="1:20" x14ac:dyDescent="0.25">
      <c r="A473" s="2">
        <v>44722</v>
      </c>
      <c r="B473" s="20">
        <v>2662</v>
      </c>
      <c r="C473" s="20">
        <v>358</v>
      </c>
      <c r="D473" s="20">
        <v>8762</v>
      </c>
      <c r="E473" s="17">
        <f t="shared" si="24"/>
        <v>-3.0589949016751605E-2</v>
      </c>
      <c r="F473" s="17">
        <f t="shared" si="24"/>
        <v>-2.4523160762942808E-2</v>
      </c>
      <c r="G473" s="17">
        <f t="shared" si="24"/>
        <v>-1.5505617977528141E-2</v>
      </c>
      <c r="H473" s="14">
        <f t="shared" si="25"/>
        <v>-1.8072390464620492E-2</v>
      </c>
      <c r="I473" s="39">
        <f t="shared" si="26"/>
        <v>1.3227513227513227E-3</v>
      </c>
      <c r="J473" s="42">
        <v>3.5460992907800915E-3</v>
      </c>
      <c r="K473" s="88">
        <v>3.420752565564511E-3</v>
      </c>
      <c r="L473" s="42">
        <v>4.7488127968007277E-3</v>
      </c>
      <c r="M473" s="43">
        <v>4.5952942724282386E-3</v>
      </c>
      <c r="Q473" s="2"/>
      <c r="R473" s="24"/>
      <c r="S473" s="24"/>
      <c r="T473" s="24"/>
    </row>
    <row r="474" spans="1:20" x14ac:dyDescent="0.25">
      <c r="A474" s="2">
        <v>44721</v>
      </c>
      <c r="B474" s="20">
        <v>2746</v>
      </c>
      <c r="C474" s="20">
        <v>367</v>
      </c>
      <c r="D474" s="20">
        <v>8900</v>
      </c>
      <c r="E474" s="17">
        <f t="shared" si="24"/>
        <v>-1.9985724482512457E-2</v>
      </c>
      <c r="F474" s="17">
        <f t="shared" si="24"/>
        <v>-5.4200542005420349E-3</v>
      </c>
      <c r="G474" s="17">
        <f t="shared" si="24"/>
        <v>-1.1330815374361203E-2</v>
      </c>
      <c r="H474" s="14">
        <f t="shared" si="25"/>
        <v>-1.231657340096603E-2</v>
      </c>
      <c r="I474" s="39">
        <f t="shared" si="26"/>
        <v>1.3227513227513227E-3</v>
      </c>
      <c r="J474" s="42">
        <v>3.5997120230382151E-3</v>
      </c>
      <c r="K474" s="88">
        <v>3.4482758620688614E-3</v>
      </c>
      <c r="L474" s="42">
        <v>4.7990401919615344E-3</v>
      </c>
      <c r="M474" s="43">
        <v>4.6360472464453857E-3</v>
      </c>
      <c r="Q474" s="2"/>
      <c r="R474" s="24"/>
      <c r="S474" s="24"/>
      <c r="T474" s="24"/>
    </row>
    <row r="475" spans="1:20" x14ac:dyDescent="0.25">
      <c r="A475" s="2">
        <v>44720</v>
      </c>
      <c r="B475" s="20">
        <v>2802</v>
      </c>
      <c r="C475" s="20">
        <v>369</v>
      </c>
      <c r="D475" s="20">
        <v>9002</v>
      </c>
      <c r="E475" s="17">
        <f t="shared" si="24"/>
        <v>1.4295925661187425E-3</v>
      </c>
      <c r="F475" s="17">
        <f t="shared" si="24"/>
        <v>1.3568521031208647E-3</v>
      </c>
      <c r="G475" s="17">
        <f t="shared" si="24"/>
        <v>-5.3038674033148991E-3</v>
      </c>
      <c r="H475" s="14">
        <f t="shared" si="25"/>
        <v>-4.0423134655141954E-3</v>
      </c>
      <c r="I475" s="39">
        <f t="shared" si="26"/>
        <v>1.3227513227513227E-3</v>
      </c>
      <c r="J475" s="42">
        <v>3.6231884057971175E-3</v>
      </c>
      <c r="K475" s="88">
        <v>3.5211267605634866E-3</v>
      </c>
      <c r="L475" s="42">
        <v>4.8022598870056665E-3</v>
      </c>
      <c r="M475" s="43">
        <v>4.7202960969895177E-3</v>
      </c>
      <c r="Q475" s="2"/>
      <c r="R475" s="24"/>
      <c r="S475" s="24"/>
      <c r="T475" s="24"/>
    </row>
    <row r="476" spans="1:20" x14ac:dyDescent="0.25">
      <c r="A476" s="2">
        <v>44719</v>
      </c>
      <c r="B476" s="20">
        <v>2798</v>
      </c>
      <c r="C476" s="29">
        <v>368.5</v>
      </c>
      <c r="D476" s="20">
        <v>9050</v>
      </c>
      <c r="E476" s="17">
        <f t="shared" si="24"/>
        <v>-1.5482054890921915E-2</v>
      </c>
      <c r="F476" s="17">
        <f t="shared" si="24"/>
        <v>-2.384105960264904E-2</v>
      </c>
      <c r="G476" s="17">
        <f t="shared" si="24"/>
        <v>-2.8344427743182354E-2</v>
      </c>
      <c r="H476" s="14">
        <f t="shared" si="25"/>
        <v>-2.6295708467468901E-2</v>
      </c>
      <c r="I476" s="39">
        <f t="shared" si="26"/>
        <v>1.3227513227513227E-3</v>
      </c>
      <c r="J476" s="42">
        <v>3.6576444769569338E-3</v>
      </c>
      <c r="K476" s="88">
        <v>3.529411764705781E-3</v>
      </c>
      <c r="L476" s="42">
        <v>5.0642773665756646E-3</v>
      </c>
      <c r="M476" s="43">
        <v>4.7983211825141734E-3</v>
      </c>
      <c r="Q476" s="2"/>
      <c r="R476" s="24"/>
      <c r="S476" s="24"/>
      <c r="T476" s="24"/>
    </row>
    <row r="477" spans="1:20" x14ac:dyDescent="0.25">
      <c r="A477" s="2">
        <v>44715</v>
      </c>
      <c r="B477" s="20">
        <v>2842</v>
      </c>
      <c r="C477" s="29">
        <v>377.5</v>
      </c>
      <c r="D477" s="20">
        <v>9314</v>
      </c>
      <c r="E477" s="17">
        <f t="shared" si="24"/>
        <v>1.572551822730528E-2</v>
      </c>
      <c r="F477" s="17">
        <f t="shared" si="24"/>
        <v>-6.5789473684210176E-3</v>
      </c>
      <c r="G477" s="17">
        <f t="shared" si="24"/>
        <v>1.3051990428540439E-2</v>
      </c>
      <c r="H477" s="14">
        <f t="shared" si="25"/>
        <v>1.2574281813849028E-2</v>
      </c>
      <c r="I477" s="39">
        <f t="shared" si="26"/>
        <v>1.3227513227513227E-3</v>
      </c>
      <c r="J477" s="42">
        <v>3.6982248520709415E-3</v>
      </c>
      <c r="K477" s="88">
        <v>3.529411764705781E-3</v>
      </c>
      <c r="L477" s="42">
        <v>5.0847457627118953E-3</v>
      </c>
      <c r="M477" s="43">
        <v>4.8110667525755203E-3</v>
      </c>
      <c r="Q477" s="2"/>
      <c r="R477" s="24"/>
      <c r="S477" s="24"/>
      <c r="T477" s="24"/>
    </row>
    <row r="478" spans="1:20" x14ac:dyDescent="0.25">
      <c r="A478" s="2">
        <v>44714</v>
      </c>
      <c r="B478" s="20">
        <v>2798</v>
      </c>
      <c r="C478" s="20">
        <v>380</v>
      </c>
      <c r="D478" s="20">
        <v>9194</v>
      </c>
      <c r="E478" s="17">
        <f t="shared" si="24"/>
        <v>1.0108303249097395E-2</v>
      </c>
      <c r="F478" s="17">
        <f t="shared" si="24"/>
        <v>-5.2356020942407877E-3</v>
      </c>
      <c r="G478" s="17">
        <f t="shared" si="24"/>
        <v>4.1502839667977298E-3</v>
      </c>
      <c r="H478" s="14">
        <f t="shared" si="25"/>
        <v>4.5952942724282386E-3</v>
      </c>
      <c r="I478" s="39">
        <f t="shared" si="26"/>
        <v>1.3227513227513227E-3</v>
      </c>
      <c r="J478" s="42">
        <v>3.7037037037037646E-3</v>
      </c>
      <c r="K478" s="88">
        <v>3.529411764705781E-3</v>
      </c>
      <c r="L478" s="42">
        <v>5.1483206668301307E-3</v>
      </c>
      <c r="M478" s="43">
        <v>4.8546644244155954E-3</v>
      </c>
      <c r="Q478" s="2"/>
      <c r="R478" s="24"/>
      <c r="S478" s="24"/>
      <c r="T478" s="24"/>
    </row>
    <row r="479" spans="1:20" x14ac:dyDescent="0.25">
      <c r="A479" s="2">
        <v>44713</v>
      </c>
      <c r="B479" s="20">
        <v>2770</v>
      </c>
      <c r="C479" s="20">
        <v>382</v>
      </c>
      <c r="D479" s="20">
        <v>9156</v>
      </c>
      <c r="E479" s="17">
        <f t="shared" si="24"/>
        <v>4.2136945071482357E-2</v>
      </c>
      <c r="F479" s="17">
        <f t="shared" si="24"/>
        <v>1.3262599469495928E-2</v>
      </c>
      <c r="G479" s="17">
        <f t="shared" si="24"/>
        <v>3.8330687230664573E-2</v>
      </c>
      <c r="H479" s="14">
        <f t="shared" si="25"/>
        <v>3.7777112244409855E-2</v>
      </c>
      <c r="I479" s="39">
        <f t="shared" si="26"/>
        <v>1.3227513227513227E-3</v>
      </c>
      <c r="J479" s="42">
        <v>3.7453183520599342E-3</v>
      </c>
      <c r="K479" s="88">
        <v>3.5335689045936647E-3</v>
      </c>
      <c r="L479" s="42">
        <v>5.1649928263988176E-3</v>
      </c>
      <c r="M479" s="43">
        <v>4.8888038136080149E-3</v>
      </c>
      <c r="Q479" s="2"/>
      <c r="R479" s="24"/>
      <c r="S479" s="24"/>
      <c r="T479" s="24"/>
    </row>
    <row r="480" spans="1:20" x14ac:dyDescent="0.25">
      <c r="A480" s="2">
        <v>44712</v>
      </c>
      <c r="B480" s="20">
        <v>2658</v>
      </c>
      <c r="C480" s="20">
        <v>377</v>
      </c>
      <c r="D480" s="20">
        <v>8818</v>
      </c>
      <c r="E480" s="17">
        <f t="shared" si="24"/>
        <v>5.6438791732909444E-2</v>
      </c>
      <c r="F480" s="17">
        <f t="shared" si="24"/>
        <v>-5.2770448548812299E-3</v>
      </c>
      <c r="G480" s="17">
        <f t="shared" si="24"/>
        <v>2.0454545454544615E-3</v>
      </c>
      <c r="H480" s="14">
        <f t="shared" si="25"/>
        <v>9.5508880928411553E-3</v>
      </c>
      <c r="I480" s="39">
        <f t="shared" si="26"/>
        <v>1.3227513227513227E-3</v>
      </c>
      <c r="J480" s="42">
        <v>3.7481259370315545E-3</v>
      </c>
      <c r="K480" s="88">
        <v>3.5460992907800915E-3</v>
      </c>
      <c r="L480" s="42">
        <v>5.2083333333332593E-3</v>
      </c>
      <c r="M480" s="43">
        <v>4.9187093605865158E-3</v>
      </c>
      <c r="Q480" s="2"/>
      <c r="R480" s="24"/>
      <c r="S480" s="24"/>
      <c r="T480" s="24"/>
    </row>
    <row r="481" spans="1:20" x14ac:dyDescent="0.25">
      <c r="A481" s="2">
        <v>44711</v>
      </c>
      <c r="B481" s="20">
        <v>2516</v>
      </c>
      <c r="C481" s="20">
        <v>379</v>
      </c>
      <c r="D481" s="20">
        <v>8800</v>
      </c>
      <c r="E481" s="17">
        <f t="shared" si="24"/>
        <v>-1.7187500000000022E-2</v>
      </c>
      <c r="F481" s="17">
        <f t="shared" si="24"/>
        <v>1.6085790884718509E-2</v>
      </c>
      <c r="G481" s="17">
        <f t="shared" si="24"/>
        <v>3.165298944900341E-2</v>
      </c>
      <c r="H481" s="14">
        <f t="shared" si="25"/>
        <v>2.3941013691998549E-2</v>
      </c>
      <c r="I481" s="39">
        <f t="shared" si="26"/>
        <v>1.3227513227513227E-3</v>
      </c>
      <c r="J481" s="42">
        <v>3.759398496240518E-3</v>
      </c>
      <c r="K481" s="88">
        <v>3.5502958579882726E-3</v>
      </c>
      <c r="L481" s="42">
        <v>5.4282267792520322E-3</v>
      </c>
      <c r="M481" s="43">
        <v>4.9439148057654021E-3</v>
      </c>
      <c r="Q481" s="2"/>
      <c r="R481" s="24"/>
      <c r="S481" s="24"/>
      <c r="T481" s="24"/>
    </row>
    <row r="482" spans="1:20" x14ac:dyDescent="0.25">
      <c r="A482" s="2">
        <v>44708</v>
      </c>
      <c r="B482" s="20">
        <v>2560</v>
      </c>
      <c r="C482" s="20">
        <v>373</v>
      </c>
      <c r="D482" s="20">
        <v>8530</v>
      </c>
      <c r="E482" s="17">
        <f t="shared" si="24"/>
        <v>2.2364217252396124E-2</v>
      </c>
      <c r="F482" s="17">
        <f t="shared" si="24"/>
        <v>-3.6175710594315236E-2</v>
      </c>
      <c r="G482" s="17">
        <f t="shared" si="24"/>
        <v>-5.3274139844617041E-2</v>
      </c>
      <c r="H482" s="14">
        <f t="shared" si="25"/>
        <v>-4.1638718383628905E-2</v>
      </c>
      <c r="I482" s="39">
        <f t="shared" si="26"/>
        <v>1.3227513227513227E-3</v>
      </c>
      <c r="J482" s="42">
        <v>3.8022813688212143E-3</v>
      </c>
      <c r="K482" s="88">
        <v>3.5545023696681444E-3</v>
      </c>
      <c r="L482" s="42">
        <v>5.4694621695532408E-3</v>
      </c>
      <c r="M482" s="43">
        <v>4.9994641115148298E-3</v>
      </c>
      <c r="Q482" s="2"/>
      <c r="R482" s="24"/>
      <c r="S482" s="24"/>
      <c r="T482" s="24"/>
    </row>
    <row r="483" spans="1:20" x14ac:dyDescent="0.25">
      <c r="A483" s="2">
        <v>44707</v>
      </c>
      <c r="B483" s="20">
        <v>2504</v>
      </c>
      <c r="C483" s="20">
        <v>387</v>
      </c>
      <c r="D483" s="20">
        <v>9010</v>
      </c>
      <c r="E483" s="17">
        <f t="shared" si="24"/>
        <v>-9.143686502177073E-2</v>
      </c>
      <c r="F483" s="17">
        <f t="shared" si="24"/>
        <v>-4.4444444444444398E-2</v>
      </c>
      <c r="G483" s="17">
        <f t="shared" si="24"/>
        <v>-8.1736649001223016E-2</v>
      </c>
      <c r="H483" s="14">
        <f t="shared" si="25"/>
        <v>-8.1494176984293704E-2</v>
      </c>
      <c r="I483" s="39">
        <f t="shared" si="26"/>
        <v>1.3227513227513227E-3</v>
      </c>
      <c r="J483" s="42">
        <v>3.8699690402477227E-3</v>
      </c>
      <c r="K483" s="88">
        <v>3.558718861210064E-3</v>
      </c>
      <c r="L483" s="42">
        <v>5.5063442662197648E-3</v>
      </c>
      <c r="M483" s="43">
        <v>5.0262076872495736E-3</v>
      </c>
      <c r="Q483" s="2"/>
      <c r="R483" s="24"/>
      <c r="S483" s="24"/>
      <c r="T483" s="24"/>
    </row>
    <row r="484" spans="1:20" x14ac:dyDescent="0.25">
      <c r="A484" s="2">
        <v>44706</v>
      </c>
      <c r="B484" s="20">
        <v>2756</v>
      </c>
      <c r="C484" s="20">
        <v>405</v>
      </c>
      <c r="D484" s="20">
        <v>9812</v>
      </c>
      <c r="E484" s="17">
        <f t="shared" si="24"/>
        <v>-4.0389972144846742E-2</v>
      </c>
      <c r="F484" s="17">
        <f t="shared" si="24"/>
        <v>-3.3412887828162319E-2</v>
      </c>
      <c r="G484" s="17">
        <f t="shared" si="24"/>
        <v>-4.6915978630403088E-2</v>
      </c>
      <c r="H484" s="14">
        <f t="shared" si="25"/>
        <v>-4.5383678191748392E-2</v>
      </c>
      <c r="I484" s="39">
        <f t="shared" si="26"/>
        <v>1.3227513227513227E-3</v>
      </c>
      <c r="J484" s="42">
        <v>3.9872408293459838E-3</v>
      </c>
      <c r="K484" s="88">
        <v>3.5756853396902155E-3</v>
      </c>
      <c r="L484" s="42">
        <v>5.6211354693647131E-3</v>
      </c>
      <c r="M484" s="43">
        <v>5.0667422740814354E-3</v>
      </c>
      <c r="Q484" s="2"/>
      <c r="R484" s="24"/>
      <c r="S484" s="24"/>
      <c r="T484" s="24"/>
    </row>
    <row r="485" spans="1:20" x14ac:dyDescent="0.25">
      <c r="A485" s="2">
        <v>44705</v>
      </c>
      <c r="B485" s="20">
        <v>2872</v>
      </c>
      <c r="C485" s="20">
        <v>419</v>
      </c>
      <c r="D485" s="20">
        <v>10295</v>
      </c>
      <c r="E485" s="17">
        <f t="shared" si="24"/>
        <v>1.0555946516537684E-2</v>
      </c>
      <c r="F485" s="17">
        <f t="shared" si="24"/>
        <v>1.9464720194647178E-2</v>
      </c>
      <c r="G485" s="17">
        <f t="shared" si="24"/>
        <v>-1.6244624940277119E-2</v>
      </c>
      <c r="H485" s="14">
        <f t="shared" si="25"/>
        <v>-1.0819278677639252E-2</v>
      </c>
      <c r="I485" s="39">
        <f t="shared" si="26"/>
        <v>1.3227513227513227E-3</v>
      </c>
      <c r="J485" s="42">
        <v>4.0187541862022336E-3</v>
      </c>
      <c r="K485" s="88">
        <v>3.6809815950920033E-3</v>
      </c>
      <c r="L485" s="42">
        <v>5.6497175141243527E-3</v>
      </c>
      <c r="M485" s="43">
        <v>5.1555642879229334E-3</v>
      </c>
      <c r="Q485" s="2"/>
      <c r="R485" s="24"/>
      <c r="S485" s="24"/>
      <c r="T485" s="24"/>
    </row>
    <row r="486" spans="1:20" x14ac:dyDescent="0.25">
      <c r="A486" s="2">
        <v>44704</v>
      </c>
      <c r="B486" s="20">
        <v>2842</v>
      </c>
      <c r="C486" s="20">
        <v>411</v>
      </c>
      <c r="D486" s="20">
        <v>10465</v>
      </c>
      <c r="E486" s="17">
        <f t="shared" si="24"/>
        <v>5.2592592592592524E-2</v>
      </c>
      <c r="F486" s="17">
        <f t="shared" si="24"/>
        <v>4.8899755501221609E-3</v>
      </c>
      <c r="G486" s="17">
        <f t="shared" si="24"/>
        <v>5.6643780290791534E-2</v>
      </c>
      <c r="H486" s="14">
        <f t="shared" si="25"/>
        <v>5.378717406696449E-2</v>
      </c>
      <c r="I486" s="39">
        <f t="shared" si="26"/>
        <v>1.3227513227513227E-3</v>
      </c>
      <c r="J486" s="42">
        <v>4.0683482506103097E-3</v>
      </c>
      <c r="K486" s="88">
        <v>3.6991368680641123E-3</v>
      </c>
      <c r="L486" s="42">
        <v>5.6818181818181213E-3</v>
      </c>
      <c r="M486" s="43">
        <v>5.2101559325351994E-3</v>
      </c>
      <c r="Q486" s="2"/>
      <c r="R486" s="24"/>
      <c r="S486" s="24"/>
      <c r="T486" s="24"/>
    </row>
    <row r="487" spans="1:20" x14ac:dyDescent="0.25">
      <c r="A487" s="2">
        <v>44701</v>
      </c>
      <c r="B487" s="20">
        <v>2700</v>
      </c>
      <c r="C487" s="20">
        <v>409</v>
      </c>
      <c r="D487" s="20">
        <v>9904</v>
      </c>
      <c r="E487" s="17">
        <f t="shared" si="24"/>
        <v>-5.8910162002945299E-3</v>
      </c>
      <c r="F487" s="17">
        <f t="shared" si="24"/>
        <v>-2.4390243902439046E-3</v>
      </c>
      <c r="G487" s="17">
        <f t="shared" si="24"/>
        <v>-3.7512147716229349E-2</v>
      </c>
      <c r="H487" s="14">
        <f t="shared" si="25"/>
        <v>-3.142108006079114E-2</v>
      </c>
      <c r="I487" s="39">
        <f t="shared" si="26"/>
        <v>1.3227513227513227E-3</v>
      </c>
      <c r="J487" s="42">
        <v>4.098360655737654E-3</v>
      </c>
      <c r="K487" s="88">
        <v>3.8363171355497716E-3</v>
      </c>
      <c r="L487" s="42">
        <v>5.7142857142857828E-3</v>
      </c>
      <c r="M487" s="43">
        <v>5.3875637852433952E-3</v>
      </c>
      <c r="Q487" s="2"/>
      <c r="R487" s="24"/>
      <c r="S487" s="24"/>
      <c r="T487" s="24"/>
    </row>
    <row r="488" spans="1:20" x14ac:dyDescent="0.25">
      <c r="A488" s="2">
        <v>44700</v>
      </c>
      <c r="B488" s="20">
        <v>2716</v>
      </c>
      <c r="C488" s="20">
        <v>410</v>
      </c>
      <c r="D488" s="20">
        <v>10290</v>
      </c>
      <c r="E488" s="17">
        <f t="shared" si="24"/>
        <v>-5.3658536585365901E-2</v>
      </c>
      <c r="F488" s="17">
        <f t="shared" si="24"/>
        <v>0</v>
      </c>
      <c r="G488" s="17">
        <f t="shared" si="24"/>
        <v>-4.5011600928074214E-2</v>
      </c>
      <c r="H488" s="14">
        <f t="shared" si="25"/>
        <v>-4.4278435141126893E-2</v>
      </c>
      <c r="I488" s="39">
        <f t="shared" si="26"/>
        <v>1.3227513227513227E-3</v>
      </c>
      <c r="J488" s="42">
        <v>4.1493775933609811E-3</v>
      </c>
      <c r="K488" s="88">
        <v>3.8809831824062613E-3</v>
      </c>
      <c r="L488" s="42">
        <v>5.7283142389525921E-3</v>
      </c>
      <c r="M488" s="43">
        <v>5.480107227745573E-3</v>
      </c>
      <c r="Q488" s="2"/>
      <c r="R488" s="24"/>
      <c r="S488" s="24"/>
      <c r="T488" s="24"/>
    </row>
    <row r="489" spans="1:20" x14ac:dyDescent="0.25">
      <c r="A489" s="2">
        <v>44699</v>
      </c>
      <c r="B489" s="20">
        <v>2870</v>
      </c>
      <c r="C489" s="20">
        <v>410</v>
      </c>
      <c r="D489" s="20">
        <v>10775</v>
      </c>
      <c r="E489" s="17">
        <f t="shared" si="24"/>
        <v>1.2702893436838281E-2</v>
      </c>
      <c r="F489" s="17">
        <f t="shared" si="24"/>
        <v>0</v>
      </c>
      <c r="G489" s="17">
        <f t="shared" si="24"/>
        <v>1.8431001890359067E-2</v>
      </c>
      <c r="H489" s="14">
        <f t="shared" si="25"/>
        <v>1.679702508221384E-2</v>
      </c>
      <c r="I489" s="39">
        <f t="shared" si="26"/>
        <v>1.3227513227513227E-3</v>
      </c>
      <c r="J489" s="42">
        <v>4.1811846689896459E-3</v>
      </c>
      <c r="K489" s="88">
        <v>3.9267015706805353E-3</v>
      </c>
      <c r="L489" s="42">
        <v>5.9171597633136397E-3</v>
      </c>
      <c r="M489" s="43">
        <v>5.5492277995428732E-3</v>
      </c>
      <c r="Q489" s="2"/>
      <c r="R489" s="24"/>
      <c r="S489" s="24"/>
      <c r="T489" s="24"/>
    </row>
    <row r="490" spans="1:20" x14ac:dyDescent="0.25">
      <c r="A490" s="2">
        <v>44698</v>
      </c>
      <c r="B490" s="20">
        <v>2834</v>
      </c>
      <c r="C490" s="20">
        <v>410</v>
      </c>
      <c r="D490" s="20">
        <v>10580</v>
      </c>
      <c r="E490" s="17">
        <f t="shared" si="24"/>
        <v>1.2142857142857233E-2</v>
      </c>
      <c r="F490" s="17">
        <f t="shared" si="24"/>
        <v>-4.8543689320388328E-3</v>
      </c>
      <c r="G490" s="17">
        <f t="shared" si="24"/>
        <v>7.1394574012375589E-3</v>
      </c>
      <c r="H490" s="14">
        <f t="shared" si="25"/>
        <v>7.3325273655207145E-3</v>
      </c>
      <c r="I490" s="39">
        <f t="shared" si="26"/>
        <v>1.3227513227513227E-3</v>
      </c>
      <c r="J490" s="42">
        <v>4.222972972973027E-3</v>
      </c>
      <c r="K490" s="88">
        <v>4.0540540540541237E-3</v>
      </c>
      <c r="L490" s="42">
        <v>5.9461350122420598E-3</v>
      </c>
      <c r="M490" s="43">
        <v>5.6076296798006839E-3</v>
      </c>
      <c r="Q490" s="2"/>
      <c r="R490" s="24"/>
      <c r="S490" s="24"/>
      <c r="T490" s="24"/>
    </row>
    <row r="491" spans="1:20" x14ac:dyDescent="0.25">
      <c r="A491" s="2">
        <v>44697</v>
      </c>
      <c r="B491" s="20">
        <v>2800</v>
      </c>
      <c r="C491" s="20">
        <v>412</v>
      </c>
      <c r="D491" s="20">
        <v>10505</v>
      </c>
      <c r="E491" s="17">
        <f t="shared" si="24"/>
        <v>-9.9009900990099098E-3</v>
      </c>
      <c r="F491" s="17">
        <f t="shared" si="24"/>
        <v>3.1289111389236623E-2</v>
      </c>
      <c r="G491" s="17">
        <f t="shared" si="24"/>
        <v>1.9902912621359237E-2</v>
      </c>
      <c r="H491" s="14">
        <f t="shared" si="25"/>
        <v>1.6114390633865459E-2</v>
      </c>
      <c r="I491" s="39">
        <f t="shared" si="26"/>
        <v>1.3227513227513227E-3</v>
      </c>
      <c r="J491" s="42">
        <v>4.2583392476933657E-3</v>
      </c>
      <c r="K491" s="88">
        <v>4.4117647058823373E-3</v>
      </c>
      <c r="L491" s="42">
        <v>6.0362173038228661E-3</v>
      </c>
      <c r="M491" s="43">
        <v>5.6416102647245774E-3</v>
      </c>
      <c r="Q491" s="2"/>
      <c r="R491" s="24"/>
      <c r="S491" s="24"/>
      <c r="T491" s="24"/>
    </row>
    <row r="492" spans="1:20" x14ac:dyDescent="0.25">
      <c r="A492" s="2">
        <v>44694</v>
      </c>
      <c r="B492" s="20">
        <v>2828</v>
      </c>
      <c r="C492" s="29">
        <v>399.5</v>
      </c>
      <c r="D492" s="20">
        <v>10300</v>
      </c>
      <c r="E492" s="17">
        <f t="shared" si="24"/>
        <v>3.2116788321167933E-2</v>
      </c>
      <c r="F492" s="17">
        <f t="shared" si="24"/>
        <v>1.13924050632912E-2</v>
      </c>
      <c r="G492" s="17">
        <f t="shared" si="24"/>
        <v>4.8879837067209886E-2</v>
      </c>
      <c r="H492" s="14">
        <f t="shared" si="25"/>
        <v>4.4820761471809883E-2</v>
      </c>
      <c r="I492" s="39">
        <f t="shared" si="26"/>
        <v>1.3227513227513227E-3</v>
      </c>
      <c r="J492" s="42">
        <v>4.2979942693410766E-3</v>
      </c>
      <c r="K492" s="88">
        <v>4.5317220543805714E-3</v>
      </c>
      <c r="L492" s="42">
        <v>6.1115355233001267E-3</v>
      </c>
      <c r="M492" s="43">
        <v>5.7008106099876053E-3</v>
      </c>
      <c r="Q492" s="2"/>
      <c r="R492" s="24"/>
      <c r="S492" s="24"/>
      <c r="T492" s="24"/>
    </row>
    <row r="493" spans="1:20" x14ac:dyDescent="0.25">
      <c r="A493" s="2">
        <v>44693</v>
      </c>
      <c r="B493" s="20">
        <v>2740</v>
      </c>
      <c r="C493" s="20">
        <v>395</v>
      </c>
      <c r="D493" s="20">
        <v>9820</v>
      </c>
      <c r="E493" s="17">
        <f t="shared" si="24"/>
        <v>-1.8624641833810851E-2</v>
      </c>
      <c r="F493" s="17">
        <f t="shared" si="24"/>
        <v>-2.525252525252486E-3</v>
      </c>
      <c r="G493" s="17">
        <f t="shared" si="24"/>
        <v>-3.5837015218458501E-2</v>
      </c>
      <c r="H493" s="14">
        <f t="shared" si="25"/>
        <v>-3.1896727763139884E-2</v>
      </c>
      <c r="I493" s="39">
        <f t="shared" si="26"/>
        <v>1.3227513227513227E-3</v>
      </c>
      <c r="J493" s="42">
        <v>4.3165467625898568E-3</v>
      </c>
      <c r="K493" s="88">
        <v>4.5454545454546302E-3</v>
      </c>
      <c r="L493" s="42">
        <v>6.2006764374296086E-3</v>
      </c>
      <c r="M493" s="43">
        <v>5.7333493108566724E-3</v>
      </c>
      <c r="Q493" s="2"/>
      <c r="R493" s="24"/>
      <c r="S493" s="24"/>
      <c r="T493" s="24"/>
    </row>
    <row r="494" spans="1:20" x14ac:dyDescent="0.25">
      <c r="A494" s="2">
        <v>44692</v>
      </c>
      <c r="B494" s="20">
        <v>2792</v>
      </c>
      <c r="C494" s="20">
        <v>396</v>
      </c>
      <c r="D494" s="20">
        <v>10185</v>
      </c>
      <c r="E494" s="17">
        <f t="shared" si="24"/>
        <v>7.9422382671479053E-3</v>
      </c>
      <c r="F494" s="17">
        <f t="shared" si="24"/>
        <v>-8.7609511889862324E-3</v>
      </c>
      <c r="G494" s="17">
        <f t="shared" si="24"/>
        <v>1.8499999999999961E-2</v>
      </c>
      <c r="H494" s="14">
        <f t="shared" si="25"/>
        <v>1.578312586699103E-2</v>
      </c>
      <c r="I494" s="39">
        <f t="shared" si="26"/>
        <v>1.3227513227513227E-3</v>
      </c>
      <c r="J494" s="42">
        <v>4.3165467625898568E-3</v>
      </c>
      <c r="K494" s="88">
        <v>4.6082949308756671E-3</v>
      </c>
      <c r="L494" s="42">
        <v>6.2111801242235032E-3</v>
      </c>
      <c r="M494" s="43">
        <v>5.7745707377475936E-3</v>
      </c>
      <c r="Q494" s="2"/>
      <c r="R494" s="24"/>
      <c r="S494" s="24"/>
      <c r="T494" s="24"/>
    </row>
    <row r="495" spans="1:20" x14ac:dyDescent="0.25">
      <c r="A495" s="2">
        <v>44691</v>
      </c>
      <c r="B495" s="20">
        <v>2770</v>
      </c>
      <c r="C495" s="29">
        <v>399.5</v>
      </c>
      <c r="D495" s="20">
        <v>10000</v>
      </c>
      <c r="E495" s="17">
        <f t="shared" si="24"/>
        <v>-3.7526059763724806E-2</v>
      </c>
      <c r="F495" s="17">
        <f t="shared" si="24"/>
        <v>1.0113780025284402E-2</v>
      </c>
      <c r="G495" s="17">
        <f t="shared" si="24"/>
        <v>-3.1476997578692489E-2</v>
      </c>
      <c r="H495" s="14">
        <f t="shared" si="25"/>
        <v>-3.0520284892168972E-2</v>
      </c>
      <c r="I495" s="39">
        <f t="shared" si="26"/>
        <v>1.3227513227513227E-3</v>
      </c>
      <c r="J495" s="42">
        <v>4.3165467625898568E-3</v>
      </c>
      <c r="K495" s="88">
        <v>4.6153846153846878E-3</v>
      </c>
      <c r="L495" s="42">
        <v>6.2111801242235032E-3</v>
      </c>
      <c r="M495" s="43">
        <v>5.8212134314126352E-3</v>
      </c>
      <c r="Q495" s="2"/>
      <c r="R495" s="24"/>
      <c r="S495" s="24"/>
      <c r="T495" s="24"/>
    </row>
    <row r="496" spans="1:20" x14ac:dyDescent="0.25">
      <c r="A496" s="2">
        <v>44690</v>
      </c>
      <c r="B496" s="20">
        <v>2878</v>
      </c>
      <c r="C496" s="29">
        <v>395.5</v>
      </c>
      <c r="D496" s="20">
        <v>10325</v>
      </c>
      <c r="E496" s="17">
        <f t="shared" si="24"/>
        <v>-1.7076502732240484E-2</v>
      </c>
      <c r="F496" s="17">
        <f t="shared" si="24"/>
        <v>-1.1249999999999982E-2</v>
      </c>
      <c r="G496" s="17">
        <f t="shared" si="24"/>
        <v>7.3170731707317138E-3</v>
      </c>
      <c r="H496" s="14">
        <f t="shared" si="25"/>
        <v>2.9911837777555541E-3</v>
      </c>
      <c r="I496" s="39">
        <f t="shared" si="26"/>
        <v>1.3227513227513227E-3</v>
      </c>
      <c r="J496" s="42">
        <v>4.3383947939261702E-3</v>
      </c>
      <c r="K496" s="88">
        <v>4.6153846153846878E-3</v>
      </c>
      <c r="L496" s="42">
        <v>6.3198833252309239E-3</v>
      </c>
      <c r="M496" s="43">
        <v>5.9291876698050376E-3</v>
      </c>
      <c r="Q496" s="2"/>
      <c r="R496" s="24"/>
      <c r="S496" s="24"/>
      <c r="T496" s="24"/>
    </row>
    <row r="497" spans="1:20" x14ac:dyDescent="0.25">
      <c r="A497" s="2">
        <v>44687</v>
      </c>
      <c r="B497" s="20">
        <v>2928</v>
      </c>
      <c r="C497" s="20">
        <v>400</v>
      </c>
      <c r="D497" s="20">
        <v>10250</v>
      </c>
      <c r="E497" s="17">
        <f t="shared" si="24"/>
        <v>-2.0735785953177266E-2</v>
      </c>
      <c r="F497" s="17">
        <f t="shared" si="24"/>
        <v>2.8277634961439535E-2</v>
      </c>
      <c r="G497" s="17">
        <f t="shared" si="24"/>
        <v>-2.3809523809523836E-2</v>
      </c>
      <c r="H497" s="14">
        <f t="shared" si="25"/>
        <v>-2.1078926358101772E-2</v>
      </c>
      <c r="I497" s="39">
        <f t="shared" si="26"/>
        <v>1.3227513227513227E-3</v>
      </c>
      <c r="J497" s="42">
        <v>4.4642857142858094E-3</v>
      </c>
      <c r="K497" s="88">
        <v>4.6189376443417363E-3</v>
      </c>
      <c r="L497" s="42">
        <v>6.338231057332111E-3</v>
      </c>
      <c r="M497" s="43">
        <v>5.9557727981012446E-3</v>
      </c>
      <c r="Q497" s="2"/>
      <c r="R497" s="24"/>
      <c r="S497" s="24"/>
      <c r="T497" s="24"/>
    </row>
    <row r="498" spans="1:20" x14ac:dyDescent="0.25">
      <c r="A498" s="2">
        <v>44686</v>
      </c>
      <c r="B498" s="20">
        <v>2990</v>
      </c>
      <c r="C498" s="20">
        <v>389</v>
      </c>
      <c r="D498" s="20">
        <v>10500</v>
      </c>
      <c r="E498" s="17">
        <f t="shared" si="24"/>
        <v>-1.2549537648612996E-2</v>
      </c>
      <c r="F498" s="17">
        <f t="shared" si="24"/>
        <v>5.1679586563306845E-3</v>
      </c>
      <c r="G498" s="17">
        <f t="shared" si="24"/>
        <v>-1.8691588785046731E-2</v>
      </c>
      <c r="H498" s="14">
        <f t="shared" si="25"/>
        <v>-1.6759559568246814E-2</v>
      </c>
      <c r="I498" s="39">
        <f t="shared" si="26"/>
        <v>1.3227513227513227E-3</v>
      </c>
      <c r="J498" s="42">
        <v>4.5146726862301811E-3</v>
      </c>
      <c r="K498" s="88">
        <v>4.6224961479199855E-3</v>
      </c>
      <c r="L498" s="42">
        <v>6.5168539325841657E-3</v>
      </c>
      <c r="M498" s="43">
        <v>6.0495009416167075E-3</v>
      </c>
      <c r="Q498" s="2"/>
      <c r="R498" s="24"/>
      <c r="S498" s="24"/>
      <c r="T498" s="24"/>
    </row>
    <row r="499" spans="1:20" x14ac:dyDescent="0.25">
      <c r="A499" s="2">
        <v>44685</v>
      </c>
      <c r="B499" s="20">
        <v>3028</v>
      </c>
      <c r="C499" s="20">
        <v>387</v>
      </c>
      <c r="D499" s="20">
        <v>10700</v>
      </c>
      <c r="E499" s="17">
        <f t="shared" si="24"/>
        <v>-1.3192612137202797E-3</v>
      </c>
      <c r="F499" s="17">
        <f t="shared" si="24"/>
        <v>5.1948051948051965E-3</v>
      </c>
      <c r="G499" s="17">
        <f t="shared" si="24"/>
        <v>-2.7272727272727226E-2</v>
      </c>
      <c r="H499" s="14">
        <f t="shared" si="25"/>
        <v>-2.211169747174253E-2</v>
      </c>
      <c r="I499" s="39">
        <f t="shared" si="26"/>
        <v>1.3227513227513227E-3</v>
      </c>
      <c r="J499" s="42">
        <v>4.5523520485584168E-3</v>
      </c>
      <c r="K499" s="88">
        <v>4.6349942062573479E-3</v>
      </c>
      <c r="L499" s="42">
        <v>6.5398335315101086E-3</v>
      </c>
      <c r="M499" s="43">
        <v>6.2593082381638444E-3</v>
      </c>
      <c r="Q499" s="2"/>
      <c r="R499" s="24"/>
      <c r="S499" s="24"/>
      <c r="T499" s="24"/>
    </row>
    <row r="500" spans="1:20" x14ac:dyDescent="0.25">
      <c r="A500" s="2">
        <v>44684</v>
      </c>
      <c r="B500" s="20">
        <v>3032</v>
      </c>
      <c r="C500" s="20">
        <v>385</v>
      </c>
      <c r="D500" s="20">
        <v>11000</v>
      </c>
      <c r="E500" s="17">
        <f t="shared" si="24"/>
        <v>4.1924398625429626E-2</v>
      </c>
      <c r="F500" s="17">
        <f t="shared" si="24"/>
        <v>2.6041666666667407E-3</v>
      </c>
      <c r="G500" s="17">
        <f t="shared" si="24"/>
        <v>2.8037383177569986E-2</v>
      </c>
      <c r="H500" s="14">
        <f t="shared" si="25"/>
        <v>2.8918374316345578E-2</v>
      </c>
      <c r="I500" s="39">
        <f t="shared" si="26"/>
        <v>1.3227513227513227E-3</v>
      </c>
      <c r="J500" s="42">
        <v>4.5871559633028358E-3</v>
      </c>
      <c r="K500" s="88">
        <v>4.6439628482972672E-3</v>
      </c>
      <c r="L500" s="42">
        <v>6.5534703604408495E-3</v>
      </c>
      <c r="M500" s="43">
        <v>6.2632094020469258E-3</v>
      </c>
      <c r="Q500" s="2"/>
      <c r="R500" s="24"/>
      <c r="S500" s="24"/>
      <c r="T500" s="24"/>
    </row>
    <row r="501" spans="1:20" x14ac:dyDescent="0.25">
      <c r="A501" s="2">
        <v>44683</v>
      </c>
      <c r="B501" s="20">
        <v>2910</v>
      </c>
      <c r="C501" s="20">
        <v>384</v>
      </c>
      <c r="D501" s="20">
        <v>10700</v>
      </c>
      <c r="E501" s="17">
        <f t="shared" si="24"/>
        <v>-4.839764551994763E-2</v>
      </c>
      <c r="F501" s="17">
        <f t="shared" si="24"/>
        <v>-1.158301158301156E-2</v>
      </c>
      <c r="G501" s="17">
        <f t="shared" si="24"/>
        <v>-9.2592592592593004E-3</v>
      </c>
      <c r="H501" s="14">
        <f t="shared" si="25"/>
        <v>-1.499330539018694E-2</v>
      </c>
      <c r="I501" s="39">
        <f t="shared" si="26"/>
        <v>1.3227513227513227E-3</v>
      </c>
      <c r="J501" s="42">
        <v>4.6260601387817513E-3</v>
      </c>
      <c r="K501" s="88">
        <v>4.6728971962617383E-3</v>
      </c>
      <c r="L501" s="42">
        <v>6.7001675041875597E-3</v>
      </c>
      <c r="M501" s="43">
        <v>6.2708947909711401E-3</v>
      </c>
      <c r="Q501" s="2"/>
      <c r="R501" s="24"/>
      <c r="S501" s="24"/>
      <c r="T501" s="24"/>
    </row>
    <row r="502" spans="1:20" x14ac:dyDescent="0.25">
      <c r="A502" s="2">
        <v>44680</v>
      </c>
      <c r="B502" s="20">
        <v>3058</v>
      </c>
      <c r="C502" s="29">
        <v>388.5</v>
      </c>
      <c r="D502" s="20">
        <v>10800</v>
      </c>
      <c r="E502" s="17">
        <f t="shared" si="24"/>
        <v>-3.9087947882736618E-3</v>
      </c>
      <c r="F502" s="17">
        <f t="shared" si="24"/>
        <v>2.580645161290418E-3</v>
      </c>
      <c r="G502" s="17">
        <f t="shared" si="24"/>
        <v>-2.0852221214868516E-2</v>
      </c>
      <c r="H502" s="14">
        <f t="shared" si="25"/>
        <v>-1.7384634108224644E-2</v>
      </c>
      <c r="I502" s="39">
        <f t="shared" si="26"/>
        <v>1.3227513227513227E-3</v>
      </c>
      <c r="J502" s="42">
        <v>4.710632570659401E-3</v>
      </c>
      <c r="K502" s="88">
        <v>4.7021943573668512E-3</v>
      </c>
      <c r="L502" s="42">
        <v>6.8578553615961102E-3</v>
      </c>
      <c r="M502" s="43">
        <v>6.2922907527821698E-3</v>
      </c>
      <c r="Q502" s="2"/>
      <c r="R502" s="24"/>
      <c r="S502" s="24"/>
      <c r="T502" s="24"/>
    </row>
    <row r="503" spans="1:20" x14ac:dyDescent="0.25">
      <c r="A503" s="2">
        <v>44679</v>
      </c>
      <c r="B503" s="20">
        <v>3070</v>
      </c>
      <c r="C503" s="29">
        <v>387.5</v>
      </c>
      <c r="D503" s="20">
        <v>11030</v>
      </c>
      <c r="E503" s="17">
        <f t="shared" si="24"/>
        <v>3.0201342281879207E-2</v>
      </c>
      <c r="F503" s="17">
        <f t="shared" si="24"/>
        <v>-3.125E-2</v>
      </c>
      <c r="G503" s="17">
        <f t="shared" si="24"/>
        <v>3.9585296889726562E-2</v>
      </c>
      <c r="H503" s="14">
        <f t="shared" si="25"/>
        <v>3.5123025643334659E-2</v>
      </c>
      <c r="I503" s="39">
        <f t="shared" si="26"/>
        <v>1.3227513227513227E-3</v>
      </c>
      <c r="J503" s="42">
        <v>4.7206923682139301E-3</v>
      </c>
      <c r="K503" s="88">
        <v>4.7058823529411153E-3</v>
      </c>
      <c r="L503" s="42">
        <v>6.9808027923210503E-3</v>
      </c>
      <c r="M503" s="43">
        <v>6.3932023482373883E-3</v>
      </c>
      <c r="Q503" s="2"/>
      <c r="R503" s="24"/>
      <c r="S503" s="24"/>
      <c r="T503" s="24"/>
    </row>
    <row r="504" spans="1:20" x14ac:dyDescent="0.25">
      <c r="A504" s="2">
        <v>44678</v>
      </c>
      <c r="B504" s="20">
        <v>2980</v>
      </c>
      <c r="C504" s="20">
        <v>400</v>
      </c>
      <c r="D504" s="20">
        <v>10610</v>
      </c>
      <c r="E504" s="17">
        <f t="shared" si="24"/>
        <v>-6.6666666666667096E-3</v>
      </c>
      <c r="F504" s="17">
        <f t="shared" si="24"/>
        <v>-6.2111801242236142E-3</v>
      </c>
      <c r="G504" s="17">
        <f t="shared" si="24"/>
        <v>1.677048394825098E-2</v>
      </c>
      <c r="H504" s="14">
        <f t="shared" si="25"/>
        <v>1.2388281197411271E-2</v>
      </c>
      <c r="I504" s="39">
        <f t="shared" si="26"/>
        <v>1.3227513227513227E-3</v>
      </c>
      <c r="J504" s="42">
        <v>4.7748976807640009E-3</v>
      </c>
      <c r="K504" s="88">
        <v>4.7058823529411153E-3</v>
      </c>
      <c r="L504" s="42">
        <v>7.0186145865120952E-3</v>
      </c>
      <c r="M504" s="43">
        <v>6.4028368304489738E-3</v>
      </c>
      <c r="Q504" s="2"/>
      <c r="R504" s="24"/>
      <c r="S504" s="24"/>
      <c r="T504" s="24"/>
    </row>
    <row r="505" spans="1:20" x14ac:dyDescent="0.25">
      <c r="A505" s="2">
        <v>44677</v>
      </c>
      <c r="B505" s="20">
        <v>3000</v>
      </c>
      <c r="C505" s="29">
        <v>402.5</v>
      </c>
      <c r="D505" s="20">
        <v>10435</v>
      </c>
      <c r="E505" s="17">
        <f t="shared" si="24"/>
        <v>-3.3222591362126463E-3</v>
      </c>
      <c r="F505" s="17">
        <f t="shared" si="24"/>
        <v>2.8097062579821142E-2</v>
      </c>
      <c r="G505" s="17">
        <f t="shared" si="24"/>
        <v>-1.4636449480642133E-2</v>
      </c>
      <c r="H505" s="14">
        <f t="shared" si="25"/>
        <v>-1.1130986433997821E-2</v>
      </c>
      <c r="I505" s="39">
        <f t="shared" si="26"/>
        <v>1.3227513227513227E-3</v>
      </c>
      <c r="J505" s="42">
        <v>4.7999999999999154E-3</v>
      </c>
      <c r="K505" s="88">
        <v>4.7225501770955525E-3</v>
      </c>
      <c r="L505" s="42">
        <v>7.0635721493441661E-3</v>
      </c>
      <c r="M505" s="43">
        <v>6.4723233196378408E-3</v>
      </c>
      <c r="Q505" s="2"/>
      <c r="R505" s="24"/>
      <c r="S505" s="24"/>
      <c r="T505" s="24"/>
    </row>
    <row r="506" spans="1:20" x14ac:dyDescent="0.25">
      <c r="A506" s="2">
        <v>44676</v>
      </c>
      <c r="B506" s="20">
        <v>3010</v>
      </c>
      <c r="C506" s="29">
        <v>391.5</v>
      </c>
      <c r="D506" s="20">
        <v>10590</v>
      </c>
      <c r="E506" s="17">
        <f t="shared" si="24"/>
        <v>-1.6339869281045805E-2</v>
      </c>
      <c r="F506" s="17">
        <f t="shared" si="24"/>
        <v>6.4267352185090054E-3</v>
      </c>
      <c r="G506" s="17">
        <f t="shared" si="24"/>
        <v>-2.754820936639113E-2</v>
      </c>
      <c r="H506" s="14">
        <f t="shared" si="25"/>
        <v>-2.4442759041665308E-2</v>
      </c>
      <c r="I506" s="39">
        <f t="shared" si="26"/>
        <v>1.3227513227513227E-3</v>
      </c>
      <c r="J506" s="42">
        <v>4.8275862068964948E-3</v>
      </c>
      <c r="K506" s="88">
        <v>4.7281323877068626E-3</v>
      </c>
      <c r="L506" s="42">
        <v>7.1005917159763232E-3</v>
      </c>
      <c r="M506" s="43">
        <v>6.4977003990191471E-3</v>
      </c>
      <c r="Q506" s="2"/>
      <c r="R506" s="24"/>
      <c r="S506" s="24"/>
      <c r="T506" s="24"/>
    </row>
    <row r="507" spans="1:20" x14ac:dyDescent="0.25">
      <c r="A507" s="2">
        <v>44673</v>
      </c>
      <c r="B507" s="20">
        <v>3060</v>
      </c>
      <c r="C507" s="20">
        <v>389</v>
      </c>
      <c r="D507" s="20">
        <v>10890</v>
      </c>
      <c r="E507" s="17">
        <f t="shared" si="24"/>
        <v>-1.4175257731958713E-2</v>
      </c>
      <c r="F507" s="17">
        <f t="shared" si="24"/>
        <v>-1.5189873417721489E-2</v>
      </c>
      <c r="G507" s="17">
        <f t="shared" si="24"/>
        <v>1.8709073900841977E-2</v>
      </c>
      <c r="H507" s="14">
        <f t="shared" si="25"/>
        <v>1.2487817363043644E-2</v>
      </c>
      <c r="I507" s="39">
        <f t="shared" si="26"/>
        <v>1.3227513227513227E-3</v>
      </c>
      <c r="J507" s="42">
        <v>5.0359712230216847E-3</v>
      </c>
      <c r="K507" s="88">
        <v>4.761904761904745E-3</v>
      </c>
      <c r="L507" s="42">
        <v>7.1394574012375589E-3</v>
      </c>
      <c r="M507" s="43">
        <v>6.5163818640430558E-3</v>
      </c>
      <c r="Q507" s="2"/>
      <c r="R507" s="24"/>
      <c r="S507" s="24"/>
      <c r="T507" s="24"/>
    </row>
    <row r="508" spans="1:20" x14ac:dyDescent="0.25">
      <c r="A508" s="2">
        <v>44672</v>
      </c>
      <c r="B508" s="20">
        <v>3104</v>
      </c>
      <c r="C508" s="20">
        <v>395</v>
      </c>
      <c r="D508" s="20">
        <v>10690</v>
      </c>
      <c r="E508" s="17">
        <f t="shared" si="24"/>
        <v>-1.6476552598225558E-2</v>
      </c>
      <c r="F508" s="17">
        <f t="shared" si="24"/>
        <v>1.2820512820512775E-2</v>
      </c>
      <c r="G508" s="17">
        <f t="shared" si="24"/>
        <v>2.3946360153256796E-2</v>
      </c>
      <c r="H508" s="14">
        <f t="shared" si="25"/>
        <v>1.7640779186455124E-2</v>
      </c>
      <c r="I508" s="39">
        <f t="shared" si="26"/>
        <v>1.3227513227513227E-3</v>
      </c>
      <c r="J508" s="42">
        <v>5.0983248361253786E-3</v>
      </c>
      <c r="K508" s="88">
        <v>4.7846889952152249E-3</v>
      </c>
      <c r="L508" s="42">
        <v>7.1530758226037161E-3</v>
      </c>
      <c r="M508" s="43">
        <v>6.5249129633060676E-3</v>
      </c>
      <c r="Q508" s="2"/>
      <c r="R508" s="24"/>
      <c r="S508" s="24"/>
      <c r="T508" s="24"/>
    </row>
    <row r="509" spans="1:20" x14ac:dyDescent="0.25">
      <c r="A509" s="2">
        <v>44671</v>
      </c>
      <c r="B509" s="20">
        <v>3156</v>
      </c>
      <c r="C509" s="20">
        <v>390</v>
      </c>
      <c r="D509" s="20">
        <v>10440</v>
      </c>
      <c r="E509" s="17">
        <f t="shared" si="24"/>
        <v>2.734375E-2</v>
      </c>
      <c r="F509" s="17">
        <f t="shared" si="24"/>
        <v>0</v>
      </c>
      <c r="G509" s="17">
        <f t="shared" si="24"/>
        <v>-3.3412887828162541E-3</v>
      </c>
      <c r="H509" s="14">
        <f t="shared" si="25"/>
        <v>1.2210348166434917E-3</v>
      </c>
      <c r="I509" s="39">
        <f t="shared" si="26"/>
        <v>1.3227513227513227E-3</v>
      </c>
      <c r="J509" s="42">
        <v>5.1057622173595885E-3</v>
      </c>
      <c r="K509" s="88">
        <v>4.7961630695443347E-3</v>
      </c>
      <c r="L509" s="42">
        <v>7.1856287425149379E-3</v>
      </c>
      <c r="M509" s="43">
        <v>6.5587693066513526E-3</v>
      </c>
      <c r="Q509" s="2"/>
      <c r="R509" s="24"/>
      <c r="S509" s="24"/>
      <c r="T509" s="24"/>
    </row>
    <row r="510" spans="1:20" x14ac:dyDescent="0.25">
      <c r="A510" s="2">
        <v>44670</v>
      </c>
      <c r="B510" s="20">
        <v>3072</v>
      </c>
      <c r="C510" s="20">
        <v>390</v>
      </c>
      <c r="D510" s="20">
        <v>10475</v>
      </c>
      <c r="E510" s="17">
        <f t="shared" si="24"/>
        <v>2.4000000000000021E-2</v>
      </c>
      <c r="F510" s="17">
        <f t="shared" si="24"/>
        <v>7.7519379844961378E-3</v>
      </c>
      <c r="G510" s="17">
        <f t="shared" si="24"/>
        <v>-2.10280373831776E-2</v>
      </c>
      <c r="H510" s="14">
        <f t="shared" si="25"/>
        <v>-1.3284205001884819E-2</v>
      </c>
      <c r="I510" s="39">
        <f t="shared" si="26"/>
        <v>1.3227513227513227E-3</v>
      </c>
      <c r="J510" s="42">
        <v>5.1948051948051965E-3</v>
      </c>
      <c r="K510" s="88">
        <v>4.8076923076922906E-3</v>
      </c>
      <c r="L510" s="42">
        <v>7.21709006928406E-3</v>
      </c>
      <c r="M510" s="43">
        <v>6.6044708155872768E-3</v>
      </c>
      <c r="Q510" s="2"/>
      <c r="R510" s="24"/>
      <c r="S510" s="24"/>
      <c r="T510" s="24"/>
    </row>
    <row r="511" spans="1:20" x14ac:dyDescent="0.25">
      <c r="A511" s="2">
        <v>44665</v>
      </c>
      <c r="B511" s="20">
        <v>3000</v>
      </c>
      <c r="C511" s="20">
        <v>387</v>
      </c>
      <c r="D511" s="20">
        <v>10700</v>
      </c>
      <c r="E511" s="17">
        <f t="shared" si="24"/>
        <v>3.8781163434903121E-2</v>
      </c>
      <c r="F511" s="17">
        <f t="shared" si="24"/>
        <v>0</v>
      </c>
      <c r="G511" s="17">
        <f t="shared" si="24"/>
        <v>-1.1090573012939031E-2</v>
      </c>
      <c r="H511" s="14">
        <f t="shared" si="25"/>
        <v>-3.4268691776880153E-3</v>
      </c>
      <c r="I511" s="39">
        <f t="shared" si="26"/>
        <v>1.3227513227513227E-3</v>
      </c>
      <c r="J511" s="42">
        <v>5.2459016393442415E-3</v>
      </c>
      <c r="K511" s="88">
        <v>4.8076923076922906E-3</v>
      </c>
      <c r="L511" s="42">
        <v>7.2463768115942351E-3</v>
      </c>
      <c r="M511" s="43">
        <v>6.705272344266159E-3</v>
      </c>
      <c r="Q511" s="2"/>
      <c r="R511" s="24"/>
      <c r="S511" s="24"/>
      <c r="T511" s="24"/>
    </row>
    <row r="512" spans="1:20" x14ac:dyDescent="0.25">
      <c r="A512" s="2">
        <v>44664</v>
      </c>
      <c r="B512" s="20">
        <v>2888</v>
      </c>
      <c r="C512" s="20">
        <v>387</v>
      </c>
      <c r="D512" s="20">
        <v>10820</v>
      </c>
      <c r="E512" s="17">
        <f t="shared" si="24"/>
        <v>3.1428571428571361E-2</v>
      </c>
      <c r="F512" s="17">
        <f t="shared" si="24"/>
        <v>1.308900523560208E-2</v>
      </c>
      <c r="G512" s="17">
        <f t="shared" si="24"/>
        <v>2.4621212121212155E-2</v>
      </c>
      <c r="H512" s="14">
        <f t="shared" si="25"/>
        <v>2.50941491946239E-2</v>
      </c>
      <c r="I512" s="39">
        <f t="shared" si="26"/>
        <v>1.3227513227513227E-3</v>
      </c>
      <c r="J512" s="42">
        <v>5.287009063444037E-3</v>
      </c>
      <c r="K512" s="88">
        <v>4.8661800486617945E-3</v>
      </c>
      <c r="L512" s="42">
        <v>7.2829131652660806E-3</v>
      </c>
      <c r="M512" s="43">
        <v>6.7958059343371357E-3</v>
      </c>
      <c r="Q512" s="2"/>
      <c r="R512" s="24"/>
      <c r="S512" s="24"/>
      <c r="T512" s="24"/>
    </row>
    <row r="513" spans="1:20" x14ac:dyDescent="0.25">
      <c r="A513" s="2">
        <v>44663</v>
      </c>
      <c r="B513" s="20">
        <v>2800</v>
      </c>
      <c r="C513" s="20">
        <v>382</v>
      </c>
      <c r="D513" s="20">
        <v>10560</v>
      </c>
      <c r="E513" s="17">
        <f t="shared" si="24"/>
        <v>0</v>
      </c>
      <c r="F513" s="17">
        <f t="shared" si="24"/>
        <v>-3.0456852791878153E-2</v>
      </c>
      <c r="G513" s="17">
        <f t="shared" si="24"/>
        <v>-1.1235955056179803E-2</v>
      </c>
      <c r="H513" s="14">
        <f t="shared" si="25"/>
        <v>-1.0463528479854023E-2</v>
      </c>
      <c r="I513" s="39">
        <f t="shared" si="26"/>
        <v>1.3227513227513227E-3</v>
      </c>
      <c r="J513" s="42">
        <v>5.3516819571866048E-3</v>
      </c>
      <c r="K513" s="88">
        <v>4.8899755501221609E-3</v>
      </c>
      <c r="L513" s="42">
        <v>7.2957198443579507E-3</v>
      </c>
      <c r="M513" s="43">
        <v>6.8302335441425806E-3</v>
      </c>
      <c r="Q513" s="2"/>
      <c r="R513" s="24"/>
      <c r="S513" s="24"/>
      <c r="T513" s="24"/>
    </row>
    <row r="514" spans="1:20" x14ac:dyDescent="0.25">
      <c r="A514" s="2">
        <v>44662</v>
      </c>
      <c r="B514" s="20">
        <v>2800</v>
      </c>
      <c r="C514" s="20">
        <v>394</v>
      </c>
      <c r="D514" s="20">
        <v>10680</v>
      </c>
      <c r="E514" s="17">
        <f t="shared" si="24"/>
        <v>5.7471264367816577E-3</v>
      </c>
      <c r="F514" s="17">
        <f t="shared" si="24"/>
        <v>-8.8050314465408785E-3</v>
      </c>
      <c r="G514" s="17">
        <f t="shared" si="24"/>
        <v>-1.7027151403589458E-2</v>
      </c>
      <c r="H514" s="14">
        <f t="shared" si="25"/>
        <v>-1.3388750789956277E-2</v>
      </c>
      <c r="I514" s="39">
        <f t="shared" si="26"/>
        <v>1.3227513227513227E-3</v>
      </c>
      <c r="J514" s="42">
        <v>5.412719891745521E-3</v>
      </c>
      <c r="K514" s="88">
        <v>4.9079754601226711E-3</v>
      </c>
      <c r="L514" s="42">
        <v>7.3170731707317138E-3</v>
      </c>
      <c r="M514" s="43">
        <v>6.8451985656772119E-3</v>
      </c>
      <c r="Q514" s="2"/>
      <c r="R514" s="24"/>
      <c r="S514" s="24"/>
      <c r="T514" s="24"/>
    </row>
    <row r="515" spans="1:20" x14ac:dyDescent="0.25">
      <c r="A515" s="2">
        <v>44659</v>
      </c>
      <c r="B515" s="20">
        <v>2784</v>
      </c>
      <c r="C515" s="29">
        <v>397.5</v>
      </c>
      <c r="D515" s="20">
        <v>10865</v>
      </c>
      <c r="E515" s="17">
        <f t="shared" si="24"/>
        <v>1.2363636363636354E-2</v>
      </c>
      <c r="F515" s="17">
        <f t="shared" si="24"/>
        <v>-1.2562814070351536E-3</v>
      </c>
      <c r="G515" s="17">
        <f t="shared" si="24"/>
        <v>-1.3786764705882026E-3</v>
      </c>
      <c r="H515" s="14">
        <f t="shared" si="25"/>
        <v>6.0420021535805349E-4</v>
      </c>
      <c r="I515" s="39">
        <f t="shared" si="26"/>
        <v>1.3227513227513227E-3</v>
      </c>
      <c r="J515" s="42">
        <v>5.4533060668029432E-3</v>
      </c>
      <c r="K515" s="88">
        <v>4.9261083743843415E-3</v>
      </c>
      <c r="L515" s="42">
        <v>7.4104569781803242E-3</v>
      </c>
      <c r="M515" s="43">
        <v>6.8465566361728455E-3</v>
      </c>
      <c r="Q515" s="2"/>
      <c r="R515" s="24"/>
      <c r="S515" s="24"/>
      <c r="T515" s="24"/>
    </row>
    <row r="516" spans="1:20" x14ac:dyDescent="0.25">
      <c r="A516" s="2">
        <v>44658</v>
      </c>
      <c r="B516" s="20">
        <v>2750</v>
      </c>
      <c r="C516" s="20">
        <v>398</v>
      </c>
      <c r="D516" s="20">
        <v>10880</v>
      </c>
      <c r="E516" s="17">
        <f t="shared" si="24"/>
        <v>2.1865889212828726E-3</v>
      </c>
      <c r="F516" s="17">
        <f t="shared" si="24"/>
        <v>-1.2547051442910462E-3</v>
      </c>
      <c r="G516" s="17">
        <f t="shared" si="24"/>
        <v>1.6822429906542036E-2</v>
      </c>
      <c r="H516" s="14">
        <f t="shared" si="25"/>
        <v>1.3922188886274689E-2</v>
      </c>
      <c r="I516" s="39">
        <f t="shared" si="26"/>
        <v>1.3227513227513227E-3</v>
      </c>
      <c r="J516" s="42">
        <v>5.4682159945318443E-3</v>
      </c>
      <c r="K516" s="88">
        <v>4.9382716049382047E-3</v>
      </c>
      <c r="L516" s="42">
        <v>7.4349442379182396E-3</v>
      </c>
      <c r="M516" s="43">
        <v>6.8973446262423407E-3</v>
      </c>
      <c r="Q516" s="2"/>
      <c r="R516" s="24"/>
      <c r="S516" s="24"/>
      <c r="T516" s="24"/>
    </row>
    <row r="517" spans="1:20" x14ac:dyDescent="0.25">
      <c r="A517" s="2">
        <v>44657</v>
      </c>
      <c r="B517" s="20">
        <v>2744</v>
      </c>
      <c r="C517" s="29">
        <v>398.5</v>
      </c>
      <c r="D517" s="20">
        <v>10700</v>
      </c>
      <c r="E517" s="17">
        <f t="shared" si="24"/>
        <v>-3.7192982456140333E-2</v>
      </c>
      <c r="F517" s="17">
        <f t="shared" si="24"/>
        <v>1.2562814070351536E-3</v>
      </c>
      <c r="G517" s="17">
        <f t="shared" si="24"/>
        <v>-8.8197699190455947E-2</v>
      </c>
      <c r="H517" s="14">
        <f t="shared" si="25"/>
        <v>-7.692830315250293E-2</v>
      </c>
      <c r="I517" s="39">
        <f t="shared" si="26"/>
        <v>1.3227513227513227E-3</v>
      </c>
      <c r="J517" s="42">
        <v>5.4907343857240054E-3</v>
      </c>
      <c r="K517" s="88">
        <v>4.9504950495049549E-3</v>
      </c>
      <c r="L517" s="42">
        <v>7.4509803921569695E-3</v>
      </c>
      <c r="M517" s="43">
        <v>6.9049813560215015E-3</v>
      </c>
      <c r="Q517" s="2"/>
      <c r="R517" s="24"/>
      <c r="S517" s="24"/>
      <c r="T517" s="24"/>
    </row>
    <row r="518" spans="1:20" x14ac:dyDescent="0.25">
      <c r="A518" s="2">
        <v>44656</v>
      </c>
      <c r="B518" s="20">
        <v>2850</v>
      </c>
      <c r="C518" s="20">
        <v>398</v>
      </c>
      <c r="D518" s="20">
        <v>11735</v>
      </c>
      <c r="E518" s="17">
        <f t="shared" ref="E518:G581" si="27">+B518/B519-1</f>
        <v>-3.0612244897959218E-2</v>
      </c>
      <c r="F518" s="17">
        <f t="shared" si="27"/>
        <v>-1.7283950617283939E-2</v>
      </c>
      <c r="G518" s="17">
        <f t="shared" si="27"/>
        <v>-4.8256285482562888E-2</v>
      </c>
      <c r="H518" s="14">
        <f t="shared" ref="H518:H581" si="28">+SUMPRODUCT(E518:G518,$K$9:$M$9)</f>
        <v>-4.4356657364618912E-2</v>
      </c>
      <c r="I518" s="39">
        <f t="shared" si="26"/>
        <v>1.3227513227513227E-3</v>
      </c>
      <c r="J518" s="42">
        <v>5.5632823365785455E-3</v>
      </c>
      <c r="K518" s="88">
        <v>4.9627791563275903E-3</v>
      </c>
      <c r="L518" s="42">
        <v>7.5630252100840067E-3</v>
      </c>
      <c r="M518" s="43">
        <v>6.9133021927401065E-3</v>
      </c>
      <c r="Q518" s="2"/>
      <c r="R518" s="24"/>
      <c r="S518" s="24"/>
      <c r="T518" s="24"/>
    </row>
    <row r="519" spans="1:20" x14ac:dyDescent="0.25">
      <c r="A519" s="2">
        <v>44655</v>
      </c>
      <c r="B519" s="20">
        <v>2940</v>
      </c>
      <c r="C519" s="20">
        <v>405</v>
      </c>
      <c r="D519" s="20">
        <v>12330</v>
      </c>
      <c r="E519" s="17">
        <f t="shared" si="27"/>
        <v>1.1004126547455195E-2</v>
      </c>
      <c r="F519" s="17">
        <f t="shared" si="27"/>
        <v>-2.4630541871921707E-3</v>
      </c>
      <c r="G519" s="17">
        <f t="shared" si="27"/>
        <v>7.764609726195415E-3</v>
      </c>
      <c r="H519" s="14">
        <f t="shared" si="28"/>
        <v>7.7814503738373453E-3</v>
      </c>
      <c r="I519" s="39">
        <f t="shared" si="26"/>
        <v>1.3227513227513227E-3</v>
      </c>
      <c r="J519" s="42">
        <v>5.6737588652482351E-3</v>
      </c>
      <c r="K519" s="88">
        <v>5.1020408163264808E-3</v>
      </c>
      <c r="L519" s="42">
        <v>7.5885328836424737E-3</v>
      </c>
      <c r="M519" s="43">
        <v>6.931325783374547E-3</v>
      </c>
      <c r="Q519" s="2"/>
      <c r="R519" s="24"/>
      <c r="S519" s="24"/>
      <c r="T519" s="24"/>
    </row>
    <row r="520" spans="1:20" x14ac:dyDescent="0.25">
      <c r="A520" s="2">
        <v>44652</v>
      </c>
      <c r="B520" s="20">
        <v>2908</v>
      </c>
      <c r="C520" s="20">
        <v>406</v>
      </c>
      <c r="D520" s="20">
        <v>12235</v>
      </c>
      <c r="E520" s="17">
        <f t="shared" si="27"/>
        <v>-7.5085324232081474E-3</v>
      </c>
      <c r="F520" s="17">
        <f t="shared" si="27"/>
        <v>4.9504950495049549E-3</v>
      </c>
      <c r="G520" s="17">
        <f t="shared" si="27"/>
        <v>7.4104569781803242E-3</v>
      </c>
      <c r="H520" s="14">
        <f t="shared" si="28"/>
        <v>5.1555642879229334E-3</v>
      </c>
      <c r="I520" s="39">
        <f t="shared" si="26"/>
        <v>1.3227513227513227E-3</v>
      </c>
      <c r="J520" s="42">
        <v>5.6818181818181213E-3</v>
      </c>
      <c r="K520" s="88">
        <v>5.1546391752577136E-3</v>
      </c>
      <c r="L520" s="42">
        <v>7.5949367088608E-3</v>
      </c>
      <c r="M520" s="43">
        <v>6.9338911288132927E-3</v>
      </c>
      <c r="Q520" s="2"/>
      <c r="R520" s="24"/>
      <c r="S520" s="24"/>
      <c r="T520" s="24"/>
    </row>
    <row r="521" spans="1:20" x14ac:dyDescent="0.25">
      <c r="A521" s="2">
        <v>44651</v>
      </c>
      <c r="B521" s="20">
        <v>2930</v>
      </c>
      <c r="C521" s="20">
        <v>404</v>
      </c>
      <c r="D521" s="20">
        <v>12145</v>
      </c>
      <c r="E521" s="17">
        <f t="shared" si="27"/>
        <v>-6.7796610169491567E-3</v>
      </c>
      <c r="F521" s="17">
        <f t="shared" si="27"/>
        <v>-7.3710073710073765E-3</v>
      </c>
      <c r="G521" s="17">
        <f t="shared" si="27"/>
        <v>-3.9161392405063333E-2</v>
      </c>
      <c r="H521" s="14">
        <f t="shared" si="28"/>
        <v>-3.310509261026158E-2</v>
      </c>
      <c r="I521" s="39">
        <f t="shared" si="26"/>
        <v>1.3227513227513227E-3</v>
      </c>
      <c r="J521" s="42">
        <v>5.6864337936637366E-3</v>
      </c>
      <c r="K521" s="88">
        <v>5.1679586563306845E-3</v>
      </c>
      <c r="L521" s="42">
        <v>7.7469335054873856E-3</v>
      </c>
      <c r="M521" s="43">
        <v>6.9750161112312522E-3</v>
      </c>
      <c r="Q521" s="2"/>
      <c r="R521" s="24"/>
      <c r="S521" s="24"/>
      <c r="T521" s="24"/>
    </row>
    <row r="522" spans="1:20" x14ac:dyDescent="0.25">
      <c r="A522" s="2">
        <v>44650</v>
      </c>
      <c r="B522" s="20">
        <v>2950</v>
      </c>
      <c r="C522" s="20">
        <v>407</v>
      </c>
      <c r="D522" s="20">
        <v>12640</v>
      </c>
      <c r="E522" s="17">
        <f t="shared" si="27"/>
        <v>1.9350380096751829E-2</v>
      </c>
      <c r="F522" s="17">
        <f t="shared" si="27"/>
        <v>4.9382716049382047E-3</v>
      </c>
      <c r="G522" s="17">
        <f t="shared" si="27"/>
        <v>-4.2424242424242475E-2</v>
      </c>
      <c r="H522" s="14">
        <f t="shared" si="28"/>
        <v>-3.1454232515808332E-2</v>
      </c>
      <c r="I522" s="39">
        <f t="shared" si="26"/>
        <v>1.3227513227513227E-3</v>
      </c>
      <c r="J522" s="42">
        <v>5.7236304170074082E-3</v>
      </c>
      <c r="K522" s="88">
        <v>5.1948051948051965E-3</v>
      </c>
      <c r="L522" s="42">
        <v>7.764609726195415E-3</v>
      </c>
      <c r="M522" s="43">
        <v>7.0475201683629779E-3</v>
      </c>
      <c r="Q522" s="2"/>
      <c r="R522" s="24"/>
      <c r="S522" s="24"/>
      <c r="T522" s="24"/>
    </row>
    <row r="523" spans="1:20" x14ac:dyDescent="0.25">
      <c r="A523" s="2">
        <v>44649</v>
      </c>
      <c r="B523" s="20">
        <v>2894</v>
      </c>
      <c r="C523" s="20">
        <v>405</v>
      </c>
      <c r="D523" s="20">
        <v>13200</v>
      </c>
      <c r="E523" s="17">
        <f t="shared" si="27"/>
        <v>3.2833690221270473E-2</v>
      </c>
      <c r="F523" s="17">
        <f t="shared" si="27"/>
        <v>0</v>
      </c>
      <c r="G523" s="17">
        <f t="shared" si="27"/>
        <v>9.7256857855361645E-2</v>
      </c>
      <c r="H523" s="14">
        <f t="shared" si="28"/>
        <v>8.3713769791436424E-2</v>
      </c>
      <c r="I523" s="39">
        <f t="shared" si="26"/>
        <v>1.3227513227513227E-3</v>
      </c>
      <c r="J523" s="42">
        <v>5.7471264367816577E-3</v>
      </c>
      <c r="K523" s="88">
        <v>5.2816901408450079E-3</v>
      </c>
      <c r="L523" s="42">
        <v>7.8095946448493159E-3</v>
      </c>
      <c r="M523" s="43">
        <v>7.1844483569997808E-3</v>
      </c>
      <c r="Q523" s="2"/>
      <c r="R523" s="24"/>
      <c r="S523" s="24"/>
      <c r="T523" s="24"/>
    </row>
    <row r="524" spans="1:20" x14ac:dyDescent="0.25">
      <c r="A524" s="2">
        <v>44648</v>
      </c>
      <c r="B524" s="20">
        <v>2802</v>
      </c>
      <c r="C524" s="20">
        <v>405</v>
      </c>
      <c r="D524" s="20">
        <v>12030</v>
      </c>
      <c r="E524" s="17">
        <f t="shared" si="27"/>
        <v>-2.846975088967918E-3</v>
      </c>
      <c r="F524" s="17">
        <f t="shared" si="27"/>
        <v>4.9627791563275903E-3</v>
      </c>
      <c r="G524" s="17">
        <f t="shared" si="27"/>
        <v>2.8205128205128105E-2</v>
      </c>
      <c r="H524" s="14">
        <f t="shared" si="28"/>
        <v>2.27156919936084E-2</v>
      </c>
      <c r="I524" s="39">
        <f t="shared" si="26"/>
        <v>1.3227513227513227E-3</v>
      </c>
      <c r="J524" s="42">
        <v>5.8823529411764497E-3</v>
      </c>
      <c r="K524" s="88">
        <v>5.3097345132744334E-3</v>
      </c>
      <c r="L524" s="42">
        <v>7.8167115902965101E-3</v>
      </c>
      <c r="M524" s="43">
        <v>7.201069885823419E-3</v>
      </c>
      <c r="Q524" s="2"/>
      <c r="R524" s="24"/>
      <c r="S524" s="24"/>
      <c r="T524" s="24"/>
    </row>
    <row r="525" spans="1:20" x14ac:dyDescent="0.25">
      <c r="A525" s="2">
        <v>44645</v>
      </c>
      <c r="B525" s="20">
        <v>2810</v>
      </c>
      <c r="C525" s="20">
        <v>403</v>
      </c>
      <c r="D525" s="20">
        <v>11700</v>
      </c>
      <c r="E525" s="17">
        <f t="shared" si="27"/>
        <v>7.1684587813620748E-3</v>
      </c>
      <c r="F525" s="17">
        <f t="shared" si="27"/>
        <v>-4.9382716049383157E-3</v>
      </c>
      <c r="G525" s="17">
        <f t="shared" si="27"/>
        <v>-9.3141405588483828E-3</v>
      </c>
      <c r="H525" s="14">
        <f t="shared" si="28"/>
        <v>-6.7500770346219253E-3</v>
      </c>
      <c r="I525" s="39">
        <f t="shared" si="26"/>
        <v>1.3227513227513227E-3</v>
      </c>
      <c r="J525" s="42">
        <v>5.9303187546331237E-3</v>
      </c>
      <c r="K525" s="88">
        <v>5.464480874316946E-3</v>
      </c>
      <c r="L525" s="42">
        <v>7.8217587105948727E-3</v>
      </c>
      <c r="M525" s="43">
        <v>7.247747696199824E-3</v>
      </c>
      <c r="Q525" s="2"/>
      <c r="R525" s="24"/>
      <c r="S525" s="24"/>
      <c r="T525" s="24"/>
    </row>
    <row r="526" spans="1:20" x14ac:dyDescent="0.25">
      <c r="A526" s="2">
        <v>44644</v>
      </c>
      <c r="B526" s="20">
        <v>2790</v>
      </c>
      <c r="C526" s="20">
        <v>405</v>
      </c>
      <c r="D526" s="20">
        <v>11810</v>
      </c>
      <c r="E526" s="17">
        <f t="shared" si="27"/>
        <v>-3.5714285714285587E-3</v>
      </c>
      <c r="F526" s="17">
        <f t="shared" si="27"/>
        <v>8.7173100871731357E-3</v>
      </c>
      <c r="G526" s="17">
        <f t="shared" si="27"/>
        <v>-4.2561815970814765E-2</v>
      </c>
      <c r="H526" s="14">
        <f t="shared" si="28"/>
        <v>-3.4698361252579135E-2</v>
      </c>
      <c r="I526" s="39">
        <f t="shared" si="26"/>
        <v>1.3227513227513227E-3</v>
      </c>
      <c r="J526" s="42">
        <v>5.9405940594059459E-3</v>
      </c>
      <c r="K526" s="88">
        <v>5.494505494505475E-3</v>
      </c>
      <c r="L526" s="42">
        <v>7.8996282527881156E-3</v>
      </c>
      <c r="M526" s="43">
        <v>7.3325273655207145E-3</v>
      </c>
      <c r="Q526" s="2"/>
      <c r="R526" s="24"/>
      <c r="S526" s="24"/>
      <c r="T526" s="24"/>
    </row>
    <row r="527" spans="1:20" x14ac:dyDescent="0.25">
      <c r="A527" s="2">
        <v>44643</v>
      </c>
      <c r="B527" s="20">
        <v>2800</v>
      </c>
      <c r="C527" s="29">
        <v>401.5</v>
      </c>
      <c r="D527" s="20">
        <v>12335</v>
      </c>
      <c r="E527" s="17">
        <f t="shared" si="27"/>
        <v>5.6603773584905648E-2</v>
      </c>
      <c r="F527" s="17">
        <f t="shared" si="27"/>
        <v>-2.311435523114358E-2</v>
      </c>
      <c r="G527" s="17">
        <f t="shared" si="27"/>
        <v>-2.0643112346169112E-2</v>
      </c>
      <c r="H527" s="14">
        <f t="shared" si="28"/>
        <v>-9.6359598435770653E-3</v>
      </c>
      <c r="I527" s="39">
        <f t="shared" si="26"/>
        <v>1.3227513227513227E-3</v>
      </c>
      <c r="J527" s="42">
        <v>6.0150375939849177E-3</v>
      </c>
      <c r="K527" s="88">
        <v>5.5555555555555358E-3</v>
      </c>
      <c r="L527" s="42">
        <v>7.905138339920903E-3</v>
      </c>
      <c r="M527" s="43">
        <v>7.3683078668729139E-3</v>
      </c>
      <c r="Q527" s="2"/>
      <c r="R527" s="24"/>
      <c r="S527" s="24"/>
      <c r="T527" s="24"/>
    </row>
    <row r="528" spans="1:20" x14ac:dyDescent="0.25">
      <c r="A528" s="2">
        <v>44642</v>
      </c>
      <c r="B528" s="20">
        <v>2650</v>
      </c>
      <c r="C528" s="20">
        <v>411</v>
      </c>
      <c r="D528" s="20">
        <v>12595</v>
      </c>
      <c r="E528" s="17">
        <f t="shared" si="27"/>
        <v>6.0744115413819966E-3</v>
      </c>
      <c r="F528" s="17">
        <f t="shared" si="27"/>
        <v>2.4937655860349128E-2</v>
      </c>
      <c r="G528" s="17">
        <f t="shared" si="27"/>
        <v>-1.980982567353462E-3</v>
      </c>
      <c r="H528" s="14">
        <f t="shared" si="28"/>
        <v>3.6076588829636277E-4</v>
      </c>
      <c r="I528" s="39">
        <f t="shared" ref="I528:I591" si="29">1/$K$1</f>
        <v>1.3227513227513227E-3</v>
      </c>
      <c r="J528" s="42">
        <v>6.0331825037707176E-3</v>
      </c>
      <c r="K528" s="88">
        <v>5.5991041433369748E-3</v>
      </c>
      <c r="L528" s="42">
        <v>8.0357142857143682E-3</v>
      </c>
      <c r="M528" s="43">
        <v>7.4823153832911547E-3</v>
      </c>
      <c r="Q528" s="2"/>
      <c r="R528" s="24"/>
      <c r="S528" s="24"/>
      <c r="T528" s="24"/>
    </row>
    <row r="529" spans="1:20" x14ac:dyDescent="0.25">
      <c r="A529" s="2">
        <v>44641</v>
      </c>
      <c r="B529" s="20">
        <v>2634</v>
      </c>
      <c r="C529" s="20">
        <v>401</v>
      </c>
      <c r="D529" s="20">
        <v>12620</v>
      </c>
      <c r="E529" s="17">
        <f t="shared" si="27"/>
        <v>2.8906249999999911E-2</v>
      </c>
      <c r="F529" s="17">
        <f t="shared" si="27"/>
        <v>-9.8765432098765205E-3</v>
      </c>
      <c r="G529" s="17">
        <f t="shared" si="27"/>
        <v>-3.1595576619273258E-3</v>
      </c>
      <c r="H529" s="14">
        <f t="shared" si="28"/>
        <v>1.1595769673103501E-3</v>
      </c>
      <c r="I529" s="39">
        <f t="shared" si="29"/>
        <v>1.3227513227513227E-3</v>
      </c>
      <c r="J529" s="42">
        <v>6.0744115413819966E-3</v>
      </c>
      <c r="K529" s="88">
        <v>5.7471264367816577E-3</v>
      </c>
      <c r="L529" s="42">
        <v>8.0375083724044671E-3</v>
      </c>
      <c r="M529" s="43">
        <v>7.6236745762326991E-3</v>
      </c>
      <c r="Q529" s="2"/>
      <c r="R529" s="24"/>
      <c r="S529" s="24"/>
      <c r="T529" s="24"/>
    </row>
    <row r="530" spans="1:20" x14ac:dyDescent="0.25">
      <c r="A530" s="2">
        <v>44638</v>
      </c>
      <c r="B530" s="20">
        <v>2560</v>
      </c>
      <c r="C530" s="20">
        <v>405</v>
      </c>
      <c r="D530" s="20">
        <v>12660</v>
      </c>
      <c r="E530" s="17">
        <f t="shared" si="27"/>
        <v>-3.2501889644746762E-2</v>
      </c>
      <c r="F530" s="17">
        <f t="shared" si="27"/>
        <v>2.0151133501259411E-2</v>
      </c>
      <c r="G530" s="17">
        <f t="shared" si="27"/>
        <v>-1.1323701679031628E-2</v>
      </c>
      <c r="H530" s="14">
        <f t="shared" si="28"/>
        <v>-1.2988462227000914E-2</v>
      </c>
      <c r="I530" s="39">
        <f t="shared" si="29"/>
        <v>1.3227513227513227E-3</v>
      </c>
      <c r="J530" s="42">
        <v>6.11828687967364E-3</v>
      </c>
      <c r="K530" s="88">
        <v>5.8275058275059077E-3</v>
      </c>
      <c r="L530" s="42">
        <v>8.1008100810080474E-3</v>
      </c>
      <c r="M530" s="43">
        <v>7.6475664237239021E-3</v>
      </c>
      <c r="Q530" s="2"/>
      <c r="R530" s="24"/>
      <c r="S530" s="24"/>
      <c r="T530" s="24"/>
    </row>
    <row r="531" spans="1:20" x14ac:dyDescent="0.25">
      <c r="A531" s="2">
        <v>44637</v>
      </c>
      <c r="B531" s="20">
        <v>2646</v>
      </c>
      <c r="C531" s="20">
        <v>397</v>
      </c>
      <c r="D531" s="20">
        <v>12805</v>
      </c>
      <c r="E531" s="17">
        <f t="shared" si="27"/>
        <v>2.2727272727272041E-3</v>
      </c>
      <c r="F531" s="17">
        <f t="shared" si="27"/>
        <v>0</v>
      </c>
      <c r="G531" s="17">
        <f t="shared" si="27"/>
        <v>1.1453396524486514E-2</v>
      </c>
      <c r="H531" s="14">
        <f t="shared" si="28"/>
        <v>9.6291409026306191E-3</v>
      </c>
      <c r="I531" s="39">
        <f t="shared" si="29"/>
        <v>1.3227513227513227E-3</v>
      </c>
      <c r="J531" s="42">
        <v>6.1855670103092564E-3</v>
      </c>
      <c r="K531" s="88">
        <v>5.8309037900874383E-3</v>
      </c>
      <c r="L531" s="42">
        <v>8.1473609635140942E-3</v>
      </c>
      <c r="M531" s="43">
        <v>7.7309186627470836E-3</v>
      </c>
      <c r="Q531" s="2"/>
      <c r="R531" s="24"/>
      <c r="S531" s="24"/>
      <c r="T531" s="24"/>
    </row>
    <row r="532" spans="1:20" x14ac:dyDescent="0.25">
      <c r="A532" s="2">
        <v>44636</v>
      </c>
      <c r="B532" s="20">
        <v>2640</v>
      </c>
      <c r="C532" s="20">
        <v>397</v>
      </c>
      <c r="D532" s="20">
        <v>12660</v>
      </c>
      <c r="E532" s="17">
        <f t="shared" si="27"/>
        <v>1.9305019305019266E-2</v>
      </c>
      <c r="F532" s="17">
        <f t="shared" si="27"/>
        <v>7.6142131979695105E-3</v>
      </c>
      <c r="G532" s="17">
        <f t="shared" si="27"/>
        <v>5.1058530510585287E-2</v>
      </c>
      <c r="H532" s="14">
        <f t="shared" si="28"/>
        <v>4.4580650661009781E-2</v>
      </c>
      <c r="I532" s="39">
        <f t="shared" si="29"/>
        <v>1.3227513227513227E-3</v>
      </c>
      <c r="J532" s="42">
        <v>6.1919504643963563E-3</v>
      </c>
      <c r="K532" s="88">
        <v>5.8616647127784915E-3</v>
      </c>
      <c r="L532" s="42">
        <v>8.208955223880654E-3</v>
      </c>
      <c r="M532" s="43">
        <v>7.7814503738373453E-3</v>
      </c>
      <c r="Q532" s="2"/>
      <c r="R532" s="24"/>
      <c r="S532" s="24"/>
      <c r="T532" s="24"/>
    </row>
    <row r="533" spans="1:20" x14ac:dyDescent="0.25">
      <c r="A533" s="2">
        <v>44631</v>
      </c>
      <c r="B533" s="20">
        <v>2590</v>
      </c>
      <c r="C533" s="20">
        <v>394</v>
      </c>
      <c r="D533" s="20">
        <v>12045</v>
      </c>
      <c r="E533" s="17">
        <f t="shared" si="27"/>
        <v>1.4095536413469167E-2</v>
      </c>
      <c r="F533" s="17">
        <f t="shared" si="27"/>
        <v>0</v>
      </c>
      <c r="G533" s="17">
        <f t="shared" si="27"/>
        <v>4.376083188908142E-2</v>
      </c>
      <c r="H533" s="14">
        <f t="shared" si="28"/>
        <v>3.7569538262642102E-2</v>
      </c>
      <c r="I533" s="39">
        <f t="shared" si="29"/>
        <v>1.3227513227513227E-3</v>
      </c>
      <c r="J533" s="42">
        <v>6.382978723404209E-3</v>
      </c>
      <c r="K533" s="88">
        <v>5.8616647127784915E-3</v>
      </c>
      <c r="L533" s="42">
        <v>8.3449235048678183E-3</v>
      </c>
      <c r="M533" s="43">
        <v>7.8144115219849382E-3</v>
      </c>
      <c r="Q533" s="2"/>
      <c r="R533" s="24"/>
      <c r="S533" s="24"/>
      <c r="T533" s="24"/>
    </row>
    <row r="534" spans="1:20" x14ac:dyDescent="0.25">
      <c r="A534" s="2">
        <v>44630</v>
      </c>
      <c r="B534" s="20">
        <v>2554</v>
      </c>
      <c r="C534" s="20">
        <v>394</v>
      </c>
      <c r="D534" s="20">
        <v>11540</v>
      </c>
      <c r="E534" s="17">
        <f t="shared" si="27"/>
        <v>-3.4039334341906202E-2</v>
      </c>
      <c r="F534" s="17">
        <f t="shared" si="27"/>
        <v>-1.0050251256281451E-2</v>
      </c>
      <c r="G534" s="17">
        <f t="shared" si="27"/>
        <v>-3.6727879799666074E-2</v>
      </c>
      <c r="H534" s="14">
        <f t="shared" si="28"/>
        <v>-3.516900140830783E-2</v>
      </c>
      <c r="I534" s="39">
        <f t="shared" si="29"/>
        <v>1.3227513227513227E-3</v>
      </c>
      <c r="J534" s="42">
        <v>6.3920454545454142E-3</v>
      </c>
      <c r="K534" s="88">
        <v>5.924170616113722E-3</v>
      </c>
      <c r="L534" s="42">
        <v>8.5940185630801746E-3</v>
      </c>
      <c r="M534" s="43">
        <v>7.8732482259584111E-3</v>
      </c>
      <c r="Q534" s="2"/>
      <c r="R534" s="24"/>
      <c r="S534" s="24"/>
      <c r="T534" s="24"/>
    </row>
    <row r="535" spans="1:20" x14ac:dyDescent="0.25">
      <c r="A535" s="2">
        <v>44629</v>
      </c>
      <c r="B535" s="20">
        <v>2644</v>
      </c>
      <c r="C535" s="20">
        <v>398</v>
      </c>
      <c r="D535" s="20">
        <v>11980</v>
      </c>
      <c r="E535" s="17">
        <f t="shared" si="27"/>
        <v>1.5151515151514694E-3</v>
      </c>
      <c r="F535" s="17">
        <f t="shared" si="27"/>
        <v>-1.1180124223602483E-2</v>
      </c>
      <c r="G535" s="17">
        <f t="shared" si="27"/>
        <v>8.9090909090909109E-2</v>
      </c>
      <c r="H535" s="14">
        <f t="shared" si="28"/>
        <v>7.2083777028452936E-2</v>
      </c>
      <c r="I535" s="39">
        <f t="shared" si="29"/>
        <v>1.3227513227513227E-3</v>
      </c>
      <c r="J535" s="42">
        <v>6.4102564102563875E-3</v>
      </c>
      <c r="K535" s="88">
        <v>5.924170616113722E-3</v>
      </c>
      <c r="L535" s="42">
        <v>8.6378737541528139E-3</v>
      </c>
      <c r="M535" s="43">
        <v>7.9204160943854851E-3</v>
      </c>
      <c r="Q535" s="2"/>
      <c r="R535" s="24"/>
      <c r="S535" s="24"/>
      <c r="T535" s="24"/>
    </row>
    <row r="536" spans="1:20" x14ac:dyDescent="0.25">
      <c r="A536" s="2">
        <v>44628</v>
      </c>
      <c r="B536" s="20">
        <v>2640</v>
      </c>
      <c r="C536" s="29">
        <v>402.5</v>
      </c>
      <c r="D536" s="20">
        <v>11000</v>
      </c>
      <c r="E536" s="17">
        <f t="shared" si="27"/>
        <v>1.3824884792626779E-2</v>
      </c>
      <c r="F536" s="17">
        <f t="shared" si="27"/>
        <v>6.2500000000000888E-3</v>
      </c>
      <c r="G536" s="17">
        <f t="shared" si="27"/>
        <v>9.8352471293060351E-2</v>
      </c>
      <c r="H536" s="14">
        <f t="shared" si="28"/>
        <v>8.2142827715440347E-2</v>
      </c>
      <c r="I536" s="39">
        <f t="shared" si="29"/>
        <v>1.3227513227513227E-3</v>
      </c>
      <c r="J536" s="42">
        <v>6.4935064935065512E-3</v>
      </c>
      <c r="K536" s="88">
        <v>5.9311981020166993E-3</v>
      </c>
      <c r="L536" s="42">
        <v>8.6810417250069438E-3</v>
      </c>
      <c r="M536" s="43">
        <v>8.0402207773976903E-3</v>
      </c>
      <c r="Q536" s="2"/>
      <c r="R536" s="24"/>
      <c r="S536" s="24"/>
      <c r="T536" s="24"/>
    </row>
    <row r="537" spans="1:20" x14ac:dyDescent="0.25">
      <c r="A537" s="2">
        <v>44627</v>
      </c>
      <c r="B537" s="20">
        <v>2604</v>
      </c>
      <c r="C537" s="20">
        <v>400</v>
      </c>
      <c r="D537" s="20">
        <v>10015</v>
      </c>
      <c r="E537" s="17">
        <f t="shared" si="27"/>
        <v>3.6624203821655987E-2</v>
      </c>
      <c r="F537" s="17">
        <f t="shared" si="27"/>
        <v>1.2515644555695093E-3</v>
      </c>
      <c r="G537" s="17">
        <f t="shared" si="27"/>
        <v>-3.8406144983197277E-2</v>
      </c>
      <c r="H537" s="14">
        <f t="shared" si="28"/>
        <v>-2.5867141719596008E-2</v>
      </c>
      <c r="I537" s="39">
        <f t="shared" si="29"/>
        <v>1.3227513227513227E-3</v>
      </c>
      <c r="J537" s="42">
        <v>6.7164179104477473E-3</v>
      </c>
      <c r="K537" s="88">
        <v>5.9665871121719061E-3</v>
      </c>
      <c r="L537" s="42">
        <v>8.6880973066898459E-3</v>
      </c>
      <c r="M537" s="43">
        <v>8.1407383442699075E-3</v>
      </c>
      <c r="Q537" s="2"/>
      <c r="R537" s="24"/>
      <c r="S537" s="24"/>
      <c r="T537" s="24"/>
    </row>
    <row r="538" spans="1:20" x14ac:dyDescent="0.25">
      <c r="A538" s="2">
        <v>44624</v>
      </c>
      <c r="B538" s="20">
        <v>2512</v>
      </c>
      <c r="C538" s="29">
        <v>399.5</v>
      </c>
      <c r="D538" s="20">
        <v>10415</v>
      </c>
      <c r="E538" s="17">
        <f t="shared" si="27"/>
        <v>4.7999999999999154E-3</v>
      </c>
      <c r="F538" s="17">
        <f t="shared" si="27"/>
        <v>-7.4534161490683593E-3</v>
      </c>
      <c r="G538" s="17">
        <f t="shared" si="27"/>
        <v>-5.3181818181818219E-2</v>
      </c>
      <c r="H538" s="14">
        <f t="shared" si="28"/>
        <v>-4.2829377262044735E-2</v>
      </c>
      <c r="I538" s="39">
        <f t="shared" si="29"/>
        <v>1.3227513227513227E-3</v>
      </c>
      <c r="J538" s="42">
        <v>6.785411365564098E-3</v>
      </c>
      <c r="K538" s="88">
        <v>5.9665871121719061E-3</v>
      </c>
      <c r="L538" s="42">
        <v>9.0744101633393193E-3</v>
      </c>
      <c r="M538" s="43">
        <v>8.2614648606790572E-3</v>
      </c>
      <c r="Q538" s="2"/>
      <c r="R538" s="24"/>
      <c r="S538" s="24"/>
      <c r="T538" s="24"/>
    </row>
    <row r="539" spans="1:20" x14ac:dyDescent="0.25">
      <c r="A539" s="2">
        <v>44623</v>
      </c>
      <c r="B539" s="20">
        <v>2500</v>
      </c>
      <c r="C539" s="29">
        <v>402.5</v>
      </c>
      <c r="D539" s="20">
        <v>11000</v>
      </c>
      <c r="E539" s="17">
        <f t="shared" si="27"/>
        <v>2.1241830065359402E-2</v>
      </c>
      <c r="F539" s="17">
        <f t="shared" si="27"/>
        <v>-2.4783147459727095E-3</v>
      </c>
      <c r="G539" s="17">
        <f t="shared" si="27"/>
        <v>8.6956521739130377E-2</v>
      </c>
      <c r="H539" s="14">
        <f t="shared" si="28"/>
        <v>7.3571221882359358E-2</v>
      </c>
      <c r="I539" s="39">
        <f t="shared" si="29"/>
        <v>1.3227513227513227E-3</v>
      </c>
      <c r="J539" s="42">
        <v>6.9230769230770317E-3</v>
      </c>
      <c r="K539" s="88">
        <v>5.9737156511350253E-3</v>
      </c>
      <c r="L539" s="42">
        <v>9.1047040971168336E-3</v>
      </c>
      <c r="M539" s="43">
        <v>8.3509984261361594E-3</v>
      </c>
      <c r="Q539" s="2"/>
      <c r="R539" s="24"/>
      <c r="S539" s="24"/>
      <c r="T539" s="24"/>
    </row>
    <row r="540" spans="1:20" x14ac:dyDescent="0.25">
      <c r="A540" s="2">
        <v>44622</v>
      </c>
      <c r="B540" s="20">
        <v>2448</v>
      </c>
      <c r="C540" s="29">
        <v>403.5</v>
      </c>
      <c r="D540" s="20">
        <v>10120</v>
      </c>
      <c r="E540" s="17">
        <f t="shared" si="27"/>
        <v>1.6366612111293755E-3</v>
      </c>
      <c r="F540" s="17">
        <f t="shared" si="27"/>
        <v>-1.2376237623762387E-3</v>
      </c>
      <c r="G540" s="17">
        <f t="shared" si="27"/>
        <v>1.1494252873563315E-2</v>
      </c>
      <c r="H540" s="14">
        <f t="shared" si="28"/>
        <v>9.5164229274592137E-3</v>
      </c>
      <c r="I540" s="39">
        <f t="shared" si="29"/>
        <v>1.3227513227513227E-3</v>
      </c>
      <c r="J540" s="42">
        <v>6.9747166521361148E-3</v>
      </c>
      <c r="K540" s="88">
        <v>5.9808612440190867E-3</v>
      </c>
      <c r="L540" s="42">
        <v>9.157509157509125E-3</v>
      </c>
      <c r="M540" s="43">
        <v>8.3914101402158756E-3</v>
      </c>
      <c r="Q540" s="2"/>
      <c r="R540" s="24"/>
      <c r="S540" s="24"/>
      <c r="T540" s="24"/>
    </row>
    <row r="541" spans="1:20" x14ac:dyDescent="0.25">
      <c r="A541" s="2">
        <v>44621</v>
      </c>
      <c r="B541" s="20">
        <v>2444</v>
      </c>
      <c r="C541" s="20">
        <v>404</v>
      </c>
      <c r="D541" s="20">
        <v>10005</v>
      </c>
      <c r="E541" s="17">
        <f t="shared" si="27"/>
        <v>-5.6370656370656413E-2</v>
      </c>
      <c r="F541" s="17">
        <f t="shared" si="27"/>
        <v>-3.0012004801920789E-2</v>
      </c>
      <c r="G541" s="17">
        <f t="shared" si="27"/>
        <v>-0.21529411764705886</v>
      </c>
      <c r="H541" s="14">
        <f t="shared" si="28"/>
        <v>-0.18428544746561548</v>
      </c>
      <c r="I541" s="39">
        <f t="shared" si="29"/>
        <v>1.3227513227513227E-3</v>
      </c>
      <c r="J541" s="42">
        <v>7.0984915705412099E-3</v>
      </c>
      <c r="K541" s="88">
        <v>6.0386473429951959E-3</v>
      </c>
      <c r="L541" s="42">
        <v>9.1858037578287366E-3</v>
      </c>
      <c r="M541" s="43">
        <v>8.4537428093187147E-3</v>
      </c>
      <c r="Q541" s="2"/>
      <c r="R541" s="24"/>
      <c r="S541" s="24"/>
      <c r="T541" s="24"/>
    </row>
    <row r="542" spans="1:20" x14ac:dyDescent="0.25">
      <c r="A542" s="2">
        <v>44620</v>
      </c>
      <c r="B542" s="20">
        <v>2590</v>
      </c>
      <c r="C542" s="29">
        <v>416.5</v>
      </c>
      <c r="D542" s="20">
        <v>12750</v>
      </c>
      <c r="E542" s="17">
        <f t="shared" si="27"/>
        <v>5.2845528455284452E-2</v>
      </c>
      <c r="F542" s="17">
        <f t="shared" si="27"/>
        <v>-2.0000000000000018E-2</v>
      </c>
      <c r="G542" s="17">
        <f t="shared" si="27"/>
        <v>-0.13559322033898302</v>
      </c>
      <c r="H542" s="14">
        <f t="shared" si="28"/>
        <v>-0.10339891098027382</v>
      </c>
      <c r="I542" s="39">
        <f t="shared" si="29"/>
        <v>1.3227513227513227E-3</v>
      </c>
      <c r="J542" s="42">
        <v>7.1530758226037161E-3</v>
      </c>
      <c r="K542" s="88">
        <v>6.0606060606060996E-3</v>
      </c>
      <c r="L542" s="42">
        <v>9.3068035943517646E-3</v>
      </c>
      <c r="M542" s="43">
        <v>8.4738055839184024E-3</v>
      </c>
      <c r="Q542" s="2"/>
      <c r="R542" s="24"/>
      <c r="S542" s="24"/>
      <c r="T542" s="24"/>
    </row>
    <row r="543" spans="1:20" x14ac:dyDescent="0.25">
      <c r="A543" s="2">
        <v>44617</v>
      </c>
      <c r="B543" s="20">
        <v>2460</v>
      </c>
      <c r="C543" s="20">
        <v>425</v>
      </c>
      <c r="D543" s="20">
        <v>14750</v>
      </c>
      <c r="E543" s="17">
        <f t="shared" si="27"/>
        <v>5.1282051282051322E-2</v>
      </c>
      <c r="F543" s="17">
        <f t="shared" si="27"/>
        <v>0</v>
      </c>
      <c r="G543" s="17">
        <f t="shared" si="27"/>
        <v>0.13374327440430434</v>
      </c>
      <c r="H543" s="14">
        <f t="shared" si="28"/>
        <v>0.11600161562363188</v>
      </c>
      <c r="I543" s="39">
        <f t="shared" si="29"/>
        <v>1.3227513227513227E-3</v>
      </c>
      <c r="J543" s="42">
        <v>7.1684587813620748E-3</v>
      </c>
      <c r="K543" s="88">
        <v>6.2500000000000888E-3</v>
      </c>
      <c r="L543" s="42">
        <v>9.3873517786560168E-3</v>
      </c>
      <c r="M543" s="43">
        <v>8.5364519173340633E-3</v>
      </c>
      <c r="Q543" s="2"/>
      <c r="R543" s="24"/>
      <c r="S543" s="24"/>
      <c r="T543" s="24"/>
    </row>
    <row r="544" spans="1:20" x14ac:dyDescent="0.25">
      <c r="A544" s="2">
        <v>44616</v>
      </c>
      <c r="B544" s="20">
        <v>2340</v>
      </c>
      <c r="C544" s="20">
        <v>425</v>
      </c>
      <c r="D544" s="20">
        <v>13010</v>
      </c>
      <c r="E544" s="17">
        <f t="shared" si="27"/>
        <v>-7.2164948453608213E-2</v>
      </c>
      <c r="F544" s="17">
        <f t="shared" si="27"/>
        <v>-2.0737327188940058E-2</v>
      </c>
      <c r="G544" s="17">
        <f t="shared" si="27"/>
        <v>-0.14688524590163932</v>
      </c>
      <c r="H544" s="14">
        <f t="shared" si="28"/>
        <v>-0.13059117436468012</v>
      </c>
      <c r="I544" s="39">
        <f t="shared" si="29"/>
        <v>1.3227513227513227E-3</v>
      </c>
      <c r="J544" s="42">
        <v>7.1890726096333069E-3</v>
      </c>
      <c r="K544" s="88">
        <v>6.2500000000000888E-3</v>
      </c>
      <c r="L544" s="42">
        <v>9.5298602287166023E-3</v>
      </c>
      <c r="M544" s="43">
        <v>8.5464996660623311E-3</v>
      </c>
      <c r="Q544" s="2"/>
      <c r="R544" s="24"/>
      <c r="S544" s="24"/>
      <c r="T544" s="24"/>
    </row>
    <row r="545" spans="1:20" x14ac:dyDescent="0.25">
      <c r="A545" s="2">
        <v>44615</v>
      </c>
      <c r="B545" s="20">
        <v>2522</v>
      </c>
      <c r="C545" s="20">
        <v>434</v>
      </c>
      <c r="D545" s="20">
        <v>15250</v>
      </c>
      <c r="E545" s="17">
        <f t="shared" si="27"/>
        <v>-1.5612802498048417E-2</v>
      </c>
      <c r="F545" s="17">
        <f t="shared" si="27"/>
        <v>2.6004728132387633E-2</v>
      </c>
      <c r="G545" s="17">
        <f t="shared" si="27"/>
        <v>-1.166558651976668E-2</v>
      </c>
      <c r="H545" s="14">
        <f t="shared" si="28"/>
        <v>-1.0578654711748601E-2</v>
      </c>
      <c r="I545" s="39">
        <f t="shared" si="29"/>
        <v>1.3227513227513227E-3</v>
      </c>
      <c r="J545" s="42">
        <v>7.275666936135794E-3</v>
      </c>
      <c r="K545" s="88">
        <v>6.2893081761006275E-3</v>
      </c>
      <c r="L545" s="42">
        <v>9.5625635808749276E-3</v>
      </c>
      <c r="M545" s="43">
        <v>8.618706264156983E-3</v>
      </c>
      <c r="Q545" s="2"/>
      <c r="R545" s="24"/>
      <c r="S545" s="24"/>
      <c r="T545" s="24"/>
    </row>
    <row r="546" spans="1:20" x14ac:dyDescent="0.25">
      <c r="A546" s="2">
        <v>44614</v>
      </c>
      <c r="B546" s="20">
        <v>2562</v>
      </c>
      <c r="C546" s="20">
        <v>423</v>
      </c>
      <c r="D546" s="20">
        <v>15430</v>
      </c>
      <c r="E546" s="17">
        <f t="shared" si="27"/>
        <v>1.5637216575450363E-3</v>
      </c>
      <c r="F546" s="17">
        <f t="shared" si="27"/>
        <v>-1.8561484918793503E-2</v>
      </c>
      <c r="G546" s="17">
        <f t="shared" si="27"/>
        <v>-2.7112232030264805E-2</v>
      </c>
      <c r="H546" s="14">
        <f t="shared" si="28"/>
        <v>-2.2610151267222815E-2</v>
      </c>
      <c r="I546" s="39">
        <f t="shared" si="29"/>
        <v>1.3227513227513227E-3</v>
      </c>
      <c r="J546" s="42">
        <v>7.2847682119205892E-3</v>
      </c>
      <c r="K546" s="88">
        <v>6.345177664974555E-3</v>
      </c>
      <c r="L546" s="42">
        <v>9.7314130011678657E-3</v>
      </c>
      <c r="M546" s="43">
        <v>8.6545686639775757E-3</v>
      </c>
      <c r="Q546" s="2"/>
      <c r="R546" s="24"/>
      <c r="S546" s="24"/>
      <c r="T546" s="24"/>
    </row>
    <row r="547" spans="1:20" x14ac:dyDescent="0.25">
      <c r="A547" s="2">
        <v>44613</v>
      </c>
      <c r="B547" s="20">
        <v>2558</v>
      </c>
      <c r="C547" s="20">
        <v>431</v>
      </c>
      <c r="D547" s="20">
        <v>15860</v>
      </c>
      <c r="E547" s="17">
        <f t="shared" si="27"/>
        <v>-2.1423106350420773E-2</v>
      </c>
      <c r="F547" s="17">
        <f t="shared" si="27"/>
        <v>-4.6189376443418473E-3</v>
      </c>
      <c r="G547" s="17">
        <f t="shared" si="27"/>
        <v>-4.4578313253012092E-2</v>
      </c>
      <c r="H547" s="14">
        <f t="shared" si="28"/>
        <v>-3.9490817700669228E-2</v>
      </c>
      <c r="I547" s="39">
        <f t="shared" si="29"/>
        <v>1.3227513227513227E-3</v>
      </c>
      <c r="J547" s="42">
        <v>7.3235685752330859E-3</v>
      </c>
      <c r="K547" s="88">
        <v>6.4267352185090054E-3</v>
      </c>
      <c r="L547" s="42">
        <v>9.7578604987351714E-3</v>
      </c>
      <c r="M547" s="43">
        <v>8.6859507806697281E-3</v>
      </c>
      <c r="Q547" s="2"/>
      <c r="R547" s="24"/>
      <c r="S547" s="24"/>
      <c r="T547" s="24"/>
    </row>
    <row r="548" spans="1:20" x14ac:dyDescent="0.25">
      <c r="A548" s="2">
        <v>44610</v>
      </c>
      <c r="B548" s="20">
        <v>2614</v>
      </c>
      <c r="C548" s="20">
        <v>433</v>
      </c>
      <c r="D548" s="20">
        <v>16600</v>
      </c>
      <c r="E548" s="17">
        <f t="shared" si="27"/>
        <v>-1.4328808446455454E-2</v>
      </c>
      <c r="F548" s="17">
        <f t="shared" si="27"/>
        <v>0</v>
      </c>
      <c r="G548" s="17">
        <f t="shared" si="27"/>
        <v>-3.2915817069618436E-2</v>
      </c>
      <c r="H548" s="14">
        <f t="shared" si="28"/>
        <v>-2.8795116189066647E-2</v>
      </c>
      <c r="I548" s="39">
        <f t="shared" si="29"/>
        <v>1.3227513227513227E-3</v>
      </c>
      <c r="J548" s="42">
        <v>7.3431241655541601E-3</v>
      </c>
      <c r="K548" s="88">
        <v>6.482982171799101E-3</v>
      </c>
      <c r="L548" s="42">
        <v>9.8314606741574107E-3</v>
      </c>
      <c r="M548" s="43">
        <v>8.8090048889613737E-3</v>
      </c>
      <c r="Q548" s="2"/>
      <c r="R548" s="24"/>
      <c r="S548" s="24"/>
      <c r="T548" s="24"/>
    </row>
    <row r="549" spans="1:20" x14ac:dyDescent="0.25">
      <c r="A549" s="2">
        <v>44609</v>
      </c>
      <c r="B549" s="20">
        <v>2652</v>
      </c>
      <c r="C549" s="20">
        <v>433</v>
      </c>
      <c r="D549" s="20">
        <v>17165</v>
      </c>
      <c r="E549" s="17">
        <f t="shared" si="27"/>
        <v>-3.7565740045079066E-3</v>
      </c>
      <c r="F549" s="17">
        <f t="shared" si="27"/>
        <v>-9.1533180778031742E-3</v>
      </c>
      <c r="G549" s="17">
        <f t="shared" si="27"/>
        <v>-1.717721156598917E-2</v>
      </c>
      <c r="H549" s="14">
        <f t="shared" si="28"/>
        <v>-1.4893495206729586E-2</v>
      </c>
      <c r="I549" s="39">
        <f t="shared" si="29"/>
        <v>1.3227513227513227E-3</v>
      </c>
      <c r="J549" s="42">
        <v>7.3855243722305008E-3</v>
      </c>
      <c r="K549" s="88">
        <v>6.50054171180936E-3</v>
      </c>
      <c r="L549" s="42">
        <v>9.9462365591398427E-3</v>
      </c>
      <c r="M549" s="43">
        <v>8.890887819831635E-3</v>
      </c>
      <c r="Q549" s="2"/>
      <c r="R549" s="24"/>
      <c r="S549" s="24"/>
      <c r="T549" s="24"/>
    </row>
    <row r="550" spans="1:20" x14ac:dyDescent="0.25">
      <c r="A550" s="2">
        <v>44608</v>
      </c>
      <c r="B550" s="20">
        <v>2662</v>
      </c>
      <c r="C550" s="20">
        <v>437</v>
      </c>
      <c r="D550" s="20">
        <v>17465</v>
      </c>
      <c r="E550" s="17">
        <f t="shared" si="27"/>
        <v>5.287009063444037E-3</v>
      </c>
      <c r="F550" s="17">
        <f t="shared" si="27"/>
        <v>8.073817762399127E-3</v>
      </c>
      <c r="G550" s="17">
        <f t="shared" si="27"/>
        <v>6.338231057332111E-3</v>
      </c>
      <c r="H550" s="14">
        <f t="shared" si="28"/>
        <v>6.2632094020469258E-3</v>
      </c>
      <c r="I550" s="39">
        <f t="shared" si="29"/>
        <v>1.3227513227513227E-3</v>
      </c>
      <c r="J550" s="42">
        <v>7.4196207749381848E-3</v>
      </c>
      <c r="K550" s="88">
        <v>6.6006600660066805E-3</v>
      </c>
      <c r="L550" s="42">
        <v>1.0039440659734611E-2</v>
      </c>
      <c r="M550" s="43">
        <v>8.9153689796632307E-3</v>
      </c>
      <c r="Q550" s="2"/>
      <c r="R550" s="24"/>
      <c r="S550" s="24"/>
      <c r="T550" s="24"/>
    </row>
    <row r="551" spans="1:20" x14ac:dyDescent="0.25">
      <c r="A551" s="2">
        <v>44607</v>
      </c>
      <c r="B551" s="20">
        <v>2648</v>
      </c>
      <c r="C551" s="29">
        <v>433.5</v>
      </c>
      <c r="D551" s="20">
        <v>17355</v>
      </c>
      <c r="E551" s="17">
        <f t="shared" si="27"/>
        <v>0</v>
      </c>
      <c r="F551" s="17">
        <f t="shared" si="27"/>
        <v>4.6349942062573479E-3</v>
      </c>
      <c r="G551" s="17">
        <f t="shared" si="27"/>
        <v>-2.8727377190462811E-3</v>
      </c>
      <c r="H551" s="14">
        <f t="shared" si="28"/>
        <v>-2.1295254092044877E-3</v>
      </c>
      <c r="I551" s="39">
        <f t="shared" si="29"/>
        <v>1.3227513227513227E-3</v>
      </c>
      <c r="J551" s="42">
        <v>7.4404761904762751E-3</v>
      </c>
      <c r="K551" s="88">
        <v>6.6666666666665986E-3</v>
      </c>
      <c r="L551" s="42">
        <v>1.0074626865671732E-2</v>
      </c>
      <c r="M551" s="43">
        <v>8.9547175833151593E-3</v>
      </c>
      <c r="Q551" s="2"/>
      <c r="R551" s="24"/>
      <c r="S551" s="24"/>
      <c r="T551" s="24"/>
    </row>
    <row r="552" spans="1:20" x14ac:dyDescent="0.25">
      <c r="A552" s="2">
        <v>44606</v>
      </c>
      <c r="B552" s="20">
        <v>2648</v>
      </c>
      <c r="C552" s="29">
        <v>431.5</v>
      </c>
      <c r="D552" s="20">
        <v>17405</v>
      </c>
      <c r="E552" s="17">
        <f t="shared" si="27"/>
        <v>-8.2397003745318109E-3</v>
      </c>
      <c r="F552" s="17">
        <f t="shared" si="27"/>
        <v>-8.0459770114942319E-3</v>
      </c>
      <c r="G552" s="17">
        <f t="shared" si="27"/>
        <v>-2.2191011235955016E-2</v>
      </c>
      <c r="H552" s="14">
        <f t="shared" si="28"/>
        <v>-1.9562018032712489E-2</v>
      </c>
      <c r="I552" s="39">
        <f t="shared" si="29"/>
        <v>1.3227513227513227E-3</v>
      </c>
      <c r="J552" s="42">
        <v>7.468879668049766E-3</v>
      </c>
      <c r="K552" s="88">
        <v>6.7873303167420573E-3</v>
      </c>
      <c r="L552" s="42">
        <v>1.0101010101010166E-2</v>
      </c>
      <c r="M552" s="43">
        <v>9.1077406597325251E-3</v>
      </c>
      <c r="Q552" s="2"/>
      <c r="R552" s="24"/>
      <c r="S552" s="24"/>
      <c r="T552" s="24"/>
    </row>
    <row r="553" spans="1:20" x14ac:dyDescent="0.25">
      <c r="A553" s="2">
        <v>44603</v>
      </c>
      <c r="B553" s="20">
        <v>2670</v>
      </c>
      <c r="C553" s="20">
        <v>435</v>
      </c>
      <c r="D553" s="20">
        <v>17800</v>
      </c>
      <c r="E553" s="17">
        <f t="shared" si="27"/>
        <v>0</v>
      </c>
      <c r="F553" s="17">
        <f t="shared" si="27"/>
        <v>4.6189376443417363E-3</v>
      </c>
      <c r="G553" s="17">
        <f t="shared" si="27"/>
        <v>-1.9283746556473802E-2</v>
      </c>
      <c r="H553" s="14">
        <f t="shared" si="28"/>
        <v>-1.5458750633583308E-2</v>
      </c>
      <c r="I553" s="39">
        <f t="shared" si="29"/>
        <v>1.3227513227513227E-3</v>
      </c>
      <c r="J553" s="42">
        <v>7.4875207986688785E-3</v>
      </c>
      <c r="K553" s="88">
        <v>6.8259385665530026E-3</v>
      </c>
      <c r="L553" s="42">
        <v>1.0116337885685445E-2</v>
      </c>
      <c r="M553" s="43">
        <v>9.1536561959275151E-3</v>
      </c>
      <c r="Q553" s="2"/>
      <c r="R553" s="24"/>
      <c r="S553" s="24"/>
      <c r="T553" s="24"/>
    </row>
    <row r="554" spans="1:20" x14ac:dyDescent="0.25">
      <c r="A554" s="2">
        <v>44602</v>
      </c>
      <c r="B554" s="20">
        <v>2670</v>
      </c>
      <c r="C554" s="20">
        <v>433</v>
      </c>
      <c r="D554" s="20">
        <v>18150</v>
      </c>
      <c r="E554" s="17">
        <f t="shared" si="27"/>
        <v>-1.1843079200592133E-2</v>
      </c>
      <c r="F554" s="17">
        <f t="shared" si="27"/>
        <v>9.3240093240092303E-3</v>
      </c>
      <c r="G554" s="17">
        <f t="shared" si="27"/>
        <v>-7.1115973741794347E-3</v>
      </c>
      <c r="H554" s="14">
        <f t="shared" si="28"/>
        <v>-7.0704026221918423E-3</v>
      </c>
      <c r="I554" s="39">
        <f t="shared" si="29"/>
        <v>1.3227513227513227E-3</v>
      </c>
      <c r="J554" s="42">
        <v>7.5187969924812581E-3</v>
      </c>
      <c r="K554" s="88">
        <v>6.9605568445476607E-3</v>
      </c>
      <c r="L554" s="42">
        <v>1.0220548682087216E-2</v>
      </c>
      <c r="M554" s="43">
        <v>9.3700666066233677E-3</v>
      </c>
      <c r="Q554" s="2"/>
      <c r="R554" s="24"/>
      <c r="S554" s="24"/>
      <c r="T554" s="24"/>
    </row>
    <row r="555" spans="1:20" x14ac:dyDescent="0.25">
      <c r="A555" s="2">
        <v>44601</v>
      </c>
      <c r="B555" s="20">
        <v>2702</v>
      </c>
      <c r="C555" s="20">
        <v>429</v>
      </c>
      <c r="D555" s="20">
        <v>18280</v>
      </c>
      <c r="E555" s="17">
        <f t="shared" si="27"/>
        <v>-2.952029520295163E-3</v>
      </c>
      <c r="F555" s="17">
        <f t="shared" si="27"/>
        <v>1.6587677725118377E-2</v>
      </c>
      <c r="G555" s="17">
        <f t="shared" si="27"/>
        <v>1.386577925679422E-2</v>
      </c>
      <c r="H555" s="14">
        <f t="shared" si="28"/>
        <v>1.1565298382013877E-2</v>
      </c>
      <c r="I555" s="39">
        <f t="shared" si="29"/>
        <v>1.3227513227513227E-3</v>
      </c>
      <c r="J555" s="42">
        <v>7.6177285318559385E-3</v>
      </c>
      <c r="K555" s="88">
        <v>7.0257611241217877E-3</v>
      </c>
      <c r="L555" s="42">
        <v>1.0222489476849006E-2</v>
      </c>
      <c r="M555" s="43">
        <v>9.3735210523650594E-3</v>
      </c>
      <c r="Q555" s="2"/>
      <c r="R555" s="24"/>
      <c r="S555" s="24"/>
      <c r="T555" s="24"/>
    </row>
    <row r="556" spans="1:20" x14ac:dyDescent="0.25">
      <c r="A556" s="2">
        <v>44600</v>
      </c>
      <c r="B556" s="20">
        <v>2710</v>
      </c>
      <c r="C556" s="20">
        <v>422</v>
      </c>
      <c r="D556" s="20">
        <v>18030</v>
      </c>
      <c r="E556" s="17">
        <f t="shared" si="27"/>
        <v>1.8031555221637907E-2</v>
      </c>
      <c r="F556" s="17">
        <f t="shared" si="27"/>
        <v>2.3752969121140222E-3</v>
      </c>
      <c r="G556" s="17">
        <f t="shared" si="27"/>
        <v>6.7001675041875597E-3</v>
      </c>
      <c r="H556" s="14">
        <f t="shared" si="28"/>
        <v>8.1407383442699075E-3</v>
      </c>
      <c r="I556" s="39">
        <f t="shared" si="29"/>
        <v>1.3227513227513227E-3</v>
      </c>
      <c r="J556" s="42">
        <v>7.6548364648574285E-3</v>
      </c>
      <c r="K556" s="88">
        <v>7.0422535211267512E-3</v>
      </c>
      <c r="L556" s="42">
        <v>1.0279001468428861E-2</v>
      </c>
      <c r="M556" s="43">
        <v>9.46451438802072E-3</v>
      </c>
      <c r="Q556" s="2"/>
      <c r="R556" s="24"/>
      <c r="S556" s="24"/>
      <c r="T556" s="24"/>
    </row>
    <row r="557" spans="1:20" x14ac:dyDescent="0.25">
      <c r="A557" s="2">
        <v>44599</v>
      </c>
      <c r="B557" s="20">
        <v>2662</v>
      </c>
      <c r="C557" s="20">
        <v>421</v>
      </c>
      <c r="D557" s="20">
        <v>17910</v>
      </c>
      <c r="E557" s="17">
        <f t="shared" si="27"/>
        <v>-5.9746079163555121E-3</v>
      </c>
      <c r="F557" s="17">
        <f t="shared" si="27"/>
        <v>3.5756853396902155E-3</v>
      </c>
      <c r="G557" s="17">
        <f t="shared" si="27"/>
        <v>2.7538726333907082E-2</v>
      </c>
      <c r="H557" s="14">
        <f t="shared" si="28"/>
        <v>2.1663461015735786E-2</v>
      </c>
      <c r="I557" s="39">
        <f t="shared" si="29"/>
        <v>1.3227513227513227E-3</v>
      </c>
      <c r="J557" s="42">
        <v>7.7519379844961378E-3</v>
      </c>
      <c r="K557" s="88">
        <v>7.0754716981131782E-3</v>
      </c>
      <c r="L557" s="42">
        <v>1.0351966873705987E-2</v>
      </c>
      <c r="M557" s="43">
        <v>9.5164229274592137E-3</v>
      </c>
      <c r="Q557" s="2"/>
      <c r="R557" s="24"/>
      <c r="S557" s="24"/>
      <c r="T557" s="24"/>
    </row>
    <row r="558" spans="1:20" x14ac:dyDescent="0.25">
      <c r="A558" s="2">
        <v>44596</v>
      </c>
      <c r="B558" s="20">
        <v>2678</v>
      </c>
      <c r="C558" s="29">
        <v>419.5</v>
      </c>
      <c r="D558" s="20">
        <v>17430</v>
      </c>
      <c r="E558" s="17">
        <f t="shared" si="27"/>
        <v>-1.491424310216205E-3</v>
      </c>
      <c r="F558" s="17">
        <f t="shared" si="27"/>
        <v>-5.924170616113722E-3</v>
      </c>
      <c r="G558" s="17">
        <f t="shared" si="27"/>
        <v>-1.2464589235127499E-2</v>
      </c>
      <c r="H558" s="14">
        <f t="shared" si="28"/>
        <v>-1.0598232726814599E-2</v>
      </c>
      <c r="I558" s="39">
        <f t="shared" si="29"/>
        <v>1.3227513227513227E-3</v>
      </c>
      <c r="J558" s="42">
        <v>7.9422382671479053E-3</v>
      </c>
      <c r="K558" s="88">
        <v>7.0754716981131782E-3</v>
      </c>
      <c r="L558" s="42">
        <v>1.0535557506584636E-2</v>
      </c>
      <c r="M558" s="43">
        <v>9.5508880928411553E-3</v>
      </c>
      <c r="Q558" s="2"/>
      <c r="R558" s="24"/>
      <c r="S558" s="24"/>
      <c r="T558" s="24"/>
    </row>
    <row r="559" spans="1:20" x14ac:dyDescent="0.25">
      <c r="A559" s="2">
        <v>44595</v>
      </c>
      <c r="B559" s="20">
        <v>2682</v>
      </c>
      <c r="C559" s="20">
        <v>422</v>
      </c>
      <c r="D559" s="20">
        <v>17650</v>
      </c>
      <c r="E559" s="17">
        <f t="shared" si="27"/>
        <v>-1.0332103321033181E-2</v>
      </c>
      <c r="F559" s="17">
        <f t="shared" si="27"/>
        <v>9.5693779904306719E-3</v>
      </c>
      <c r="G559" s="17">
        <f t="shared" si="27"/>
        <v>-2.3242944106253494E-2</v>
      </c>
      <c r="H559" s="14">
        <f t="shared" si="28"/>
        <v>-1.9943582589862008E-2</v>
      </c>
      <c r="I559" s="39">
        <f t="shared" si="29"/>
        <v>1.3227513227513227E-3</v>
      </c>
      <c r="J559" s="42">
        <v>8.0000000000000071E-3</v>
      </c>
      <c r="K559" s="88">
        <v>7.0921985815601829E-3</v>
      </c>
      <c r="L559" s="42">
        <v>1.0569583088666956E-2</v>
      </c>
      <c r="M559" s="43">
        <v>9.551163351938249E-3</v>
      </c>
      <c r="Q559" s="2"/>
      <c r="R559" s="24"/>
      <c r="S559" s="24"/>
      <c r="T559" s="24"/>
    </row>
    <row r="560" spans="1:20" x14ac:dyDescent="0.25">
      <c r="A560" s="2">
        <v>44594</v>
      </c>
      <c r="B560" s="20">
        <v>2710</v>
      </c>
      <c r="C560" s="20">
        <v>418</v>
      </c>
      <c r="D560" s="20">
        <v>18070</v>
      </c>
      <c r="E560" s="17">
        <f t="shared" si="27"/>
        <v>3.7037037037037646E-3</v>
      </c>
      <c r="F560" s="17">
        <f t="shared" si="27"/>
        <v>-4.761904761904745E-3</v>
      </c>
      <c r="G560" s="17">
        <f t="shared" si="27"/>
        <v>-2.2087244616234569E-3</v>
      </c>
      <c r="H560" s="14">
        <f t="shared" si="28"/>
        <v>-1.4701005123963706E-3</v>
      </c>
      <c r="I560" s="39">
        <f t="shared" si="29"/>
        <v>1.3227513227513227E-3</v>
      </c>
      <c r="J560" s="42">
        <v>8.0291970802919277E-3</v>
      </c>
      <c r="K560" s="88">
        <v>7.1599045346062429E-3</v>
      </c>
      <c r="L560" s="42">
        <v>1.0608203677510586E-2</v>
      </c>
      <c r="M560" s="43">
        <v>9.6291409026306191E-3</v>
      </c>
      <c r="Q560" s="2"/>
      <c r="R560" s="24"/>
      <c r="S560" s="24"/>
      <c r="T560" s="24"/>
    </row>
    <row r="561" spans="1:20" x14ac:dyDescent="0.25">
      <c r="A561" s="2">
        <v>44593</v>
      </c>
      <c r="B561" s="20">
        <v>2700</v>
      </c>
      <c r="C561" s="20">
        <v>420</v>
      </c>
      <c r="D561" s="20">
        <v>18110</v>
      </c>
      <c r="E561" s="17">
        <f t="shared" si="27"/>
        <v>-1.8181818181818188E-2</v>
      </c>
      <c r="F561" s="17">
        <f t="shared" si="27"/>
        <v>1.1918951132301459E-3</v>
      </c>
      <c r="G561" s="17">
        <f t="shared" si="27"/>
        <v>-1.0382513661202131E-2</v>
      </c>
      <c r="H561" s="14">
        <f t="shared" si="28"/>
        <v>-1.0996336254342359E-2</v>
      </c>
      <c r="I561" s="39">
        <f t="shared" si="29"/>
        <v>1.3227513227513227E-3</v>
      </c>
      <c r="J561" s="42">
        <v>8.0375083724044671E-3</v>
      </c>
      <c r="K561" s="88">
        <v>7.1684587813620748E-3</v>
      </c>
      <c r="L561" s="42">
        <v>1.0685663401602818E-2</v>
      </c>
      <c r="M561" s="43">
        <v>9.6459672807007579E-3</v>
      </c>
      <c r="Q561" s="2"/>
      <c r="R561" s="24"/>
      <c r="S561" s="24"/>
      <c r="T561" s="24"/>
    </row>
    <row r="562" spans="1:20" x14ac:dyDescent="0.25">
      <c r="A562" s="2">
        <v>44592</v>
      </c>
      <c r="B562" s="20">
        <v>2750</v>
      </c>
      <c r="C562" s="29">
        <v>419.5</v>
      </c>
      <c r="D562" s="20">
        <v>18300</v>
      </c>
      <c r="E562" s="17">
        <f t="shared" si="27"/>
        <v>8.0645161290322509E-3</v>
      </c>
      <c r="F562" s="17">
        <f t="shared" si="27"/>
        <v>-3.5629453681710332E-3</v>
      </c>
      <c r="G562" s="17">
        <f t="shared" si="27"/>
        <v>1.7797552836484876E-2</v>
      </c>
      <c r="H562" s="14">
        <f t="shared" si="28"/>
        <v>1.5458573935203146E-2</v>
      </c>
      <c r="I562" s="39">
        <f t="shared" si="29"/>
        <v>1.3227513227513227E-3</v>
      </c>
      <c r="J562" s="42">
        <v>8.0645161290322509E-3</v>
      </c>
      <c r="K562" s="88">
        <v>7.2289156626506035E-3</v>
      </c>
      <c r="L562" s="42">
        <v>1.0739856801909253E-2</v>
      </c>
      <c r="M562" s="43">
        <v>9.6480001676206E-3</v>
      </c>
      <c r="Q562" s="2"/>
      <c r="R562" s="24"/>
      <c r="S562" s="24"/>
      <c r="T562" s="24"/>
    </row>
    <row r="563" spans="1:20" x14ac:dyDescent="0.25">
      <c r="A563" s="2">
        <v>44589</v>
      </c>
      <c r="B563" s="20">
        <v>2728</v>
      </c>
      <c r="C563" s="20">
        <v>421</v>
      </c>
      <c r="D563" s="20">
        <v>17980</v>
      </c>
      <c r="E563" s="17">
        <f t="shared" si="27"/>
        <v>-8.0000000000000071E-3</v>
      </c>
      <c r="F563" s="17">
        <f t="shared" si="27"/>
        <v>5.9737156511350253E-3</v>
      </c>
      <c r="G563" s="17">
        <f t="shared" si="27"/>
        <v>7.2829131652660806E-3</v>
      </c>
      <c r="H563" s="14">
        <f t="shared" si="28"/>
        <v>5.0262076872495736E-3</v>
      </c>
      <c r="I563" s="39">
        <f t="shared" si="29"/>
        <v>1.3227513227513227E-3</v>
      </c>
      <c r="J563" s="42">
        <v>8.1481481481482376E-3</v>
      </c>
      <c r="K563" s="88">
        <v>7.2992700729928028E-3</v>
      </c>
      <c r="L563" s="42">
        <v>1.0752688172043001E-2</v>
      </c>
      <c r="M563" s="43">
        <v>9.6857551554620711E-3</v>
      </c>
      <c r="Q563" s="2"/>
      <c r="R563" s="24"/>
      <c r="S563" s="24"/>
      <c r="T563" s="24"/>
    </row>
    <row r="564" spans="1:20" x14ac:dyDescent="0.25">
      <c r="A564" s="2">
        <v>44588</v>
      </c>
      <c r="B564" s="20">
        <v>2750</v>
      </c>
      <c r="C564" s="29">
        <v>418.5</v>
      </c>
      <c r="D564" s="20">
        <v>17850</v>
      </c>
      <c r="E564" s="17">
        <f t="shared" si="27"/>
        <v>2.9962546816479474E-2</v>
      </c>
      <c r="F564" s="17">
        <f t="shared" si="27"/>
        <v>-5.9382422802850554E-3</v>
      </c>
      <c r="G564" s="17">
        <f t="shared" si="27"/>
        <v>2.262961902033811E-2</v>
      </c>
      <c r="H564" s="14">
        <f t="shared" si="28"/>
        <v>2.2429775013341986E-2</v>
      </c>
      <c r="I564" s="39">
        <f t="shared" si="29"/>
        <v>1.3227513227513227E-3</v>
      </c>
      <c r="J564" s="42">
        <v>8.1632653061225469E-3</v>
      </c>
      <c r="K564" s="88">
        <v>7.3170731707317138E-3</v>
      </c>
      <c r="L564" s="42">
        <v>1.090188305252715E-2</v>
      </c>
      <c r="M564" s="43">
        <v>9.6911541205012934E-3</v>
      </c>
      <c r="Q564" s="2"/>
      <c r="R564" s="24"/>
      <c r="S564" s="24"/>
      <c r="T564" s="24"/>
    </row>
    <row r="565" spans="1:20" x14ac:dyDescent="0.25">
      <c r="A565" s="2">
        <v>44587</v>
      </c>
      <c r="B565" s="20">
        <v>2670</v>
      </c>
      <c r="C565" s="20">
        <v>421</v>
      </c>
      <c r="D565" s="20">
        <v>17455</v>
      </c>
      <c r="E565" s="17">
        <f t="shared" si="27"/>
        <v>3.759398496240518E-3</v>
      </c>
      <c r="F565" s="17">
        <f t="shared" si="27"/>
        <v>-2.3696682464454666E-3</v>
      </c>
      <c r="G565" s="17">
        <f t="shared" si="27"/>
        <v>3.0401416765053035E-2</v>
      </c>
      <c r="H565" s="14">
        <f t="shared" si="28"/>
        <v>2.5127969604791186E-2</v>
      </c>
      <c r="I565" s="39">
        <f t="shared" si="29"/>
        <v>1.3227513227513227E-3</v>
      </c>
      <c r="J565" s="42">
        <v>8.208955223880654E-3</v>
      </c>
      <c r="K565" s="88">
        <v>7.4074074074073071E-3</v>
      </c>
      <c r="L565" s="42">
        <v>1.0953608247422641E-2</v>
      </c>
      <c r="M565" s="43">
        <v>9.6957358154277102E-3</v>
      </c>
      <c r="Q565" s="2"/>
      <c r="R565" s="24"/>
      <c r="S565" s="24"/>
      <c r="T565" s="24"/>
    </row>
    <row r="566" spans="1:20" x14ac:dyDescent="0.25">
      <c r="A566" s="2">
        <v>44586</v>
      </c>
      <c r="B566" s="20">
        <v>2660</v>
      </c>
      <c r="C566" s="20">
        <v>422</v>
      </c>
      <c r="D566" s="20">
        <v>16940</v>
      </c>
      <c r="E566" s="17">
        <f t="shared" si="27"/>
        <v>1.5267175572519109E-2</v>
      </c>
      <c r="F566" s="17">
        <f t="shared" si="27"/>
        <v>1.3205282112845218E-2</v>
      </c>
      <c r="G566" s="17">
        <f t="shared" si="27"/>
        <v>-1.1668611435239229E-2</v>
      </c>
      <c r="H566" s="14">
        <f t="shared" si="28"/>
        <v>-6.6998304463049352E-3</v>
      </c>
      <c r="I566" s="39">
        <f t="shared" si="29"/>
        <v>1.3227513227513227E-3</v>
      </c>
      <c r="J566" s="42">
        <v>8.2397003745318109E-3</v>
      </c>
      <c r="K566" s="88">
        <v>7.4257425742574323E-3</v>
      </c>
      <c r="L566" s="42">
        <v>1.0962241169305775E-2</v>
      </c>
      <c r="M566" s="43">
        <v>9.739896214800127E-3</v>
      </c>
      <c r="Q566" s="2"/>
      <c r="R566" s="24"/>
      <c r="S566" s="24"/>
      <c r="T566" s="24"/>
    </row>
    <row r="567" spans="1:20" x14ac:dyDescent="0.25">
      <c r="A567" s="2">
        <v>44585</v>
      </c>
      <c r="B567" s="20">
        <v>2620</v>
      </c>
      <c r="C567" s="29">
        <v>416.5</v>
      </c>
      <c r="D567" s="20">
        <v>17140</v>
      </c>
      <c r="E567" s="17">
        <f t="shared" si="27"/>
        <v>-2.3845007451564815E-2</v>
      </c>
      <c r="F567" s="17">
        <f t="shared" si="27"/>
        <v>-1.3033175355450233E-2</v>
      </c>
      <c r="G567" s="17">
        <f t="shared" si="27"/>
        <v>-9.2485549132947931E-3</v>
      </c>
      <c r="H567" s="14">
        <f t="shared" si="28"/>
        <v>-1.1515229841261763E-2</v>
      </c>
      <c r="I567" s="39">
        <f t="shared" si="29"/>
        <v>1.3227513227513227E-3</v>
      </c>
      <c r="J567" s="42">
        <v>8.2644628099173278E-3</v>
      </c>
      <c r="K567" s="88">
        <v>7.4626865671640896E-3</v>
      </c>
      <c r="L567" s="42">
        <v>1.1043412033511002E-2</v>
      </c>
      <c r="M567" s="43">
        <v>9.7832341259892885E-3</v>
      </c>
      <c r="Q567" s="2"/>
      <c r="R567" s="24"/>
      <c r="S567" s="24"/>
      <c r="T567" s="24"/>
    </row>
    <row r="568" spans="1:20" x14ac:dyDescent="0.25">
      <c r="A568" s="2">
        <v>44582</v>
      </c>
      <c r="B568" s="20">
        <v>2684</v>
      </c>
      <c r="C568" s="20">
        <v>422</v>
      </c>
      <c r="D568" s="20">
        <v>17300</v>
      </c>
      <c r="E568" s="17">
        <f t="shared" si="27"/>
        <v>1.2066365007541435E-2</v>
      </c>
      <c r="F568" s="17">
        <f t="shared" si="27"/>
        <v>-5.8892815076561078E-3</v>
      </c>
      <c r="G568" s="17">
        <f t="shared" si="27"/>
        <v>-2.2046353872244184E-2</v>
      </c>
      <c r="H568" s="14">
        <f t="shared" si="28"/>
        <v>-1.6427769427726016E-2</v>
      </c>
      <c r="I568" s="39">
        <f t="shared" si="29"/>
        <v>1.3227513227513227E-3</v>
      </c>
      <c r="J568" s="42">
        <v>8.340283569641338E-3</v>
      </c>
      <c r="K568" s="88">
        <v>7.5349838536060698E-3</v>
      </c>
      <c r="L568" s="42">
        <v>1.1136890951276124E-2</v>
      </c>
      <c r="M568" s="43">
        <v>9.9429057254051597E-3</v>
      </c>
      <c r="Q568" s="2"/>
      <c r="R568" s="24"/>
      <c r="S568" s="24"/>
      <c r="T568" s="24"/>
    </row>
    <row r="569" spans="1:20" x14ac:dyDescent="0.25">
      <c r="A569" s="2">
        <v>44581</v>
      </c>
      <c r="B569" s="20">
        <v>2652</v>
      </c>
      <c r="C569" s="29">
        <v>424.5</v>
      </c>
      <c r="D569" s="20">
        <v>17690</v>
      </c>
      <c r="E569" s="17">
        <f t="shared" si="27"/>
        <v>-3.0075187969924588E-3</v>
      </c>
      <c r="F569" s="17">
        <f t="shared" si="27"/>
        <v>-3.5211267605633756E-3</v>
      </c>
      <c r="G569" s="17">
        <f t="shared" si="27"/>
        <v>-1.6129032258064502E-2</v>
      </c>
      <c r="H569" s="14">
        <f t="shared" si="28"/>
        <v>-1.3686974816737319E-2</v>
      </c>
      <c r="I569" s="39">
        <f t="shared" si="29"/>
        <v>1.3227513227513227E-3</v>
      </c>
      <c r="J569" s="42">
        <v>8.3905415713196874E-3</v>
      </c>
      <c r="K569" s="88">
        <v>7.5614366729679361E-3</v>
      </c>
      <c r="L569" s="42">
        <v>1.1157601115760141E-2</v>
      </c>
      <c r="M569" s="43">
        <v>1.016140668717435E-2</v>
      </c>
      <c r="Q569" s="2"/>
      <c r="R569" s="24"/>
      <c r="S569" s="24"/>
      <c r="T569" s="24"/>
    </row>
    <row r="570" spans="1:20" x14ac:dyDescent="0.25">
      <c r="A570" s="2">
        <v>44580</v>
      </c>
      <c r="B570" s="20">
        <v>2660</v>
      </c>
      <c r="C570" s="20">
        <v>426</v>
      </c>
      <c r="D570" s="20">
        <v>17980</v>
      </c>
      <c r="E570" s="17">
        <f t="shared" si="27"/>
        <v>1.3719512195121908E-2</v>
      </c>
      <c r="F570" s="17">
        <f t="shared" si="27"/>
        <v>1.067615658362997E-2</v>
      </c>
      <c r="G570" s="17">
        <f t="shared" si="27"/>
        <v>1.324316708932094E-2</v>
      </c>
      <c r="H570" s="14">
        <f t="shared" si="28"/>
        <v>1.3198938687609017E-2</v>
      </c>
      <c r="I570" s="39">
        <f t="shared" si="29"/>
        <v>1.3227513227513227E-3</v>
      </c>
      <c r="J570" s="42">
        <v>8.410428931875602E-3</v>
      </c>
      <c r="K570" s="88">
        <v>7.6142131979695105E-3</v>
      </c>
      <c r="L570" s="42">
        <v>1.1275546159267069E-2</v>
      </c>
      <c r="M570" s="43">
        <v>1.0173265048773767E-2</v>
      </c>
      <c r="Q570" s="2"/>
      <c r="R570" s="24"/>
      <c r="S570" s="24"/>
      <c r="T570" s="24"/>
    </row>
    <row r="571" spans="1:20" x14ac:dyDescent="0.25">
      <c r="A571" s="2">
        <v>44579</v>
      </c>
      <c r="B571" s="20">
        <v>2624</v>
      </c>
      <c r="C571" s="29">
        <v>421.5</v>
      </c>
      <c r="D571" s="20">
        <v>17745</v>
      </c>
      <c r="E571" s="17">
        <f t="shared" si="27"/>
        <v>-1.6491754122938573E-2</v>
      </c>
      <c r="F571" s="17">
        <f t="shared" si="27"/>
        <v>5.9665871121719061E-3</v>
      </c>
      <c r="G571" s="17">
        <f t="shared" si="27"/>
        <v>-2.0695364238410563E-2</v>
      </c>
      <c r="H571" s="14">
        <f t="shared" si="28"/>
        <v>-1.8919158887766716E-2</v>
      </c>
      <c r="I571" s="39">
        <f t="shared" si="29"/>
        <v>1.3227513227513227E-3</v>
      </c>
      <c r="J571" s="42">
        <v>8.5409252669039759E-3</v>
      </c>
      <c r="K571" s="88">
        <v>7.6190476190476364E-3</v>
      </c>
      <c r="L571" s="42">
        <v>1.1342920802106526E-2</v>
      </c>
      <c r="M571" s="43">
        <v>1.024582754339253E-2</v>
      </c>
      <c r="Q571" s="2"/>
      <c r="R571" s="24"/>
      <c r="S571" s="24"/>
      <c r="T571" s="24"/>
    </row>
    <row r="572" spans="1:20" x14ac:dyDescent="0.25">
      <c r="A572" s="2">
        <v>44578</v>
      </c>
      <c r="B572" s="20">
        <v>2668</v>
      </c>
      <c r="C572" s="20">
        <v>419</v>
      </c>
      <c r="D572" s="20">
        <v>18120</v>
      </c>
      <c r="E572" s="17">
        <f t="shared" si="27"/>
        <v>6.0331825037707176E-3</v>
      </c>
      <c r="F572" s="17">
        <f t="shared" si="27"/>
        <v>4.7961630695443347E-3</v>
      </c>
      <c r="G572" s="17">
        <f t="shared" si="27"/>
        <v>2.8960817717206044E-2</v>
      </c>
      <c r="H572" s="14">
        <f t="shared" si="28"/>
        <v>2.4599962429183997E-2</v>
      </c>
      <c r="I572" s="39">
        <f t="shared" si="29"/>
        <v>1.3227513227513227E-3</v>
      </c>
      <c r="J572" s="42">
        <v>8.5836909871244149E-3</v>
      </c>
      <c r="K572" s="88">
        <v>7.6190476190476364E-3</v>
      </c>
      <c r="L572" s="42">
        <v>1.1402810925484008E-2</v>
      </c>
      <c r="M572" s="43">
        <v>1.0341019962971177E-2</v>
      </c>
      <c r="Q572" s="2"/>
      <c r="R572" s="24"/>
      <c r="S572" s="24"/>
      <c r="T572" s="24"/>
    </row>
    <row r="573" spans="1:20" x14ac:dyDescent="0.25">
      <c r="A573" s="2">
        <v>44575</v>
      </c>
      <c r="B573" s="20">
        <v>2652</v>
      </c>
      <c r="C573" s="20">
        <v>417</v>
      </c>
      <c r="D573" s="20">
        <v>17610</v>
      </c>
      <c r="E573" s="17">
        <f t="shared" si="27"/>
        <v>-1.2658227848101222E-2</v>
      </c>
      <c r="F573" s="17">
        <f t="shared" si="27"/>
        <v>0</v>
      </c>
      <c r="G573" s="17">
        <f t="shared" si="27"/>
        <v>-3.3214383749656906E-2</v>
      </c>
      <c r="H573" s="14">
        <f t="shared" si="28"/>
        <v>-2.8797208706064122E-2</v>
      </c>
      <c r="I573" s="39">
        <f t="shared" si="29"/>
        <v>1.3227513227513227E-3</v>
      </c>
      <c r="J573" s="42">
        <v>8.5978835978834933E-3</v>
      </c>
      <c r="K573" s="88">
        <v>7.6335877862594437E-3</v>
      </c>
      <c r="L573" s="42">
        <v>1.1433597185576128E-2</v>
      </c>
      <c r="M573" s="43">
        <v>1.0404856178445941E-2</v>
      </c>
      <c r="Q573" s="2"/>
      <c r="R573" s="24"/>
      <c r="S573" s="24"/>
      <c r="T573" s="24"/>
    </row>
    <row r="574" spans="1:20" x14ac:dyDescent="0.25">
      <c r="A574" s="2">
        <v>44574</v>
      </c>
      <c r="B574" s="20">
        <v>2686</v>
      </c>
      <c r="C574" s="20">
        <v>417</v>
      </c>
      <c r="D574" s="20">
        <v>18215</v>
      </c>
      <c r="E574" s="17">
        <f t="shared" si="27"/>
        <v>-1.4869888475836923E-3</v>
      </c>
      <c r="F574" s="17">
        <f t="shared" si="27"/>
        <v>1.2004801920768582E-3</v>
      </c>
      <c r="G574" s="17">
        <f t="shared" si="27"/>
        <v>-2.0698924731182844E-2</v>
      </c>
      <c r="H574" s="14">
        <f t="shared" si="28"/>
        <v>-1.6972270244704792E-2</v>
      </c>
      <c r="I574" s="39">
        <f t="shared" si="29"/>
        <v>1.3227513227513227E-3</v>
      </c>
      <c r="J574" s="42">
        <v>8.6206896551723755E-3</v>
      </c>
      <c r="K574" s="88">
        <v>7.7348066298341678E-3</v>
      </c>
      <c r="L574" s="42">
        <v>1.1453396524486514E-2</v>
      </c>
      <c r="M574" s="43">
        <v>1.0524331330064028E-2</v>
      </c>
      <c r="Q574" s="2"/>
      <c r="R574" s="24"/>
      <c r="S574" s="24"/>
      <c r="T574" s="24"/>
    </row>
    <row r="575" spans="1:20" x14ac:dyDescent="0.25">
      <c r="A575" s="2">
        <v>44573</v>
      </c>
      <c r="B575" s="20">
        <v>2690</v>
      </c>
      <c r="C575" s="29">
        <v>416.5</v>
      </c>
      <c r="D575" s="20">
        <v>18600</v>
      </c>
      <c r="E575" s="17">
        <f t="shared" si="27"/>
        <v>1.5861027190332333E-2</v>
      </c>
      <c r="F575" s="17">
        <f t="shared" si="27"/>
        <v>-3.5885167464114742E-3</v>
      </c>
      <c r="G575" s="17">
        <f t="shared" si="27"/>
        <v>2.8192371475953548E-2</v>
      </c>
      <c r="H575" s="14">
        <f t="shared" si="28"/>
        <v>2.5021711606339186E-2</v>
      </c>
      <c r="I575" s="39">
        <f t="shared" si="29"/>
        <v>1.3227513227513227E-3</v>
      </c>
      <c r="J575" s="42">
        <v>8.6206896551723755E-3</v>
      </c>
      <c r="K575" s="88">
        <v>7.7519379844961378E-3</v>
      </c>
      <c r="L575" s="42">
        <v>1.1460476050543678E-2</v>
      </c>
      <c r="M575" s="43">
        <v>1.0558693131749034E-2</v>
      </c>
      <c r="Q575" s="2"/>
      <c r="R575" s="24"/>
      <c r="S575" s="24"/>
      <c r="T575" s="24"/>
    </row>
    <row r="576" spans="1:20" x14ac:dyDescent="0.25">
      <c r="A576" s="2">
        <v>44572</v>
      </c>
      <c r="B576" s="20">
        <v>2648</v>
      </c>
      <c r="C576" s="20">
        <v>418</v>
      </c>
      <c r="D576" s="20">
        <v>18090</v>
      </c>
      <c r="E576" s="17">
        <f t="shared" si="27"/>
        <v>4.5523520485584168E-3</v>
      </c>
      <c r="F576" s="17">
        <f t="shared" si="27"/>
        <v>0</v>
      </c>
      <c r="G576" s="17">
        <f t="shared" si="27"/>
        <v>4.5060658578856216E-2</v>
      </c>
      <c r="H576" s="14">
        <f t="shared" si="28"/>
        <v>3.7251966868216073E-2</v>
      </c>
      <c r="I576" s="39">
        <f t="shared" si="29"/>
        <v>1.3227513227513227E-3</v>
      </c>
      <c r="J576" s="42">
        <v>8.6580086580085869E-3</v>
      </c>
      <c r="K576" s="88">
        <v>7.7777777777778834E-3</v>
      </c>
      <c r="L576" s="42">
        <v>1.1494252873563315E-2</v>
      </c>
      <c r="M576" s="43">
        <v>1.0628093665034487E-2</v>
      </c>
      <c r="Q576" s="2"/>
      <c r="R576" s="24"/>
      <c r="S576" s="24"/>
      <c r="T576" s="24"/>
    </row>
    <row r="577" spans="1:20" x14ac:dyDescent="0.25">
      <c r="A577" s="2">
        <v>44571</v>
      </c>
      <c r="B577" s="20">
        <v>2636</v>
      </c>
      <c r="C577" s="20">
        <v>418</v>
      </c>
      <c r="D577" s="20">
        <v>17310</v>
      </c>
      <c r="E577" s="17">
        <f t="shared" si="27"/>
        <v>1.3846153846153841E-2</v>
      </c>
      <c r="F577" s="17">
        <f t="shared" si="27"/>
        <v>4.8076923076922906E-3</v>
      </c>
      <c r="G577" s="17">
        <f t="shared" si="27"/>
        <v>6.9808027923210503E-3</v>
      </c>
      <c r="H577" s="14">
        <f t="shared" si="28"/>
        <v>7.8732482259584111E-3</v>
      </c>
      <c r="I577" s="39">
        <f t="shared" si="29"/>
        <v>1.3227513227513227E-3</v>
      </c>
      <c r="J577" s="42">
        <v>8.8888888888889461E-3</v>
      </c>
      <c r="K577" s="88">
        <v>7.838745800671898E-3</v>
      </c>
      <c r="L577" s="42">
        <v>1.149825783972136E-2</v>
      </c>
      <c r="M577" s="43">
        <v>1.0691470403684778E-2</v>
      </c>
      <c r="Q577" s="2"/>
      <c r="R577" s="24"/>
      <c r="S577" s="24"/>
      <c r="T577" s="24"/>
    </row>
    <row r="578" spans="1:20" x14ac:dyDescent="0.25">
      <c r="A578" s="2">
        <v>44568</v>
      </c>
      <c r="B578" s="20">
        <v>2600</v>
      </c>
      <c r="C578" s="20">
        <v>416</v>
      </c>
      <c r="D578" s="20">
        <v>17190</v>
      </c>
      <c r="E578" s="17">
        <f t="shared" si="27"/>
        <v>-3.8314176245211051E-3</v>
      </c>
      <c r="F578" s="17">
        <f t="shared" si="27"/>
        <v>-4.784688995215336E-3</v>
      </c>
      <c r="G578" s="17">
        <f t="shared" si="27"/>
        <v>1.6558249556475557E-2</v>
      </c>
      <c r="H578" s="14">
        <f t="shared" si="28"/>
        <v>1.26865678377321E-2</v>
      </c>
      <c r="I578" s="39">
        <f t="shared" si="29"/>
        <v>1.3227513227513227E-3</v>
      </c>
      <c r="J578" s="42">
        <v>8.9163237311384869E-3</v>
      </c>
      <c r="K578" s="88">
        <v>7.8492935635792183E-3</v>
      </c>
      <c r="L578" s="42">
        <v>1.1677695601401306E-2</v>
      </c>
      <c r="M578" s="43">
        <v>1.0716816031655103E-2</v>
      </c>
      <c r="Q578" s="2"/>
      <c r="R578" s="24"/>
      <c r="S578" s="24"/>
      <c r="T578" s="24"/>
    </row>
    <row r="579" spans="1:20" x14ac:dyDescent="0.25">
      <c r="A579" s="2">
        <v>44567</v>
      </c>
      <c r="B579" s="20">
        <v>2610</v>
      </c>
      <c r="C579" s="20">
        <v>418</v>
      </c>
      <c r="D579" s="20">
        <v>16910</v>
      </c>
      <c r="E579" s="17">
        <f t="shared" si="27"/>
        <v>-3.0557677616500634E-3</v>
      </c>
      <c r="F579" s="17">
        <f t="shared" si="27"/>
        <v>4.8076923076922906E-3</v>
      </c>
      <c r="G579" s="17">
        <f t="shared" si="27"/>
        <v>-1.1977797253870826E-2</v>
      </c>
      <c r="H579" s="14">
        <f t="shared" si="28"/>
        <v>-9.9565102456148618E-3</v>
      </c>
      <c r="I579" s="39">
        <f t="shared" si="29"/>
        <v>1.3227513227513227E-3</v>
      </c>
      <c r="J579" s="42">
        <v>8.941877794336861E-3</v>
      </c>
      <c r="K579" s="88">
        <v>7.8534031413612926E-3</v>
      </c>
      <c r="L579" s="42">
        <v>1.1715481171548081E-2</v>
      </c>
      <c r="M579" s="43">
        <v>1.0954116195357933E-2</v>
      </c>
      <c r="Q579" s="2"/>
      <c r="R579" s="24"/>
      <c r="S579" s="24"/>
      <c r="T579" s="24"/>
    </row>
    <row r="580" spans="1:20" x14ac:dyDescent="0.25">
      <c r="A580" s="2">
        <v>44566</v>
      </c>
      <c r="B580" s="20">
        <v>2618</v>
      </c>
      <c r="C580" s="20">
        <v>416</v>
      </c>
      <c r="D580" s="20">
        <v>17115</v>
      </c>
      <c r="E580" s="17">
        <f t="shared" si="27"/>
        <v>6.9230769230770317E-3</v>
      </c>
      <c r="F580" s="17">
        <f t="shared" si="27"/>
        <v>-1.0701545778834753E-2</v>
      </c>
      <c r="G580" s="17">
        <f t="shared" si="27"/>
        <v>1.6632016632016633E-2</v>
      </c>
      <c r="H580" s="14">
        <f t="shared" si="28"/>
        <v>1.4034096850065779E-2</v>
      </c>
      <c r="I580" s="39">
        <f t="shared" si="29"/>
        <v>1.3227513227513227E-3</v>
      </c>
      <c r="J580" s="42">
        <v>9.0027700831025737E-3</v>
      </c>
      <c r="K580" s="88">
        <v>7.8651685393258397E-3</v>
      </c>
      <c r="L580" s="42">
        <v>1.1836734693877471E-2</v>
      </c>
      <c r="M580" s="43">
        <v>1.1114351682663582E-2</v>
      </c>
      <c r="Q580" s="2"/>
      <c r="R580" s="24"/>
      <c r="S580" s="24"/>
      <c r="T580" s="24"/>
    </row>
    <row r="581" spans="1:20" x14ac:dyDescent="0.25">
      <c r="A581" s="2">
        <v>44565</v>
      </c>
      <c r="B581" s="20">
        <v>2600</v>
      </c>
      <c r="C581" s="29">
        <v>420.5</v>
      </c>
      <c r="D581" s="20">
        <v>16835</v>
      </c>
      <c r="E581" s="17">
        <f t="shared" si="27"/>
        <v>6.1919504643963563E-3</v>
      </c>
      <c r="F581" s="17">
        <f t="shared" si="27"/>
        <v>5.9808612440190867E-3</v>
      </c>
      <c r="G581" s="17">
        <f t="shared" si="27"/>
        <v>-1.1740534194305874E-2</v>
      </c>
      <c r="H581" s="14">
        <f t="shared" si="28"/>
        <v>-8.3815390895545343E-3</v>
      </c>
      <c r="I581" s="39">
        <f t="shared" si="29"/>
        <v>1.3227513227513227E-3</v>
      </c>
      <c r="J581" s="42">
        <v>9.0277777777778567E-3</v>
      </c>
      <c r="K581" s="88">
        <v>7.8740157480314821E-3</v>
      </c>
      <c r="L581" s="42">
        <v>1.2000000000000011E-2</v>
      </c>
      <c r="M581" s="43">
        <v>1.1129196887373495E-2</v>
      </c>
      <c r="Q581" s="2"/>
      <c r="R581" s="24"/>
      <c r="S581" s="24"/>
      <c r="T581" s="24"/>
    </row>
    <row r="582" spans="1:20" x14ac:dyDescent="0.25">
      <c r="A582" s="2">
        <v>44564</v>
      </c>
      <c r="B582" s="20">
        <v>2584</v>
      </c>
      <c r="C582" s="20">
        <v>418</v>
      </c>
      <c r="D582" s="20">
        <v>17035</v>
      </c>
      <c r="E582" s="17">
        <f t="shared" ref="E582:G645" si="30">+B582/B583-1</f>
        <v>2.5396825396825307E-2</v>
      </c>
      <c r="F582" s="17">
        <f t="shared" si="30"/>
        <v>1.5795868772782606E-2</v>
      </c>
      <c r="G582" s="17">
        <f t="shared" si="30"/>
        <v>2.6204819277108493E-2</v>
      </c>
      <c r="H582" s="14">
        <f t="shared" ref="H582:H645" si="31">+SUMPRODUCT(E582:G582,$K$9:$M$9)</f>
        <v>2.5631264510660518E-2</v>
      </c>
      <c r="I582" s="39">
        <f t="shared" si="29"/>
        <v>1.3227513227513227E-3</v>
      </c>
      <c r="J582" s="42">
        <v>9.0386195562859317E-3</v>
      </c>
      <c r="K582" s="88">
        <v>7.9635949943117623E-3</v>
      </c>
      <c r="L582" s="42">
        <v>1.2003000750187454E-2</v>
      </c>
      <c r="M582" s="43">
        <v>1.1168769064489808E-2</v>
      </c>
      <c r="Q582" s="2"/>
      <c r="R582" s="24"/>
      <c r="S582" s="24"/>
      <c r="T582" s="24"/>
    </row>
    <row r="583" spans="1:20" x14ac:dyDescent="0.25">
      <c r="A583" s="2">
        <v>44560</v>
      </c>
      <c r="B583" s="20">
        <v>2520</v>
      </c>
      <c r="C583" s="29">
        <v>411.5</v>
      </c>
      <c r="D583" s="20">
        <v>16600</v>
      </c>
      <c r="E583" s="17">
        <f t="shared" si="30"/>
        <v>8.0000000000000071E-3</v>
      </c>
      <c r="F583" s="17">
        <f t="shared" si="30"/>
        <v>2.4360535931791105E-3</v>
      </c>
      <c r="G583" s="17">
        <f t="shared" si="30"/>
        <v>1.0962241169305775E-2</v>
      </c>
      <c r="H583" s="14">
        <f t="shared" si="31"/>
        <v>1.016140668717435E-2</v>
      </c>
      <c r="I583" s="39">
        <f t="shared" si="29"/>
        <v>1.3227513227513227E-3</v>
      </c>
      <c r="J583" s="42">
        <v>9.1324200913243114E-3</v>
      </c>
      <c r="K583" s="88">
        <v>8.0645161290322509E-3</v>
      </c>
      <c r="L583" s="42">
        <v>1.2048192771084265E-2</v>
      </c>
      <c r="M583" s="43">
        <v>1.1249768128449186E-2</v>
      </c>
      <c r="Q583" s="2"/>
      <c r="R583" s="24"/>
      <c r="S583" s="24"/>
      <c r="T583" s="24"/>
    </row>
    <row r="584" spans="1:20" x14ac:dyDescent="0.25">
      <c r="A584" s="2">
        <v>44559</v>
      </c>
      <c r="B584" s="20">
        <v>2500</v>
      </c>
      <c r="C584" s="29">
        <v>410.5</v>
      </c>
      <c r="D584" s="20">
        <v>16420</v>
      </c>
      <c r="E584" s="17">
        <f t="shared" si="30"/>
        <v>2.4590163934426146E-2</v>
      </c>
      <c r="F584" s="17">
        <f t="shared" si="30"/>
        <v>2.4420024420024333E-3</v>
      </c>
      <c r="G584" s="17">
        <f t="shared" si="30"/>
        <v>1.3267510027769269E-2</v>
      </c>
      <c r="H584" s="14">
        <f t="shared" si="31"/>
        <v>1.4421238374080164E-2</v>
      </c>
      <c r="I584" s="39">
        <f t="shared" si="29"/>
        <v>1.3227513227513227E-3</v>
      </c>
      <c r="J584" s="42">
        <v>9.1463414634145312E-3</v>
      </c>
      <c r="K584" s="88">
        <v>8.0645161290322509E-3</v>
      </c>
      <c r="L584" s="42">
        <v>1.2064805239572651E-2</v>
      </c>
      <c r="M584" s="43">
        <v>1.129407362977241E-2</v>
      </c>
      <c r="Q584" s="2"/>
      <c r="R584" s="24"/>
      <c r="S584" s="24"/>
      <c r="T584" s="24"/>
    </row>
    <row r="585" spans="1:20" x14ac:dyDescent="0.25">
      <c r="A585" s="2">
        <v>44558</v>
      </c>
      <c r="B585" s="20">
        <v>2440</v>
      </c>
      <c r="C585" s="29">
        <v>409.5</v>
      </c>
      <c r="D585" s="20">
        <v>16205</v>
      </c>
      <c r="E585" s="17">
        <f t="shared" si="30"/>
        <v>-5.7049714751425951E-3</v>
      </c>
      <c r="F585" s="17">
        <f t="shared" si="30"/>
        <v>8.6206896551723755E-3</v>
      </c>
      <c r="G585" s="17">
        <f t="shared" si="30"/>
        <v>3.4055727554178628E-3</v>
      </c>
      <c r="H585" s="14">
        <f t="shared" si="31"/>
        <v>2.3236884558648576E-3</v>
      </c>
      <c r="I585" s="39">
        <f t="shared" si="29"/>
        <v>1.3227513227513227E-3</v>
      </c>
      <c r="J585" s="42">
        <v>9.1743119266054496E-3</v>
      </c>
      <c r="K585" s="88">
        <v>8.073817762399127E-3</v>
      </c>
      <c r="L585" s="42">
        <v>1.2158054711246091E-2</v>
      </c>
      <c r="M585" s="43">
        <v>1.1392184120746156E-2</v>
      </c>
      <c r="Q585" s="2"/>
      <c r="R585" s="24"/>
      <c r="S585" s="24"/>
      <c r="T585" s="24"/>
    </row>
    <row r="586" spans="1:20" x14ac:dyDescent="0.25">
      <c r="A586" s="2">
        <v>44557</v>
      </c>
      <c r="B586" s="20">
        <v>2454</v>
      </c>
      <c r="C586" s="20">
        <v>406</v>
      </c>
      <c r="D586" s="20">
        <v>16150</v>
      </c>
      <c r="E586" s="17">
        <f t="shared" si="30"/>
        <v>-6.4777327935222617E-3</v>
      </c>
      <c r="F586" s="17">
        <f t="shared" si="30"/>
        <v>-4.9019607843137081E-3</v>
      </c>
      <c r="G586" s="17">
        <f t="shared" si="30"/>
        <v>6.8578553615961102E-3</v>
      </c>
      <c r="H586" s="14">
        <f t="shared" si="31"/>
        <v>4.4222510963373152E-3</v>
      </c>
      <c r="I586" s="39">
        <f t="shared" si="29"/>
        <v>1.3227513227513227E-3</v>
      </c>
      <c r="J586" s="42">
        <v>9.3457943925232545E-3</v>
      </c>
      <c r="K586" s="88">
        <v>8.1018518518518601E-3</v>
      </c>
      <c r="L586" s="42">
        <v>1.2247223013386543E-2</v>
      </c>
      <c r="M586" s="43">
        <v>1.1444708722163719E-2</v>
      </c>
      <c r="Q586" s="2"/>
      <c r="R586" s="24"/>
      <c r="S586" s="24"/>
      <c r="T586" s="24"/>
    </row>
    <row r="587" spans="1:20" x14ac:dyDescent="0.25">
      <c r="A587" s="2">
        <v>44553</v>
      </c>
      <c r="B587" s="20">
        <v>2470</v>
      </c>
      <c r="C587" s="20">
        <v>408</v>
      </c>
      <c r="D587" s="20">
        <v>16040</v>
      </c>
      <c r="E587" s="17">
        <f t="shared" si="30"/>
        <v>0</v>
      </c>
      <c r="F587" s="17">
        <f t="shared" si="30"/>
        <v>-9.7087378640776656E-3</v>
      </c>
      <c r="G587" s="17">
        <f t="shared" si="30"/>
        <v>2.8205128205128105E-2</v>
      </c>
      <c r="H587" s="14">
        <f t="shared" si="31"/>
        <v>2.2480819266485395E-2</v>
      </c>
      <c r="I587" s="39">
        <f t="shared" si="29"/>
        <v>1.3227513227513227E-3</v>
      </c>
      <c r="J587" s="42">
        <v>9.3727469358326765E-3</v>
      </c>
      <c r="K587" s="88">
        <v>8.1112398609501923E-3</v>
      </c>
      <c r="L587" s="42">
        <v>1.2578616352201255E-2</v>
      </c>
      <c r="M587" s="43">
        <v>1.1486959295933548E-2</v>
      </c>
      <c r="Q587" s="2"/>
      <c r="R587" s="24"/>
      <c r="S587" s="24"/>
      <c r="T587" s="24"/>
    </row>
    <row r="588" spans="1:20" x14ac:dyDescent="0.25">
      <c r="A588" s="2">
        <v>44552</v>
      </c>
      <c r="B588" s="20">
        <v>2470</v>
      </c>
      <c r="C588" s="20">
        <v>412</v>
      </c>
      <c r="D588" s="20">
        <v>15600</v>
      </c>
      <c r="E588" s="17">
        <f t="shared" si="30"/>
        <v>1.2295081967213184E-2</v>
      </c>
      <c r="F588" s="17">
        <f t="shared" si="30"/>
        <v>1.228501228501222E-2</v>
      </c>
      <c r="G588" s="17">
        <f t="shared" si="30"/>
        <v>-7.582938388625593E-2</v>
      </c>
      <c r="H588" s="14">
        <f t="shared" si="31"/>
        <v>-5.9277358339613444E-2</v>
      </c>
      <c r="I588" s="39">
        <f t="shared" si="29"/>
        <v>1.3227513227513227E-3</v>
      </c>
      <c r="J588" s="42">
        <v>9.3862815884475648E-3</v>
      </c>
      <c r="K588" s="88">
        <v>8.2236842105263275E-3</v>
      </c>
      <c r="L588" s="42">
        <v>1.2686567164179152E-2</v>
      </c>
      <c r="M588" s="43">
        <v>1.1492649564919763E-2</v>
      </c>
      <c r="Q588" s="2"/>
      <c r="R588" s="24"/>
      <c r="S588" s="24"/>
      <c r="T588" s="24"/>
    </row>
    <row r="589" spans="1:20" x14ac:dyDescent="0.25">
      <c r="A589" s="2">
        <v>44551</v>
      </c>
      <c r="B589" s="20">
        <v>2440</v>
      </c>
      <c r="C589" s="20">
        <v>407</v>
      </c>
      <c r="D589" s="20">
        <v>16880</v>
      </c>
      <c r="E589" s="17">
        <f t="shared" si="30"/>
        <v>8.2034454470880647E-4</v>
      </c>
      <c r="F589" s="17">
        <f t="shared" si="30"/>
        <v>-1.5719467956469169E-2</v>
      </c>
      <c r="G589" s="17">
        <f t="shared" si="30"/>
        <v>4.4629574531389604E-3</v>
      </c>
      <c r="H589" s="14">
        <f t="shared" si="31"/>
        <v>3.0521370780916572E-3</v>
      </c>
      <c r="I589" s="39">
        <f t="shared" si="29"/>
        <v>1.3227513227513227E-3</v>
      </c>
      <c r="J589" s="42">
        <v>9.4066570188133802E-3</v>
      </c>
      <c r="K589" s="88">
        <v>8.2236842105263275E-3</v>
      </c>
      <c r="L589" s="42">
        <v>1.2782694198623323E-2</v>
      </c>
      <c r="M589" s="43">
        <v>1.1544224464679939E-2</v>
      </c>
      <c r="Q589" s="2"/>
      <c r="R589" s="24"/>
      <c r="S589" s="24"/>
      <c r="T589" s="24"/>
    </row>
    <row r="590" spans="1:20" x14ac:dyDescent="0.25">
      <c r="A590" s="2">
        <v>44550</v>
      </c>
      <c r="B590" s="20">
        <v>2438</v>
      </c>
      <c r="C590" s="29">
        <v>413.5</v>
      </c>
      <c r="D590" s="20">
        <v>16805</v>
      </c>
      <c r="E590" s="17">
        <f t="shared" si="30"/>
        <v>-4.8979591836734171E-3</v>
      </c>
      <c r="F590" s="17">
        <f t="shared" si="30"/>
        <v>9.7680097680097333E-3</v>
      </c>
      <c r="G590" s="17">
        <f t="shared" si="30"/>
        <v>-2.2965116279069719E-2</v>
      </c>
      <c r="H590" s="14">
        <f t="shared" si="31"/>
        <v>-1.8927247281904612E-2</v>
      </c>
      <c r="I590" s="39">
        <f t="shared" si="29"/>
        <v>1.3227513227513227E-3</v>
      </c>
      <c r="J590" s="42">
        <v>9.5029239766082352E-3</v>
      </c>
      <c r="K590" s="88">
        <v>8.2449941107185509E-3</v>
      </c>
      <c r="L590" s="42">
        <v>1.3023255813953583E-2</v>
      </c>
      <c r="M590" s="43">
        <v>1.1560684740030433E-2</v>
      </c>
      <c r="Q590" s="2"/>
      <c r="R590" s="24"/>
      <c r="S590" s="24"/>
      <c r="T590" s="24"/>
    </row>
    <row r="591" spans="1:20" x14ac:dyDescent="0.25">
      <c r="A591" s="2">
        <v>44547</v>
      </c>
      <c r="B591" s="20">
        <v>2450</v>
      </c>
      <c r="C591" s="29">
        <v>409.5</v>
      </c>
      <c r="D591" s="20">
        <v>17200</v>
      </c>
      <c r="E591" s="17">
        <f t="shared" si="30"/>
        <v>4.098360655737654E-3</v>
      </c>
      <c r="F591" s="17">
        <f t="shared" si="30"/>
        <v>4.9079754601226711E-3</v>
      </c>
      <c r="G591" s="17">
        <f t="shared" si="30"/>
        <v>1.0279001468428861E-2</v>
      </c>
      <c r="H591" s="14">
        <f t="shared" si="31"/>
        <v>9.1536561959275151E-3</v>
      </c>
      <c r="I591" s="39">
        <f t="shared" si="29"/>
        <v>1.3227513227513227E-3</v>
      </c>
      <c r="J591" s="42">
        <v>9.6952908587257802E-3</v>
      </c>
      <c r="K591" s="88">
        <v>8.2644628099173278E-3</v>
      </c>
      <c r="L591" s="42">
        <v>1.3051990428540439E-2</v>
      </c>
      <c r="M591" s="43">
        <v>1.1565298382013877E-2</v>
      </c>
      <c r="Q591" s="2"/>
      <c r="R591" s="24"/>
      <c r="S591" s="24"/>
      <c r="T591" s="24"/>
    </row>
    <row r="592" spans="1:20" x14ac:dyDescent="0.25">
      <c r="A592" s="2">
        <v>44546</v>
      </c>
      <c r="B592" s="20">
        <v>2440</v>
      </c>
      <c r="C592" s="29">
        <v>407.5</v>
      </c>
      <c r="D592" s="20">
        <v>17025</v>
      </c>
      <c r="E592" s="17">
        <f t="shared" si="30"/>
        <v>8.2644628099173278E-3</v>
      </c>
      <c r="F592" s="17">
        <f t="shared" si="30"/>
        <v>1.4943960149439661E-2</v>
      </c>
      <c r="G592" s="17">
        <f t="shared" si="30"/>
        <v>1.0685663401602818E-2</v>
      </c>
      <c r="H592" s="14">
        <f t="shared" si="31"/>
        <v>1.0524331330064028E-2</v>
      </c>
      <c r="I592" s="39">
        <f t="shared" ref="I592:I655" si="32">1/$K$1</f>
        <v>1.3227513227513227E-3</v>
      </c>
      <c r="J592" s="42">
        <v>9.7087378640776656E-3</v>
      </c>
      <c r="K592" s="88">
        <v>8.2987551867219622E-3</v>
      </c>
      <c r="L592" s="42">
        <v>1.3170272812794037E-2</v>
      </c>
      <c r="M592" s="43">
        <v>1.1589310238351181E-2</v>
      </c>
      <c r="Q592" s="2"/>
      <c r="R592" s="24"/>
      <c r="S592" s="24"/>
      <c r="T592" s="24"/>
    </row>
    <row r="593" spans="1:20" x14ac:dyDescent="0.25">
      <c r="A593" s="2">
        <v>44545</v>
      </c>
      <c r="B593" s="20">
        <v>2420</v>
      </c>
      <c r="C593" s="29">
        <v>401.5</v>
      </c>
      <c r="D593" s="20">
        <v>16845</v>
      </c>
      <c r="E593" s="17">
        <f t="shared" si="30"/>
        <v>-4.1152263374485409E-3</v>
      </c>
      <c r="F593" s="17">
        <f t="shared" si="30"/>
        <v>-1.1083743842364546E-2</v>
      </c>
      <c r="G593" s="17">
        <f t="shared" si="30"/>
        <v>-2.9594554601952705E-3</v>
      </c>
      <c r="H593" s="14">
        <f t="shared" si="31"/>
        <v>-3.4826851708573449E-3</v>
      </c>
      <c r="I593" s="39">
        <f t="shared" si="32"/>
        <v>1.3227513227513227E-3</v>
      </c>
      <c r="J593" s="42">
        <v>9.7087378640776656E-3</v>
      </c>
      <c r="K593" s="88">
        <v>8.3036773428233346E-3</v>
      </c>
      <c r="L593" s="42">
        <v>1.324316708932094E-2</v>
      </c>
      <c r="M593" s="43">
        <v>1.1592623760233829E-2</v>
      </c>
      <c r="Q593" s="2"/>
      <c r="R593" s="24"/>
      <c r="S593" s="24"/>
      <c r="T593" s="24"/>
    </row>
    <row r="594" spans="1:20" x14ac:dyDescent="0.25">
      <c r="A594" s="2">
        <v>44544</v>
      </c>
      <c r="B594" s="20">
        <v>2430</v>
      </c>
      <c r="C594" s="20">
        <v>406</v>
      </c>
      <c r="D594" s="20">
        <v>16895</v>
      </c>
      <c r="E594" s="17">
        <f t="shared" si="30"/>
        <v>3.303055326176807E-3</v>
      </c>
      <c r="F594" s="17">
        <f t="shared" si="30"/>
        <v>-2.4570024570024218E-3</v>
      </c>
      <c r="G594" s="17">
        <f t="shared" si="30"/>
        <v>-1.5155931215389051E-2</v>
      </c>
      <c r="H594" s="14">
        <f t="shared" si="31"/>
        <v>-1.1941820019374312E-2</v>
      </c>
      <c r="I594" s="39">
        <f t="shared" si="32"/>
        <v>1.3227513227513227E-3</v>
      </c>
      <c r="J594" s="42">
        <v>9.9585062240663547E-3</v>
      </c>
      <c r="K594" s="88">
        <v>8.3036773428233346E-3</v>
      </c>
      <c r="L594" s="42">
        <v>1.325757575757569E-2</v>
      </c>
      <c r="M594" s="43">
        <v>1.170239173104881E-2</v>
      </c>
      <c r="Q594" s="2"/>
      <c r="R594" s="24"/>
      <c r="S594" s="24"/>
      <c r="T594" s="24"/>
    </row>
    <row r="595" spans="1:20" x14ac:dyDescent="0.25">
      <c r="A595" s="2">
        <v>44543</v>
      </c>
      <c r="B595" s="20">
        <v>2422</v>
      </c>
      <c r="C595" s="20">
        <v>407</v>
      </c>
      <c r="D595" s="20">
        <v>17155</v>
      </c>
      <c r="E595" s="17">
        <f t="shared" si="30"/>
        <v>-9.8119378577269378E-3</v>
      </c>
      <c r="F595" s="17">
        <f t="shared" si="30"/>
        <v>-9.7323600973235891E-3</v>
      </c>
      <c r="G595" s="17">
        <f t="shared" si="30"/>
        <v>-1.6623674405273681E-2</v>
      </c>
      <c r="H595" s="14">
        <f t="shared" si="31"/>
        <v>-1.5340726096057446E-2</v>
      </c>
      <c r="I595" s="39">
        <f t="shared" si="32"/>
        <v>1.3227513227513227E-3</v>
      </c>
      <c r="J595" s="42">
        <v>9.9644128113878239E-3</v>
      </c>
      <c r="K595" s="88">
        <v>8.4134615384614531E-3</v>
      </c>
      <c r="L595" s="42">
        <v>1.3267510027769269E-2</v>
      </c>
      <c r="M595" s="43">
        <v>1.1747132972670542E-2</v>
      </c>
      <c r="Q595" s="2"/>
      <c r="R595" s="24"/>
      <c r="S595" s="24"/>
      <c r="T595" s="24"/>
    </row>
    <row r="596" spans="1:20" x14ac:dyDescent="0.25">
      <c r="A596" s="2">
        <v>44540</v>
      </c>
      <c r="B596" s="20">
        <v>2446</v>
      </c>
      <c r="C596" s="20">
        <v>411</v>
      </c>
      <c r="D596" s="20">
        <v>17445</v>
      </c>
      <c r="E596" s="17">
        <f t="shared" si="30"/>
        <v>-4.0716612377850181E-3</v>
      </c>
      <c r="F596" s="17">
        <f t="shared" si="30"/>
        <v>-7.2463768115942351E-3</v>
      </c>
      <c r="G596" s="17">
        <f t="shared" si="30"/>
        <v>-1.1451474377326409E-3</v>
      </c>
      <c r="H596" s="14">
        <f t="shared" si="31"/>
        <v>-1.8343076397080815E-3</v>
      </c>
      <c r="I596" s="39">
        <f t="shared" si="32"/>
        <v>1.3227513227513227E-3</v>
      </c>
      <c r="J596" s="42">
        <v>1.0028653295129031E-2</v>
      </c>
      <c r="K596" s="88">
        <v>8.4848484848485395E-3</v>
      </c>
      <c r="L596" s="42">
        <v>1.3333333333333419E-2</v>
      </c>
      <c r="M596" s="43">
        <v>1.1810855285483181E-2</v>
      </c>
      <c r="Q596" s="2"/>
      <c r="R596" s="24"/>
      <c r="S596" s="24"/>
      <c r="T596" s="24"/>
    </row>
    <row r="597" spans="1:20" x14ac:dyDescent="0.25">
      <c r="A597" s="2">
        <v>44539</v>
      </c>
      <c r="B597" s="20">
        <v>2456</v>
      </c>
      <c r="C597" s="20">
        <v>414</v>
      </c>
      <c r="D597" s="20">
        <v>17465</v>
      </c>
      <c r="E597" s="17">
        <f t="shared" si="30"/>
        <v>8.1499592502032314E-4</v>
      </c>
      <c r="F597" s="17">
        <f t="shared" si="30"/>
        <v>1.4705882352941124E-2</v>
      </c>
      <c r="G597" s="17">
        <f t="shared" si="30"/>
        <v>-4.8433048433048631E-3</v>
      </c>
      <c r="H597" s="14">
        <f t="shared" si="31"/>
        <v>-3.1702491938418211E-3</v>
      </c>
      <c r="I597" s="39">
        <f t="shared" si="32"/>
        <v>1.3227513227513227E-3</v>
      </c>
      <c r="J597" s="42">
        <v>1.0041841004184038E-2</v>
      </c>
      <c r="K597" s="88">
        <v>8.5158150851580849E-3</v>
      </c>
      <c r="L597" s="42">
        <v>1.3402061855670055E-2</v>
      </c>
      <c r="M597" s="43">
        <v>1.1827972946020509E-2</v>
      </c>
      <c r="Q597" s="2"/>
      <c r="R597" s="24"/>
      <c r="S597" s="24"/>
      <c r="T597" s="24"/>
    </row>
    <row r="598" spans="1:20" x14ac:dyDescent="0.25">
      <c r="A598" s="2">
        <v>44538</v>
      </c>
      <c r="B598" s="20">
        <v>2454</v>
      </c>
      <c r="C598" s="20">
        <v>408</v>
      </c>
      <c r="D598" s="20">
        <v>17550</v>
      </c>
      <c r="E598" s="17">
        <f t="shared" si="30"/>
        <v>-8.1433224755700362E-4</v>
      </c>
      <c r="F598" s="17">
        <f t="shared" si="30"/>
        <v>0</v>
      </c>
      <c r="G598" s="17">
        <f t="shared" si="30"/>
        <v>-1.7064846416382506E-3</v>
      </c>
      <c r="H598" s="14">
        <f t="shared" si="31"/>
        <v>-1.5031359462689348E-3</v>
      </c>
      <c r="I598" s="39">
        <f t="shared" si="32"/>
        <v>1.3227513227513227E-3</v>
      </c>
      <c r="J598" s="42">
        <v>1.0108303249097395E-2</v>
      </c>
      <c r="K598" s="88">
        <v>8.6206896551723755E-3</v>
      </c>
      <c r="L598" s="42">
        <v>1.3627691469065173E-2</v>
      </c>
      <c r="M598" s="43">
        <v>1.1879009274391663E-2</v>
      </c>
      <c r="Q598" s="2"/>
      <c r="R598" s="24"/>
      <c r="S598" s="24"/>
      <c r="T598" s="24"/>
    </row>
    <row r="599" spans="1:20" x14ac:dyDescent="0.25">
      <c r="A599" s="2">
        <v>44537</v>
      </c>
      <c r="B599" s="20">
        <v>2456</v>
      </c>
      <c r="C599" s="20">
        <v>408</v>
      </c>
      <c r="D599" s="20">
        <v>17580</v>
      </c>
      <c r="E599" s="17">
        <f t="shared" si="30"/>
        <v>9.0386195562859317E-3</v>
      </c>
      <c r="F599" s="17">
        <f t="shared" si="30"/>
        <v>0</v>
      </c>
      <c r="G599" s="17">
        <f t="shared" si="30"/>
        <v>1.706682094301426E-2</v>
      </c>
      <c r="H599" s="14">
        <f t="shared" si="31"/>
        <v>1.5161795112863276E-2</v>
      </c>
      <c r="I599" s="39">
        <f t="shared" si="32"/>
        <v>1.3227513227513227E-3</v>
      </c>
      <c r="J599" s="42">
        <v>1.0159651669085612E-2</v>
      </c>
      <c r="K599" s="88">
        <v>8.7064676616914749E-3</v>
      </c>
      <c r="L599" s="42">
        <v>1.3636363636363669E-2</v>
      </c>
      <c r="M599" s="43">
        <v>1.1960786472530596E-2</v>
      </c>
      <c r="Q599" s="2"/>
      <c r="R599" s="24"/>
      <c r="S599" s="24"/>
      <c r="T599" s="24"/>
    </row>
    <row r="600" spans="1:20" x14ac:dyDescent="0.25">
      <c r="A600" s="2">
        <v>44536</v>
      </c>
      <c r="B600" s="20">
        <v>2434</v>
      </c>
      <c r="C600" s="20">
        <v>408</v>
      </c>
      <c r="D600" s="20">
        <v>17285</v>
      </c>
      <c r="E600" s="17">
        <f t="shared" si="30"/>
        <v>9.9585062240663547E-3</v>
      </c>
      <c r="F600" s="17">
        <f t="shared" si="30"/>
        <v>-1.4492753623188359E-2</v>
      </c>
      <c r="G600" s="17">
        <f t="shared" si="30"/>
        <v>-5.4660529344073838E-3</v>
      </c>
      <c r="H600" s="14">
        <f t="shared" si="31"/>
        <v>-3.6430410402093268E-3</v>
      </c>
      <c r="I600" s="39">
        <f t="shared" si="32"/>
        <v>1.3227513227513227E-3</v>
      </c>
      <c r="J600" s="42">
        <v>1.039501039501034E-2</v>
      </c>
      <c r="K600" s="88">
        <v>8.7173100871731357E-3</v>
      </c>
      <c r="L600" s="42">
        <v>1.3824884792626779E-2</v>
      </c>
      <c r="M600" s="43">
        <v>1.2012005095119797E-2</v>
      </c>
      <c r="Q600" s="2"/>
      <c r="R600" s="24"/>
      <c r="S600" s="24"/>
      <c r="T600" s="24"/>
    </row>
    <row r="601" spans="1:20" x14ac:dyDescent="0.25">
      <c r="A601" s="2">
        <v>44533</v>
      </c>
      <c r="B601" s="20">
        <v>2410</v>
      </c>
      <c r="C601" s="20">
        <v>414</v>
      </c>
      <c r="D601" s="20">
        <v>17380</v>
      </c>
      <c r="E601" s="17">
        <f t="shared" si="30"/>
        <v>-9.8603122432210366E-3</v>
      </c>
      <c r="F601" s="17">
        <f t="shared" si="30"/>
        <v>-4.8076923076922906E-3</v>
      </c>
      <c r="G601" s="17">
        <f t="shared" si="30"/>
        <v>-1.2219380505825495E-2</v>
      </c>
      <c r="H601" s="14">
        <f t="shared" si="31"/>
        <v>-1.1554303902607109E-2</v>
      </c>
      <c r="I601" s="39">
        <f t="shared" si="32"/>
        <v>1.3227513227513227E-3</v>
      </c>
      <c r="J601" s="42">
        <v>1.0439970171513879E-2</v>
      </c>
      <c r="K601" s="88">
        <v>8.7390761548065132E-3</v>
      </c>
      <c r="L601" s="42">
        <v>1.386577925679422E-2</v>
      </c>
      <c r="M601" s="43">
        <v>1.2101919959502955E-2</v>
      </c>
      <c r="Q601" s="2"/>
      <c r="R601" s="24"/>
      <c r="S601" s="24"/>
      <c r="T601" s="24"/>
    </row>
    <row r="602" spans="1:20" x14ac:dyDescent="0.25">
      <c r="A602" s="2">
        <v>44532</v>
      </c>
      <c r="B602" s="20">
        <v>2434</v>
      </c>
      <c r="C602" s="20">
        <v>416</v>
      </c>
      <c r="D602" s="20">
        <v>17595</v>
      </c>
      <c r="E602" s="17">
        <f t="shared" si="30"/>
        <v>-4.9059689288634134E-3</v>
      </c>
      <c r="F602" s="17">
        <f t="shared" si="30"/>
        <v>-4.784688995215336E-3</v>
      </c>
      <c r="G602" s="17">
        <f t="shared" si="30"/>
        <v>-1.6489659027389636E-2</v>
      </c>
      <c r="H602" s="14">
        <f t="shared" si="31"/>
        <v>-1.4308559943803896E-2</v>
      </c>
      <c r="I602" s="39">
        <f t="shared" si="32"/>
        <v>1.3227513227513227E-3</v>
      </c>
      <c r="J602" s="42">
        <v>1.0447761194029903E-2</v>
      </c>
      <c r="K602" s="88">
        <v>8.7390761548065132E-3</v>
      </c>
      <c r="L602" s="42">
        <v>1.3881019830028318E-2</v>
      </c>
      <c r="M602" s="43">
        <v>1.2139865656627627E-2</v>
      </c>
      <c r="Q602" s="2"/>
      <c r="R602" s="24"/>
      <c r="S602" s="24"/>
      <c r="T602" s="24"/>
    </row>
    <row r="603" spans="1:20" x14ac:dyDescent="0.25">
      <c r="A603" s="2">
        <v>44531</v>
      </c>
      <c r="B603" s="20">
        <v>2446</v>
      </c>
      <c r="C603" s="20">
        <v>418</v>
      </c>
      <c r="D603" s="20">
        <v>17890</v>
      </c>
      <c r="E603" s="17">
        <f t="shared" si="30"/>
        <v>1.2417218543046449E-2</v>
      </c>
      <c r="F603" s="17">
        <f t="shared" si="30"/>
        <v>1.0882708585247869E-2</v>
      </c>
      <c r="G603" s="17">
        <f t="shared" si="30"/>
        <v>5.6211354693647131E-3</v>
      </c>
      <c r="H603" s="14">
        <f t="shared" si="31"/>
        <v>6.8302335441425806E-3</v>
      </c>
      <c r="I603" s="39">
        <f t="shared" si="32"/>
        <v>1.3227513227513227E-3</v>
      </c>
      <c r="J603" s="42">
        <v>1.0518407212622094E-2</v>
      </c>
      <c r="K603" s="88">
        <v>8.9285714285713969E-3</v>
      </c>
      <c r="L603" s="42">
        <v>1.388888888888884E-2</v>
      </c>
      <c r="M603" s="43">
        <v>1.2210119194672481E-2</v>
      </c>
      <c r="Q603" s="2"/>
      <c r="R603" s="24"/>
      <c r="S603" s="24"/>
      <c r="T603" s="24"/>
    </row>
    <row r="604" spans="1:20" x14ac:dyDescent="0.25">
      <c r="A604" s="2">
        <v>44530</v>
      </c>
      <c r="B604" s="20">
        <v>2416</v>
      </c>
      <c r="C604" s="29">
        <v>413.5</v>
      </c>
      <c r="D604" s="20">
        <v>17790</v>
      </c>
      <c r="E604" s="17">
        <f t="shared" si="30"/>
        <v>-9.8360655737704805E-3</v>
      </c>
      <c r="F604" s="17">
        <f t="shared" si="30"/>
        <v>-2.0142180094786744E-2</v>
      </c>
      <c r="G604" s="17">
        <f t="shared" si="30"/>
        <v>3.1012122920777152E-3</v>
      </c>
      <c r="H604" s="14">
        <f t="shared" si="31"/>
        <v>2.1842833364865959E-4</v>
      </c>
      <c r="I604" s="39">
        <f t="shared" si="32"/>
        <v>1.3227513227513227E-3</v>
      </c>
      <c r="J604" s="42">
        <v>1.0526315789473717E-2</v>
      </c>
      <c r="K604" s="88">
        <v>9.0579710144926828E-3</v>
      </c>
      <c r="L604" s="42">
        <v>1.4030612244897878E-2</v>
      </c>
      <c r="M604" s="43">
        <v>1.2293723959904222E-2</v>
      </c>
      <c r="Q604" s="2"/>
      <c r="R604" s="24"/>
      <c r="S604" s="24"/>
      <c r="T604" s="24"/>
    </row>
    <row r="605" spans="1:20" x14ac:dyDescent="0.25">
      <c r="A605" s="2">
        <v>44529</v>
      </c>
      <c r="B605" s="20">
        <v>2440</v>
      </c>
      <c r="C605" s="20">
        <v>422</v>
      </c>
      <c r="D605" s="20">
        <v>17735</v>
      </c>
      <c r="E605" s="17">
        <f t="shared" si="30"/>
        <v>-4.0816326530612734E-3</v>
      </c>
      <c r="F605" s="17">
        <f t="shared" si="30"/>
        <v>0</v>
      </c>
      <c r="G605" s="17">
        <f t="shared" si="30"/>
        <v>3.5016049022468687E-2</v>
      </c>
      <c r="H605" s="14">
        <f t="shared" si="31"/>
        <v>2.7851623622992032E-2</v>
      </c>
      <c r="I605" s="39">
        <f t="shared" si="32"/>
        <v>1.3227513227513227E-3</v>
      </c>
      <c r="J605" s="42">
        <v>1.0555946516537684E-2</v>
      </c>
      <c r="K605" s="88">
        <v>9.1383812010443766E-3</v>
      </c>
      <c r="L605" s="42">
        <v>1.4181818181818073E-2</v>
      </c>
      <c r="M605" s="43">
        <v>1.2388281197411271E-2</v>
      </c>
      <c r="Q605" s="2"/>
      <c r="R605" s="24"/>
      <c r="S605" s="24"/>
      <c r="T605" s="24"/>
    </row>
    <row r="606" spans="1:20" x14ac:dyDescent="0.25">
      <c r="A606" s="2">
        <v>44526</v>
      </c>
      <c r="B606" s="20">
        <v>2450</v>
      </c>
      <c r="C606" s="20">
        <v>422</v>
      </c>
      <c r="D606" s="20">
        <v>17135</v>
      </c>
      <c r="E606" s="17">
        <f t="shared" si="30"/>
        <v>-9.7008892481811326E-3</v>
      </c>
      <c r="F606" s="17">
        <f t="shared" si="30"/>
        <v>-1.631701631701632E-2</v>
      </c>
      <c r="G606" s="17">
        <f t="shared" si="30"/>
        <v>-4.6200946284441935E-2</v>
      </c>
      <c r="H606" s="14">
        <f t="shared" si="31"/>
        <v>-3.9635779482160807E-2</v>
      </c>
      <c r="I606" s="39">
        <f t="shared" si="32"/>
        <v>1.3227513227513227E-3</v>
      </c>
      <c r="J606" s="42">
        <v>1.0558069381598756E-2</v>
      </c>
      <c r="K606" s="88">
        <v>9.1883614088821286E-3</v>
      </c>
      <c r="L606" s="42">
        <v>1.4189428875487797E-2</v>
      </c>
      <c r="M606" s="43">
        <v>1.2434717481630789E-2</v>
      </c>
      <c r="Q606" s="2"/>
      <c r="R606" s="24"/>
      <c r="S606" s="24"/>
      <c r="T606" s="24"/>
    </row>
    <row r="607" spans="1:20" x14ac:dyDescent="0.25">
      <c r="A607" s="2">
        <v>44525</v>
      </c>
      <c r="B607" s="20">
        <v>2474</v>
      </c>
      <c r="C607" s="20">
        <v>429</v>
      </c>
      <c r="D607" s="20">
        <v>17965</v>
      </c>
      <c r="E607" s="17">
        <f t="shared" si="30"/>
        <v>-2.5216706067769934E-2</v>
      </c>
      <c r="F607" s="17">
        <f t="shared" si="30"/>
        <v>0</v>
      </c>
      <c r="G607" s="17">
        <f t="shared" si="30"/>
        <v>3.6312849162010163E-3</v>
      </c>
      <c r="H607" s="14">
        <f t="shared" si="31"/>
        <v>-6.7943016762847877E-4</v>
      </c>
      <c r="I607" s="39">
        <f t="shared" si="32"/>
        <v>1.3227513227513227E-3</v>
      </c>
      <c r="J607" s="42">
        <v>1.0619469026548645E-2</v>
      </c>
      <c r="K607" s="88">
        <v>9.2165898617511122E-3</v>
      </c>
      <c r="L607" s="42">
        <v>1.4236244709503687E-2</v>
      </c>
      <c r="M607" s="43">
        <v>1.2487817363043644E-2</v>
      </c>
      <c r="Q607" s="2"/>
      <c r="R607" s="24"/>
      <c r="S607" s="24"/>
      <c r="T607" s="24"/>
    </row>
    <row r="608" spans="1:20" x14ac:dyDescent="0.25">
      <c r="A608" s="2">
        <v>44524</v>
      </c>
      <c r="B608" s="20">
        <v>2538</v>
      </c>
      <c r="C608" s="20">
        <v>429</v>
      </c>
      <c r="D608" s="20">
        <v>17900</v>
      </c>
      <c r="E608" s="17">
        <f t="shared" si="30"/>
        <v>-3.1421838177533301E-3</v>
      </c>
      <c r="F608" s="17">
        <f t="shared" si="30"/>
        <v>-2.3255813953488857E-3</v>
      </c>
      <c r="G608" s="17">
        <f t="shared" si="30"/>
        <v>4.8009367681498771E-2</v>
      </c>
      <c r="H608" s="14">
        <f t="shared" si="31"/>
        <v>3.8437417970887684E-2</v>
      </c>
      <c r="I608" s="39">
        <f t="shared" si="32"/>
        <v>1.3227513227513227E-3</v>
      </c>
      <c r="J608" s="42">
        <v>1.0703363914372988E-2</v>
      </c>
      <c r="K608" s="88">
        <v>9.2165898617511122E-3</v>
      </c>
      <c r="L608" s="42">
        <v>1.4285714285714235E-2</v>
      </c>
      <c r="M608" s="43">
        <v>1.2500715962605873E-2</v>
      </c>
      <c r="Q608" s="2"/>
      <c r="R608" s="24"/>
      <c r="S608" s="24"/>
      <c r="T608" s="24"/>
    </row>
    <row r="609" spans="1:20" x14ac:dyDescent="0.25">
      <c r="A609" s="2">
        <v>44523</v>
      </c>
      <c r="B609" s="20">
        <v>2546</v>
      </c>
      <c r="C609" s="20">
        <v>430</v>
      </c>
      <c r="D609" s="20">
        <v>17080</v>
      </c>
      <c r="E609" s="17">
        <f t="shared" si="30"/>
        <v>4.7736625514403386E-2</v>
      </c>
      <c r="F609" s="17">
        <f t="shared" si="30"/>
        <v>-2.3201856148491462E-3</v>
      </c>
      <c r="G609" s="17">
        <f t="shared" si="30"/>
        <v>1.0351966873705987E-2</v>
      </c>
      <c r="H609" s="14">
        <f t="shared" si="31"/>
        <v>1.5174854589933093E-2</v>
      </c>
      <c r="I609" s="39">
        <f t="shared" si="32"/>
        <v>1.3227513227513227E-3</v>
      </c>
      <c r="J609" s="42">
        <v>1.0752688172043001E-2</v>
      </c>
      <c r="K609" s="88">
        <v>9.2592592592593004E-3</v>
      </c>
      <c r="L609" s="42">
        <v>1.4420062695924774E-2</v>
      </c>
      <c r="M609" s="43">
        <v>1.2574281813849028E-2</v>
      </c>
      <c r="Q609" s="2"/>
      <c r="R609" s="24"/>
      <c r="S609" s="24"/>
      <c r="T609" s="24"/>
    </row>
    <row r="610" spans="1:20" x14ac:dyDescent="0.25">
      <c r="A610" s="2">
        <v>44522</v>
      </c>
      <c r="B610" s="20">
        <v>2430</v>
      </c>
      <c r="C610" s="20">
        <v>431</v>
      </c>
      <c r="D610" s="20">
        <v>16905</v>
      </c>
      <c r="E610" s="17">
        <f t="shared" si="30"/>
        <v>-2.4630541871921707E-3</v>
      </c>
      <c r="F610" s="17">
        <f t="shared" si="30"/>
        <v>-2.3148148148147696E-3</v>
      </c>
      <c r="G610" s="17">
        <f t="shared" si="30"/>
        <v>-5.1346801346801363E-2</v>
      </c>
      <c r="H610" s="14">
        <f t="shared" si="31"/>
        <v>-4.2158427210216273E-2</v>
      </c>
      <c r="I610" s="39">
        <f t="shared" si="32"/>
        <v>1.3227513227513227E-3</v>
      </c>
      <c r="J610" s="42">
        <v>1.0845986984815648E-2</v>
      </c>
      <c r="K610" s="88">
        <v>9.2915214866433615E-3</v>
      </c>
      <c r="L610" s="42">
        <v>1.4671083767155757E-2</v>
      </c>
      <c r="M610" s="43">
        <v>1.2649276100013037E-2</v>
      </c>
      <c r="Q610" s="2"/>
      <c r="R610" s="24"/>
      <c r="S610" s="24"/>
      <c r="T610" s="24"/>
    </row>
    <row r="611" spans="1:20" x14ac:dyDescent="0.25">
      <c r="A611" s="2">
        <v>44519</v>
      </c>
      <c r="B611" s="20">
        <v>2436</v>
      </c>
      <c r="C611" s="20">
        <v>432</v>
      </c>
      <c r="D611" s="20">
        <v>17820</v>
      </c>
      <c r="E611" s="17">
        <f t="shared" si="30"/>
        <v>-3.2565528196981774E-2</v>
      </c>
      <c r="F611" s="17">
        <f t="shared" si="30"/>
        <v>-3.4602076124568004E-3</v>
      </c>
      <c r="G611" s="17">
        <f t="shared" si="30"/>
        <v>-9.4496942745969648E-3</v>
      </c>
      <c r="H611" s="14">
        <f t="shared" si="31"/>
        <v>-1.2512900628202001E-2</v>
      </c>
      <c r="I611" s="39">
        <f t="shared" si="32"/>
        <v>1.3227513227513227E-3</v>
      </c>
      <c r="J611" s="42">
        <v>1.0852713178294504E-2</v>
      </c>
      <c r="K611" s="88">
        <v>9.302325581395321E-3</v>
      </c>
      <c r="L611" s="42">
        <v>1.4721723518851038E-2</v>
      </c>
      <c r="M611" s="43">
        <v>1.26865678377321E-2</v>
      </c>
      <c r="Q611" s="2"/>
      <c r="R611" s="24"/>
      <c r="S611" s="24"/>
      <c r="T611" s="24"/>
    </row>
    <row r="612" spans="1:20" x14ac:dyDescent="0.25">
      <c r="A612" s="2">
        <v>44518</v>
      </c>
      <c r="B612" s="20">
        <v>2518</v>
      </c>
      <c r="C612" s="29">
        <v>433.5</v>
      </c>
      <c r="D612" s="20">
        <v>17990</v>
      </c>
      <c r="E612" s="17">
        <f t="shared" si="30"/>
        <v>3.9872408293459838E-3</v>
      </c>
      <c r="F612" s="17">
        <f t="shared" si="30"/>
        <v>-1.1520737327188613E-3</v>
      </c>
      <c r="G612" s="17">
        <f t="shared" si="30"/>
        <v>2.0709219858155992E-2</v>
      </c>
      <c r="H612" s="14">
        <f t="shared" si="31"/>
        <v>1.7342540992296516E-2</v>
      </c>
      <c r="I612" s="39">
        <f t="shared" si="32"/>
        <v>1.3227513227513227E-3</v>
      </c>
      <c r="J612" s="42">
        <v>1.0860484544695126E-2</v>
      </c>
      <c r="K612" s="88">
        <v>9.3240093240092303E-3</v>
      </c>
      <c r="L612" s="42">
        <v>1.4771997430957029E-2</v>
      </c>
      <c r="M612" s="43">
        <v>1.2816997626075827E-2</v>
      </c>
      <c r="Q612" s="2"/>
      <c r="R612" s="24"/>
      <c r="S612" s="24"/>
      <c r="T612" s="24"/>
    </row>
    <row r="613" spans="1:20" x14ac:dyDescent="0.25">
      <c r="A613" s="2">
        <v>44517</v>
      </c>
      <c r="B613" s="20">
        <v>2508</v>
      </c>
      <c r="C613" s="20">
        <v>434</v>
      </c>
      <c r="D613" s="20">
        <v>17625</v>
      </c>
      <c r="E613" s="17">
        <f t="shared" si="30"/>
        <v>2.3980815347721673E-3</v>
      </c>
      <c r="F613" s="17">
        <f t="shared" si="30"/>
        <v>-3.4443168771527422E-3</v>
      </c>
      <c r="G613" s="17">
        <f t="shared" si="30"/>
        <v>-8.9963452347483486E-3</v>
      </c>
      <c r="H613" s="14">
        <f t="shared" si="31"/>
        <v>-7.1127916544531603E-3</v>
      </c>
      <c r="I613" s="39">
        <f t="shared" si="32"/>
        <v>1.3227513227513227E-3</v>
      </c>
      <c r="J613" s="42">
        <v>1.0906040268456429E-2</v>
      </c>
      <c r="K613" s="88">
        <v>9.3896713615022609E-3</v>
      </c>
      <c r="L613" s="42">
        <v>1.4806110458284394E-2</v>
      </c>
      <c r="M613" s="43">
        <v>1.2820457704794969E-2</v>
      </c>
      <c r="Q613" s="2"/>
      <c r="R613" s="24"/>
      <c r="S613" s="24"/>
      <c r="T613" s="24"/>
    </row>
    <row r="614" spans="1:20" x14ac:dyDescent="0.25">
      <c r="A614" s="2">
        <v>44516</v>
      </c>
      <c r="B614" s="20">
        <v>2502</v>
      </c>
      <c r="C614" s="29">
        <v>435.5</v>
      </c>
      <c r="D614" s="20">
        <v>17785</v>
      </c>
      <c r="E614" s="17">
        <f t="shared" si="30"/>
        <v>-5.56438791732905E-3</v>
      </c>
      <c r="F614" s="17">
        <f t="shared" si="30"/>
        <v>8.1018518518518601E-3</v>
      </c>
      <c r="G614" s="17">
        <f t="shared" si="30"/>
        <v>4.8022598870056665E-3</v>
      </c>
      <c r="H614" s="14">
        <f t="shared" si="31"/>
        <v>3.4554712760797288E-3</v>
      </c>
      <c r="I614" s="39">
        <f t="shared" si="32"/>
        <v>1.3227513227513227E-3</v>
      </c>
      <c r="J614" s="42">
        <v>1.0932944606413919E-2</v>
      </c>
      <c r="K614" s="88">
        <v>9.5693779904306719E-3</v>
      </c>
      <c r="L614" s="42">
        <v>1.4832162373145996E-2</v>
      </c>
      <c r="M614" s="43">
        <v>1.2888286658231702E-2</v>
      </c>
      <c r="Q614" s="2"/>
      <c r="R614" s="24"/>
      <c r="S614" s="24"/>
      <c r="T614" s="24"/>
    </row>
    <row r="615" spans="1:20" x14ac:dyDescent="0.25">
      <c r="A615" s="2">
        <v>44515</v>
      </c>
      <c r="B615" s="20">
        <v>2516</v>
      </c>
      <c r="C615" s="20">
        <v>432</v>
      </c>
      <c r="D615" s="20">
        <v>17700</v>
      </c>
      <c r="E615" s="17">
        <f t="shared" si="30"/>
        <v>1.9448946515397081E-2</v>
      </c>
      <c r="F615" s="17">
        <f t="shared" si="30"/>
        <v>-9.1743119266054496E-3</v>
      </c>
      <c r="G615" s="17">
        <f t="shared" si="30"/>
        <v>-3.013698630136985E-2</v>
      </c>
      <c r="H615" s="14">
        <f t="shared" si="31"/>
        <v>-2.2080708468417601E-2</v>
      </c>
      <c r="I615" s="39">
        <f t="shared" si="32"/>
        <v>1.3227513227513227E-3</v>
      </c>
      <c r="J615" s="42">
        <v>1.0933557611438216E-2</v>
      </c>
      <c r="K615" s="88">
        <v>9.6385542168675453E-3</v>
      </c>
      <c r="L615" s="42">
        <v>1.4897138803499743E-2</v>
      </c>
      <c r="M615" s="43">
        <v>1.298873158662831E-2</v>
      </c>
      <c r="Q615" s="2"/>
      <c r="R615" s="24"/>
      <c r="S615" s="24"/>
      <c r="T615" s="24"/>
    </row>
    <row r="616" spans="1:20" x14ac:dyDescent="0.25">
      <c r="A616" s="2">
        <v>44512</v>
      </c>
      <c r="B616" s="20">
        <v>2468</v>
      </c>
      <c r="C616" s="20">
        <v>436</v>
      </c>
      <c r="D616" s="20">
        <v>18250</v>
      </c>
      <c r="E616" s="17">
        <f t="shared" si="30"/>
        <v>-3.2156862745097992E-2</v>
      </c>
      <c r="F616" s="17">
        <f t="shared" si="30"/>
        <v>4.6082949308756671E-3</v>
      </c>
      <c r="G616" s="17">
        <f t="shared" si="30"/>
        <v>-1.1911207363291876E-2</v>
      </c>
      <c r="H616" s="14">
        <f t="shared" si="31"/>
        <v>-1.4098794828762501E-2</v>
      </c>
      <c r="I616" s="39">
        <f t="shared" si="32"/>
        <v>1.3227513227513227E-3</v>
      </c>
      <c r="J616" s="42">
        <v>1.0961214165261302E-2</v>
      </c>
      <c r="K616" s="88">
        <v>9.7680097680097333E-3</v>
      </c>
      <c r="L616" s="42">
        <v>1.4951121334100037E-2</v>
      </c>
      <c r="M616" s="43">
        <v>1.3015431799406814E-2</v>
      </c>
      <c r="Q616" s="2"/>
      <c r="R616" s="24"/>
      <c r="S616" s="24"/>
      <c r="T616" s="24"/>
    </row>
    <row r="617" spans="1:20" x14ac:dyDescent="0.25">
      <c r="A617" s="2">
        <v>44511</v>
      </c>
      <c r="B617" s="20">
        <v>2550</v>
      </c>
      <c r="C617" s="20">
        <v>434</v>
      </c>
      <c r="D617" s="20">
        <v>18470</v>
      </c>
      <c r="E617" s="17">
        <f t="shared" si="30"/>
        <v>-4.7796863330843875E-2</v>
      </c>
      <c r="F617" s="17">
        <f t="shared" si="30"/>
        <v>-8.0000000000000071E-3</v>
      </c>
      <c r="G617" s="17">
        <f t="shared" si="30"/>
        <v>1.9878520154610779E-2</v>
      </c>
      <c r="H617" s="14">
        <f t="shared" si="31"/>
        <v>8.9153689796632307E-3</v>
      </c>
      <c r="I617" s="39">
        <f t="shared" si="32"/>
        <v>1.3227513227513227E-3</v>
      </c>
      <c r="J617" s="42">
        <v>1.1004126547455195E-2</v>
      </c>
      <c r="K617" s="88">
        <v>9.8253275109170257E-3</v>
      </c>
      <c r="L617" s="42">
        <v>1.516452074391994E-2</v>
      </c>
      <c r="M617" s="43">
        <v>1.3026584138822621E-2</v>
      </c>
      <c r="Q617" s="2"/>
      <c r="R617" s="24"/>
      <c r="S617" s="24"/>
      <c r="T617" s="24"/>
    </row>
    <row r="618" spans="1:20" x14ac:dyDescent="0.25">
      <c r="A618" s="2">
        <v>44510</v>
      </c>
      <c r="B618" s="20">
        <v>2678</v>
      </c>
      <c r="C618" s="29">
        <v>437.5</v>
      </c>
      <c r="D618" s="20">
        <v>18110</v>
      </c>
      <c r="E618" s="17">
        <f t="shared" si="30"/>
        <v>-1.6886930983847304E-2</v>
      </c>
      <c r="F618" s="17">
        <f t="shared" si="30"/>
        <v>8.0645161290322509E-3</v>
      </c>
      <c r="G618" s="17">
        <f t="shared" si="30"/>
        <v>-1.8959913326110467E-2</v>
      </c>
      <c r="H618" s="14">
        <f t="shared" si="31"/>
        <v>-1.747437796463544E-2</v>
      </c>
      <c r="I618" s="39">
        <f t="shared" si="32"/>
        <v>1.3227513227513227E-3</v>
      </c>
      <c r="J618" s="42">
        <v>1.1013215859030812E-2</v>
      </c>
      <c r="K618" s="88">
        <v>9.9337748344370258E-3</v>
      </c>
      <c r="L618" s="42">
        <v>1.5237526142814373E-2</v>
      </c>
      <c r="M618" s="43">
        <v>1.3139760678892578E-2</v>
      </c>
      <c r="Q618" s="2"/>
      <c r="R618" s="24"/>
      <c r="S618" s="24"/>
      <c r="T618" s="24"/>
    </row>
    <row r="619" spans="1:20" x14ac:dyDescent="0.25">
      <c r="A619" s="2">
        <v>44509</v>
      </c>
      <c r="B619" s="20">
        <v>2724</v>
      </c>
      <c r="C619" s="20">
        <v>434</v>
      </c>
      <c r="D619" s="20">
        <v>18460</v>
      </c>
      <c r="E619" s="17">
        <f t="shared" si="30"/>
        <v>8.8888888888889461E-3</v>
      </c>
      <c r="F619" s="17">
        <f t="shared" si="30"/>
        <v>1.1534025374855261E-3</v>
      </c>
      <c r="G619" s="17">
        <f t="shared" si="30"/>
        <v>-2.7012425715828847E-3</v>
      </c>
      <c r="H619" s="14">
        <f t="shared" si="31"/>
        <v>-8.6409672886186666E-4</v>
      </c>
      <c r="I619" s="39">
        <f t="shared" si="32"/>
        <v>1.3227513227513227E-3</v>
      </c>
      <c r="J619" s="42">
        <v>1.1329305135951762E-2</v>
      </c>
      <c r="K619" s="88">
        <v>9.9337748344370258E-3</v>
      </c>
      <c r="L619" s="42">
        <v>1.5237708248679427E-2</v>
      </c>
      <c r="M619" s="43">
        <v>1.3178387003335247E-2</v>
      </c>
      <c r="Q619" s="2"/>
      <c r="R619" s="24"/>
      <c r="S619" s="24"/>
      <c r="T619" s="24"/>
    </row>
    <row r="620" spans="1:20" x14ac:dyDescent="0.25">
      <c r="A620" s="2">
        <v>44508</v>
      </c>
      <c r="B620" s="20">
        <v>2700</v>
      </c>
      <c r="C620" s="29">
        <v>433.5</v>
      </c>
      <c r="D620" s="20">
        <v>18510</v>
      </c>
      <c r="E620" s="17">
        <f t="shared" si="30"/>
        <v>-2.0319303338171224E-2</v>
      </c>
      <c r="F620" s="17">
        <f t="shared" si="30"/>
        <v>-9.1428571428571193E-3</v>
      </c>
      <c r="G620" s="17">
        <f t="shared" si="30"/>
        <v>-2.2961203483768844E-2</v>
      </c>
      <c r="H620" s="14">
        <f t="shared" si="31"/>
        <v>-2.1973970731778307E-2</v>
      </c>
      <c r="I620" s="39">
        <f t="shared" si="32"/>
        <v>1.3227513227513227E-3</v>
      </c>
      <c r="J620" s="42">
        <v>1.1404133998574428E-2</v>
      </c>
      <c r="K620" s="88">
        <v>1.0112359550561889E-2</v>
      </c>
      <c r="L620" s="42">
        <v>1.5341138473960347E-2</v>
      </c>
      <c r="M620" s="43">
        <v>1.3188729612741406E-2</v>
      </c>
      <c r="Q620" s="2"/>
      <c r="R620" s="24"/>
      <c r="S620" s="24"/>
      <c r="T620" s="24"/>
    </row>
    <row r="621" spans="1:20" x14ac:dyDescent="0.25">
      <c r="A621" s="2">
        <v>44505</v>
      </c>
      <c r="B621" s="20">
        <v>2756</v>
      </c>
      <c r="C621" s="29">
        <v>437.5</v>
      </c>
      <c r="D621" s="20">
        <v>18945</v>
      </c>
      <c r="E621" s="17">
        <f t="shared" si="30"/>
        <v>-1.3600572655690812E-2</v>
      </c>
      <c r="F621" s="17">
        <f t="shared" si="30"/>
        <v>5.7471264367816577E-3</v>
      </c>
      <c r="G621" s="17">
        <f t="shared" si="30"/>
        <v>-2.3453608247422708E-2</v>
      </c>
      <c r="H621" s="14">
        <f t="shared" si="31"/>
        <v>-2.075292473544545E-2</v>
      </c>
      <c r="I621" s="39">
        <f t="shared" si="32"/>
        <v>1.3227513227513227E-3</v>
      </c>
      <c r="J621" s="42">
        <v>1.1428571428571344E-2</v>
      </c>
      <c r="K621" s="88">
        <v>1.0113780025284402E-2</v>
      </c>
      <c r="L621" s="42">
        <v>1.5500000000000069E-2</v>
      </c>
      <c r="M621" s="43">
        <v>1.3198938687609017E-2</v>
      </c>
      <c r="Q621" s="2"/>
      <c r="R621" s="24"/>
      <c r="S621" s="24"/>
      <c r="T621" s="24"/>
    </row>
    <row r="622" spans="1:20" x14ac:dyDescent="0.25">
      <c r="A622" s="2">
        <v>44504</v>
      </c>
      <c r="B622" s="20">
        <v>2794</v>
      </c>
      <c r="C622" s="20">
        <v>435</v>
      </c>
      <c r="D622" s="20">
        <v>19400</v>
      </c>
      <c r="E622" s="17">
        <f t="shared" si="30"/>
        <v>2.344322344322336E-2</v>
      </c>
      <c r="F622" s="17">
        <f t="shared" si="30"/>
        <v>0</v>
      </c>
      <c r="G622" s="17">
        <f t="shared" si="30"/>
        <v>3.2738887410167727E-2</v>
      </c>
      <c r="H622" s="14">
        <f t="shared" si="31"/>
        <v>2.9962970920324176E-2</v>
      </c>
      <c r="I622" s="39">
        <f t="shared" si="32"/>
        <v>1.3227513227513227E-3</v>
      </c>
      <c r="J622" s="42">
        <v>1.1459129106187849E-2</v>
      </c>
      <c r="K622" s="88">
        <v>1.0238907849829282E-2</v>
      </c>
      <c r="L622" s="42">
        <v>1.5804597701149392E-2</v>
      </c>
      <c r="M622" s="43">
        <v>1.3320618029750637E-2</v>
      </c>
      <c r="Q622" s="2"/>
      <c r="R622" s="24"/>
      <c r="S622" s="24"/>
      <c r="T622" s="24"/>
    </row>
    <row r="623" spans="1:20" x14ac:dyDescent="0.25">
      <c r="A623" s="2">
        <v>44503</v>
      </c>
      <c r="B623" s="20">
        <v>2730</v>
      </c>
      <c r="C623" s="20">
        <v>435</v>
      </c>
      <c r="D623" s="20">
        <v>18785</v>
      </c>
      <c r="E623" s="17">
        <f t="shared" si="30"/>
        <v>2.0179372197309364E-2</v>
      </c>
      <c r="F623" s="17">
        <f t="shared" si="30"/>
        <v>1.1627906976744207E-2</v>
      </c>
      <c r="G623" s="17">
        <f t="shared" si="30"/>
        <v>9.9462365591398427E-3</v>
      </c>
      <c r="H623" s="14">
        <f t="shared" si="31"/>
        <v>1.1492649564919763E-2</v>
      </c>
      <c r="I623" s="39">
        <f t="shared" si="32"/>
        <v>1.3227513227513227E-3</v>
      </c>
      <c r="J623" s="42">
        <v>1.1517615176151796E-2</v>
      </c>
      <c r="K623" s="88">
        <v>1.0285714285714231E-2</v>
      </c>
      <c r="L623" s="42">
        <v>1.5822784810126667E-2</v>
      </c>
      <c r="M623" s="43">
        <v>1.3357000321458356E-2</v>
      </c>
      <c r="Q623" s="2"/>
      <c r="R623" s="24"/>
      <c r="S623" s="24"/>
      <c r="T623" s="24"/>
    </row>
    <row r="624" spans="1:20" x14ac:dyDescent="0.25">
      <c r="A624" s="2">
        <v>44502</v>
      </c>
      <c r="B624" s="20">
        <v>2676</v>
      </c>
      <c r="C624" s="20">
        <v>430</v>
      </c>
      <c r="D624" s="20">
        <v>18600</v>
      </c>
      <c r="E624" s="17">
        <f t="shared" si="30"/>
        <v>6.0150375939849177E-3</v>
      </c>
      <c r="F624" s="17">
        <f t="shared" si="30"/>
        <v>2.3310023310023631E-3</v>
      </c>
      <c r="G624" s="17">
        <f t="shared" si="30"/>
        <v>-5.0815726129981309E-3</v>
      </c>
      <c r="H624" s="14">
        <f t="shared" si="31"/>
        <v>-3.1591369660044083E-3</v>
      </c>
      <c r="I624" s="39">
        <f t="shared" si="32"/>
        <v>1.3227513227513227E-3</v>
      </c>
      <c r="J624" s="42">
        <v>1.1577424023154759E-2</v>
      </c>
      <c r="K624" s="88">
        <v>1.0370370370370363E-2</v>
      </c>
      <c r="L624" s="42">
        <v>1.5860735009671112E-2</v>
      </c>
      <c r="M624" s="43">
        <v>1.3404658403719474E-2</v>
      </c>
      <c r="Q624" s="2"/>
      <c r="R624" s="24"/>
      <c r="S624" s="24"/>
      <c r="T624" s="24"/>
    </row>
    <row r="625" spans="1:20" x14ac:dyDescent="0.25">
      <c r="A625" s="2">
        <v>44498</v>
      </c>
      <c r="B625" s="20">
        <v>2660</v>
      </c>
      <c r="C625" s="20">
        <v>429</v>
      </c>
      <c r="D625" s="20">
        <v>18695</v>
      </c>
      <c r="E625" s="17">
        <f t="shared" si="30"/>
        <v>2.2607385079125297E-3</v>
      </c>
      <c r="F625" s="17">
        <f t="shared" si="30"/>
        <v>5.8616647127784915E-3</v>
      </c>
      <c r="G625" s="17">
        <f t="shared" si="30"/>
        <v>7.8167115902965101E-3</v>
      </c>
      <c r="H625" s="14">
        <f t="shared" si="31"/>
        <v>6.931325783374547E-3</v>
      </c>
      <c r="I625" s="39">
        <f t="shared" si="32"/>
        <v>1.3227513227513227E-3</v>
      </c>
      <c r="J625" s="42">
        <v>1.1699931176875511E-2</v>
      </c>
      <c r="K625" s="88">
        <v>1.0432190760059523E-2</v>
      </c>
      <c r="L625" s="42">
        <v>1.5867158671586612E-2</v>
      </c>
      <c r="M625" s="43">
        <v>1.3498167161134562E-2</v>
      </c>
      <c r="Q625" s="2"/>
      <c r="R625" s="24"/>
      <c r="S625" s="24"/>
      <c r="T625" s="24"/>
    </row>
    <row r="626" spans="1:20" x14ac:dyDescent="0.25">
      <c r="A626" s="2">
        <v>44497</v>
      </c>
      <c r="B626" s="20">
        <v>2654</v>
      </c>
      <c r="C626" s="29">
        <v>426.5</v>
      </c>
      <c r="D626" s="20">
        <v>18550</v>
      </c>
      <c r="E626" s="17">
        <f t="shared" si="30"/>
        <v>-2.7838827838827851E-2</v>
      </c>
      <c r="F626" s="17">
        <f t="shared" si="30"/>
        <v>3.529411764705781E-3</v>
      </c>
      <c r="G626" s="17">
        <f t="shared" si="30"/>
        <v>-2.4967148488830526E-2</v>
      </c>
      <c r="H626" s="14">
        <f t="shared" si="31"/>
        <v>-2.412846945339104E-2</v>
      </c>
      <c r="I626" s="39">
        <f t="shared" si="32"/>
        <v>1.3227513227513227E-3</v>
      </c>
      <c r="J626" s="42">
        <v>1.1816838995568624E-2</v>
      </c>
      <c r="K626" s="88">
        <v>1.0443864229765065E-2</v>
      </c>
      <c r="L626" s="42">
        <v>1.6008537886873064E-2</v>
      </c>
      <c r="M626" s="43">
        <v>1.374473625733396E-2</v>
      </c>
      <c r="Q626" s="2"/>
      <c r="R626" s="24"/>
      <c r="S626" s="24"/>
      <c r="T626" s="24"/>
    </row>
    <row r="627" spans="1:20" x14ac:dyDescent="0.25">
      <c r="A627" s="2">
        <v>44496</v>
      </c>
      <c r="B627" s="20">
        <v>2730</v>
      </c>
      <c r="C627" s="20">
        <v>425</v>
      </c>
      <c r="D627" s="20">
        <v>19025</v>
      </c>
      <c r="E627" s="17">
        <f t="shared" si="30"/>
        <v>-5.8266569555717185E-3</v>
      </c>
      <c r="F627" s="17">
        <f t="shared" si="30"/>
        <v>-8.168028004667427E-3</v>
      </c>
      <c r="G627" s="17">
        <f t="shared" si="30"/>
        <v>-1.1688311688311637E-2</v>
      </c>
      <c r="H627" s="14">
        <f t="shared" si="31"/>
        <v>-1.069017480122942E-2</v>
      </c>
      <c r="I627" s="39">
        <f t="shared" si="32"/>
        <v>1.3227513227513227E-3</v>
      </c>
      <c r="J627" s="42">
        <v>1.1913104414856379E-2</v>
      </c>
      <c r="K627" s="88">
        <v>1.0452961672473782E-2</v>
      </c>
      <c r="L627" s="42">
        <v>1.6010246557796926E-2</v>
      </c>
      <c r="M627" s="43">
        <v>1.3750299747252684E-2</v>
      </c>
      <c r="Q627" s="2"/>
      <c r="R627" s="24"/>
      <c r="S627" s="24"/>
      <c r="T627" s="24"/>
    </row>
    <row r="628" spans="1:20" x14ac:dyDescent="0.25">
      <c r="A628" s="2">
        <v>44495</v>
      </c>
      <c r="B628" s="20">
        <v>2746</v>
      </c>
      <c r="C628" s="29">
        <v>428.5</v>
      </c>
      <c r="D628" s="20">
        <v>19250</v>
      </c>
      <c r="E628" s="17">
        <f t="shared" si="30"/>
        <v>-7.2780203784572617E-4</v>
      </c>
      <c r="F628" s="17">
        <f t="shared" si="30"/>
        <v>-3.4883720930232176E-3</v>
      </c>
      <c r="G628" s="17">
        <f t="shared" si="30"/>
        <v>2.2576361221779528E-2</v>
      </c>
      <c r="H628" s="14">
        <f t="shared" si="31"/>
        <v>1.8077849897611405E-2</v>
      </c>
      <c r="I628" s="39">
        <f t="shared" si="32"/>
        <v>1.3227513227513227E-3</v>
      </c>
      <c r="J628" s="42">
        <v>1.1984021304926706E-2</v>
      </c>
      <c r="K628" s="88">
        <v>1.0494752623688264E-2</v>
      </c>
      <c r="L628" s="42">
        <v>1.6060606060606109E-2</v>
      </c>
      <c r="M628" s="43">
        <v>1.3787820481407125E-2</v>
      </c>
      <c r="Q628" s="2"/>
      <c r="R628" s="24"/>
      <c r="S628" s="24"/>
      <c r="T628" s="24"/>
    </row>
    <row r="629" spans="1:20" x14ac:dyDescent="0.25">
      <c r="A629" s="2">
        <v>44494</v>
      </c>
      <c r="B629" s="20">
        <v>2748</v>
      </c>
      <c r="C629" s="20">
        <v>430</v>
      </c>
      <c r="D629" s="20">
        <v>18825</v>
      </c>
      <c r="E629" s="17">
        <f t="shared" si="30"/>
        <v>-7.9422382671480163E-3</v>
      </c>
      <c r="F629" s="17">
        <f t="shared" si="30"/>
        <v>-2.3201856148491462E-3</v>
      </c>
      <c r="G629" s="17">
        <f t="shared" si="30"/>
        <v>-8.4277060837503193E-3</v>
      </c>
      <c r="H629" s="14">
        <f t="shared" si="31"/>
        <v>-8.0895326107210223E-3</v>
      </c>
      <c r="I629" s="39">
        <f t="shared" si="32"/>
        <v>1.3227513227513227E-3</v>
      </c>
      <c r="J629" s="42">
        <v>1.2066365007541435E-2</v>
      </c>
      <c r="K629" s="88">
        <v>1.0563380281690238E-2</v>
      </c>
      <c r="L629" s="42">
        <v>1.6242721422004225E-2</v>
      </c>
      <c r="M629" s="43">
        <v>1.3838512206478186E-2</v>
      </c>
      <c r="Q629" s="2"/>
      <c r="R629" s="24"/>
      <c r="S629" s="24"/>
      <c r="T629" s="24"/>
    </row>
    <row r="630" spans="1:20" x14ac:dyDescent="0.25">
      <c r="A630" s="2">
        <v>44491</v>
      </c>
      <c r="B630" s="20">
        <v>2770</v>
      </c>
      <c r="C630" s="20">
        <v>431</v>
      </c>
      <c r="D630" s="20">
        <v>18985</v>
      </c>
      <c r="E630" s="17">
        <f t="shared" si="30"/>
        <v>3.6231884057971175E-3</v>
      </c>
      <c r="F630" s="17">
        <f t="shared" si="30"/>
        <v>1.4117647058823568E-2</v>
      </c>
      <c r="G630" s="17">
        <f t="shared" si="30"/>
        <v>-2.6329647182732341E-4</v>
      </c>
      <c r="H630" s="14">
        <f t="shared" si="31"/>
        <v>9.2774628157649489E-4</v>
      </c>
      <c r="I630" s="39">
        <f t="shared" si="32"/>
        <v>1.3227513227513227E-3</v>
      </c>
      <c r="J630" s="42">
        <v>1.2142857142857233E-2</v>
      </c>
      <c r="K630" s="88">
        <v>1.0606060606060508E-2</v>
      </c>
      <c r="L630" s="42">
        <v>1.6401016401016433E-2</v>
      </c>
      <c r="M630" s="43">
        <v>1.3872400005801051E-2</v>
      </c>
      <c r="Q630" s="2"/>
      <c r="R630" s="24"/>
      <c r="S630" s="24"/>
      <c r="T630" s="24"/>
    </row>
    <row r="631" spans="1:20" x14ac:dyDescent="0.25">
      <c r="A631" s="2">
        <v>44490</v>
      </c>
      <c r="B631" s="20">
        <v>2760</v>
      </c>
      <c r="C631" s="20">
        <v>425</v>
      </c>
      <c r="D631" s="20">
        <v>18990</v>
      </c>
      <c r="E631" s="17">
        <f t="shared" si="30"/>
        <v>1.4705882352941124E-2</v>
      </c>
      <c r="F631" s="17">
        <f t="shared" si="30"/>
        <v>-1.3921113689095099E-2</v>
      </c>
      <c r="G631" s="17">
        <f t="shared" si="30"/>
        <v>1.8776824034334672E-2</v>
      </c>
      <c r="H631" s="14">
        <f t="shared" si="31"/>
        <v>1.6754536787047743E-2</v>
      </c>
      <c r="I631" s="39">
        <f t="shared" si="32"/>
        <v>1.3227513227513227E-3</v>
      </c>
      <c r="J631" s="42">
        <v>1.2178619756427533E-2</v>
      </c>
      <c r="K631" s="88">
        <v>1.0660980810234477E-2</v>
      </c>
      <c r="L631" s="42">
        <v>1.6506189821182904E-2</v>
      </c>
      <c r="M631" s="43">
        <v>1.3881378666113038E-2</v>
      </c>
      <c r="Q631" s="2"/>
      <c r="R631" s="24"/>
      <c r="S631" s="24"/>
      <c r="T631" s="24"/>
    </row>
    <row r="632" spans="1:20" x14ac:dyDescent="0.25">
      <c r="A632" s="2">
        <v>44489</v>
      </c>
      <c r="B632" s="20">
        <v>2720</v>
      </c>
      <c r="C632" s="20">
        <v>431</v>
      </c>
      <c r="D632" s="20">
        <v>18640</v>
      </c>
      <c r="E632" s="17">
        <f t="shared" si="30"/>
        <v>-2.9325513196480912E-3</v>
      </c>
      <c r="F632" s="17">
        <f t="shared" si="30"/>
        <v>1.1737089201877993E-2</v>
      </c>
      <c r="G632" s="17">
        <f t="shared" si="30"/>
        <v>-5.8666666666666867E-3</v>
      </c>
      <c r="H632" s="14">
        <f t="shared" si="31"/>
        <v>-4.6710841032324485E-3</v>
      </c>
      <c r="I632" s="39">
        <f t="shared" si="32"/>
        <v>1.3227513227513227E-3</v>
      </c>
      <c r="J632" s="42">
        <v>1.2292118582791112E-2</v>
      </c>
      <c r="K632" s="88">
        <v>1.067615658362997E-2</v>
      </c>
      <c r="L632" s="42">
        <v>1.6536661466458602E-2</v>
      </c>
      <c r="M632" s="43">
        <v>1.3885678106089561E-2</v>
      </c>
      <c r="Q632" s="2"/>
      <c r="R632" s="24"/>
      <c r="S632" s="24"/>
      <c r="T632" s="24"/>
    </row>
    <row r="633" spans="1:20" x14ac:dyDescent="0.25">
      <c r="A633" s="2">
        <v>44488</v>
      </c>
      <c r="B633" s="20">
        <v>2728</v>
      </c>
      <c r="C633" s="20">
        <v>426</v>
      </c>
      <c r="D633" s="20">
        <v>18750</v>
      </c>
      <c r="E633" s="17">
        <f t="shared" si="30"/>
        <v>2.9411764705882248E-3</v>
      </c>
      <c r="F633" s="17">
        <f t="shared" si="30"/>
        <v>2.3529411764706687E-3</v>
      </c>
      <c r="G633" s="17">
        <f t="shared" si="30"/>
        <v>-1.5489629824100848E-2</v>
      </c>
      <c r="H633" s="14">
        <f t="shared" si="31"/>
        <v>-1.2053603451942467E-2</v>
      </c>
      <c r="I633" s="39">
        <f t="shared" si="32"/>
        <v>1.3227513227513227E-3</v>
      </c>
      <c r="J633" s="42">
        <v>1.2295081967213184E-2</v>
      </c>
      <c r="K633" s="88">
        <v>1.0752688172043001E-2</v>
      </c>
      <c r="L633" s="42">
        <v>1.6558249556475557E-2</v>
      </c>
      <c r="M633" s="43">
        <v>1.3922188886274689E-2</v>
      </c>
      <c r="Q633" s="2"/>
      <c r="R633" s="24"/>
      <c r="S633" s="24"/>
      <c r="T633" s="24"/>
    </row>
    <row r="634" spans="1:20" x14ac:dyDescent="0.25">
      <c r="A634" s="2">
        <v>44487</v>
      </c>
      <c r="B634" s="20">
        <v>2720</v>
      </c>
      <c r="C634" s="20">
        <v>425</v>
      </c>
      <c r="D634" s="20">
        <v>19045</v>
      </c>
      <c r="E634" s="17">
        <f t="shared" si="30"/>
        <v>-6.5741417092768373E-3</v>
      </c>
      <c r="F634" s="17">
        <f t="shared" si="30"/>
        <v>-4.6838407494145251E-3</v>
      </c>
      <c r="G634" s="17">
        <f t="shared" si="30"/>
        <v>2.3684210526315752E-3</v>
      </c>
      <c r="H634" s="14">
        <f t="shared" si="31"/>
        <v>7.7177908748887205E-4</v>
      </c>
      <c r="I634" s="39">
        <f t="shared" si="32"/>
        <v>1.3227513227513227E-3</v>
      </c>
      <c r="J634" s="42">
        <v>1.2318840579710111E-2</v>
      </c>
      <c r="K634" s="88">
        <v>1.0882708585247869E-2</v>
      </c>
      <c r="L634" s="42">
        <v>1.6632016632016633E-2</v>
      </c>
      <c r="M634" s="43">
        <v>1.3937502682326209E-2</v>
      </c>
      <c r="Q634" s="2"/>
      <c r="R634" s="24"/>
      <c r="S634" s="24"/>
      <c r="T634" s="24"/>
    </row>
    <row r="635" spans="1:20" x14ac:dyDescent="0.25">
      <c r="A635" s="2">
        <v>44484</v>
      </c>
      <c r="B635" s="20">
        <v>2738</v>
      </c>
      <c r="C635" s="20">
        <v>427</v>
      </c>
      <c r="D635" s="20">
        <v>19000</v>
      </c>
      <c r="E635" s="17">
        <f t="shared" si="30"/>
        <v>-1.0838150289017356E-2</v>
      </c>
      <c r="F635" s="17">
        <f t="shared" si="30"/>
        <v>4.7058823529411153E-3</v>
      </c>
      <c r="G635" s="17">
        <f t="shared" si="30"/>
        <v>-7.3145245559038674E-3</v>
      </c>
      <c r="H635" s="14">
        <f t="shared" si="31"/>
        <v>-7.2934893695526821E-3</v>
      </c>
      <c r="I635" s="39">
        <f t="shared" si="32"/>
        <v>1.3227513227513227E-3</v>
      </c>
      <c r="J635" s="42">
        <v>1.2318840579710111E-2</v>
      </c>
      <c r="K635" s="88">
        <v>1.0899182561307841E-2</v>
      </c>
      <c r="L635" s="42">
        <v>1.677048394825098E-2</v>
      </c>
      <c r="M635" s="43">
        <v>1.4034096850065779E-2</v>
      </c>
      <c r="Q635" s="2"/>
      <c r="R635" s="24"/>
      <c r="S635" s="24"/>
      <c r="T635" s="24"/>
    </row>
    <row r="636" spans="1:20" x14ac:dyDescent="0.25">
      <c r="A636" s="2">
        <v>44483</v>
      </c>
      <c r="B636" s="20">
        <v>2768</v>
      </c>
      <c r="C636" s="20">
        <v>425</v>
      </c>
      <c r="D636" s="20">
        <v>19140</v>
      </c>
      <c r="E636" s="17">
        <f t="shared" si="30"/>
        <v>2.7468448403860535E-2</v>
      </c>
      <c r="F636" s="17">
        <f t="shared" si="30"/>
        <v>0</v>
      </c>
      <c r="G636" s="17">
        <f t="shared" si="30"/>
        <v>3.6706869428422273E-3</v>
      </c>
      <c r="H636" s="14">
        <f t="shared" si="31"/>
        <v>6.9338911288132927E-3</v>
      </c>
      <c r="I636" s="39">
        <f t="shared" si="32"/>
        <v>1.3227513227513227E-3</v>
      </c>
      <c r="J636" s="42">
        <v>1.2363636363636354E-2</v>
      </c>
      <c r="K636" s="88">
        <v>1.1001100110010986E-2</v>
      </c>
      <c r="L636" s="42">
        <v>1.6776512881965244E-2</v>
      </c>
      <c r="M636" s="43">
        <v>1.4037543000147252E-2</v>
      </c>
      <c r="Q636" s="2"/>
      <c r="R636" s="24"/>
      <c r="S636" s="24"/>
      <c r="T636" s="24"/>
    </row>
    <row r="637" spans="1:20" x14ac:dyDescent="0.25">
      <c r="A637" s="2">
        <v>44482</v>
      </c>
      <c r="B637" s="20">
        <v>2694</v>
      </c>
      <c r="C637" s="20">
        <v>425</v>
      </c>
      <c r="D637" s="20">
        <v>19070</v>
      </c>
      <c r="E637" s="17">
        <f t="shared" si="30"/>
        <v>-1.6788321167883202E-2</v>
      </c>
      <c r="F637" s="17">
        <f t="shared" si="30"/>
        <v>0</v>
      </c>
      <c r="G637" s="17">
        <f t="shared" si="30"/>
        <v>1.1402810925484008E-2</v>
      </c>
      <c r="H637" s="14">
        <f t="shared" si="31"/>
        <v>6.8451985656772119E-3</v>
      </c>
      <c r="I637" s="39">
        <f t="shared" si="32"/>
        <v>1.3227513227513227E-3</v>
      </c>
      <c r="J637" s="42">
        <v>1.2413793103448256E-2</v>
      </c>
      <c r="K637" s="88">
        <v>1.1097410604192337E-2</v>
      </c>
      <c r="L637" s="42">
        <v>1.678883896902339E-2</v>
      </c>
      <c r="M637" s="43">
        <v>1.4137480483445423E-2</v>
      </c>
      <c r="Q637" s="2"/>
      <c r="R637" s="24"/>
      <c r="S637" s="24"/>
      <c r="T637" s="24"/>
    </row>
    <row r="638" spans="1:20" x14ac:dyDescent="0.25">
      <c r="A638" s="2">
        <v>44481</v>
      </c>
      <c r="B638" s="20">
        <v>2740</v>
      </c>
      <c r="C638" s="20">
        <v>425</v>
      </c>
      <c r="D638" s="20">
        <v>18855</v>
      </c>
      <c r="E638" s="17">
        <f t="shared" si="30"/>
        <v>1.1816838995568624E-2</v>
      </c>
      <c r="F638" s="17">
        <f t="shared" si="30"/>
        <v>0</v>
      </c>
      <c r="G638" s="17">
        <f t="shared" si="30"/>
        <v>3.9936102236421966E-3</v>
      </c>
      <c r="H638" s="14">
        <f t="shared" si="31"/>
        <v>4.9439148057654021E-3</v>
      </c>
      <c r="I638" s="39">
        <f t="shared" si="32"/>
        <v>1.3227513227513227E-3</v>
      </c>
      <c r="J638" s="42">
        <v>1.2417218543046449E-2</v>
      </c>
      <c r="K638" s="88">
        <v>1.1111111111111072E-2</v>
      </c>
      <c r="L638" s="42">
        <v>1.6801292407108148E-2</v>
      </c>
      <c r="M638" s="43">
        <v>1.4139896008660956E-2</v>
      </c>
      <c r="Q638" s="2"/>
      <c r="R638" s="24"/>
      <c r="S638" s="24"/>
      <c r="T638" s="24"/>
    </row>
    <row r="639" spans="1:20" x14ac:dyDescent="0.25">
      <c r="A639" s="2">
        <v>44480</v>
      </c>
      <c r="B639" s="20">
        <v>2708</v>
      </c>
      <c r="C639" s="20">
        <v>425</v>
      </c>
      <c r="D639" s="20">
        <v>18780</v>
      </c>
      <c r="E639" s="17">
        <f t="shared" si="30"/>
        <v>8.941877794336861E-3</v>
      </c>
      <c r="F639" s="17">
        <f t="shared" si="30"/>
        <v>2.3584905660376521E-3</v>
      </c>
      <c r="G639" s="17">
        <f t="shared" si="30"/>
        <v>1.0220548682087216E-2</v>
      </c>
      <c r="H639" s="14">
        <f t="shared" si="31"/>
        <v>9.6911541205012934E-3</v>
      </c>
      <c r="I639" s="39">
        <f t="shared" si="32"/>
        <v>1.3227513227513227E-3</v>
      </c>
      <c r="J639" s="42">
        <v>1.2456747404844259E-2</v>
      </c>
      <c r="K639" s="88">
        <v>1.1223344556677839E-2</v>
      </c>
      <c r="L639" s="42">
        <v>1.6803102111158985E-2</v>
      </c>
      <c r="M639" s="43">
        <v>1.4173191363697697E-2</v>
      </c>
      <c r="Q639" s="2"/>
      <c r="R639" s="24"/>
      <c r="S639" s="24"/>
      <c r="T639" s="24"/>
    </row>
    <row r="640" spans="1:20" x14ac:dyDescent="0.25">
      <c r="A640" s="2">
        <v>44477</v>
      </c>
      <c r="B640" s="20">
        <v>2684</v>
      </c>
      <c r="C640" s="20">
        <v>424</v>
      </c>
      <c r="D640" s="20">
        <v>18590</v>
      </c>
      <c r="E640" s="17">
        <f t="shared" si="30"/>
        <v>1.4925373134329067E-3</v>
      </c>
      <c r="F640" s="17">
        <f t="shared" si="30"/>
        <v>-2.3529411764705577E-3</v>
      </c>
      <c r="G640" s="17">
        <f t="shared" si="30"/>
        <v>-2.6888948642111998E-4</v>
      </c>
      <c r="H640" s="14">
        <f t="shared" si="31"/>
        <v>-1.0697910011847645E-4</v>
      </c>
      <c r="I640" s="39">
        <f t="shared" si="32"/>
        <v>1.3227513227513227E-3</v>
      </c>
      <c r="J640" s="42">
        <v>1.2463343108504388E-2</v>
      </c>
      <c r="K640" s="88">
        <v>1.13924050632912E-2</v>
      </c>
      <c r="L640" s="42">
        <v>1.6822429906542036E-2</v>
      </c>
      <c r="M640" s="43">
        <v>1.4296655047853282E-2</v>
      </c>
      <c r="Q640" s="2"/>
      <c r="R640" s="24"/>
      <c r="S640" s="24"/>
      <c r="T640" s="24"/>
    </row>
    <row r="641" spans="1:20" x14ac:dyDescent="0.25">
      <c r="A641" s="2">
        <v>44476</v>
      </c>
      <c r="B641" s="20">
        <v>2680</v>
      </c>
      <c r="C641" s="20">
        <v>425</v>
      </c>
      <c r="D641" s="20">
        <v>18595</v>
      </c>
      <c r="E641" s="17">
        <f t="shared" si="30"/>
        <v>-2.9761904761904656E-3</v>
      </c>
      <c r="F641" s="17">
        <f t="shared" si="30"/>
        <v>1.1778563015312216E-3</v>
      </c>
      <c r="G641" s="17">
        <f t="shared" si="30"/>
        <v>1.3627691469065173E-2</v>
      </c>
      <c r="H641" s="14">
        <f t="shared" si="31"/>
        <v>1.0691470403684778E-2</v>
      </c>
      <c r="I641" s="39">
        <f t="shared" si="32"/>
        <v>1.3227513227513227E-3</v>
      </c>
      <c r="J641" s="42">
        <v>1.2499999999999956E-2</v>
      </c>
      <c r="K641" s="88">
        <v>1.1479591836734748E-2</v>
      </c>
      <c r="L641" s="42">
        <v>1.6852146263911072E-2</v>
      </c>
      <c r="M641" s="43">
        <v>1.4300139505603424E-2</v>
      </c>
      <c r="Q641" s="2"/>
      <c r="R641" s="24"/>
      <c r="S641" s="24"/>
      <c r="T641" s="24"/>
    </row>
    <row r="642" spans="1:20" x14ac:dyDescent="0.25">
      <c r="A642" s="2">
        <v>44475</v>
      </c>
      <c r="B642" s="20">
        <v>2688</v>
      </c>
      <c r="C642" s="29">
        <v>424.5</v>
      </c>
      <c r="D642" s="20">
        <v>18345</v>
      </c>
      <c r="E642" s="17">
        <f t="shared" si="30"/>
        <v>1.0526315789473717E-2</v>
      </c>
      <c r="F642" s="17">
        <f t="shared" si="30"/>
        <v>5.924170616113722E-3</v>
      </c>
      <c r="G642" s="17">
        <f t="shared" si="30"/>
        <v>-4.0716612377850181E-3</v>
      </c>
      <c r="H642" s="14">
        <f t="shared" si="31"/>
        <v>-1.5318962598645904E-3</v>
      </c>
      <c r="I642" s="39">
        <f t="shared" si="32"/>
        <v>1.3227513227513227E-3</v>
      </c>
      <c r="J642" s="42">
        <v>1.2676056338028152E-2</v>
      </c>
      <c r="K642" s="88">
        <v>1.1494252873563315E-2</v>
      </c>
      <c r="L642" s="42">
        <v>1.6930835734870309E-2</v>
      </c>
      <c r="M642" s="43">
        <v>1.4397681440259691E-2</v>
      </c>
      <c r="Q642" s="2"/>
      <c r="R642" s="24"/>
      <c r="S642" s="24"/>
      <c r="T642" s="24"/>
    </row>
    <row r="643" spans="1:20" x14ac:dyDescent="0.25">
      <c r="A643" s="2">
        <v>44474</v>
      </c>
      <c r="B643" s="20">
        <v>2660</v>
      </c>
      <c r="C643" s="20">
        <v>422</v>
      </c>
      <c r="D643" s="20">
        <v>18420</v>
      </c>
      <c r="E643" s="17">
        <f t="shared" si="30"/>
        <v>2.0721412125863425E-2</v>
      </c>
      <c r="F643" s="17">
        <f t="shared" si="30"/>
        <v>-7.058823529411784E-3</v>
      </c>
      <c r="G643" s="17">
        <f t="shared" si="30"/>
        <v>-3.7858301784748916E-3</v>
      </c>
      <c r="H643" s="14">
        <f t="shared" si="31"/>
        <v>-4.0306123152973952E-4</v>
      </c>
      <c r="I643" s="39">
        <f t="shared" si="32"/>
        <v>1.3227513227513227E-3</v>
      </c>
      <c r="J643" s="42">
        <v>1.2702893436838281E-2</v>
      </c>
      <c r="K643" s="88">
        <v>1.1532125205930832E-2</v>
      </c>
      <c r="L643" s="42">
        <v>1.6949152542372836E-2</v>
      </c>
      <c r="M643" s="43">
        <v>1.4421238374080164E-2</v>
      </c>
      <c r="Q643" s="2"/>
      <c r="R643" s="24"/>
      <c r="S643" s="24"/>
      <c r="T643" s="24"/>
    </row>
    <row r="644" spans="1:20" x14ac:dyDescent="0.25">
      <c r="A644" s="2">
        <v>44473</v>
      </c>
      <c r="B644" s="20">
        <v>2606</v>
      </c>
      <c r="C644" s="20">
        <v>425</v>
      </c>
      <c r="D644" s="20">
        <v>18490</v>
      </c>
      <c r="E644" s="17">
        <f t="shared" si="30"/>
        <v>4.6260601387817513E-3</v>
      </c>
      <c r="F644" s="17">
        <f t="shared" si="30"/>
        <v>8.3036773428233346E-3</v>
      </c>
      <c r="G644" s="17">
        <f t="shared" si="30"/>
        <v>-1.0171306209850073E-2</v>
      </c>
      <c r="H644" s="14">
        <f t="shared" si="31"/>
        <v>-7.2303436516743926E-3</v>
      </c>
      <c r="I644" s="39">
        <f t="shared" si="32"/>
        <v>1.3227513227513227E-3</v>
      </c>
      <c r="J644" s="42">
        <v>1.272084805653706E-2</v>
      </c>
      <c r="K644" s="88">
        <v>1.1627906976744207E-2</v>
      </c>
      <c r="L644" s="42">
        <v>1.7053701015965261E-2</v>
      </c>
      <c r="M644" s="43">
        <v>1.4520047018492547E-2</v>
      </c>
      <c r="Q644" s="2"/>
      <c r="R644" s="24"/>
      <c r="S644" s="24"/>
      <c r="T644" s="24"/>
    </row>
    <row r="645" spans="1:20" x14ac:dyDescent="0.25">
      <c r="A645" s="2">
        <v>44470</v>
      </c>
      <c r="B645" s="20">
        <v>2594</v>
      </c>
      <c r="C645" s="29">
        <v>421.5</v>
      </c>
      <c r="D645" s="20">
        <v>18680</v>
      </c>
      <c r="E645" s="17">
        <f t="shared" si="30"/>
        <v>3.8699690402477227E-3</v>
      </c>
      <c r="F645" s="17">
        <f t="shared" si="30"/>
        <v>-4.7225501770956635E-3</v>
      </c>
      <c r="G645" s="17">
        <f t="shared" si="30"/>
        <v>2.637362637362628E-2</v>
      </c>
      <c r="H645" s="14">
        <f t="shared" si="31"/>
        <v>2.1769265582347444E-2</v>
      </c>
      <c r="I645" s="39">
        <f t="shared" si="32"/>
        <v>1.3227513227513227E-3</v>
      </c>
      <c r="J645" s="42">
        <v>1.2743628185907019E-2</v>
      </c>
      <c r="K645" s="88">
        <v>1.1737089201877993E-2</v>
      </c>
      <c r="L645" s="42">
        <v>1.706682094301426E-2</v>
      </c>
      <c r="M645" s="43">
        <v>1.4559147726686799E-2</v>
      </c>
      <c r="Q645" s="2"/>
      <c r="R645" s="24"/>
      <c r="S645" s="24"/>
      <c r="T645" s="24"/>
    </row>
    <row r="646" spans="1:20" x14ac:dyDescent="0.25">
      <c r="A646" s="2">
        <v>44469</v>
      </c>
      <c r="B646" s="20">
        <v>2584</v>
      </c>
      <c r="C646" s="29">
        <v>423.5</v>
      </c>
      <c r="D646" s="20">
        <v>18200</v>
      </c>
      <c r="E646" s="17">
        <f t="shared" ref="E646:G709" si="33">+B646/B647-1</f>
        <v>1.8124507486209529E-2</v>
      </c>
      <c r="F646" s="17">
        <f t="shared" si="33"/>
        <v>3.5545023696681444E-3</v>
      </c>
      <c r="G646" s="17">
        <f t="shared" si="33"/>
        <v>2.4198086662915008E-2</v>
      </c>
      <c r="H646" s="14">
        <f t="shared" ref="H646:H709" si="34">+SUMPRODUCT(E646:G646,$K$9:$M$9)</f>
        <v>2.2417194023089206E-2</v>
      </c>
      <c r="I646" s="39">
        <f t="shared" si="32"/>
        <v>1.3227513227513227E-3</v>
      </c>
      <c r="J646" s="42">
        <v>1.277235161532686E-2</v>
      </c>
      <c r="K646" s="88">
        <v>1.1750881316098694E-2</v>
      </c>
      <c r="L646" s="42">
        <v>1.7163289630512502E-2</v>
      </c>
      <c r="M646" s="43">
        <v>1.4598594492364071E-2</v>
      </c>
      <c r="Q646" s="2"/>
      <c r="R646" s="24"/>
      <c r="S646" s="24"/>
      <c r="T646" s="24"/>
    </row>
    <row r="647" spans="1:20" x14ac:dyDescent="0.25">
      <c r="A647" s="2">
        <v>44468</v>
      </c>
      <c r="B647" s="20">
        <v>2538</v>
      </c>
      <c r="C647" s="20">
        <v>422</v>
      </c>
      <c r="D647" s="20">
        <v>17770</v>
      </c>
      <c r="E647" s="17">
        <f t="shared" si="33"/>
        <v>2.5040387722132573E-2</v>
      </c>
      <c r="F647" s="17">
        <f t="shared" si="33"/>
        <v>-8.2256169212691077E-3</v>
      </c>
      <c r="G647" s="17">
        <f t="shared" si="33"/>
        <v>1.2247223013386543E-2</v>
      </c>
      <c r="H647" s="14">
        <f t="shared" si="34"/>
        <v>1.3188729612741406E-2</v>
      </c>
      <c r="I647" s="39">
        <f t="shared" si="32"/>
        <v>1.3227513227513227E-3</v>
      </c>
      <c r="J647" s="42">
        <v>1.2884753042233354E-2</v>
      </c>
      <c r="K647" s="88">
        <v>1.1764705882352899E-2</v>
      </c>
      <c r="L647" s="42">
        <v>1.7272727272727328E-2</v>
      </c>
      <c r="M647" s="43">
        <v>1.4765165608453111E-2</v>
      </c>
      <c r="Q647" s="2"/>
      <c r="R647" s="24"/>
      <c r="S647" s="24"/>
      <c r="T647" s="24"/>
    </row>
    <row r="648" spans="1:20" x14ac:dyDescent="0.25">
      <c r="A648" s="2">
        <v>44467</v>
      </c>
      <c r="B648" s="20">
        <v>2476</v>
      </c>
      <c r="C648" s="29">
        <v>425.5</v>
      </c>
      <c r="D648" s="20">
        <v>17555</v>
      </c>
      <c r="E648" s="17">
        <f t="shared" si="33"/>
        <v>5.6864337936637366E-3</v>
      </c>
      <c r="F648" s="17">
        <f t="shared" si="33"/>
        <v>-5.8411214953271173E-3</v>
      </c>
      <c r="G648" s="17">
        <f t="shared" si="33"/>
        <v>-5.6931397665815897E-4</v>
      </c>
      <c r="H648" s="14">
        <f t="shared" si="34"/>
        <v>9.9278567972295396E-5</v>
      </c>
      <c r="I648" s="39">
        <f t="shared" si="32"/>
        <v>1.3227513227513227E-3</v>
      </c>
      <c r="J648" s="42">
        <v>1.3036809815951012E-2</v>
      </c>
      <c r="K648" s="88">
        <v>1.1799410029498469E-2</v>
      </c>
      <c r="L648" s="42">
        <v>1.7797552836484876E-2</v>
      </c>
      <c r="M648" s="43">
        <v>1.4801484451748417E-2</v>
      </c>
      <c r="Q648" s="2"/>
      <c r="R648" s="24"/>
      <c r="S648" s="24"/>
      <c r="T648" s="24"/>
    </row>
    <row r="649" spans="1:20" x14ac:dyDescent="0.25">
      <c r="A649" s="2">
        <v>44466</v>
      </c>
      <c r="B649" s="20">
        <v>2462</v>
      </c>
      <c r="C649" s="20">
        <v>428</v>
      </c>
      <c r="D649" s="20">
        <v>17565</v>
      </c>
      <c r="E649" s="17">
        <f t="shared" si="33"/>
        <v>8.1300813008122752E-4</v>
      </c>
      <c r="F649" s="17">
        <f t="shared" si="33"/>
        <v>8.2449941107185509E-3</v>
      </c>
      <c r="G649" s="17">
        <f t="shared" si="33"/>
        <v>3.714285714285781E-3</v>
      </c>
      <c r="H649" s="14">
        <f t="shared" si="34"/>
        <v>3.4958388108318936E-3</v>
      </c>
      <c r="I649" s="39">
        <f t="shared" si="32"/>
        <v>1.3227513227513227E-3</v>
      </c>
      <c r="J649" s="42">
        <v>1.3049450549450503E-2</v>
      </c>
      <c r="K649" s="88">
        <v>1.1806375442739103E-2</v>
      </c>
      <c r="L649" s="42">
        <v>1.791530944625408E-2</v>
      </c>
      <c r="M649" s="43">
        <v>1.4891638756370972E-2</v>
      </c>
      <c r="Q649" s="2"/>
      <c r="R649" s="24"/>
      <c r="S649" s="24"/>
      <c r="T649" s="24"/>
    </row>
    <row r="650" spans="1:20" x14ac:dyDescent="0.25">
      <c r="A650" s="2">
        <v>44463</v>
      </c>
      <c r="B650" s="20">
        <v>2460</v>
      </c>
      <c r="C650" s="29">
        <v>424.5</v>
      </c>
      <c r="D650" s="20">
        <v>17500</v>
      </c>
      <c r="E650" s="17">
        <f t="shared" si="33"/>
        <v>5.7236304170074082E-3</v>
      </c>
      <c r="F650" s="17">
        <f t="shared" si="33"/>
        <v>-5.8548009367681564E-3</v>
      </c>
      <c r="G650" s="17">
        <f t="shared" si="33"/>
        <v>-2.2073204805811653E-2</v>
      </c>
      <c r="H650" s="14">
        <f t="shared" si="34"/>
        <v>-1.736077278884059E-2</v>
      </c>
      <c r="I650" s="39">
        <f t="shared" si="32"/>
        <v>1.3227513227513227E-3</v>
      </c>
      <c r="J650" s="42">
        <v>1.3250883392226243E-2</v>
      </c>
      <c r="K650" s="88">
        <v>1.1976047904191711E-2</v>
      </c>
      <c r="L650" s="42">
        <v>1.7948717948717885E-2</v>
      </c>
      <c r="M650" s="43">
        <v>1.4988663704381358E-2</v>
      </c>
      <c r="Q650" s="2"/>
      <c r="R650" s="24"/>
      <c r="S650" s="24"/>
      <c r="T650" s="24"/>
    </row>
    <row r="651" spans="1:20" x14ac:dyDescent="0.25">
      <c r="A651" s="2">
        <v>44462</v>
      </c>
      <c r="B651" s="20">
        <v>2446</v>
      </c>
      <c r="C651" s="20">
        <v>427</v>
      </c>
      <c r="D651" s="20">
        <v>17895</v>
      </c>
      <c r="E651" s="17">
        <f t="shared" si="33"/>
        <v>1.4937759336099532E-2</v>
      </c>
      <c r="F651" s="17">
        <f t="shared" si="33"/>
        <v>-2.3364485981308691E-3</v>
      </c>
      <c r="G651" s="17">
        <f t="shared" si="33"/>
        <v>1.3881019830028318E-2</v>
      </c>
      <c r="H651" s="14">
        <f t="shared" si="34"/>
        <v>1.3320618029750637E-2</v>
      </c>
      <c r="I651" s="39">
        <f t="shared" si="32"/>
        <v>1.3227513227513227E-3</v>
      </c>
      <c r="J651" s="42">
        <v>1.3333333333333419E-2</v>
      </c>
      <c r="K651" s="88">
        <v>1.2019230769230838E-2</v>
      </c>
      <c r="L651" s="42">
        <v>1.8018018018018056E-2</v>
      </c>
      <c r="M651" s="43">
        <v>1.499337961694221E-2</v>
      </c>
      <c r="Q651" s="2"/>
      <c r="R651" s="24"/>
      <c r="S651" s="24"/>
      <c r="T651" s="24"/>
    </row>
    <row r="652" spans="1:20" x14ac:dyDescent="0.25">
      <c r="A652" s="2">
        <v>44461</v>
      </c>
      <c r="B652" s="20">
        <v>2410</v>
      </c>
      <c r="C652" s="20">
        <v>428</v>
      </c>
      <c r="D652" s="20">
        <v>17650</v>
      </c>
      <c r="E652" s="17">
        <f t="shared" si="33"/>
        <v>1.9458544839255465E-2</v>
      </c>
      <c r="F652" s="17">
        <f t="shared" si="33"/>
        <v>-1.166861143523934E-3</v>
      </c>
      <c r="G652" s="17">
        <f t="shared" si="33"/>
        <v>1.4951121334100037E-2</v>
      </c>
      <c r="H652" s="14">
        <f t="shared" si="34"/>
        <v>1.4891638756370972E-2</v>
      </c>
      <c r="I652" s="39">
        <f t="shared" si="32"/>
        <v>1.3227513227513227E-3</v>
      </c>
      <c r="J652" s="42">
        <v>1.3343217197924417E-2</v>
      </c>
      <c r="K652" s="88">
        <v>1.2048192771084265E-2</v>
      </c>
      <c r="L652" s="42">
        <v>1.8252543387193398E-2</v>
      </c>
      <c r="M652" s="43">
        <v>1.4994809674423125E-2</v>
      </c>
      <c r="Q652" s="2"/>
      <c r="R652" s="24"/>
      <c r="S652" s="24"/>
      <c r="T652" s="24"/>
    </row>
    <row r="653" spans="1:20" x14ac:dyDescent="0.25">
      <c r="A653" s="2">
        <v>44460</v>
      </c>
      <c r="B653" s="20">
        <v>2364</v>
      </c>
      <c r="C653" s="29">
        <v>428.5</v>
      </c>
      <c r="D653" s="20">
        <v>17390</v>
      </c>
      <c r="E653" s="17">
        <f t="shared" si="33"/>
        <v>-5.887300252312877E-3</v>
      </c>
      <c r="F653" s="17">
        <f t="shared" si="33"/>
        <v>1.1806375442739103E-2</v>
      </c>
      <c r="G653" s="17">
        <f t="shared" si="33"/>
        <v>-7.98630918425558E-3</v>
      </c>
      <c r="H653" s="14">
        <f t="shared" si="34"/>
        <v>-6.8147333420410638E-3</v>
      </c>
      <c r="I653" s="39">
        <f t="shared" si="32"/>
        <v>1.3227513227513227E-3</v>
      </c>
      <c r="J653" s="42">
        <v>1.3475177304964614E-2</v>
      </c>
      <c r="K653" s="88">
        <v>1.2061403508771829E-2</v>
      </c>
      <c r="L653" s="42">
        <v>1.8323153803442516E-2</v>
      </c>
      <c r="M653" s="43">
        <v>1.5161795112863276E-2</v>
      </c>
      <c r="Q653" s="2"/>
      <c r="R653" s="24"/>
      <c r="S653" s="24"/>
      <c r="T653" s="24"/>
    </row>
    <row r="654" spans="1:20" x14ac:dyDescent="0.25">
      <c r="A654" s="2">
        <v>44459</v>
      </c>
      <c r="B654" s="20">
        <v>2378</v>
      </c>
      <c r="C654" s="29">
        <v>423.5</v>
      </c>
      <c r="D654" s="20">
        <v>17530</v>
      </c>
      <c r="E654" s="17">
        <f t="shared" si="33"/>
        <v>-2.3809523809523836E-2</v>
      </c>
      <c r="F654" s="17">
        <f t="shared" si="33"/>
        <v>-8.1967213114754189E-3</v>
      </c>
      <c r="G654" s="17">
        <f t="shared" si="33"/>
        <v>-3.2026504693539515E-2</v>
      </c>
      <c r="H654" s="14">
        <f t="shared" si="34"/>
        <v>-2.9797203576276902E-2</v>
      </c>
      <c r="I654" s="39">
        <f t="shared" si="32"/>
        <v>1.3227513227513227E-3</v>
      </c>
      <c r="J654" s="42">
        <v>1.3582342954159499E-2</v>
      </c>
      <c r="K654" s="88">
        <v>1.2121212121212199E-2</v>
      </c>
      <c r="L654" s="42">
        <v>1.8431001890359067E-2</v>
      </c>
      <c r="M654" s="43">
        <v>1.5174854589933093E-2</v>
      </c>
      <c r="Q654" s="2"/>
      <c r="R654" s="24"/>
      <c r="S654" s="24"/>
      <c r="T654" s="24"/>
    </row>
    <row r="655" spans="1:20" x14ac:dyDescent="0.25">
      <c r="A655" s="2">
        <v>44456</v>
      </c>
      <c r="B655" s="20">
        <v>2436</v>
      </c>
      <c r="C655" s="20">
        <v>427</v>
      </c>
      <c r="D655" s="20">
        <v>18110</v>
      </c>
      <c r="E655" s="17">
        <f t="shared" si="33"/>
        <v>-8.2034454470880647E-4</v>
      </c>
      <c r="F655" s="17">
        <f t="shared" si="33"/>
        <v>-2.0642201834862428E-2</v>
      </c>
      <c r="G655" s="17">
        <f t="shared" si="33"/>
        <v>-9.5706863549357424E-3</v>
      </c>
      <c r="H655" s="14">
        <f t="shared" si="34"/>
        <v>-8.7979177365342109E-3</v>
      </c>
      <c r="I655" s="39">
        <f t="shared" si="32"/>
        <v>1.3227513227513227E-3</v>
      </c>
      <c r="J655" s="42">
        <v>1.35849056603774E-2</v>
      </c>
      <c r="K655" s="88">
        <v>1.2269938650306678E-2</v>
      </c>
      <c r="L655" s="42">
        <v>1.848591549295775E-2</v>
      </c>
      <c r="M655" s="43">
        <v>1.5340439725773562E-2</v>
      </c>
      <c r="Q655" s="2"/>
      <c r="R655" s="24"/>
      <c r="S655" s="24"/>
      <c r="T655" s="24"/>
    </row>
    <row r="656" spans="1:20" x14ac:dyDescent="0.25">
      <c r="A656" s="2">
        <v>44455</v>
      </c>
      <c r="B656" s="20">
        <v>2438</v>
      </c>
      <c r="C656" s="20">
        <v>436</v>
      </c>
      <c r="D656" s="20">
        <v>18285</v>
      </c>
      <c r="E656" s="17">
        <f t="shared" si="33"/>
        <v>-2.4549918166939522E-3</v>
      </c>
      <c r="F656" s="17">
        <f t="shared" si="33"/>
        <v>0</v>
      </c>
      <c r="G656" s="17">
        <f t="shared" si="33"/>
        <v>-2.7337342810274112E-4</v>
      </c>
      <c r="H656" s="14">
        <f t="shared" si="34"/>
        <v>-5.7529543852989748E-4</v>
      </c>
      <c r="I656" s="39">
        <f t="shared" ref="I656:I719" si="35">1/$K$1</f>
        <v>1.3227513227513227E-3</v>
      </c>
      <c r="J656" s="42">
        <v>1.3698630136986356E-2</v>
      </c>
      <c r="K656" s="88">
        <v>1.228501228501222E-2</v>
      </c>
      <c r="L656" s="42">
        <v>1.8499999999999961E-2</v>
      </c>
      <c r="M656" s="43">
        <v>1.5458573935203146E-2</v>
      </c>
      <c r="Q656" s="2"/>
      <c r="R656" s="24"/>
      <c r="S656" s="24"/>
      <c r="T656" s="24"/>
    </row>
    <row r="657" spans="1:20" x14ac:dyDescent="0.25">
      <c r="A657" s="2">
        <v>44454</v>
      </c>
      <c r="B657" s="20">
        <v>2444</v>
      </c>
      <c r="C657" s="20">
        <v>436</v>
      </c>
      <c r="D657" s="20">
        <v>18290</v>
      </c>
      <c r="E657" s="17">
        <f t="shared" si="33"/>
        <v>2.003338898163598E-2</v>
      </c>
      <c r="F657" s="17">
        <f t="shared" si="33"/>
        <v>9.2592592592593004E-3</v>
      </c>
      <c r="G657" s="17">
        <f t="shared" si="33"/>
        <v>-5.9782608695652106E-3</v>
      </c>
      <c r="H657" s="14">
        <f t="shared" si="34"/>
        <v>-1.565806678427659E-3</v>
      </c>
      <c r="I657" s="39">
        <f t="shared" si="35"/>
        <v>1.3227513227513227E-3</v>
      </c>
      <c r="J657" s="42">
        <v>1.3719512195121908E-2</v>
      </c>
      <c r="K657" s="88">
        <v>1.2345679012345734E-2</v>
      </c>
      <c r="L657" s="42">
        <v>1.8627450980392091E-2</v>
      </c>
      <c r="M657" s="43">
        <v>1.5504114753029992E-2</v>
      </c>
      <c r="Q657" s="2"/>
      <c r="R657" s="24"/>
      <c r="S657" s="24"/>
      <c r="T657" s="24"/>
    </row>
    <row r="658" spans="1:20" x14ac:dyDescent="0.25">
      <c r="A658" s="2">
        <v>44453</v>
      </c>
      <c r="B658" s="20">
        <v>2396</v>
      </c>
      <c r="C658" s="20">
        <v>432</v>
      </c>
      <c r="D658" s="20">
        <v>18400</v>
      </c>
      <c r="E658" s="17">
        <f t="shared" si="33"/>
        <v>-8.3402835696411159E-4</v>
      </c>
      <c r="F658" s="17">
        <f t="shared" si="33"/>
        <v>1.1587485515642815E-3</v>
      </c>
      <c r="G658" s="17">
        <f t="shared" si="33"/>
        <v>-1.6568679850347379E-2</v>
      </c>
      <c r="H658" s="14">
        <f t="shared" si="34"/>
        <v>-1.3525684829783219E-2</v>
      </c>
      <c r="I658" s="39">
        <f t="shared" si="35"/>
        <v>1.3227513227513227E-3</v>
      </c>
      <c r="J658" s="42">
        <v>1.3824884792626779E-2</v>
      </c>
      <c r="K658" s="88">
        <v>1.2499999999999956E-2</v>
      </c>
      <c r="L658" s="42">
        <v>1.8644067796610209E-2</v>
      </c>
      <c r="M658" s="43">
        <v>1.5642589042571806E-2</v>
      </c>
      <c r="Q658" s="2"/>
      <c r="R658" s="24"/>
      <c r="S658" s="24"/>
      <c r="T658" s="24"/>
    </row>
    <row r="659" spans="1:20" x14ac:dyDescent="0.25">
      <c r="A659" s="2">
        <v>44452</v>
      </c>
      <c r="B659" s="20">
        <v>2398</v>
      </c>
      <c r="C659" s="29">
        <v>431.5</v>
      </c>
      <c r="D659" s="20">
        <v>18710</v>
      </c>
      <c r="E659" s="17">
        <f t="shared" si="33"/>
        <v>-8.3333333333335258E-4</v>
      </c>
      <c r="F659" s="17">
        <f t="shared" si="33"/>
        <v>-5.7603686635944173E-3</v>
      </c>
      <c r="G659" s="17">
        <f t="shared" si="33"/>
        <v>5.3475935828872778E-4</v>
      </c>
      <c r="H659" s="14">
        <f t="shared" si="34"/>
        <v>6.1335430863419631E-5</v>
      </c>
      <c r="I659" s="39">
        <f t="shared" si="35"/>
        <v>1.3227513227513227E-3</v>
      </c>
      <c r="J659" s="42">
        <v>1.3846153846153841E-2</v>
      </c>
      <c r="K659" s="88">
        <v>1.2514220705347023E-2</v>
      </c>
      <c r="L659" s="42">
        <v>1.8709073900841977E-2</v>
      </c>
      <c r="M659" s="43">
        <v>1.578312586699103E-2</v>
      </c>
      <c r="Q659" s="2"/>
      <c r="R659" s="24"/>
      <c r="S659" s="24"/>
      <c r="T659" s="24"/>
    </row>
    <row r="660" spans="1:20" x14ac:dyDescent="0.25">
      <c r="A660" s="2">
        <v>44449</v>
      </c>
      <c r="B660" s="20">
        <v>2400</v>
      </c>
      <c r="C660" s="20">
        <v>434</v>
      </c>
      <c r="D660" s="20">
        <v>18700</v>
      </c>
      <c r="E660" s="17">
        <f t="shared" si="33"/>
        <v>0</v>
      </c>
      <c r="F660" s="17">
        <f t="shared" si="33"/>
        <v>-4.5871559633027248E-3</v>
      </c>
      <c r="G660" s="17">
        <f t="shared" si="33"/>
        <v>-2.666666666666706E-3</v>
      </c>
      <c r="H660" s="14">
        <f t="shared" si="34"/>
        <v>-2.3673079111592469E-3</v>
      </c>
      <c r="I660" s="39">
        <f t="shared" si="35"/>
        <v>1.3227513227513227E-3</v>
      </c>
      <c r="J660" s="42">
        <v>1.3850415512465464E-2</v>
      </c>
      <c r="K660" s="88">
        <v>1.2539184952978122E-2</v>
      </c>
      <c r="L660" s="42">
        <v>1.8776824034334672E-2</v>
      </c>
      <c r="M660" s="43">
        <v>1.5948022982766059E-2</v>
      </c>
      <c r="Q660" s="2"/>
      <c r="R660" s="24"/>
      <c r="S660" s="24"/>
      <c r="T660" s="24"/>
    </row>
    <row r="661" spans="1:20" x14ac:dyDescent="0.25">
      <c r="A661" s="2">
        <v>44448</v>
      </c>
      <c r="B661" s="20">
        <v>2400</v>
      </c>
      <c r="C661" s="20">
        <v>436</v>
      </c>
      <c r="D661" s="20">
        <v>18750</v>
      </c>
      <c r="E661" s="17">
        <f t="shared" si="33"/>
        <v>-3.3222591362126463E-3</v>
      </c>
      <c r="F661" s="17">
        <f t="shared" si="33"/>
        <v>2.2988505747125743E-3</v>
      </c>
      <c r="G661" s="17">
        <f t="shared" si="33"/>
        <v>1.791530944625408E-2</v>
      </c>
      <c r="H661" s="14">
        <f t="shared" si="34"/>
        <v>1.4173191363697697E-2</v>
      </c>
      <c r="I661" s="39">
        <f t="shared" si="35"/>
        <v>1.3227513227513227E-3</v>
      </c>
      <c r="J661" s="42">
        <v>1.4095536413469167E-2</v>
      </c>
      <c r="K661" s="88">
        <v>1.2820512820512775E-2</v>
      </c>
      <c r="L661" s="42">
        <v>1.8886679920477212E-2</v>
      </c>
      <c r="M661" s="43">
        <v>1.5948377463083578E-2</v>
      </c>
      <c r="Q661" s="2"/>
      <c r="R661" s="24"/>
      <c r="S661" s="24"/>
      <c r="T661" s="24"/>
    </row>
    <row r="662" spans="1:20" x14ac:dyDescent="0.25">
      <c r="A662" s="2">
        <v>44447</v>
      </c>
      <c r="B662" s="20">
        <v>2408</v>
      </c>
      <c r="C662" s="20">
        <v>435</v>
      </c>
      <c r="D662" s="20">
        <v>18420</v>
      </c>
      <c r="E662" s="17">
        <f t="shared" si="33"/>
        <v>3.3333333333334103E-3</v>
      </c>
      <c r="F662" s="17">
        <f t="shared" si="33"/>
        <v>-6.8493150684931781E-3</v>
      </c>
      <c r="G662" s="17">
        <f t="shared" si="33"/>
        <v>1.3590649633052898E-3</v>
      </c>
      <c r="H662" s="14">
        <f t="shared" si="34"/>
        <v>1.2825492196624031E-3</v>
      </c>
      <c r="I662" s="39">
        <f t="shared" si="35"/>
        <v>1.3227513227513227E-3</v>
      </c>
      <c r="J662" s="42">
        <v>1.4556040756914079E-2</v>
      </c>
      <c r="K662" s="88">
        <v>1.287001287001277E-2</v>
      </c>
      <c r="L662" s="42">
        <v>1.8987341772152E-2</v>
      </c>
      <c r="M662" s="43">
        <v>1.6114390633865459E-2</v>
      </c>
      <c r="Q662" s="2"/>
      <c r="R662" s="24"/>
      <c r="S662" s="24"/>
      <c r="T662" s="24"/>
    </row>
    <row r="663" spans="1:20" x14ac:dyDescent="0.25">
      <c r="A663" s="2">
        <v>44446</v>
      </c>
      <c r="B663" s="20">
        <v>2400</v>
      </c>
      <c r="C663" s="20">
        <v>438</v>
      </c>
      <c r="D663" s="20">
        <v>18395</v>
      </c>
      <c r="E663" s="17">
        <f t="shared" si="33"/>
        <v>-4.1493775933609811E-3</v>
      </c>
      <c r="F663" s="17">
        <f t="shared" si="33"/>
        <v>9.2165898617511122E-3</v>
      </c>
      <c r="G663" s="17">
        <f t="shared" si="33"/>
        <v>2.9989094874591782E-3</v>
      </c>
      <c r="H663" s="14">
        <f t="shared" si="34"/>
        <v>2.2434358285760734E-3</v>
      </c>
      <c r="I663" s="39">
        <f t="shared" si="35"/>
        <v>1.3227513227513227E-3</v>
      </c>
      <c r="J663" s="42">
        <v>1.46520146520146E-2</v>
      </c>
      <c r="K663" s="88">
        <v>1.3003901170351106E-2</v>
      </c>
      <c r="L663" s="42">
        <v>1.8998903909389853E-2</v>
      </c>
      <c r="M663" s="43">
        <v>1.6315705064761786E-2</v>
      </c>
      <c r="Q663" s="2"/>
      <c r="R663" s="24"/>
      <c r="S663" s="24"/>
      <c r="T663" s="24"/>
    </row>
    <row r="664" spans="1:20" x14ac:dyDescent="0.25">
      <c r="A664" s="2">
        <v>44445</v>
      </c>
      <c r="B664" s="20">
        <v>2410</v>
      </c>
      <c r="C664" s="20">
        <v>434</v>
      </c>
      <c r="D664" s="20">
        <v>18340</v>
      </c>
      <c r="E664" s="17">
        <f t="shared" si="33"/>
        <v>-4.1322314049586639E-3</v>
      </c>
      <c r="F664" s="17">
        <f t="shared" si="33"/>
        <v>-9.1324200913242004E-3</v>
      </c>
      <c r="G664" s="17">
        <f t="shared" si="33"/>
        <v>1.8323153803442516E-2</v>
      </c>
      <c r="H664" s="14">
        <f t="shared" si="34"/>
        <v>1.3885678106089561E-2</v>
      </c>
      <c r="I664" s="39">
        <f t="shared" si="35"/>
        <v>1.3227513227513227E-3</v>
      </c>
      <c r="J664" s="42">
        <v>1.4705882352941124E-2</v>
      </c>
      <c r="K664" s="88">
        <v>1.3035381750465591E-2</v>
      </c>
      <c r="L664" s="42">
        <v>1.9337016574585641E-2</v>
      </c>
      <c r="M664" s="43">
        <v>1.6345776085404613E-2</v>
      </c>
      <c r="Q664" s="2"/>
      <c r="R664" s="24"/>
      <c r="S664" s="24"/>
      <c r="T664" s="24"/>
    </row>
    <row r="665" spans="1:20" x14ac:dyDescent="0.25">
      <c r="A665" s="2">
        <v>44442</v>
      </c>
      <c r="B665" s="20">
        <v>2420</v>
      </c>
      <c r="C665" s="20">
        <v>438</v>
      </c>
      <c r="D665" s="20">
        <v>18010</v>
      </c>
      <c r="E665" s="17">
        <f t="shared" si="33"/>
        <v>4.1493775933609811E-3</v>
      </c>
      <c r="F665" s="17">
        <f t="shared" si="33"/>
        <v>0</v>
      </c>
      <c r="G665" s="17">
        <f t="shared" si="33"/>
        <v>8.6810417250069438E-3</v>
      </c>
      <c r="H665" s="14">
        <f t="shared" si="34"/>
        <v>7.6475664237239021E-3</v>
      </c>
      <c r="I665" s="39">
        <f t="shared" si="35"/>
        <v>1.3227513227513227E-3</v>
      </c>
      <c r="J665" s="42">
        <v>1.4760147601476037E-2</v>
      </c>
      <c r="K665" s="88">
        <v>1.308900523560208E-2</v>
      </c>
      <c r="L665" s="42">
        <v>1.9402035623409697E-2</v>
      </c>
      <c r="M665" s="43">
        <v>1.6642663065954549E-2</v>
      </c>
      <c r="Q665" s="2"/>
      <c r="R665" s="24"/>
      <c r="S665" s="24"/>
      <c r="T665" s="24"/>
    </row>
    <row r="666" spans="1:20" x14ac:dyDescent="0.25">
      <c r="A666" s="2">
        <v>44441</v>
      </c>
      <c r="B666" s="20">
        <v>2410</v>
      </c>
      <c r="C666" s="20">
        <v>438</v>
      </c>
      <c r="D666" s="20">
        <v>17855</v>
      </c>
      <c r="E666" s="17">
        <f t="shared" si="33"/>
        <v>-5.7755775577558177E-3</v>
      </c>
      <c r="F666" s="17">
        <f t="shared" si="33"/>
        <v>9.2165898617511122E-3</v>
      </c>
      <c r="G666" s="17">
        <f t="shared" si="33"/>
        <v>1.9640852974185385E-3</v>
      </c>
      <c r="H666" s="14">
        <f t="shared" si="34"/>
        <v>1.1689753429556841E-3</v>
      </c>
      <c r="I666" s="39">
        <f t="shared" si="35"/>
        <v>1.3227513227513227E-3</v>
      </c>
      <c r="J666" s="42">
        <v>1.4820592823712841E-2</v>
      </c>
      <c r="K666" s="88">
        <v>1.3100436681222627E-2</v>
      </c>
      <c r="L666" s="42">
        <v>1.9650131799664461E-2</v>
      </c>
      <c r="M666" s="43">
        <v>1.6658372856887104E-2</v>
      </c>
      <c r="Q666" s="2"/>
      <c r="R666" s="24"/>
      <c r="S666" s="24"/>
      <c r="T666" s="24"/>
    </row>
    <row r="667" spans="1:20" x14ac:dyDescent="0.25">
      <c r="A667" s="2">
        <v>44440</v>
      </c>
      <c r="B667" s="20">
        <v>2424</v>
      </c>
      <c r="C667" s="20">
        <v>434</v>
      </c>
      <c r="D667" s="20">
        <v>17820</v>
      </c>
      <c r="E667" s="17">
        <f t="shared" si="33"/>
        <v>0</v>
      </c>
      <c r="F667" s="17">
        <f t="shared" si="33"/>
        <v>6.9605568445476607E-3</v>
      </c>
      <c r="G667" s="17">
        <f t="shared" si="33"/>
        <v>-1.6806722689075571E-3</v>
      </c>
      <c r="H667" s="14">
        <f t="shared" si="34"/>
        <v>-1.0591997623698654E-3</v>
      </c>
      <c r="I667" s="39">
        <f t="shared" si="35"/>
        <v>1.3227513227513227E-3</v>
      </c>
      <c r="J667" s="42">
        <v>1.4937759336099532E-2</v>
      </c>
      <c r="K667" s="88">
        <v>1.3205282112845218E-2</v>
      </c>
      <c r="L667" s="42">
        <v>1.9681742043551109E-2</v>
      </c>
      <c r="M667" s="43">
        <v>1.6754536787047743E-2</v>
      </c>
      <c r="Q667" s="2"/>
      <c r="R667" s="24"/>
      <c r="S667" s="24"/>
      <c r="T667" s="24"/>
    </row>
    <row r="668" spans="1:20" x14ac:dyDescent="0.25">
      <c r="A668" s="2">
        <v>44439</v>
      </c>
      <c r="B668" s="20">
        <v>2424</v>
      </c>
      <c r="C668" s="20">
        <v>431</v>
      </c>
      <c r="D668" s="20">
        <v>17850</v>
      </c>
      <c r="E668" s="17">
        <f t="shared" si="33"/>
        <v>1.6528925619834212E-3</v>
      </c>
      <c r="F668" s="17">
        <f t="shared" si="33"/>
        <v>-1.2600229095074411E-2</v>
      </c>
      <c r="G668" s="17">
        <f t="shared" si="33"/>
        <v>6.2006764374296086E-3</v>
      </c>
      <c r="H668" s="14">
        <f t="shared" si="34"/>
        <v>4.7202960969895177E-3</v>
      </c>
      <c r="I668" s="39">
        <f t="shared" si="35"/>
        <v>1.3227513227513227E-3</v>
      </c>
      <c r="J668" s="42">
        <v>1.4999999999999902E-2</v>
      </c>
      <c r="K668" s="88">
        <v>1.3262599469495928E-2</v>
      </c>
      <c r="L668" s="42">
        <v>1.9878520154610779E-2</v>
      </c>
      <c r="M668" s="43">
        <v>1.679702508221384E-2</v>
      </c>
      <c r="Q668" s="2"/>
      <c r="R668" s="24"/>
      <c r="S668" s="24"/>
      <c r="T668" s="24"/>
    </row>
    <row r="669" spans="1:20" x14ac:dyDescent="0.25">
      <c r="A669" s="2">
        <v>44438</v>
      </c>
      <c r="B669" s="20">
        <v>2420</v>
      </c>
      <c r="C669" s="29">
        <v>436.5</v>
      </c>
      <c r="D669" s="20">
        <v>17740</v>
      </c>
      <c r="E669" s="17">
        <f t="shared" si="33"/>
        <v>9.1743119266054496E-3</v>
      </c>
      <c r="F669" s="17">
        <f t="shared" si="33"/>
        <v>3.4482758620688614E-3</v>
      </c>
      <c r="G669" s="17">
        <f t="shared" si="33"/>
        <v>1.516452074391994E-2</v>
      </c>
      <c r="H669" s="14">
        <f t="shared" si="34"/>
        <v>1.3787820481407125E-2</v>
      </c>
      <c r="I669" s="39">
        <f t="shared" si="35"/>
        <v>1.3227513227513227E-3</v>
      </c>
      <c r="J669" s="42">
        <v>1.5027322404371546E-2</v>
      </c>
      <c r="K669" s="88">
        <v>1.330108827085863E-2</v>
      </c>
      <c r="L669" s="42">
        <v>1.9902912621359237E-2</v>
      </c>
      <c r="M669" s="43">
        <v>1.6890804516657101E-2</v>
      </c>
      <c r="Q669" s="2"/>
      <c r="R669" s="24"/>
      <c r="S669" s="24"/>
      <c r="T669" s="24"/>
    </row>
    <row r="670" spans="1:20" x14ac:dyDescent="0.25">
      <c r="A670" s="2">
        <v>44435</v>
      </c>
      <c r="B670" s="20">
        <v>2398</v>
      </c>
      <c r="C670" s="20">
        <v>435</v>
      </c>
      <c r="D670" s="20">
        <v>17475</v>
      </c>
      <c r="E670" s="17">
        <f t="shared" si="33"/>
        <v>1.0961214165261302E-2</v>
      </c>
      <c r="F670" s="17">
        <f t="shared" si="33"/>
        <v>8.1112398609501923E-3</v>
      </c>
      <c r="G670" s="17">
        <f t="shared" si="33"/>
        <v>2.1034180543382908E-2</v>
      </c>
      <c r="H670" s="14">
        <f t="shared" si="34"/>
        <v>1.9016964658733829E-2</v>
      </c>
      <c r="I670" s="39">
        <f t="shared" si="35"/>
        <v>1.3227513227513227E-3</v>
      </c>
      <c r="J670" s="42">
        <v>1.5172413793103523E-2</v>
      </c>
      <c r="K670" s="88">
        <v>1.3513513513513598E-2</v>
      </c>
      <c r="L670" s="42">
        <v>2.0055970149253755E-2</v>
      </c>
      <c r="M670" s="43">
        <v>1.6989646246919475E-2</v>
      </c>
      <c r="Q670" s="2"/>
      <c r="R670" s="24"/>
      <c r="S670" s="24"/>
      <c r="T670" s="24"/>
    </row>
    <row r="671" spans="1:20" x14ac:dyDescent="0.25">
      <c r="A671" s="2">
        <v>44434</v>
      </c>
      <c r="B671" s="20">
        <v>2372</v>
      </c>
      <c r="C671" s="29">
        <v>431.5</v>
      </c>
      <c r="D671" s="20">
        <v>17115</v>
      </c>
      <c r="E671" s="17">
        <f t="shared" si="33"/>
        <v>-1.413133832086455E-2</v>
      </c>
      <c r="F671" s="17">
        <f t="shared" si="33"/>
        <v>2.3228803716608404E-3</v>
      </c>
      <c r="G671" s="17">
        <f t="shared" si="33"/>
        <v>-6.9625761531766361E-3</v>
      </c>
      <c r="H671" s="14">
        <f t="shared" si="34"/>
        <v>-7.5862227358476876E-3</v>
      </c>
      <c r="I671" s="39">
        <f t="shared" si="35"/>
        <v>1.3227513227513227E-3</v>
      </c>
      <c r="J671" s="42">
        <v>1.5201586252478583E-2</v>
      </c>
      <c r="K671" s="88">
        <v>1.3636363636363669E-2</v>
      </c>
      <c r="L671" s="42">
        <v>2.0187793427230094E-2</v>
      </c>
      <c r="M671" s="43">
        <v>1.7212688376153425E-2</v>
      </c>
      <c r="Q671" s="2"/>
      <c r="R671" s="24"/>
      <c r="S671" s="24"/>
      <c r="T671" s="24"/>
    </row>
    <row r="672" spans="1:20" x14ac:dyDescent="0.25">
      <c r="A672" s="2">
        <v>44433</v>
      </c>
      <c r="B672" s="20">
        <v>2406</v>
      </c>
      <c r="C672" s="29">
        <v>430.5</v>
      </c>
      <c r="D672" s="20">
        <v>17235</v>
      </c>
      <c r="E672" s="17">
        <f t="shared" si="33"/>
        <v>2.4999999999999467E-3</v>
      </c>
      <c r="F672" s="17">
        <f t="shared" si="33"/>
        <v>-9.205983889528202E-3</v>
      </c>
      <c r="G672" s="17">
        <f t="shared" si="33"/>
        <v>-2.0738636363636376E-2</v>
      </c>
      <c r="H672" s="14">
        <f t="shared" si="34"/>
        <v>-1.6887977031701872E-2</v>
      </c>
      <c r="I672" s="39">
        <f t="shared" si="35"/>
        <v>1.3227513227513227E-3</v>
      </c>
      <c r="J672" s="42">
        <v>1.5261044176706928E-2</v>
      </c>
      <c r="K672" s="88">
        <v>1.3661202185792254E-2</v>
      </c>
      <c r="L672" s="42">
        <v>2.0503261882572232E-2</v>
      </c>
      <c r="M672" s="43">
        <v>1.7248123743628375E-2</v>
      </c>
      <c r="Q672" s="2"/>
      <c r="R672" s="24"/>
      <c r="S672" s="24"/>
      <c r="T672" s="24"/>
    </row>
    <row r="673" spans="1:20" x14ac:dyDescent="0.25">
      <c r="A673" s="2">
        <v>44432</v>
      </c>
      <c r="B673" s="20">
        <v>2400</v>
      </c>
      <c r="C673" s="29">
        <v>434.5</v>
      </c>
      <c r="D673" s="20">
        <v>17600</v>
      </c>
      <c r="E673" s="17">
        <f t="shared" si="33"/>
        <v>-2.4937655860348684E-3</v>
      </c>
      <c r="F673" s="17">
        <f t="shared" si="33"/>
        <v>9.2915214866433615E-3</v>
      </c>
      <c r="G673" s="17">
        <f t="shared" si="33"/>
        <v>-1.0680157391793177E-2</v>
      </c>
      <c r="H673" s="14">
        <f t="shared" si="34"/>
        <v>-8.6247520847312544E-3</v>
      </c>
      <c r="I673" s="39">
        <f t="shared" si="35"/>
        <v>1.3227513227513227E-3</v>
      </c>
      <c r="J673" s="42">
        <v>1.5267175572519109E-2</v>
      </c>
      <c r="K673" s="88">
        <v>1.3769363166953541E-2</v>
      </c>
      <c r="L673" s="42">
        <v>2.0563594821020548E-2</v>
      </c>
      <c r="M673" s="43">
        <v>1.7289262242464264E-2</v>
      </c>
      <c r="Q673" s="2"/>
      <c r="R673" s="24"/>
      <c r="S673" s="24"/>
      <c r="T673" s="24"/>
    </row>
    <row r="674" spans="1:20" x14ac:dyDescent="0.25">
      <c r="A674" s="2">
        <v>44431</v>
      </c>
      <c r="B674" s="20">
        <v>2406</v>
      </c>
      <c r="C674" s="29">
        <v>430.5</v>
      </c>
      <c r="D674" s="20">
        <v>17790</v>
      </c>
      <c r="E674" s="17">
        <f t="shared" si="33"/>
        <v>1.8628281117696766E-2</v>
      </c>
      <c r="F674" s="17">
        <f t="shared" si="33"/>
        <v>-1.1600928074245731E-3</v>
      </c>
      <c r="G674" s="17">
        <f t="shared" si="33"/>
        <v>2.818489289740711E-3</v>
      </c>
      <c r="H674" s="14">
        <f t="shared" si="34"/>
        <v>4.9187093605865158E-3</v>
      </c>
      <c r="I674" s="39">
        <f t="shared" si="35"/>
        <v>1.3227513227513227E-3</v>
      </c>
      <c r="J674" s="42">
        <v>1.572551822730528E-2</v>
      </c>
      <c r="K674" s="88">
        <v>1.3812154696132506E-2</v>
      </c>
      <c r="L674" s="42">
        <v>2.0618556701030855E-2</v>
      </c>
      <c r="M674" s="43">
        <v>1.7318078182749507E-2</v>
      </c>
      <c r="Q674" s="2"/>
      <c r="R674" s="24"/>
      <c r="S674" s="24"/>
      <c r="T674" s="24"/>
    </row>
    <row r="675" spans="1:20" x14ac:dyDescent="0.25">
      <c r="A675" s="2">
        <v>44427</v>
      </c>
      <c r="B675" s="20">
        <v>2362</v>
      </c>
      <c r="C675" s="20">
        <v>431</v>
      </c>
      <c r="D675" s="20">
        <v>17740</v>
      </c>
      <c r="E675" s="17">
        <f t="shared" si="33"/>
        <v>-1.9102990033222578E-2</v>
      </c>
      <c r="F675" s="17">
        <f t="shared" si="33"/>
        <v>-6.9124423963133896E-3</v>
      </c>
      <c r="G675" s="17">
        <f t="shared" si="33"/>
        <v>-1.4444444444444482E-2</v>
      </c>
      <c r="H675" s="14">
        <f t="shared" si="34"/>
        <v>-1.4783907054142533E-2</v>
      </c>
      <c r="I675" s="39">
        <f t="shared" si="35"/>
        <v>1.3227513227513227E-3</v>
      </c>
      <c r="J675" s="42">
        <v>1.5813253012048278E-2</v>
      </c>
      <c r="K675" s="88">
        <v>1.4084507042253502E-2</v>
      </c>
      <c r="L675" s="42">
        <v>2.0709219858155992E-2</v>
      </c>
      <c r="M675" s="43">
        <v>1.7342540992296516E-2</v>
      </c>
      <c r="Q675" s="2"/>
      <c r="R675" s="24"/>
      <c r="S675" s="24"/>
      <c r="T675" s="24"/>
    </row>
    <row r="676" spans="1:20" x14ac:dyDescent="0.25">
      <c r="A676" s="2">
        <v>44426</v>
      </c>
      <c r="B676" s="20">
        <v>2408</v>
      </c>
      <c r="C676" s="20">
        <v>434</v>
      </c>
      <c r="D676" s="20">
        <v>18000</v>
      </c>
      <c r="E676" s="17">
        <f t="shared" si="33"/>
        <v>-2.4855012427505985E-3</v>
      </c>
      <c r="F676" s="17">
        <f t="shared" si="33"/>
        <v>9.302325581395321E-3</v>
      </c>
      <c r="G676" s="17">
        <f t="shared" si="33"/>
        <v>2.7397260273972712E-2</v>
      </c>
      <c r="H676" s="14">
        <f t="shared" si="34"/>
        <v>2.2302226702377879E-2</v>
      </c>
      <c r="I676" s="39">
        <f t="shared" si="35"/>
        <v>1.3227513227513227E-3</v>
      </c>
      <c r="J676" s="42">
        <v>1.5861027190332333E-2</v>
      </c>
      <c r="K676" s="88">
        <v>1.4117647058823568E-2</v>
      </c>
      <c r="L676" s="42">
        <v>2.0715630885122405E-2</v>
      </c>
      <c r="M676" s="43">
        <v>1.7358838348686102E-2</v>
      </c>
      <c r="Q676" s="2"/>
      <c r="R676" s="24"/>
      <c r="S676" s="24"/>
      <c r="T676" s="24"/>
    </row>
    <row r="677" spans="1:20" x14ac:dyDescent="0.25">
      <c r="A677" s="2">
        <v>44425</v>
      </c>
      <c r="B677" s="20">
        <v>2414</v>
      </c>
      <c r="C677" s="20">
        <v>430</v>
      </c>
      <c r="D677" s="20">
        <v>17520</v>
      </c>
      <c r="E677" s="17">
        <f t="shared" si="33"/>
        <v>1.0041841004184038E-2</v>
      </c>
      <c r="F677" s="17">
        <f t="shared" si="33"/>
        <v>-9.2165898617511122E-3</v>
      </c>
      <c r="G677" s="17">
        <f t="shared" si="33"/>
        <v>5.0359712230215736E-2</v>
      </c>
      <c r="H677" s="14">
        <f t="shared" si="34"/>
        <v>4.1940723254592298E-2</v>
      </c>
      <c r="I677" s="39">
        <f t="shared" si="35"/>
        <v>1.3227513227513227E-3</v>
      </c>
      <c r="J677" s="42">
        <v>1.5923566878980999E-2</v>
      </c>
      <c r="K677" s="88">
        <v>1.4336917562723928E-2</v>
      </c>
      <c r="L677" s="42">
        <v>2.0731707317073189E-2</v>
      </c>
      <c r="M677" s="43">
        <v>1.7394855979563296E-2</v>
      </c>
      <c r="Q677" s="2"/>
      <c r="R677" s="24"/>
      <c r="S677" s="24"/>
      <c r="T677" s="24"/>
    </row>
    <row r="678" spans="1:20" x14ac:dyDescent="0.25">
      <c r="A678" s="2">
        <v>44424</v>
      </c>
      <c r="B678" s="20">
        <v>2390</v>
      </c>
      <c r="C678" s="20">
        <v>434</v>
      </c>
      <c r="D678" s="20">
        <v>16680</v>
      </c>
      <c r="E678" s="17">
        <f t="shared" si="33"/>
        <v>-1.6460905349794275E-2</v>
      </c>
      <c r="F678" s="17">
        <f t="shared" si="33"/>
        <v>-4.5871559633027248E-3</v>
      </c>
      <c r="G678" s="17">
        <f t="shared" si="33"/>
        <v>0</v>
      </c>
      <c r="H678" s="14">
        <f t="shared" si="34"/>
        <v>-2.5702240412895519E-3</v>
      </c>
      <c r="I678" s="39">
        <f t="shared" si="35"/>
        <v>1.3227513227513227E-3</v>
      </c>
      <c r="J678" s="42">
        <v>1.6000000000000014E-2</v>
      </c>
      <c r="K678" s="88">
        <v>1.4563106796116498E-2</v>
      </c>
      <c r="L678" s="42">
        <v>2.0846106683016563E-2</v>
      </c>
      <c r="M678" s="43">
        <v>1.7640779186455124E-2</v>
      </c>
      <c r="Q678" s="2"/>
      <c r="R678" s="24"/>
      <c r="S678" s="24"/>
      <c r="T678" s="24"/>
    </row>
    <row r="679" spans="1:20" x14ac:dyDescent="0.25">
      <c r="A679" s="2">
        <v>44421</v>
      </c>
      <c r="B679" s="20">
        <v>2430</v>
      </c>
      <c r="C679" s="20">
        <v>436</v>
      </c>
      <c r="D679" s="20">
        <v>16680</v>
      </c>
      <c r="E679" s="17">
        <f t="shared" si="33"/>
        <v>0</v>
      </c>
      <c r="F679" s="17">
        <f t="shared" si="33"/>
        <v>2.2988505747125743E-3</v>
      </c>
      <c r="G679" s="17">
        <f t="shared" si="33"/>
        <v>9.0009000900082015E-4</v>
      </c>
      <c r="H679" s="14">
        <f t="shared" si="34"/>
        <v>8.32018603578595E-4</v>
      </c>
      <c r="I679" s="39">
        <f t="shared" si="35"/>
        <v>1.3227513227513227E-3</v>
      </c>
      <c r="J679" s="42">
        <v>1.6104294478527681E-2</v>
      </c>
      <c r="K679" s="88">
        <v>1.4705882352941124E-2</v>
      </c>
      <c r="L679" s="42">
        <v>2.0902756740381667E-2</v>
      </c>
      <c r="M679" s="43">
        <v>1.8077849897611405E-2</v>
      </c>
      <c r="Q679" s="2"/>
      <c r="R679" s="24"/>
      <c r="S679" s="24"/>
      <c r="T679" s="24"/>
    </row>
    <row r="680" spans="1:20" x14ac:dyDescent="0.25">
      <c r="A680" s="2">
        <v>44420</v>
      </c>
      <c r="B680" s="20">
        <v>2430</v>
      </c>
      <c r="C680" s="20">
        <v>435</v>
      </c>
      <c r="D680" s="20">
        <v>16665</v>
      </c>
      <c r="E680" s="17">
        <f t="shared" si="33"/>
        <v>-6.5412919051512919E-3</v>
      </c>
      <c r="F680" s="17">
        <f t="shared" si="33"/>
        <v>1.0452961672473782E-2</v>
      </c>
      <c r="G680" s="17">
        <f t="shared" si="33"/>
        <v>9.009009009008917E-4</v>
      </c>
      <c r="H680" s="14">
        <f t="shared" si="34"/>
        <v>2.49620477644238E-4</v>
      </c>
      <c r="I680" s="39">
        <f t="shared" si="35"/>
        <v>1.3227513227513227E-3</v>
      </c>
      <c r="J680" s="42">
        <v>1.6239316239316182E-2</v>
      </c>
      <c r="K680" s="88">
        <v>1.4742014742014753E-2</v>
      </c>
      <c r="L680" s="42">
        <v>2.092609082813901E-2</v>
      </c>
      <c r="M680" s="43">
        <v>1.8135125931524894E-2</v>
      </c>
      <c r="Q680" s="2"/>
      <c r="R680" s="24"/>
      <c r="S680" s="24"/>
      <c r="T680" s="24"/>
    </row>
    <row r="681" spans="1:20" x14ac:dyDescent="0.25">
      <c r="A681" s="2">
        <v>44419</v>
      </c>
      <c r="B681" s="20">
        <v>2446</v>
      </c>
      <c r="C681" s="29">
        <v>430.5</v>
      </c>
      <c r="D681" s="20">
        <v>16650</v>
      </c>
      <c r="E681" s="17">
        <f t="shared" si="33"/>
        <v>1.8318068276436339E-2</v>
      </c>
      <c r="F681" s="17">
        <f t="shared" si="33"/>
        <v>1.1750881316098694E-2</v>
      </c>
      <c r="G681" s="17">
        <f t="shared" si="33"/>
        <v>1.2158054711246091E-2</v>
      </c>
      <c r="H681" s="14">
        <f t="shared" si="34"/>
        <v>1.3026584138822621E-2</v>
      </c>
      <c r="I681" s="39">
        <f t="shared" si="35"/>
        <v>1.3227513227513227E-3</v>
      </c>
      <c r="J681" s="42">
        <v>1.6620498614958512E-2</v>
      </c>
      <c r="K681" s="88">
        <v>1.4749262536873253E-2</v>
      </c>
      <c r="L681" s="42">
        <v>2.0996552804763313E-2</v>
      </c>
      <c r="M681" s="43">
        <v>1.8337825160224641E-2</v>
      </c>
      <c r="Q681" s="2"/>
      <c r="R681" s="24"/>
      <c r="S681" s="24"/>
      <c r="T681" s="24"/>
    </row>
    <row r="682" spans="1:20" x14ac:dyDescent="0.25">
      <c r="A682" s="2">
        <v>44418</v>
      </c>
      <c r="B682" s="20">
        <v>2402</v>
      </c>
      <c r="C682" s="29">
        <v>425.5</v>
      </c>
      <c r="D682" s="20">
        <v>16450</v>
      </c>
      <c r="E682" s="17">
        <f t="shared" si="33"/>
        <v>-3.8430744595676525E-2</v>
      </c>
      <c r="F682" s="17">
        <f t="shared" si="33"/>
        <v>4.7225501770955525E-3</v>
      </c>
      <c r="G682" s="17">
        <f t="shared" si="33"/>
        <v>3.3546813052760527E-3</v>
      </c>
      <c r="H682" s="14">
        <f t="shared" si="34"/>
        <v>-2.5980899874794255E-3</v>
      </c>
      <c r="I682" s="39">
        <f t="shared" si="35"/>
        <v>1.3227513227513227E-3</v>
      </c>
      <c r="J682" s="42">
        <v>1.6869095816464341E-2</v>
      </c>
      <c r="K682" s="88">
        <v>1.4814814814814836E-2</v>
      </c>
      <c r="L682" s="42">
        <v>2.1034180543382908E-2</v>
      </c>
      <c r="M682" s="43">
        <v>1.8343484597980849E-2</v>
      </c>
      <c r="Q682" s="2"/>
      <c r="R682" s="24"/>
      <c r="S682" s="24"/>
      <c r="T682" s="24"/>
    </row>
    <row r="683" spans="1:20" x14ac:dyDescent="0.25">
      <c r="A683" s="2">
        <v>44417</v>
      </c>
      <c r="B683" s="20">
        <v>2498</v>
      </c>
      <c r="C683" s="29">
        <v>423.5</v>
      </c>
      <c r="D683" s="20">
        <v>16395</v>
      </c>
      <c r="E683" s="17">
        <f t="shared" si="33"/>
        <v>-1.1867088607594889E-2</v>
      </c>
      <c r="F683" s="17">
        <f t="shared" si="33"/>
        <v>2.3668639053253671E-3</v>
      </c>
      <c r="G683" s="17">
        <f t="shared" si="33"/>
        <v>-1.0561255280627679E-2</v>
      </c>
      <c r="H683" s="14">
        <f t="shared" si="34"/>
        <v>-1.0181205285773353E-2</v>
      </c>
      <c r="I683" s="39">
        <f t="shared" si="35"/>
        <v>1.3227513227513227E-3</v>
      </c>
      <c r="J683" s="42">
        <v>1.7205781142463961E-2</v>
      </c>
      <c r="K683" s="88">
        <v>1.4851485148514865E-2</v>
      </c>
      <c r="L683" s="42">
        <v>2.1077988557663296E-2</v>
      </c>
      <c r="M683" s="43">
        <v>1.8350903051529779E-2</v>
      </c>
      <c r="Q683" s="2"/>
      <c r="R683" s="24"/>
      <c r="S683" s="24"/>
      <c r="T683" s="24"/>
    </row>
    <row r="684" spans="1:20" x14ac:dyDescent="0.25">
      <c r="A684" s="2">
        <v>44414</v>
      </c>
      <c r="B684" s="20">
        <v>2528</v>
      </c>
      <c r="C684" s="29">
        <v>422.5</v>
      </c>
      <c r="D684" s="20">
        <v>16570</v>
      </c>
      <c r="E684" s="17">
        <f t="shared" si="33"/>
        <v>1.5261044176706928E-2</v>
      </c>
      <c r="F684" s="17">
        <f t="shared" si="33"/>
        <v>0</v>
      </c>
      <c r="G684" s="17">
        <f t="shared" si="33"/>
        <v>4.2424242424241587E-3</v>
      </c>
      <c r="H684" s="14">
        <f t="shared" si="34"/>
        <v>5.6416102647245774E-3</v>
      </c>
      <c r="I684" s="39">
        <f t="shared" si="35"/>
        <v>1.3227513227513227E-3</v>
      </c>
      <c r="J684" s="42">
        <v>1.7416545718432541E-2</v>
      </c>
      <c r="K684" s="88">
        <v>1.4943960149439661E-2</v>
      </c>
      <c r="L684" s="42">
        <v>2.1159153633854677E-2</v>
      </c>
      <c r="M684" s="43">
        <v>1.8398021207393481E-2</v>
      </c>
      <c r="Q684" s="2"/>
      <c r="R684" s="24"/>
      <c r="S684" s="24"/>
      <c r="T684" s="24"/>
    </row>
    <row r="685" spans="1:20" x14ac:dyDescent="0.25">
      <c r="A685" s="2">
        <v>44413</v>
      </c>
      <c r="B685" s="20">
        <v>2490</v>
      </c>
      <c r="C685" s="29">
        <v>422.5</v>
      </c>
      <c r="D685" s="20">
        <v>16500</v>
      </c>
      <c r="E685" s="17">
        <f t="shared" si="33"/>
        <v>0</v>
      </c>
      <c r="F685" s="17">
        <f t="shared" si="33"/>
        <v>-1.1820330969266601E-3</v>
      </c>
      <c r="G685" s="17">
        <f t="shared" si="33"/>
        <v>0</v>
      </c>
      <c r="H685" s="14">
        <f t="shared" si="34"/>
        <v>-5.1929028225395752E-5</v>
      </c>
      <c r="I685" s="39">
        <f t="shared" si="35"/>
        <v>1.3227513227513227E-3</v>
      </c>
      <c r="J685" s="42">
        <v>1.7651573292402079E-2</v>
      </c>
      <c r="K685" s="88">
        <v>1.5037593984962516E-2</v>
      </c>
      <c r="L685" s="42">
        <v>2.1552996752288056E-2</v>
      </c>
      <c r="M685" s="43">
        <v>1.8477068659536158E-2</v>
      </c>
      <c r="Q685" s="2"/>
      <c r="R685" s="24"/>
      <c r="S685" s="24"/>
      <c r="T685" s="24"/>
    </row>
    <row r="686" spans="1:20" x14ac:dyDescent="0.25">
      <c r="A686" s="2">
        <v>44412</v>
      </c>
      <c r="B686" s="20">
        <v>2490</v>
      </c>
      <c r="C686" s="20">
        <v>423</v>
      </c>
      <c r="D686" s="20">
        <v>16500</v>
      </c>
      <c r="E686" s="17">
        <f t="shared" si="33"/>
        <v>2.8075970272501971E-2</v>
      </c>
      <c r="F686" s="17">
        <f t="shared" si="33"/>
        <v>-3.5335689045936647E-3</v>
      </c>
      <c r="G686" s="17">
        <f t="shared" si="33"/>
        <v>-3.3222591362126463E-3</v>
      </c>
      <c r="H686" s="14">
        <f t="shared" si="34"/>
        <v>1.1866189887156835E-3</v>
      </c>
      <c r="I686" s="39">
        <f t="shared" si="35"/>
        <v>1.3227513227513227E-3</v>
      </c>
      <c r="J686" s="42">
        <v>1.7667844522968101E-2</v>
      </c>
      <c r="K686" s="88">
        <v>1.5254237288135686E-2</v>
      </c>
      <c r="L686" s="42">
        <v>2.2195915951464862E-2</v>
      </c>
      <c r="M686" s="43">
        <v>1.8483838090984223E-2</v>
      </c>
      <c r="Q686" s="2"/>
      <c r="R686" s="24"/>
      <c r="S686" s="24"/>
      <c r="T686" s="24"/>
    </row>
    <row r="687" spans="1:20" x14ac:dyDescent="0.25">
      <c r="A687" s="2">
        <v>44411</v>
      </c>
      <c r="B687" s="20">
        <v>2422</v>
      </c>
      <c r="C687" s="29">
        <v>424.5</v>
      </c>
      <c r="D687" s="20">
        <v>16555</v>
      </c>
      <c r="E687" s="17">
        <f t="shared" si="33"/>
        <v>7.4875207986688785E-3</v>
      </c>
      <c r="F687" s="17">
        <f t="shared" si="33"/>
        <v>-2.3501762632197609E-3</v>
      </c>
      <c r="G687" s="17">
        <f t="shared" si="33"/>
        <v>-5.7057057057057214E-3</v>
      </c>
      <c r="H687" s="14">
        <f t="shared" si="34"/>
        <v>-3.6598038526927446E-3</v>
      </c>
      <c r="I687" s="39">
        <f t="shared" si="35"/>
        <v>1.3227513227513227E-3</v>
      </c>
      <c r="J687" s="42">
        <v>1.7786561264822032E-2</v>
      </c>
      <c r="K687" s="88">
        <v>1.5277777777777724E-2</v>
      </c>
      <c r="L687" s="42">
        <v>2.2222222222222143E-2</v>
      </c>
      <c r="M687" s="43">
        <v>1.8505340132735255E-2</v>
      </c>
      <c r="Q687" s="2"/>
      <c r="R687" s="24"/>
      <c r="S687" s="24"/>
      <c r="T687" s="24"/>
    </row>
    <row r="688" spans="1:20" x14ac:dyDescent="0.25">
      <c r="A688" s="2">
        <v>44410</v>
      </c>
      <c r="B688" s="20">
        <v>2404</v>
      </c>
      <c r="C688" s="29">
        <v>425.5</v>
      </c>
      <c r="D688" s="20">
        <v>16650</v>
      </c>
      <c r="E688" s="17">
        <f t="shared" si="33"/>
        <v>-2.4896265560165887E-3</v>
      </c>
      <c r="F688" s="17">
        <f t="shared" si="33"/>
        <v>-5.8411214953271173E-3</v>
      </c>
      <c r="G688" s="17">
        <f t="shared" si="33"/>
        <v>2.0846106683016563E-2</v>
      </c>
      <c r="H688" s="14">
        <f t="shared" si="34"/>
        <v>1.6315705064761786E-2</v>
      </c>
      <c r="I688" s="39">
        <f t="shared" si="35"/>
        <v>1.3227513227513227E-3</v>
      </c>
      <c r="J688" s="42">
        <v>1.8031555221637907E-2</v>
      </c>
      <c r="K688" s="88">
        <v>1.5337423312883347E-2</v>
      </c>
      <c r="L688" s="42">
        <v>2.229054573405076E-2</v>
      </c>
      <c r="M688" s="43">
        <v>1.8643821606653233E-2</v>
      </c>
      <c r="Q688" s="2"/>
      <c r="R688" s="24"/>
      <c r="S688" s="24"/>
      <c r="T688" s="24"/>
    </row>
    <row r="689" spans="1:20" x14ac:dyDescent="0.25">
      <c r="A689" s="2">
        <v>44407</v>
      </c>
      <c r="B689" s="20">
        <v>2410</v>
      </c>
      <c r="C689" s="20">
        <v>428</v>
      </c>
      <c r="D689" s="20">
        <v>16310</v>
      </c>
      <c r="E689" s="17">
        <f t="shared" si="33"/>
        <v>1.0906040268456429E-2</v>
      </c>
      <c r="F689" s="17">
        <f t="shared" si="33"/>
        <v>-2.3310023310023631E-3</v>
      </c>
      <c r="G689" s="17">
        <f t="shared" si="33"/>
        <v>-6.1274509803921351E-4</v>
      </c>
      <c r="H689" s="14">
        <f t="shared" si="34"/>
        <v>9.6930563041291507E-4</v>
      </c>
      <c r="I689" s="39">
        <f t="shared" si="35"/>
        <v>1.3227513227513227E-3</v>
      </c>
      <c r="J689" s="42">
        <v>1.8124507486209529E-2</v>
      </c>
      <c r="K689" s="88">
        <v>1.538461538461533E-2</v>
      </c>
      <c r="L689" s="42">
        <v>2.2576361221779528E-2</v>
      </c>
      <c r="M689" s="43">
        <v>1.8724144315240616E-2</v>
      </c>
      <c r="Q689" s="2"/>
      <c r="R689" s="24"/>
      <c r="S689" s="24"/>
      <c r="T689" s="24"/>
    </row>
    <row r="690" spans="1:20" x14ac:dyDescent="0.25">
      <c r="A690" s="2">
        <v>44406</v>
      </c>
      <c r="B690" s="20">
        <v>2384</v>
      </c>
      <c r="C690" s="20">
        <v>429</v>
      </c>
      <c r="D690" s="20">
        <v>16320</v>
      </c>
      <c r="E690" s="17">
        <f t="shared" si="33"/>
        <v>-8.382229673092878E-4</v>
      </c>
      <c r="F690" s="17">
        <f t="shared" si="33"/>
        <v>1.538461538461533E-2</v>
      </c>
      <c r="G690" s="17">
        <f t="shared" si="33"/>
        <v>2.6415094339622636E-2</v>
      </c>
      <c r="H690" s="14">
        <f t="shared" si="34"/>
        <v>2.2008789490742323E-2</v>
      </c>
      <c r="I690" s="39">
        <f t="shared" si="35"/>
        <v>1.3227513227513227E-3</v>
      </c>
      <c r="J690" s="42">
        <v>1.8318068276436339E-2</v>
      </c>
      <c r="K690" s="88">
        <v>1.538461538461533E-2</v>
      </c>
      <c r="L690" s="42">
        <v>2.262961902033811E-2</v>
      </c>
      <c r="M690" s="43">
        <v>1.8763664395191552E-2</v>
      </c>
      <c r="Q690" s="2"/>
      <c r="R690" s="24"/>
      <c r="S690" s="24"/>
      <c r="T690" s="24"/>
    </row>
    <row r="691" spans="1:20" x14ac:dyDescent="0.25">
      <c r="A691" s="2">
        <v>44405</v>
      </c>
      <c r="B691" s="20">
        <v>2386</v>
      </c>
      <c r="C691" s="29">
        <v>422.5</v>
      </c>
      <c r="D691" s="20">
        <v>15900</v>
      </c>
      <c r="E691" s="17">
        <f t="shared" si="33"/>
        <v>2.0530367835757124E-2</v>
      </c>
      <c r="F691" s="17">
        <f t="shared" si="33"/>
        <v>-9.3786635404454755E-3</v>
      </c>
      <c r="G691" s="17">
        <f t="shared" si="33"/>
        <v>1.4030612244897878E-2</v>
      </c>
      <c r="H691" s="14">
        <f t="shared" si="34"/>
        <v>1.3937502682326209E-2</v>
      </c>
      <c r="I691" s="39">
        <f t="shared" si="35"/>
        <v>1.3227513227513227E-3</v>
      </c>
      <c r="J691" s="42">
        <v>1.8628281117696766E-2</v>
      </c>
      <c r="K691" s="88">
        <v>1.5503875968992276E-2</v>
      </c>
      <c r="L691" s="42">
        <v>2.2841480127912206E-2</v>
      </c>
      <c r="M691" s="43">
        <v>1.9016964658733829E-2</v>
      </c>
      <c r="Q691" s="2"/>
      <c r="R691" s="24"/>
      <c r="S691" s="24"/>
      <c r="T691" s="24"/>
    </row>
    <row r="692" spans="1:20" x14ac:dyDescent="0.25">
      <c r="A692" s="2">
        <v>44404</v>
      </c>
      <c r="B692" s="20">
        <v>2338</v>
      </c>
      <c r="C692" s="29">
        <v>426.5</v>
      </c>
      <c r="D692" s="20">
        <v>15680</v>
      </c>
      <c r="E692" s="17">
        <f t="shared" si="33"/>
        <v>-4.2589437819420262E-3</v>
      </c>
      <c r="F692" s="17">
        <f t="shared" si="33"/>
        <v>3.529411764705781E-3</v>
      </c>
      <c r="G692" s="17">
        <f t="shared" si="33"/>
        <v>3.5199999999999676E-3</v>
      </c>
      <c r="H692" s="14">
        <f t="shared" si="34"/>
        <v>2.4010343272308221E-3</v>
      </c>
      <c r="I692" s="39">
        <f t="shared" si="35"/>
        <v>1.3227513227513227E-3</v>
      </c>
      <c r="J692" s="42">
        <v>1.9305019305019266E-2</v>
      </c>
      <c r="K692" s="88">
        <v>1.5686274509803866E-2</v>
      </c>
      <c r="L692" s="42">
        <v>2.3488255872063935E-2</v>
      </c>
      <c r="M692" s="43">
        <v>1.9274432644139975E-2</v>
      </c>
      <c r="Q692" s="2"/>
      <c r="R692" s="24"/>
      <c r="S692" s="24"/>
      <c r="T692" s="24"/>
    </row>
    <row r="693" spans="1:20" x14ac:dyDescent="0.25">
      <c r="A693" s="2">
        <v>44403</v>
      </c>
      <c r="B693" s="20">
        <v>2348</v>
      </c>
      <c r="C693" s="20">
        <v>425</v>
      </c>
      <c r="D693" s="20">
        <v>15625</v>
      </c>
      <c r="E693" s="17">
        <f t="shared" si="33"/>
        <v>-9.2827004219409037E-3</v>
      </c>
      <c r="F693" s="17">
        <f t="shared" si="33"/>
        <v>-2.3474178403756207E-3</v>
      </c>
      <c r="G693" s="17">
        <f t="shared" si="33"/>
        <v>-1.5437933207309351E-2</v>
      </c>
      <c r="H693" s="14">
        <f t="shared" si="34"/>
        <v>-1.3977111833119348E-2</v>
      </c>
      <c r="I693" s="39">
        <f t="shared" si="35"/>
        <v>1.3227513227513227E-3</v>
      </c>
      <c r="J693" s="42">
        <v>1.9350380096751829E-2</v>
      </c>
      <c r="K693" s="88">
        <v>1.5795868772782606E-2</v>
      </c>
      <c r="L693" s="42">
        <v>2.3946360153256796E-2</v>
      </c>
      <c r="M693" s="43">
        <v>1.9674604876331485E-2</v>
      </c>
      <c r="Q693" s="2"/>
      <c r="R693" s="24"/>
      <c r="S693" s="24"/>
      <c r="T693" s="24"/>
    </row>
    <row r="694" spans="1:20" x14ac:dyDescent="0.25">
      <c r="A694" s="2">
        <v>44400</v>
      </c>
      <c r="B694" s="20">
        <v>2370</v>
      </c>
      <c r="C694" s="20">
        <v>426</v>
      </c>
      <c r="D694" s="20">
        <v>15870</v>
      </c>
      <c r="E694" s="17">
        <f t="shared" si="33"/>
        <v>-7.5376884422110324E-3</v>
      </c>
      <c r="F694" s="17">
        <f t="shared" si="33"/>
        <v>-4.6728971962616273E-3</v>
      </c>
      <c r="G694" s="17">
        <f t="shared" si="33"/>
        <v>-6.2972292191432189E-4</v>
      </c>
      <c r="H694" s="14">
        <f t="shared" si="34"/>
        <v>-1.8013940779749442E-3</v>
      </c>
      <c r="I694" s="39">
        <f t="shared" si="35"/>
        <v>1.3227513227513227E-3</v>
      </c>
      <c r="J694" s="42">
        <v>1.9448946515397081E-2</v>
      </c>
      <c r="K694" s="88">
        <v>1.5822784810126667E-2</v>
      </c>
      <c r="L694" s="42">
        <v>2.3969319271332612E-2</v>
      </c>
      <c r="M694" s="43">
        <v>1.9774077786615378E-2</v>
      </c>
      <c r="Q694" s="2"/>
      <c r="R694" s="24"/>
      <c r="S694" s="24"/>
      <c r="T694" s="24"/>
    </row>
    <row r="695" spans="1:20" x14ac:dyDescent="0.25">
      <c r="A695" s="2">
        <v>44399</v>
      </c>
      <c r="B695" s="20">
        <v>2388</v>
      </c>
      <c r="C695" s="20">
        <v>428</v>
      </c>
      <c r="D695" s="20">
        <v>15880</v>
      </c>
      <c r="E695" s="17">
        <f t="shared" si="33"/>
        <v>1.3582342954159499E-2</v>
      </c>
      <c r="F695" s="17">
        <f t="shared" si="33"/>
        <v>2.3419203747072626E-3</v>
      </c>
      <c r="G695" s="17">
        <f t="shared" si="33"/>
        <v>-5.0125313283208017E-3</v>
      </c>
      <c r="H695" s="14">
        <f t="shared" si="34"/>
        <v>-2.0136594169812877E-3</v>
      </c>
      <c r="I695" s="39">
        <f t="shared" si="35"/>
        <v>1.3227513227513227E-3</v>
      </c>
      <c r="J695" s="42">
        <v>1.9458544839255465E-2</v>
      </c>
      <c r="K695" s="88">
        <v>1.5974440894568787E-2</v>
      </c>
      <c r="L695" s="42">
        <v>2.4198086662915008E-2</v>
      </c>
      <c r="M695" s="43">
        <v>2.0113993054263316E-2</v>
      </c>
      <c r="Q695" s="2"/>
      <c r="R695" s="24"/>
      <c r="S695" s="24"/>
      <c r="T695" s="24"/>
    </row>
    <row r="696" spans="1:20" x14ac:dyDescent="0.25">
      <c r="A696" s="2">
        <v>44398</v>
      </c>
      <c r="B696" s="20">
        <v>2356</v>
      </c>
      <c r="C696" s="20">
        <v>427</v>
      </c>
      <c r="D696" s="20">
        <v>15960</v>
      </c>
      <c r="E696" s="17">
        <f t="shared" si="33"/>
        <v>2.0797227036395194E-2</v>
      </c>
      <c r="F696" s="17">
        <f t="shared" si="33"/>
        <v>-5.8207217694994373E-3</v>
      </c>
      <c r="G696" s="17">
        <f t="shared" si="33"/>
        <v>-3.1230480949406836E-3</v>
      </c>
      <c r="H696" s="14">
        <f t="shared" si="34"/>
        <v>2.0053201506509046E-4</v>
      </c>
      <c r="I696" s="39">
        <f t="shared" si="35"/>
        <v>1.3227513227513227E-3</v>
      </c>
      <c r="J696" s="42">
        <v>1.9541778975741275E-2</v>
      </c>
      <c r="K696" s="88">
        <v>1.6085790884718509E-2</v>
      </c>
      <c r="L696" s="42">
        <v>2.4234110653863716E-2</v>
      </c>
      <c r="M696" s="43">
        <v>2.0276496051683982E-2</v>
      </c>
      <c r="Q696" s="2"/>
      <c r="R696" s="24"/>
      <c r="S696" s="24"/>
      <c r="T696" s="24"/>
    </row>
    <row r="697" spans="1:20" x14ac:dyDescent="0.25">
      <c r="A697" s="2">
        <v>44397</v>
      </c>
      <c r="B697" s="20">
        <v>2308</v>
      </c>
      <c r="C697" s="29">
        <v>429.5</v>
      </c>
      <c r="D697" s="20">
        <v>16010</v>
      </c>
      <c r="E697" s="17">
        <f t="shared" si="33"/>
        <v>2.6064291920069316E-3</v>
      </c>
      <c r="F697" s="17">
        <f t="shared" si="33"/>
        <v>-1.1627906976744429E-3</v>
      </c>
      <c r="G697" s="17">
        <f t="shared" si="33"/>
        <v>0</v>
      </c>
      <c r="H697" s="14">
        <f t="shared" si="34"/>
        <v>3.2397784993591736E-4</v>
      </c>
      <c r="I697" s="39">
        <f t="shared" si="35"/>
        <v>1.3227513227513227E-3</v>
      </c>
      <c r="J697" s="42">
        <v>1.9565217391304346E-2</v>
      </c>
      <c r="K697" s="88">
        <v>1.6238159675236785E-2</v>
      </c>
      <c r="L697" s="42">
        <v>2.4621212121212155E-2</v>
      </c>
      <c r="M697" s="43">
        <v>2.0724400263108279E-2</v>
      </c>
      <c r="Q697" s="2"/>
      <c r="R697" s="24"/>
      <c r="S697" s="24"/>
      <c r="T697" s="24"/>
    </row>
    <row r="698" spans="1:20" x14ac:dyDescent="0.25">
      <c r="A698" s="2">
        <v>44396</v>
      </c>
      <c r="B698" s="20">
        <v>2302</v>
      </c>
      <c r="C698" s="20">
        <v>430</v>
      </c>
      <c r="D698" s="20">
        <v>16010</v>
      </c>
      <c r="E698" s="17">
        <f t="shared" si="33"/>
        <v>-3.842940685045948E-2</v>
      </c>
      <c r="F698" s="17">
        <f t="shared" si="33"/>
        <v>9.3896713615022609E-3</v>
      </c>
      <c r="G698" s="17">
        <f t="shared" si="33"/>
        <v>-2.4922118380061864E-3</v>
      </c>
      <c r="H698" s="14">
        <f t="shared" si="34"/>
        <v>-7.1415296360555578E-3</v>
      </c>
      <c r="I698" s="39">
        <f t="shared" si="35"/>
        <v>1.3227513227513227E-3</v>
      </c>
      <c r="J698" s="42">
        <v>1.9983347210657865E-2</v>
      </c>
      <c r="K698" s="88">
        <v>1.637554585152845E-2</v>
      </c>
      <c r="L698" s="42">
        <v>2.490234375E-2</v>
      </c>
      <c r="M698" s="43">
        <v>2.1416300550778415E-2</v>
      </c>
      <c r="Q698" s="2"/>
      <c r="R698" s="24"/>
      <c r="S698" s="24"/>
      <c r="T698" s="24"/>
    </row>
    <row r="699" spans="1:20" x14ac:dyDescent="0.25">
      <c r="A699" s="2">
        <v>44393</v>
      </c>
      <c r="B699" s="20">
        <v>2394</v>
      </c>
      <c r="C699" s="20">
        <v>426</v>
      </c>
      <c r="D699" s="20">
        <v>16050</v>
      </c>
      <c r="E699" s="17">
        <f t="shared" si="33"/>
        <v>1.6736401673640433E-3</v>
      </c>
      <c r="F699" s="17">
        <f t="shared" si="33"/>
        <v>-2.3419203747072626E-3</v>
      </c>
      <c r="G699" s="17">
        <f t="shared" si="33"/>
        <v>1.5822784810126667E-2</v>
      </c>
      <c r="H699" s="14">
        <f t="shared" si="34"/>
        <v>1.298873158662831E-2</v>
      </c>
      <c r="I699" s="39">
        <f t="shared" si="35"/>
        <v>1.3227513227513227E-3</v>
      </c>
      <c r="J699" s="42">
        <v>2.003338898163598E-2</v>
      </c>
      <c r="K699" s="88">
        <v>1.6431924882629012E-2</v>
      </c>
      <c r="L699" s="42">
        <v>2.5139043381535053E-2</v>
      </c>
      <c r="M699" s="43">
        <v>2.1663461015735786E-2</v>
      </c>
      <c r="Q699" s="2"/>
      <c r="R699" s="24"/>
      <c r="S699" s="24"/>
      <c r="T699" s="24"/>
    </row>
    <row r="700" spans="1:20" x14ac:dyDescent="0.25">
      <c r="A700" s="2">
        <v>44392</v>
      </c>
      <c r="B700" s="20">
        <v>2390</v>
      </c>
      <c r="C700" s="20">
        <v>427</v>
      </c>
      <c r="D700" s="20">
        <v>15800</v>
      </c>
      <c r="E700" s="17">
        <f t="shared" si="33"/>
        <v>-4.9958368026644662E-3</v>
      </c>
      <c r="F700" s="17">
        <f t="shared" si="33"/>
        <v>7.0754716981131782E-3</v>
      </c>
      <c r="G700" s="17">
        <f t="shared" si="33"/>
        <v>1.4771997430957029E-2</v>
      </c>
      <c r="H700" s="14">
        <f t="shared" si="34"/>
        <v>1.1589310238351181E-2</v>
      </c>
      <c r="I700" s="39">
        <f t="shared" si="35"/>
        <v>1.3227513227513227E-3</v>
      </c>
      <c r="J700" s="42">
        <v>2.0064205457463791E-2</v>
      </c>
      <c r="K700" s="88">
        <v>1.6587677725118377E-2</v>
      </c>
      <c r="L700" s="42">
        <v>2.5340513145391208E-2</v>
      </c>
      <c r="M700" s="43">
        <v>2.1769265582347444E-2</v>
      </c>
      <c r="Q700" s="2"/>
      <c r="R700" s="24"/>
      <c r="S700" s="24"/>
      <c r="T700" s="24"/>
    </row>
    <row r="701" spans="1:20" x14ac:dyDescent="0.25">
      <c r="A701" s="2">
        <v>44391</v>
      </c>
      <c r="B701" s="20">
        <v>2402</v>
      </c>
      <c r="C701" s="20">
        <v>424</v>
      </c>
      <c r="D701" s="20">
        <v>15570</v>
      </c>
      <c r="E701" s="17">
        <f t="shared" si="33"/>
        <v>-5.7947019867549132E-3</v>
      </c>
      <c r="F701" s="17">
        <f t="shared" si="33"/>
        <v>-4.6948356807511304E-3</v>
      </c>
      <c r="G701" s="17">
        <f t="shared" si="33"/>
        <v>-8.9115213239974178E-3</v>
      </c>
      <c r="H701" s="14">
        <f t="shared" si="34"/>
        <v>-8.2777681167002602E-3</v>
      </c>
      <c r="I701" s="39">
        <f t="shared" si="35"/>
        <v>1.3227513227513227E-3</v>
      </c>
      <c r="J701" s="42">
        <v>2.0134228187919545E-2</v>
      </c>
      <c r="K701" s="88">
        <v>1.6666666666666607E-2</v>
      </c>
      <c r="L701" s="42">
        <v>2.6204819277108493E-2</v>
      </c>
      <c r="M701" s="43">
        <v>2.2008789490742323E-2</v>
      </c>
      <c r="Q701" s="2"/>
      <c r="R701" s="24"/>
      <c r="S701" s="24"/>
      <c r="T701" s="24"/>
    </row>
    <row r="702" spans="1:20" x14ac:dyDescent="0.25">
      <c r="A702" s="2">
        <v>44390</v>
      </c>
      <c r="B702" s="20">
        <v>2416</v>
      </c>
      <c r="C702" s="20">
        <v>426</v>
      </c>
      <c r="D702" s="20">
        <v>15710</v>
      </c>
      <c r="E702" s="17">
        <f t="shared" si="33"/>
        <v>2.1996615905245376E-2</v>
      </c>
      <c r="F702" s="17">
        <f t="shared" si="33"/>
        <v>2.3529411764706687E-3</v>
      </c>
      <c r="G702" s="17">
        <f t="shared" si="33"/>
        <v>-1.8431740081224612E-2</v>
      </c>
      <c r="H702" s="14">
        <f t="shared" si="34"/>
        <v>-1.1701044355359343E-2</v>
      </c>
      <c r="I702" s="39">
        <f t="shared" si="35"/>
        <v>1.3227513227513227E-3</v>
      </c>
      <c r="J702" s="42">
        <v>2.0139426800929616E-2</v>
      </c>
      <c r="K702" s="88">
        <v>1.6666666666666607E-2</v>
      </c>
      <c r="L702" s="42">
        <v>2.6292335115864596E-2</v>
      </c>
      <c r="M702" s="43">
        <v>2.2302226702377879E-2</v>
      </c>
      <c r="Q702" s="2"/>
      <c r="R702" s="24"/>
      <c r="S702" s="24"/>
      <c r="T702" s="24"/>
    </row>
    <row r="703" spans="1:20" x14ac:dyDescent="0.25">
      <c r="A703" s="2">
        <v>44389</v>
      </c>
      <c r="B703" s="20">
        <v>2364</v>
      </c>
      <c r="C703" s="20">
        <v>425</v>
      </c>
      <c r="D703" s="20">
        <v>16005</v>
      </c>
      <c r="E703" s="17">
        <f t="shared" si="33"/>
        <v>-5.887300252312877E-3</v>
      </c>
      <c r="F703" s="17">
        <f t="shared" si="33"/>
        <v>8.3036773428233346E-3</v>
      </c>
      <c r="G703" s="17">
        <f t="shared" si="33"/>
        <v>-1.1121408711770142E-2</v>
      </c>
      <c r="H703" s="14">
        <f t="shared" si="34"/>
        <v>-9.5148457494650916E-3</v>
      </c>
      <c r="I703" s="39">
        <f t="shared" si="35"/>
        <v>1.3227513227513227E-3</v>
      </c>
      <c r="J703" s="42">
        <v>2.0179372197309364E-2</v>
      </c>
      <c r="K703" s="88">
        <v>1.6691957511380862E-2</v>
      </c>
      <c r="L703" s="42">
        <v>2.637362637362628E-2</v>
      </c>
      <c r="M703" s="43">
        <v>2.2417194023089206E-2</v>
      </c>
      <c r="Q703" s="2"/>
      <c r="R703" s="24"/>
      <c r="S703" s="24"/>
      <c r="T703" s="24"/>
    </row>
    <row r="704" spans="1:20" x14ac:dyDescent="0.25">
      <c r="A704" s="2">
        <v>44386</v>
      </c>
      <c r="B704" s="20">
        <v>2378</v>
      </c>
      <c r="C704" s="29">
        <v>421.5</v>
      </c>
      <c r="D704" s="20">
        <v>16185</v>
      </c>
      <c r="E704" s="17">
        <f t="shared" si="33"/>
        <v>4.222972972973027E-3</v>
      </c>
      <c r="F704" s="17">
        <f t="shared" si="33"/>
        <v>-1.0563380281690127E-2</v>
      </c>
      <c r="G704" s="17">
        <f t="shared" si="33"/>
        <v>2.5340513145391208E-2</v>
      </c>
      <c r="H704" s="14">
        <f t="shared" si="34"/>
        <v>2.0724400263108279E-2</v>
      </c>
      <c r="I704" s="39">
        <f t="shared" si="35"/>
        <v>1.3227513227513227E-3</v>
      </c>
      <c r="J704" s="42">
        <v>2.0363636363636362E-2</v>
      </c>
      <c r="K704" s="88">
        <v>1.6826923076923128E-2</v>
      </c>
      <c r="L704" s="42">
        <v>2.6415094339622636E-2</v>
      </c>
      <c r="M704" s="43">
        <v>2.2429775013341986E-2</v>
      </c>
      <c r="Q704" s="2"/>
      <c r="R704" s="24"/>
      <c r="S704" s="24"/>
      <c r="T704" s="24"/>
    </row>
    <row r="705" spans="1:20" x14ac:dyDescent="0.25">
      <c r="A705" s="2">
        <v>44385</v>
      </c>
      <c r="B705" s="20">
        <v>2368</v>
      </c>
      <c r="C705" s="20">
        <v>426</v>
      </c>
      <c r="D705" s="20">
        <v>15785</v>
      </c>
      <c r="E705" s="17">
        <f t="shared" si="33"/>
        <v>-1.4154870940882636E-2</v>
      </c>
      <c r="F705" s="17">
        <f t="shared" si="33"/>
        <v>2.3529411764706687E-3</v>
      </c>
      <c r="G705" s="17">
        <f t="shared" si="33"/>
        <v>2.2222222222221255E-3</v>
      </c>
      <c r="H705" s="14">
        <f t="shared" si="34"/>
        <v>-1.2867588025842081E-4</v>
      </c>
      <c r="I705" s="39">
        <f t="shared" si="35"/>
        <v>1.3227513227513227E-3</v>
      </c>
      <c r="J705" s="42">
        <v>2.0427112349117982E-2</v>
      </c>
      <c r="K705" s="88">
        <v>1.6835016835016869E-2</v>
      </c>
      <c r="L705" s="42">
        <v>2.6938569989929606E-2</v>
      </c>
      <c r="M705" s="43">
        <v>2.2440691522342252E-2</v>
      </c>
      <c r="Q705" s="2"/>
      <c r="R705" s="24"/>
      <c r="S705" s="24"/>
      <c r="T705" s="24"/>
    </row>
    <row r="706" spans="1:20" x14ac:dyDescent="0.25">
      <c r="A706" s="2">
        <v>44384</v>
      </c>
      <c r="B706" s="20">
        <v>2402</v>
      </c>
      <c r="C706" s="20">
        <v>425</v>
      </c>
      <c r="D706" s="20">
        <v>15750</v>
      </c>
      <c r="E706" s="17">
        <f t="shared" si="33"/>
        <v>1.6680567139282232E-3</v>
      </c>
      <c r="F706" s="17">
        <f t="shared" si="33"/>
        <v>-3.5169988276670949E-3</v>
      </c>
      <c r="G706" s="17">
        <f t="shared" si="33"/>
        <v>-4.1100221308884022E-3</v>
      </c>
      <c r="H706" s="14">
        <f t="shared" si="34"/>
        <v>-3.2525119771305401E-3</v>
      </c>
      <c r="I706" s="39">
        <f t="shared" si="35"/>
        <v>1.3227513227513227E-3</v>
      </c>
      <c r="J706" s="42">
        <v>2.0530367835757124E-2</v>
      </c>
      <c r="K706" s="88">
        <v>1.7107309486780631E-2</v>
      </c>
      <c r="L706" s="42">
        <v>2.7068049582595455E-2</v>
      </c>
      <c r="M706" s="43">
        <v>2.2480819266485395E-2</v>
      </c>
      <c r="Q706" s="2"/>
      <c r="R706" s="24"/>
      <c r="S706" s="24"/>
      <c r="T706" s="24"/>
    </row>
    <row r="707" spans="1:20" x14ac:dyDescent="0.25">
      <c r="A707" s="2">
        <v>44383</v>
      </c>
      <c r="B707" s="20">
        <v>2398</v>
      </c>
      <c r="C707" s="29">
        <v>426.5</v>
      </c>
      <c r="D707" s="20">
        <v>15815</v>
      </c>
      <c r="E707" s="17">
        <f t="shared" si="33"/>
        <v>8.410428931875602E-3</v>
      </c>
      <c r="F707" s="17">
        <f t="shared" si="33"/>
        <v>3.529411764705781E-3</v>
      </c>
      <c r="G707" s="17">
        <f t="shared" si="33"/>
        <v>-9.0852130325814739E-3</v>
      </c>
      <c r="H707" s="14">
        <f t="shared" si="34"/>
        <v>-6.0134294143530838E-3</v>
      </c>
      <c r="I707" s="39">
        <f t="shared" si="35"/>
        <v>1.3227513227513227E-3</v>
      </c>
      <c r="J707" s="42">
        <v>2.0721412125863425E-2</v>
      </c>
      <c r="K707" s="88">
        <v>1.7156862745097978E-2</v>
      </c>
      <c r="L707" s="42">
        <v>2.7212552096101961E-2</v>
      </c>
      <c r="M707" s="43">
        <v>2.2570279617419371E-2</v>
      </c>
      <c r="Q707" s="2"/>
      <c r="R707" s="24"/>
      <c r="S707" s="24"/>
      <c r="T707" s="24"/>
    </row>
    <row r="708" spans="1:20" x14ac:dyDescent="0.25">
      <c r="A708" s="2">
        <v>44382</v>
      </c>
      <c r="B708" s="20">
        <v>2378</v>
      </c>
      <c r="C708" s="20">
        <v>425</v>
      </c>
      <c r="D708" s="20">
        <v>15960</v>
      </c>
      <c r="E708" s="17">
        <f t="shared" si="33"/>
        <v>-8.4033613445377853E-4</v>
      </c>
      <c r="F708" s="17">
        <f t="shared" si="33"/>
        <v>2.3584905660376521E-3</v>
      </c>
      <c r="G708" s="17">
        <f t="shared" si="33"/>
        <v>-8.0795525170913596E-3</v>
      </c>
      <c r="H708" s="14">
        <f t="shared" si="34"/>
        <v>-6.5792757172528664E-3</v>
      </c>
      <c r="I708" s="39">
        <f t="shared" si="35"/>
        <v>1.3227513227513227E-3</v>
      </c>
      <c r="J708" s="42">
        <v>2.0797227036395194E-2</v>
      </c>
      <c r="K708" s="88">
        <v>1.795332136445249E-2</v>
      </c>
      <c r="L708" s="42">
        <v>2.7397260273972712E-2</v>
      </c>
      <c r="M708" s="43">
        <v>2.27156919936084E-2</v>
      </c>
      <c r="Q708" s="2"/>
      <c r="R708" s="24"/>
      <c r="S708" s="24"/>
      <c r="T708" s="24"/>
    </row>
    <row r="709" spans="1:20" x14ac:dyDescent="0.25">
      <c r="A709" s="2">
        <v>44379</v>
      </c>
      <c r="B709" s="20">
        <v>2380</v>
      </c>
      <c r="C709" s="20">
        <v>424</v>
      </c>
      <c r="D709" s="20">
        <v>16090</v>
      </c>
      <c r="E709" s="17">
        <f t="shared" si="33"/>
        <v>2.5273799494522908E-3</v>
      </c>
      <c r="F709" s="17">
        <f t="shared" si="33"/>
        <v>-1.3953488372092981E-2</v>
      </c>
      <c r="G709" s="17">
        <f t="shared" si="33"/>
        <v>-1.2277470841006721E-2</v>
      </c>
      <c r="H709" s="14">
        <f t="shared" si="34"/>
        <v>-1.0220704212926257E-2</v>
      </c>
      <c r="I709" s="39">
        <f t="shared" si="35"/>
        <v>1.3227513227513227E-3</v>
      </c>
      <c r="J709" s="42">
        <v>2.0923520923521011E-2</v>
      </c>
      <c r="K709" s="88">
        <v>1.8181818181818077E-2</v>
      </c>
      <c r="L709" s="42">
        <v>2.7407407407407325E-2</v>
      </c>
      <c r="M709" s="43">
        <v>2.2848516362535154E-2</v>
      </c>
      <c r="Q709" s="2"/>
      <c r="R709" s="24"/>
      <c r="S709" s="24"/>
      <c r="T709" s="24"/>
    </row>
    <row r="710" spans="1:20" x14ac:dyDescent="0.25">
      <c r="A710" s="2">
        <v>44378</v>
      </c>
      <c r="B710" s="20">
        <v>2374</v>
      </c>
      <c r="C710" s="20">
        <v>430</v>
      </c>
      <c r="D710" s="20">
        <v>16290</v>
      </c>
      <c r="E710" s="17">
        <f t="shared" ref="E710:G746" si="36">+B710/B711-1</f>
        <v>6.785411365564098E-3</v>
      </c>
      <c r="F710" s="17">
        <f t="shared" si="36"/>
        <v>7.0257611241217877E-3</v>
      </c>
      <c r="G710" s="17">
        <f t="shared" si="36"/>
        <v>2.0996552804763313E-2</v>
      </c>
      <c r="H710" s="14">
        <f t="shared" ref="H710:H760" si="37">+SUMPRODUCT(E710:G710,$K$9:$M$9)</f>
        <v>1.8337825160224641E-2</v>
      </c>
      <c r="I710" s="39">
        <f t="shared" si="35"/>
        <v>1.3227513227513227E-3</v>
      </c>
      <c r="J710" s="42">
        <v>2.0928116469517644E-2</v>
      </c>
      <c r="K710" s="88">
        <v>1.8276762402088753E-2</v>
      </c>
      <c r="L710" s="42">
        <v>2.7538726333907082E-2</v>
      </c>
      <c r="M710" s="43">
        <v>2.2974668246344927E-2</v>
      </c>
      <c r="Q710" s="2"/>
      <c r="R710" s="24"/>
      <c r="S710" s="24"/>
      <c r="T710" s="24"/>
    </row>
    <row r="711" spans="1:20" x14ac:dyDescent="0.25">
      <c r="A711" s="2">
        <v>44377</v>
      </c>
      <c r="B711" s="20">
        <v>2358</v>
      </c>
      <c r="C711" s="20">
        <v>427</v>
      </c>
      <c r="D711" s="20">
        <v>15955</v>
      </c>
      <c r="E711" s="17">
        <f t="shared" si="36"/>
        <v>-7.575757575757569E-3</v>
      </c>
      <c r="F711" s="17">
        <f t="shared" si="36"/>
        <v>0</v>
      </c>
      <c r="G711" s="17">
        <f t="shared" si="36"/>
        <v>-1.9662058371735736E-2</v>
      </c>
      <c r="H711" s="14">
        <f t="shared" si="37"/>
        <v>-1.7059063840712037E-2</v>
      </c>
      <c r="I711" s="39">
        <f t="shared" si="35"/>
        <v>1.3227513227513227E-3</v>
      </c>
      <c r="J711" s="42">
        <v>2.0938023450586263E-2</v>
      </c>
      <c r="K711" s="88">
        <v>1.8604651162790642E-2</v>
      </c>
      <c r="L711" s="42">
        <v>2.7633851468048309E-2</v>
      </c>
      <c r="M711" s="43">
        <v>2.2987376260280391E-2</v>
      </c>
      <c r="Q711" s="2"/>
      <c r="R711" s="24"/>
      <c r="S711" s="24"/>
      <c r="T711" s="24"/>
    </row>
    <row r="712" spans="1:20" x14ac:dyDescent="0.25">
      <c r="A712" s="2">
        <v>44376</v>
      </c>
      <c r="B712" s="20">
        <v>2376</v>
      </c>
      <c r="C712" s="20">
        <v>427</v>
      </c>
      <c r="D712" s="20">
        <v>16275</v>
      </c>
      <c r="E712" s="17">
        <f t="shared" si="36"/>
        <v>-1.0000000000000009E-2</v>
      </c>
      <c r="F712" s="17">
        <f t="shared" si="36"/>
        <v>4.7058823529411153E-3</v>
      </c>
      <c r="G712" s="17">
        <f t="shared" si="36"/>
        <v>-1.3636363636363669E-2</v>
      </c>
      <c r="H712" s="14">
        <f t="shared" si="37"/>
        <v>-1.2307285207624103E-2</v>
      </c>
      <c r="I712" s="39">
        <f t="shared" si="35"/>
        <v>1.3227513227513227E-3</v>
      </c>
      <c r="J712" s="42">
        <v>2.1014492753623104E-2</v>
      </c>
      <c r="K712" s="88">
        <v>1.8641810918774926E-2</v>
      </c>
      <c r="L712" s="42">
        <v>2.7767493520918229E-2</v>
      </c>
      <c r="M712" s="43">
        <v>2.3363165807755958E-2</v>
      </c>
      <c r="Q712" s="2"/>
      <c r="R712" s="24"/>
      <c r="S712" s="24"/>
      <c r="T712" s="24"/>
    </row>
    <row r="713" spans="1:20" x14ac:dyDescent="0.25">
      <c r="A713" s="2">
        <v>44375</v>
      </c>
      <c r="B713" s="20">
        <v>2400</v>
      </c>
      <c r="C713" s="20">
        <v>425</v>
      </c>
      <c r="D713" s="20">
        <v>16500</v>
      </c>
      <c r="E713" s="17">
        <f t="shared" si="36"/>
        <v>8.3402835696411159E-4</v>
      </c>
      <c r="F713" s="17">
        <f t="shared" si="36"/>
        <v>2.3584905660376521E-3</v>
      </c>
      <c r="G713" s="17">
        <f t="shared" si="36"/>
        <v>-1.4925373134328401E-2</v>
      </c>
      <c r="H713" s="14">
        <f t="shared" si="37"/>
        <v>-1.1898303289403405E-2</v>
      </c>
      <c r="I713" s="39">
        <f t="shared" si="35"/>
        <v>1.3227513227513227E-3</v>
      </c>
      <c r="J713" s="42">
        <v>2.1116138763197512E-2</v>
      </c>
      <c r="K713" s="88">
        <v>1.9345238095238138E-2</v>
      </c>
      <c r="L713" s="42">
        <v>2.7790228597041722E-2</v>
      </c>
      <c r="M713" s="43">
        <v>2.3637217224719894E-2</v>
      </c>
      <c r="Q713" s="2"/>
      <c r="R713" s="24"/>
      <c r="S713" s="24"/>
      <c r="T713" s="24"/>
    </row>
    <row r="714" spans="1:20" x14ac:dyDescent="0.25">
      <c r="A714" s="2">
        <v>44372</v>
      </c>
      <c r="B714" s="20">
        <v>2398</v>
      </c>
      <c r="C714" s="20">
        <v>424</v>
      </c>
      <c r="D714" s="20">
        <v>16750</v>
      </c>
      <c r="E714" s="17">
        <f t="shared" si="36"/>
        <v>-8.3333333333335258E-4</v>
      </c>
      <c r="F714" s="17">
        <f t="shared" si="36"/>
        <v>0</v>
      </c>
      <c r="G714" s="17">
        <f t="shared" si="36"/>
        <v>4.7990401919615344E-3</v>
      </c>
      <c r="H714" s="14">
        <f t="shared" si="37"/>
        <v>3.7777182734701304E-3</v>
      </c>
      <c r="I714" s="39">
        <f t="shared" si="35"/>
        <v>1.3227513227513227E-3</v>
      </c>
      <c r="J714" s="42">
        <v>2.1241830065359402E-2</v>
      </c>
      <c r="K714" s="88">
        <v>1.9464720194647178E-2</v>
      </c>
      <c r="L714" s="42">
        <v>2.8037383177569986E-2</v>
      </c>
      <c r="M714" s="43">
        <v>2.385095513930445E-2</v>
      </c>
      <c r="Q714" s="2"/>
      <c r="R714" s="24"/>
      <c r="S714" s="24"/>
      <c r="T714" s="24"/>
    </row>
    <row r="715" spans="1:20" x14ac:dyDescent="0.25">
      <c r="A715" s="2">
        <v>44371</v>
      </c>
      <c r="B715" s="20">
        <v>2400</v>
      </c>
      <c r="C715" s="20">
        <v>424</v>
      </c>
      <c r="D715" s="20">
        <v>16670</v>
      </c>
      <c r="E715" s="17">
        <f t="shared" si="36"/>
        <v>-1.6638935108153063E-3</v>
      </c>
      <c r="F715" s="17">
        <f t="shared" si="36"/>
        <v>-2.3529411764705577E-3</v>
      </c>
      <c r="G715" s="17">
        <f t="shared" si="36"/>
        <v>5.4282267792520322E-3</v>
      </c>
      <c r="H715" s="14">
        <f t="shared" si="37"/>
        <v>4.0658386279593464E-3</v>
      </c>
      <c r="I715" s="39">
        <f t="shared" si="35"/>
        <v>1.3227513227513227E-3</v>
      </c>
      <c r="J715" s="42">
        <v>2.1260440394836655E-2</v>
      </c>
      <c r="K715" s="88">
        <v>1.9630484988452546E-2</v>
      </c>
      <c r="L715" s="42">
        <v>2.8192371475953548E-2</v>
      </c>
      <c r="M715" s="43">
        <v>2.3941013691998549E-2</v>
      </c>
      <c r="Q715" s="2"/>
      <c r="R715" s="24"/>
      <c r="S715" s="24"/>
      <c r="T715" s="24"/>
    </row>
    <row r="716" spans="1:20" x14ac:dyDescent="0.25">
      <c r="A716" s="2">
        <v>44370</v>
      </c>
      <c r="B716" s="20">
        <v>2404</v>
      </c>
      <c r="C716" s="20">
        <v>425</v>
      </c>
      <c r="D716" s="20">
        <v>16580</v>
      </c>
      <c r="E716" s="17">
        <f t="shared" si="36"/>
        <v>1.0933557611438216E-2</v>
      </c>
      <c r="F716" s="17">
        <f t="shared" si="36"/>
        <v>0</v>
      </c>
      <c r="G716" s="17">
        <f t="shared" si="36"/>
        <v>1.6242721422004225E-2</v>
      </c>
      <c r="H716" s="14">
        <f t="shared" si="37"/>
        <v>1.4765165608453111E-2</v>
      </c>
      <c r="I716" s="39">
        <f t="shared" si="35"/>
        <v>1.3227513227513227E-3</v>
      </c>
      <c r="J716" s="42">
        <v>2.1459227467811148E-2</v>
      </c>
      <c r="K716" s="88">
        <v>2.0114942528735691E-2</v>
      </c>
      <c r="L716" s="42">
        <v>2.8205128205128105E-2</v>
      </c>
      <c r="M716" s="43">
        <v>2.4270089325097804E-2</v>
      </c>
      <c r="Q716" s="2"/>
      <c r="R716" s="24"/>
      <c r="S716" s="24"/>
      <c r="T716" s="24"/>
    </row>
    <row r="717" spans="1:20" x14ac:dyDescent="0.25">
      <c r="A717" s="2">
        <v>44369</v>
      </c>
      <c r="B717" s="20">
        <v>2378</v>
      </c>
      <c r="C717" s="20">
        <v>425</v>
      </c>
      <c r="D717" s="20">
        <v>16315</v>
      </c>
      <c r="E717" s="17">
        <f t="shared" si="36"/>
        <v>1.6239316239316182E-2</v>
      </c>
      <c r="F717" s="17">
        <f t="shared" si="36"/>
        <v>1.1778563015312216E-3</v>
      </c>
      <c r="G717" s="17">
        <f t="shared" si="36"/>
        <v>-1.1212121212121229E-2</v>
      </c>
      <c r="H717" s="14">
        <f t="shared" si="37"/>
        <v>-6.7175817176280414E-3</v>
      </c>
      <c r="I717" s="39">
        <f t="shared" si="35"/>
        <v>1.3227513227513227E-3</v>
      </c>
      <c r="J717" s="42">
        <v>2.1798365122615904E-2</v>
      </c>
      <c r="K717" s="88">
        <v>2.0151133501259411E-2</v>
      </c>
      <c r="L717" s="42">
        <v>2.8205128205128105E-2</v>
      </c>
      <c r="M717" s="43">
        <v>2.4308376700518761E-2</v>
      </c>
      <c r="Q717" s="2"/>
      <c r="R717" s="24"/>
      <c r="S717" s="24"/>
      <c r="T717" s="24"/>
    </row>
    <row r="718" spans="1:20" x14ac:dyDescent="0.25">
      <c r="A718" s="2">
        <v>44368</v>
      </c>
      <c r="B718" s="20">
        <v>2340</v>
      </c>
      <c r="C718" s="29">
        <v>424.5</v>
      </c>
      <c r="D718" s="20">
        <v>16500</v>
      </c>
      <c r="E718" s="17">
        <f t="shared" si="36"/>
        <v>8.6206896551723755E-3</v>
      </c>
      <c r="F718" s="17">
        <f t="shared" si="36"/>
        <v>5.924170616113722E-3</v>
      </c>
      <c r="G718" s="17">
        <f t="shared" si="36"/>
        <v>7.0186145865120952E-3</v>
      </c>
      <c r="H718" s="14">
        <f t="shared" si="37"/>
        <v>7.201069885823419E-3</v>
      </c>
      <c r="I718" s="39">
        <f t="shared" si="35"/>
        <v>1.3227513227513227E-3</v>
      </c>
      <c r="J718" s="42">
        <v>2.1846370683580085E-2</v>
      </c>
      <c r="K718" s="88">
        <v>2.020202020202011E-2</v>
      </c>
      <c r="L718" s="42">
        <v>2.8923660502607973E-2</v>
      </c>
      <c r="M718" s="43">
        <v>2.4599962429183997E-2</v>
      </c>
      <c r="Q718" s="2"/>
      <c r="R718" s="24"/>
      <c r="S718" s="24"/>
      <c r="T718" s="24"/>
    </row>
    <row r="719" spans="1:20" x14ac:dyDescent="0.25">
      <c r="A719" s="2">
        <v>44365</v>
      </c>
      <c r="B719" s="20">
        <v>2320</v>
      </c>
      <c r="C719" s="20">
        <v>422</v>
      </c>
      <c r="D719" s="20">
        <v>16385</v>
      </c>
      <c r="E719" s="17">
        <f t="shared" si="36"/>
        <v>-3.0910609857978333E-2</v>
      </c>
      <c r="F719" s="17">
        <f t="shared" si="36"/>
        <v>7.1599045346062429E-3</v>
      </c>
      <c r="G719" s="17">
        <f t="shared" si="36"/>
        <v>-2.2666269012824314E-2</v>
      </c>
      <c r="H719" s="14">
        <f t="shared" si="37"/>
        <v>-2.2542295950530235E-2</v>
      </c>
      <c r="I719" s="39">
        <f t="shared" si="35"/>
        <v>1.3227513227513227E-3</v>
      </c>
      <c r="J719" s="42">
        <v>2.1996615905245376E-2</v>
      </c>
      <c r="K719" s="88">
        <v>2.0440251572326984E-2</v>
      </c>
      <c r="L719" s="42">
        <v>2.8960817717206044E-2</v>
      </c>
      <c r="M719" s="43">
        <v>2.4940618233825484E-2</v>
      </c>
      <c r="Q719" s="2"/>
      <c r="R719" s="24"/>
      <c r="S719" s="24"/>
      <c r="T719" s="24"/>
    </row>
    <row r="720" spans="1:20" x14ac:dyDescent="0.25">
      <c r="A720" s="2">
        <v>44364</v>
      </c>
      <c r="B720" s="20">
        <v>2394</v>
      </c>
      <c r="C720" s="20">
        <v>419</v>
      </c>
      <c r="D720" s="20">
        <v>16765</v>
      </c>
      <c r="E720" s="17">
        <f t="shared" si="36"/>
        <v>-8.2850041425021059E-3</v>
      </c>
      <c r="F720" s="17">
        <f t="shared" si="36"/>
        <v>-2.3809523809523725E-3</v>
      </c>
      <c r="G720" s="17">
        <f t="shared" si="36"/>
        <v>1.6060606060606109E-2</v>
      </c>
      <c r="H720" s="14">
        <f t="shared" si="37"/>
        <v>1.1747132972670542E-2</v>
      </c>
      <c r="I720" s="39">
        <f t="shared" ref="I720:I770" si="38">1/$K$1</f>
        <v>1.3227513227513227E-3</v>
      </c>
      <c r="J720" s="42">
        <v>2.2364217252396124E-2</v>
      </c>
      <c r="K720" s="88">
        <v>2.0771513353115667E-2</v>
      </c>
      <c r="L720" s="42">
        <v>2.9062870699881449E-2</v>
      </c>
      <c r="M720" s="43">
        <v>2.5021711606339186E-2</v>
      </c>
      <c r="Q720" s="2"/>
      <c r="R720" s="24"/>
      <c r="S720" s="24"/>
      <c r="T720" s="24"/>
    </row>
    <row r="721" spans="1:20" x14ac:dyDescent="0.25">
      <c r="A721" s="2">
        <v>44363</v>
      </c>
      <c r="B721" s="20">
        <v>2414</v>
      </c>
      <c r="C721" s="20">
        <v>420</v>
      </c>
      <c r="D721" s="20">
        <v>16500</v>
      </c>
      <c r="E721" s="17">
        <f t="shared" si="36"/>
        <v>-1.2274959083469761E-2</v>
      </c>
      <c r="F721" s="17">
        <f t="shared" si="36"/>
        <v>-9.4339622641509413E-3</v>
      </c>
      <c r="G721" s="17">
        <f t="shared" si="36"/>
        <v>-1.7857142857142905E-2</v>
      </c>
      <c r="H721" s="14">
        <f t="shared" si="37"/>
        <v>-1.6683827590395325E-2</v>
      </c>
      <c r="I721" s="39">
        <f t="shared" si="38"/>
        <v>1.3227513227513227E-3</v>
      </c>
      <c r="J721" s="42">
        <v>2.3346303501945442E-2</v>
      </c>
      <c r="K721" s="88">
        <v>2.0961775585696563E-2</v>
      </c>
      <c r="L721" s="42">
        <v>3.0042918454935563E-2</v>
      </c>
      <c r="M721" s="43">
        <v>2.50941491946239E-2</v>
      </c>
      <c r="Q721" s="2"/>
      <c r="R721" s="24"/>
      <c r="S721" s="24"/>
      <c r="T721" s="24"/>
    </row>
    <row r="722" spans="1:20" x14ac:dyDescent="0.25">
      <c r="A722" s="2">
        <v>44362</v>
      </c>
      <c r="B722" s="20">
        <v>2444</v>
      </c>
      <c r="C722" s="20">
        <v>424</v>
      </c>
      <c r="D722" s="20">
        <v>16800</v>
      </c>
      <c r="E722" s="17">
        <f t="shared" si="36"/>
        <v>7.4196207749381848E-3</v>
      </c>
      <c r="F722" s="17">
        <f t="shared" si="36"/>
        <v>0</v>
      </c>
      <c r="G722" s="17">
        <f t="shared" si="36"/>
        <v>1.0222489476849006E-2</v>
      </c>
      <c r="H722" s="14">
        <f t="shared" si="37"/>
        <v>9.3700666066233677E-3</v>
      </c>
      <c r="I722" s="39">
        <f t="shared" si="38"/>
        <v>1.3227513227513227E-3</v>
      </c>
      <c r="J722" s="42">
        <v>2.344322344322336E-2</v>
      </c>
      <c r="K722" s="88">
        <v>2.108433734939763E-2</v>
      </c>
      <c r="L722" s="42">
        <v>3.0288461538461542E-2</v>
      </c>
      <c r="M722" s="43">
        <v>2.5127969604791186E-2</v>
      </c>
      <c r="Q722" s="2"/>
      <c r="R722" s="24"/>
      <c r="S722" s="24"/>
      <c r="T722" s="24"/>
    </row>
    <row r="723" spans="1:20" x14ac:dyDescent="0.25">
      <c r="A723" s="2">
        <v>44361</v>
      </c>
      <c r="B723" s="20">
        <v>2426</v>
      </c>
      <c r="C723" s="20">
        <v>424</v>
      </c>
      <c r="D723" s="20">
        <v>16630</v>
      </c>
      <c r="E723" s="17">
        <f t="shared" si="36"/>
        <v>-4.9220672682526168E-3</v>
      </c>
      <c r="F723" s="17">
        <f t="shared" si="36"/>
        <v>3.5502958579882726E-3</v>
      </c>
      <c r="G723" s="17">
        <f t="shared" si="36"/>
        <v>4.2270531400965261E-3</v>
      </c>
      <c r="H723" s="14">
        <f t="shared" si="37"/>
        <v>2.880776214031904E-3</v>
      </c>
      <c r="I723" s="39">
        <f t="shared" si="38"/>
        <v>1.3227513227513227E-3</v>
      </c>
      <c r="J723" s="42">
        <v>2.4000000000000021E-2</v>
      </c>
      <c r="K723" s="88">
        <v>2.1333333333333426E-2</v>
      </c>
      <c r="L723" s="42">
        <v>3.0401416765053035E-2</v>
      </c>
      <c r="M723" s="43">
        <v>2.5631264510660518E-2</v>
      </c>
      <c r="Q723" s="2"/>
      <c r="R723" s="24"/>
      <c r="S723" s="24"/>
      <c r="T723" s="24"/>
    </row>
    <row r="724" spans="1:20" x14ac:dyDescent="0.25">
      <c r="A724" s="2">
        <v>44358</v>
      </c>
      <c r="B724" s="20">
        <v>2438</v>
      </c>
      <c r="C724" s="29">
        <v>422.5</v>
      </c>
      <c r="D724" s="20">
        <v>16560</v>
      </c>
      <c r="E724" s="17">
        <f t="shared" si="36"/>
        <v>2.0938023450586263E-2</v>
      </c>
      <c r="F724" s="17">
        <f t="shared" si="36"/>
        <v>-1.1820330969266601E-3</v>
      </c>
      <c r="G724" s="17">
        <f t="shared" si="36"/>
        <v>-7.194244604316502E-3</v>
      </c>
      <c r="H724" s="14">
        <f t="shared" si="37"/>
        <v>-2.8819222840411034E-3</v>
      </c>
      <c r="I724" s="39">
        <f t="shared" si="38"/>
        <v>1.3227513227513227E-3</v>
      </c>
      <c r="J724" s="42">
        <v>2.4590163934426146E-2</v>
      </c>
      <c r="K724" s="88">
        <v>2.1523178807947074E-2</v>
      </c>
      <c r="L724" s="42">
        <v>3.0479452054794631E-2</v>
      </c>
      <c r="M724" s="43">
        <v>2.6273787525276829E-2</v>
      </c>
      <c r="Q724" s="2"/>
      <c r="R724" s="24"/>
      <c r="S724" s="24"/>
      <c r="T724" s="24"/>
    </row>
    <row r="725" spans="1:20" x14ac:dyDescent="0.25">
      <c r="A725" s="2">
        <v>44357</v>
      </c>
      <c r="B725" s="20">
        <v>2388</v>
      </c>
      <c r="C725" s="20">
        <v>423</v>
      </c>
      <c r="D725" s="20">
        <v>16680</v>
      </c>
      <c r="E725" s="17">
        <f t="shared" si="36"/>
        <v>-1.6722408026755842E-3</v>
      </c>
      <c r="F725" s="17">
        <f t="shared" si="36"/>
        <v>2.4213075060532718E-2</v>
      </c>
      <c r="G725" s="17">
        <f t="shared" si="36"/>
        <v>-1.4965579167913745E-3</v>
      </c>
      <c r="H725" s="14">
        <f t="shared" si="37"/>
        <v>-3.9236392576252335E-4</v>
      </c>
      <c r="I725" s="39">
        <f t="shared" si="38"/>
        <v>1.3227513227513227E-3</v>
      </c>
      <c r="J725" s="42">
        <v>2.4937655860349128E-2</v>
      </c>
      <c r="K725" s="88">
        <v>2.1875000000000089E-2</v>
      </c>
      <c r="L725" s="42">
        <v>3.165298944900341E-2</v>
      </c>
      <c r="M725" s="43">
        <v>2.7282630086112442E-2</v>
      </c>
      <c r="Q725" s="2"/>
      <c r="R725" s="24"/>
      <c r="S725" s="24"/>
      <c r="T725" s="24"/>
    </row>
    <row r="726" spans="1:20" x14ac:dyDescent="0.25">
      <c r="A726" s="2">
        <v>44356</v>
      </c>
      <c r="B726" s="20">
        <v>2392</v>
      </c>
      <c r="C726" s="20">
        <v>413</v>
      </c>
      <c r="D726" s="20">
        <v>16705</v>
      </c>
      <c r="E726" s="17">
        <f t="shared" si="36"/>
        <v>1.6750418760469454E-3</v>
      </c>
      <c r="F726" s="17">
        <f t="shared" si="36"/>
        <v>1.4742014742014753E-2</v>
      </c>
      <c r="G726" s="17">
        <f t="shared" si="36"/>
        <v>-1.4744913005013238E-2</v>
      </c>
      <c r="H726" s="14">
        <f t="shared" si="37"/>
        <v>-1.1086685953811943E-2</v>
      </c>
      <c r="I726" s="39">
        <f t="shared" si="38"/>
        <v>1.3227513227513227E-3</v>
      </c>
      <c r="J726" s="42">
        <v>2.5040387722132573E-2</v>
      </c>
      <c r="K726" s="88">
        <v>2.2004889975550057E-2</v>
      </c>
      <c r="L726" s="42">
        <v>3.1833150384193099E-2</v>
      </c>
      <c r="M726" s="43">
        <v>2.7438522671248716E-2</v>
      </c>
      <c r="Q726" s="2"/>
      <c r="R726" s="24"/>
      <c r="S726" s="24"/>
      <c r="T726" s="24"/>
    </row>
    <row r="727" spans="1:20" x14ac:dyDescent="0.25">
      <c r="A727" s="2">
        <v>44355</v>
      </c>
      <c r="B727" s="20">
        <v>2388</v>
      </c>
      <c r="C727" s="20">
        <v>407</v>
      </c>
      <c r="D727" s="20">
        <v>16955</v>
      </c>
      <c r="E727" s="17">
        <f t="shared" si="36"/>
        <v>-8.3682008368202165E-4</v>
      </c>
      <c r="F727" s="17">
        <f t="shared" si="36"/>
        <v>-2.450980392156854E-3</v>
      </c>
      <c r="G727" s="17">
        <f t="shared" si="36"/>
        <v>2.1077988557663296E-2</v>
      </c>
      <c r="H727" s="14">
        <f t="shared" si="37"/>
        <v>1.6890804516657101E-2</v>
      </c>
      <c r="I727" s="39">
        <f t="shared" si="38"/>
        <v>1.3227513227513227E-3</v>
      </c>
      <c r="J727" s="42">
        <v>2.5396825396825307E-2</v>
      </c>
      <c r="K727" s="88">
        <v>2.2727272727272707E-2</v>
      </c>
      <c r="L727" s="42">
        <v>3.2019704433497553E-2</v>
      </c>
      <c r="M727" s="43">
        <v>2.7691835430354909E-2</v>
      </c>
      <c r="Q727" s="2"/>
      <c r="R727" s="24"/>
      <c r="S727" s="24"/>
      <c r="T727" s="24"/>
    </row>
    <row r="728" spans="1:20" x14ac:dyDescent="0.25">
      <c r="A728" s="2">
        <v>44354</v>
      </c>
      <c r="B728" s="20">
        <v>2390</v>
      </c>
      <c r="C728" s="20">
        <v>408</v>
      </c>
      <c r="D728" s="20">
        <v>16605</v>
      </c>
      <c r="E728" s="17">
        <f t="shared" si="36"/>
        <v>-1.2396694214875992E-2</v>
      </c>
      <c r="F728" s="17">
        <f t="shared" si="36"/>
        <v>4.9261083743843415E-3</v>
      </c>
      <c r="G728" s="17">
        <f t="shared" si="36"/>
        <v>1.9337016574585641E-2</v>
      </c>
      <c r="H728" s="14">
        <f t="shared" si="37"/>
        <v>1.4137480483445423E-2</v>
      </c>
      <c r="I728" s="39">
        <f t="shared" si="38"/>
        <v>1.3227513227513227E-3</v>
      </c>
      <c r="J728" s="42">
        <v>2.5600000000000067E-2</v>
      </c>
      <c r="K728" s="88">
        <v>2.2842639593908531E-2</v>
      </c>
      <c r="L728" s="42">
        <v>3.2138442521631561E-2</v>
      </c>
      <c r="M728" s="43">
        <v>2.7838697298016149E-2</v>
      </c>
      <c r="Q728" s="2"/>
      <c r="R728" s="24"/>
      <c r="S728" s="24"/>
      <c r="T728" s="24"/>
    </row>
    <row r="729" spans="1:20" x14ac:dyDescent="0.25">
      <c r="A729" s="2">
        <v>44351</v>
      </c>
      <c r="B729" s="20">
        <v>2420</v>
      </c>
      <c r="C729" s="20">
        <v>406</v>
      </c>
      <c r="D729" s="20">
        <v>16290</v>
      </c>
      <c r="E729" s="17">
        <f t="shared" si="36"/>
        <v>1.0860484544695126E-2</v>
      </c>
      <c r="F729" s="17">
        <f t="shared" si="36"/>
        <v>0</v>
      </c>
      <c r="G729" s="17">
        <f t="shared" si="36"/>
        <v>1.6536661466458602E-2</v>
      </c>
      <c r="H729" s="14">
        <f t="shared" si="37"/>
        <v>1.499337961694221E-2</v>
      </c>
      <c r="I729" s="39">
        <f t="shared" si="38"/>
        <v>1.3227513227513227E-3</v>
      </c>
      <c r="J729" s="42">
        <v>2.5735294117646967E-2</v>
      </c>
      <c r="K729" s="88">
        <v>2.3058252427184511E-2</v>
      </c>
      <c r="L729" s="42">
        <v>3.2522796352583594E-2</v>
      </c>
      <c r="M729" s="43">
        <v>2.7851623622992032E-2</v>
      </c>
      <c r="Q729" s="2"/>
      <c r="R729" s="24"/>
      <c r="S729" s="24"/>
      <c r="T729" s="24"/>
    </row>
    <row r="730" spans="1:20" x14ac:dyDescent="0.25">
      <c r="A730" s="2">
        <v>44350</v>
      </c>
      <c r="B730" s="20">
        <v>2394</v>
      </c>
      <c r="C730" s="20">
        <v>406</v>
      </c>
      <c r="D730" s="20">
        <v>16025</v>
      </c>
      <c r="E730" s="17">
        <f t="shared" si="36"/>
        <v>5.8823529411764497E-3</v>
      </c>
      <c r="F730" s="17">
        <f t="shared" si="36"/>
        <v>1.2330456226881115E-3</v>
      </c>
      <c r="G730" s="17">
        <f t="shared" si="36"/>
        <v>1.9402035623409697E-2</v>
      </c>
      <c r="H730" s="14">
        <f t="shared" si="37"/>
        <v>1.6658372856887104E-2</v>
      </c>
      <c r="I730" s="39">
        <f t="shared" si="38"/>
        <v>1.3227513227513227E-3</v>
      </c>
      <c r="J730" s="42">
        <v>2.5815217391304435E-2</v>
      </c>
      <c r="K730" s="88">
        <v>2.3529411764705799E-2</v>
      </c>
      <c r="L730" s="42">
        <v>3.2738887410167727E-2</v>
      </c>
      <c r="M730" s="43">
        <v>2.7875402538713727E-2</v>
      </c>
      <c r="Q730" s="2"/>
      <c r="R730" s="24"/>
      <c r="S730" s="24"/>
      <c r="T730" s="24"/>
    </row>
    <row r="731" spans="1:20" x14ac:dyDescent="0.25">
      <c r="A731" s="2">
        <v>44349</v>
      </c>
      <c r="B731" s="20">
        <v>2380</v>
      </c>
      <c r="C731" s="29">
        <v>405.5</v>
      </c>
      <c r="D731" s="20">
        <v>15720</v>
      </c>
      <c r="E731" s="17">
        <f t="shared" si="36"/>
        <v>2.1459227467811148E-2</v>
      </c>
      <c r="F731" s="17">
        <f t="shared" si="36"/>
        <v>8.7064676616914749E-3</v>
      </c>
      <c r="G731" s="17">
        <f t="shared" si="36"/>
        <v>-9.1396155058304229E-3</v>
      </c>
      <c r="H731" s="14">
        <f t="shared" si="37"/>
        <v>-3.952471347024842E-3</v>
      </c>
      <c r="I731" s="39">
        <f t="shared" si="38"/>
        <v>1.3227513227513227E-3</v>
      </c>
      <c r="J731" s="42">
        <v>2.6686434395848835E-2</v>
      </c>
      <c r="K731" s="88">
        <v>2.3728813559322104E-2</v>
      </c>
      <c r="L731" s="42">
        <v>3.279919879819726E-2</v>
      </c>
      <c r="M731" s="43">
        <v>2.8053990025202473E-2</v>
      </c>
      <c r="Q731" s="2"/>
      <c r="R731" s="24"/>
      <c r="S731" s="24"/>
      <c r="T731" s="24"/>
    </row>
    <row r="732" spans="1:20" x14ac:dyDescent="0.25">
      <c r="A732" s="2">
        <v>44348</v>
      </c>
      <c r="B732" s="20">
        <v>2330</v>
      </c>
      <c r="C732" s="20">
        <v>402</v>
      </c>
      <c r="D732" s="20">
        <v>15865</v>
      </c>
      <c r="E732" s="17">
        <f t="shared" si="36"/>
        <v>8.6580086580085869E-3</v>
      </c>
      <c r="F732" s="17">
        <f t="shared" si="36"/>
        <v>-2.4813895781637951E-3</v>
      </c>
      <c r="G732" s="17">
        <f t="shared" si="36"/>
        <v>1.6010246557796926E-2</v>
      </c>
      <c r="H732" s="14">
        <f t="shared" si="37"/>
        <v>1.4139896008660956E-2</v>
      </c>
      <c r="I732" s="39">
        <f t="shared" si="38"/>
        <v>1.3227513227513227E-3</v>
      </c>
      <c r="J732" s="42">
        <v>2.6855123674911718E-2</v>
      </c>
      <c r="K732" s="88">
        <v>2.3738872403560762E-2</v>
      </c>
      <c r="L732" s="42">
        <v>3.2956685499058391E-2</v>
      </c>
      <c r="M732" s="43">
        <v>2.8698564012795014E-2</v>
      </c>
      <c r="Q732" s="2"/>
      <c r="R732" s="24"/>
      <c r="S732" s="24"/>
      <c r="T732" s="24"/>
    </row>
    <row r="733" spans="1:20" x14ac:dyDescent="0.25">
      <c r="A733" s="2">
        <v>44347</v>
      </c>
      <c r="B733" s="20">
        <v>2310</v>
      </c>
      <c r="C733" s="20">
        <v>403</v>
      </c>
      <c r="D733" s="20">
        <v>15615</v>
      </c>
      <c r="E733" s="17">
        <f t="shared" si="36"/>
        <v>6.9747166521361148E-3</v>
      </c>
      <c r="F733" s="17">
        <f t="shared" si="36"/>
        <v>-9.8280098280097983E-3</v>
      </c>
      <c r="G733" s="17">
        <f t="shared" si="36"/>
        <v>-4.7801147227533036E-3</v>
      </c>
      <c r="H733" s="14">
        <f t="shared" si="37"/>
        <v>-3.3103748139945693E-3</v>
      </c>
      <c r="I733" s="39">
        <f t="shared" si="38"/>
        <v>1.3227513227513227E-3</v>
      </c>
      <c r="J733" s="42">
        <v>2.7272727272727337E-2</v>
      </c>
      <c r="K733" s="88">
        <v>2.3968042609853635E-2</v>
      </c>
      <c r="L733" s="42">
        <v>3.3183856502242204E-2</v>
      </c>
      <c r="M733" s="43">
        <v>2.8918374316345578E-2</v>
      </c>
      <c r="Q733" s="2"/>
      <c r="R733" s="24"/>
      <c r="S733" s="24"/>
      <c r="T733" s="24"/>
    </row>
    <row r="734" spans="1:20" x14ac:dyDescent="0.25">
      <c r="A734" s="2">
        <v>44344</v>
      </c>
      <c r="B734" s="20">
        <v>2294</v>
      </c>
      <c r="C734" s="20">
        <v>407</v>
      </c>
      <c r="D734" s="20">
        <v>15690</v>
      </c>
      <c r="E734" s="17">
        <f t="shared" si="36"/>
        <v>1.3250883392226243E-2</v>
      </c>
      <c r="F734" s="17">
        <f t="shared" si="36"/>
        <v>7.4257425742574323E-3</v>
      </c>
      <c r="G734" s="17">
        <f t="shared" si="36"/>
        <v>1.0953608247422641E-2</v>
      </c>
      <c r="H734" s="14">
        <f t="shared" si="37"/>
        <v>1.1129196887373495E-2</v>
      </c>
      <c r="I734" s="39">
        <f t="shared" si="38"/>
        <v>1.3227513227513227E-3</v>
      </c>
      <c r="J734" s="42">
        <v>2.734375E-2</v>
      </c>
      <c r="K734" s="88">
        <v>2.4077046548956593E-2</v>
      </c>
      <c r="L734" s="42">
        <v>3.3696729435084283E-2</v>
      </c>
      <c r="M734" s="43">
        <v>2.9509977090800575E-2</v>
      </c>
      <c r="Q734" s="2"/>
      <c r="R734" s="24"/>
      <c r="S734" s="24"/>
      <c r="T734" s="24"/>
    </row>
    <row r="735" spans="1:20" x14ac:dyDescent="0.25">
      <c r="A735" s="2">
        <v>44343</v>
      </c>
      <c r="B735" s="20">
        <v>2264</v>
      </c>
      <c r="C735" s="20">
        <v>404</v>
      </c>
      <c r="D735" s="20">
        <v>15520</v>
      </c>
      <c r="E735" s="17">
        <f t="shared" si="36"/>
        <v>-2.6431718061673548E-3</v>
      </c>
      <c r="F735" s="17">
        <f t="shared" si="36"/>
        <v>-2.4691358024691024E-3</v>
      </c>
      <c r="G735" s="17">
        <f t="shared" si="36"/>
        <v>-1.3663806800127132E-2</v>
      </c>
      <c r="H735" s="14">
        <f t="shared" si="37"/>
        <v>-1.1586148995695853E-2</v>
      </c>
      <c r="I735" s="39">
        <f t="shared" si="38"/>
        <v>1.3227513227513227E-3</v>
      </c>
      <c r="J735" s="42">
        <v>2.73668639053255E-2</v>
      </c>
      <c r="K735" s="88">
        <v>2.4137931034482696E-2</v>
      </c>
      <c r="L735" s="42">
        <v>3.3797216699801291E-2</v>
      </c>
      <c r="M735" s="43">
        <v>2.9794352822289726E-2</v>
      </c>
      <c r="Q735" s="2"/>
      <c r="R735" s="24"/>
      <c r="S735" s="24"/>
      <c r="T735" s="24"/>
    </row>
    <row r="736" spans="1:20" x14ac:dyDescent="0.25">
      <c r="A736" s="2">
        <v>44342</v>
      </c>
      <c r="B736" s="20">
        <v>2270</v>
      </c>
      <c r="C736" s="20">
        <v>405</v>
      </c>
      <c r="D736" s="20">
        <v>15735</v>
      </c>
      <c r="E736" s="17">
        <f t="shared" si="36"/>
        <v>7.0984915705412099E-3</v>
      </c>
      <c r="F736" s="17">
        <f t="shared" si="36"/>
        <v>7.4626865671640896E-3</v>
      </c>
      <c r="G736" s="17">
        <f t="shared" si="36"/>
        <v>1.6801292407108148E-2</v>
      </c>
      <c r="H736" s="14">
        <f t="shared" si="37"/>
        <v>1.4994809674423125E-2</v>
      </c>
      <c r="I736" s="39">
        <f t="shared" si="38"/>
        <v>1.3227513227513227E-3</v>
      </c>
      <c r="J736" s="42">
        <v>2.7468448403860535E-2</v>
      </c>
      <c r="K736" s="88">
        <v>2.4169184290030232E-2</v>
      </c>
      <c r="L736" s="42">
        <v>3.3962264150943389E-2</v>
      </c>
      <c r="M736" s="43">
        <v>2.9898628253824604E-2</v>
      </c>
      <c r="Q736" s="2"/>
      <c r="R736" s="24"/>
      <c r="S736" s="24"/>
      <c r="T736" s="24"/>
    </row>
    <row r="737" spans="1:20" x14ac:dyDescent="0.25">
      <c r="A737" s="2">
        <v>44341</v>
      </c>
      <c r="B737" s="20">
        <v>2254</v>
      </c>
      <c r="C737" s="20">
        <v>402</v>
      </c>
      <c r="D737" s="20">
        <v>15475</v>
      </c>
      <c r="E737" s="17">
        <f t="shared" si="36"/>
        <v>-8.7950747581354571E-3</v>
      </c>
      <c r="F737" s="17">
        <f t="shared" si="36"/>
        <v>2.4937655860348684E-3</v>
      </c>
      <c r="G737" s="17">
        <f t="shared" si="36"/>
        <v>-8.6483023702754735E-3</v>
      </c>
      <c r="H737" s="14">
        <f t="shared" si="37"/>
        <v>-8.1799298518411574E-3</v>
      </c>
      <c r="I737" s="39">
        <f t="shared" si="38"/>
        <v>1.3227513227513227E-3</v>
      </c>
      <c r="J737" s="42">
        <v>2.7472527472527375E-2</v>
      </c>
      <c r="K737" s="88">
        <v>2.4213075060532718E-2</v>
      </c>
      <c r="L737" s="42">
        <v>3.4043538675312623E-2</v>
      </c>
      <c r="M737" s="43">
        <v>2.9962970920324176E-2</v>
      </c>
      <c r="Q737" s="2"/>
      <c r="R737" s="24"/>
      <c r="S737" s="24"/>
      <c r="T737" s="24"/>
    </row>
    <row r="738" spans="1:20" x14ac:dyDescent="0.25">
      <c r="A738" s="2">
        <v>44337</v>
      </c>
      <c r="B738" s="20">
        <v>2274</v>
      </c>
      <c r="C738" s="20">
        <v>401</v>
      </c>
      <c r="D738" s="20">
        <v>15610</v>
      </c>
      <c r="E738" s="17">
        <f t="shared" si="36"/>
        <v>-5.2493438320210251E-3</v>
      </c>
      <c r="F738" s="17">
        <f t="shared" si="36"/>
        <v>-1.4742014742014753E-2</v>
      </c>
      <c r="G738" s="17">
        <f t="shared" si="36"/>
        <v>7.7469335054873856E-3</v>
      </c>
      <c r="H738" s="14">
        <f t="shared" si="37"/>
        <v>4.8888038136080149E-3</v>
      </c>
      <c r="I738" s="39">
        <f t="shared" si="38"/>
        <v>1.3227513227513227E-3</v>
      </c>
      <c r="J738" s="42">
        <v>2.8075970272501971E-2</v>
      </c>
      <c r="K738" s="88">
        <v>2.4937655860349128E-2</v>
      </c>
      <c r="L738" s="42">
        <v>3.5016049022468687E-2</v>
      </c>
      <c r="M738" s="43">
        <v>3.0604283757954889E-2</v>
      </c>
      <c r="Q738" s="2"/>
      <c r="R738" s="24"/>
      <c r="S738" s="24"/>
      <c r="T738" s="24"/>
    </row>
    <row r="739" spans="1:20" x14ac:dyDescent="0.25">
      <c r="A739" s="2">
        <v>44336</v>
      </c>
      <c r="B739" s="20">
        <v>2286</v>
      </c>
      <c r="C739" s="20">
        <v>407</v>
      </c>
      <c r="D739" s="20">
        <v>15490</v>
      </c>
      <c r="E739" s="17">
        <f t="shared" si="36"/>
        <v>1.6000000000000014E-2</v>
      </c>
      <c r="F739" s="17">
        <f t="shared" si="36"/>
        <v>-1.927710843373498E-2</v>
      </c>
      <c r="G739" s="17">
        <f t="shared" si="36"/>
        <v>4.6268152651131267E-2</v>
      </c>
      <c r="H739" s="14">
        <f t="shared" si="37"/>
        <v>3.9033076092944624E-2</v>
      </c>
      <c r="I739" s="39">
        <f t="shared" si="38"/>
        <v>1.3227513227513227E-3</v>
      </c>
      <c r="J739" s="42">
        <v>2.8906249999999911E-2</v>
      </c>
      <c r="K739" s="88">
        <v>2.5477707006369421E-2</v>
      </c>
      <c r="L739" s="42">
        <v>3.5436893203883546E-2</v>
      </c>
      <c r="M739" s="43">
        <v>3.0727734450004679E-2</v>
      </c>
      <c r="Q739" s="2"/>
      <c r="R739" s="24"/>
      <c r="S739" s="24"/>
      <c r="T739" s="24"/>
    </row>
    <row r="740" spans="1:20" x14ac:dyDescent="0.25">
      <c r="A740" s="2">
        <v>44335</v>
      </c>
      <c r="B740" s="20">
        <v>2250</v>
      </c>
      <c r="C740" s="20">
        <v>415</v>
      </c>
      <c r="D740" s="20">
        <v>14805</v>
      </c>
      <c r="E740" s="17">
        <f t="shared" si="36"/>
        <v>-1.2291483757682187E-2</v>
      </c>
      <c r="F740" s="17">
        <f t="shared" si="36"/>
        <v>6.0606060606060996E-3</v>
      </c>
      <c r="G740" s="17">
        <f t="shared" si="36"/>
        <v>-1.7258546299369404E-2</v>
      </c>
      <c r="H740" s="14">
        <f t="shared" si="37"/>
        <v>-1.5519336914903172E-2</v>
      </c>
      <c r="I740" s="39">
        <f t="shared" si="38"/>
        <v>1.3227513227513227E-3</v>
      </c>
      <c r="J740" s="42">
        <v>2.9208301306687057E-2</v>
      </c>
      <c r="K740" s="88">
        <v>2.6004728132387633E-2</v>
      </c>
      <c r="L740" s="42">
        <v>3.5714285714285809E-2</v>
      </c>
      <c r="M740" s="43">
        <v>3.1532186472184025E-2</v>
      </c>
      <c r="Q740" s="2"/>
      <c r="R740" s="24"/>
      <c r="S740" s="24"/>
      <c r="T740" s="24"/>
    </row>
    <row r="741" spans="1:20" x14ac:dyDescent="0.25">
      <c r="A741" s="2">
        <v>44334</v>
      </c>
      <c r="B741" s="20">
        <v>2278</v>
      </c>
      <c r="C741" s="29">
        <v>412.5</v>
      </c>
      <c r="D741" s="20">
        <v>15065</v>
      </c>
      <c r="E741" s="17">
        <f t="shared" si="36"/>
        <v>0</v>
      </c>
      <c r="F741" s="17">
        <f t="shared" si="36"/>
        <v>1.2135922330096527E-3</v>
      </c>
      <c r="G741" s="17">
        <f t="shared" si="36"/>
        <v>1.3293452974409981E-3</v>
      </c>
      <c r="H741" s="14">
        <f t="shared" si="37"/>
        <v>1.1329691062904042E-3</v>
      </c>
      <c r="I741" s="39">
        <f t="shared" si="38"/>
        <v>1.3227513227513227E-3</v>
      </c>
      <c r="J741" s="42">
        <v>2.9213483146067309E-2</v>
      </c>
      <c r="K741" s="88">
        <v>2.6229508196721207E-2</v>
      </c>
      <c r="L741" s="42">
        <v>3.607214428857719E-2</v>
      </c>
      <c r="M741" s="43">
        <v>3.2650167289972325E-2</v>
      </c>
      <c r="Q741" s="2"/>
      <c r="R741" s="24"/>
      <c r="S741" s="24"/>
      <c r="T741" s="24"/>
    </row>
    <row r="742" spans="1:20" x14ac:dyDescent="0.25">
      <c r="A742" s="2">
        <v>44333</v>
      </c>
      <c r="B742" s="20">
        <v>2278</v>
      </c>
      <c r="C742" s="20">
        <v>412</v>
      </c>
      <c r="D742" s="20">
        <v>15045</v>
      </c>
      <c r="E742" s="17">
        <f t="shared" si="36"/>
        <v>-2.6269702276707774E-3</v>
      </c>
      <c r="F742" s="17">
        <f t="shared" si="36"/>
        <v>-2.421307506053294E-3</v>
      </c>
      <c r="G742" s="17">
        <f t="shared" si="36"/>
        <v>3.0479452054794631E-2</v>
      </c>
      <c r="H742" s="14">
        <f t="shared" si="37"/>
        <v>2.4270089325097804E-2</v>
      </c>
      <c r="I742" s="39">
        <f t="shared" si="38"/>
        <v>1.3227513227513227E-3</v>
      </c>
      <c r="J742" s="42">
        <v>2.9962546816479474E-2</v>
      </c>
      <c r="K742" s="88">
        <v>2.6768642447418722E-2</v>
      </c>
      <c r="L742" s="42">
        <v>3.7696335078533982E-2</v>
      </c>
      <c r="M742" s="43">
        <v>3.4414754225373038E-2</v>
      </c>
      <c r="Q742" s="2"/>
      <c r="R742" s="24"/>
      <c r="S742" s="24"/>
      <c r="T742" s="24"/>
    </row>
    <row r="743" spans="1:20" x14ac:dyDescent="0.25">
      <c r="A743" s="2">
        <v>44330</v>
      </c>
      <c r="B743" s="20">
        <v>2284</v>
      </c>
      <c r="C743" s="20">
        <v>413</v>
      </c>
      <c r="D743" s="20">
        <v>14600</v>
      </c>
      <c r="E743" s="17">
        <f t="shared" si="36"/>
        <v>1.0619469026548645E-2</v>
      </c>
      <c r="F743" s="17">
        <f t="shared" si="36"/>
        <v>-3.6188178528346882E-3</v>
      </c>
      <c r="G743" s="17">
        <f t="shared" si="36"/>
        <v>1.388888888888884E-2</v>
      </c>
      <c r="H743" s="14">
        <f t="shared" si="37"/>
        <v>1.2649276100013037E-2</v>
      </c>
      <c r="I743" s="39">
        <f t="shared" si="38"/>
        <v>1.3227513227513227E-3</v>
      </c>
      <c r="J743" s="42">
        <v>3.0201342281879207E-2</v>
      </c>
      <c r="K743" s="88">
        <v>2.7164685908319219E-2</v>
      </c>
      <c r="L743" s="42">
        <v>3.8043478260869623E-2</v>
      </c>
      <c r="M743" s="43">
        <v>3.4667227149487556E-2</v>
      </c>
      <c r="Q743" s="2"/>
      <c r="R743" s="24"/>
      <c r="S743" s="24"/>
      <c r="T743" s="24"/>
    </row>
    <row r="744" spans="1:20" x14ac:dyDescent="0.25">
      <c r="A744" s="2">
        <v>44329</v>
      </c>
      <c r="B744" s="20">
        <v>2260</v>
      </c>
      <c r="C744" s="29">
        <v>414.5</v>
      </c>
      <c r="D744" s="20">
        <v>14400</v>
      </c>
      <c r="E744" s="17">
        <f t="shared" si="36"/>
        <v>2.7272727272727337E-2</v>
      </c>
      <c r="F744" s="17">
        <f t="shared" si="36"/>
        <v>8.5158150851580849E-3</v>
      </c>
      <c r="G744" s="17">
        <f t="shared" si="36"/>
        <v>3.0042918454935563E-2</v>
      </c>
      <c r="H744" s="14">
        <f t="shared" si="37"/>
        <v>2.8698564012795014E-2</v>
      </c>
      <c r="I744" s="39">
        <f t="shared" si="38"/>
        <v>1.3227513227513227E-3</v>
      </c>
      <c r="J744" s="42">
        <v>3.0964109781843829E-2</v>
      </c>
      <c r="K744" s="88">
        <v>2.735978112175097E-2</v>
      </c>
      <c r="L744" s="42">
        <v>3.8330687230664573E-2</v>
      </c>
      <c r="M744" s="43">
        <v>3.4856212336642836E-2</v>
      </c>
      <c r="Q744" s="2"/>
      <c r="R744" s="24"/>
      <c r="S744" s="24"/>
      <c r="T744" s="24"/>
    </row>
    <row r="745" spans="1:20" x14ac:dyDescent="0.25">
      <c r="A745" s="2">
        <v>44328</v>
      </c>
      <c r="B745" s="20">
        <v>2200</v>
      </c>
      <c r="C745" s="20">
        <v>411</v>
      </c>
      <c r="D745" s="20">
        <v>13980</v>
      </c>
      <c r="E745" s="17">
        <f t="shared" si="36"/>
        <v>-3.6231884057971175E-3</v>
      </c>
      <c r="F745" s="17">
        <f t="shared" si="36"/>
        <v>-1.674641148325362E-2</v>
      </c>
      <c r="G745" s="17">
        <f t="shared" si="36"/>
        <v>-1.0615711252653925E-2</v>
      </c>
      <c r="H745" s="14">
        <f t="shared" si="37"/>
        <v>-9.8788306415663642E-3</v>
      </c>
      <c r="I745" s="39">
        <f t="shared" si="38"/>
        <v>1.3227513227513227E-3</v>
      </c>
      <c r="J745" s="42">
        <v>3.1428571428571361E-2</v>
      </c>
      <c r="K745" s="88">
        <v>2.7874564459930307E-2</v>
      </c>
      <c r="L745" s="42">
        <v>3.8768866528558821E-2</v>
      </c>
      <c r="M745" s="43">
        <v>3.5123025643334659E-2</v>
      </c>
      <c r="Q745" s="2"/>
      <c r="R745" s="24"/>
      <c r="S745" s="24"/>
      <c r="T745" s="24"/>
    </row>
    <row r="746" spans="1:20" x14ac:dyDescent="0.25">
      <c r="A746" s="2">
        <v>44327</v>
      </c>
      <c r="B746" s="20">
        <v>2208</v>
      </c>
      <c r="C746" s="20">
        <v>418</v>
      </c>
      <c r="D746" s="20">
        <v>14130</v>
      </c>
      <c r="E746" s="17">
        <f t="shared" si="36"/>
        <v>-1.6042780748663055E-2</v>
      </c>
      <c r="F746" s="17">
        <f t="shared" si="36"/>
        <v>0</v>
      </c>
      <c r="G746" s="17">
        <f t="shared" si="36"/>
        <v>1.4721723518851038E-2</v>
      </c>
      <c r="H746" s="14">
        <f t="shared" si="37"/>
        <v>9.6480001676206E-3</v>
      </c>
      <c r="I746" s="39">
        <f t="shared" si="38"/>
        <v>1.3227513227513227E-3</v>
      </c>
      <c r="J746" s="42">
        <v>3.2116788321167933E-2</v>
      </c>
      <c r="K746" s="88">
        <v>2.8097062579821142E-2</v>
      </c>
      <c r="L746" s="42">
        <v>3.9439296745070074E-2</v>
      </c>
      <c r="M746" s="43">
        <v>3.5295231918023771E-2</v>
      </c>
      <c r="Q746" s="2"/>
      <c r="R746" s="24"/>
      <c r="S746" s="24"/>
      <c r="T746" s="24"/>
    </row>
    <row r="747" spans="1:20" x14ac:dyDescent="0.25">
      <c r="A747" s="2">
        <v>44326</v>
      </c>
      <c r="B747" s="20">
        <v>2244</v>
      </c>
      <c r="C747" s="20">
        <v>418</v>
      </c>
      <c r="D747" s="20">
        <v>13925</v>
      </c>
      <c r="E747" s="17">
        <f t="shared" ref="E747:G760" si="39">+B747/B748-1</f>
        <v>2.0928116469517644E-2</v>
      </c>
      <c r="F747" s="17">
        <f t="shared" si="39"/>
        <v>2.2004889975550057E-2</v>
      </c>
      <c r="G747" s="17">
        <f t="shared" si="39"/>
        <v>3.6036036036035668E-3</v>
      </c>
      <c r="H747" s="14">
        <f t="shared" si="37"/>
        <v>6.9049813560215015E-3</v>
      </c>
      <c r="I747" s="39">
        <f t="shared" si="38"/>
        <v>1.3227513227513227E-3</v>
      </c>
      <c r="J747" s="42">
        <v>3.2833690221270473E-2</v>
      </c>
      <c r="K747" s="88">
        <v>2.826379542395685E-2</v>
      </c>
      <c r="L747" s="42">
        <v>3.9585296889726562E-2</v>
      </c>
      <c r="M747" s="43">
        <v>3.564980259028741E-2</v>
      </c>
      <c r="Q747" s="2"/>
      <c r="R747" s="24"/>
      <c r="S747" s="24"/>
      <c r="T747" s="24"/>
    </row>
    <row r="748" spans="1:20" x14ac:dyDescent="0.25">
      <c r="A748" s="2">
        <v>44323</v>
      </c>
      <c r="B748" s="20">
        <v>2198</v>
      </c>
      <c r="C748" s="20">
        <v>409</v>
      </c>
      <c r="D748" s="20">
        <v>13875</v>
      </c>
      <c r="E748" s="17">
        <f t="shared" si="39"/>
        <v>2.0427112349117982E-2</v>
      </c>
      <c r="F748" s="17">
        <f t="shared" si="39"/>
        <v>-3.6540803897685548E-3</v>
      </c>
      <c r="G748" s="17">
        <f t="shared" si="39"/>
        <v>-2.4947294448348534E-2</v>
      </c>
      <c r="H748" s="14">
        <f t="shared" si="37"/>
        <v>-1.7482528074385623E-2</v>
      </c>
      <c r="I748" s="39">
        <f t="shared" si="38"/>
        <v>1.3227513227513227E-3</v>
      </c>
      <c r="J748" s="42">
        <v>3.2924961715160794E-2</v>
      </c>
      <c r="K748" s="88">
        <v>2.8277634961439535E-2</v>
      </c>
      <c r="L748" s="42">
        <v>3.9849976558837374E-2</v>
      </c>
      <c r="M748" s="43">
        <v>3.600576179311997E-2</v>
      </c>
      <c r="Q748" s="2"/>
      <c r="R748" s="24"/>
      <c r="S748" s="24"/>
      <c r="T748" s="24"/>
    </row>
    <row r="749" spans="1:20" x14ac:dyDescent="0.25">
      <c r="A749" s="2">
        <v>44322</v>
      </c>
      <c r="B749" s="20">
        <v>2154</v>
      </c>
      <c r="C749" s="87">
        <v>410.5</v>
      </c>
      <c r="D749" s="20">
        <v>14230</v>
      </c>
      <c r="E749" s="17">
        <f t="shared" si="39"/>
        <v>-2.7777777777777679E-3</v>
      </c>
      <c r="F749" s="17">
        <f t="shared" si="39"/>
        <v>1.2195121951219523E-3</v>
      </c>
      <c r="G749" s="17">
        <f t="shared" si="39"/>
        <v>8.1473609635140942E-3</v>
      </c>
      <c r="H749" s="14">
        <f t="shared" si="37"/>
        <v>6.2708947909711401E-3</v>
      </c>
      <c r="I749" s="39">
        <f t="shared" si="38"/>
        <v>1.3227513227513227E-3</v>
      </c>
      <c r="J749" s="42">
        <v>3.3912324234904867E-2</v>
      </c>
      <c r="K749" s="88">
        <v>2.9003783102143688E-2</v>
      </c>
      <c r="L749" s="42">
        <v>4.031354983202684E-2</v>
      </c>
      <c r="M749" s="43">
        <v>3.6451962753594469E-2</v>
      </c>
      <c r="Q749" s="2"/>
      <c r="R749" s="24"/>
      <c r="S749" s="24"/>
      <c r="T749" s="24"/>
    </row>
    <row r="750" spans="1:20" x14ac:dyDescent="0.25">
      <c r="A750" s="2">
        <v>44321</v>
      </c>
      <c r="B750" s="20">
        <v>2160</v>
      </c>
      <c r="C750" s="20">
        <v>410</v>
      </c>
      <c r="D750" s="20">
        <v>14115</v>
      </c>
      <c r="E750" s="17">
        <f t="shared" si="39"/>
        <v>9.3457943925232545E-3</v>
      </c>
      <c r="F750" s="17">
        <f t="shared" si="39"/>
        <v>-2.4330900243308973E-3</v>
      </c>
      <c r="G750" s="17">
        <f t="shared" si="39"/>
        <v>1.6930835734870309E-2</v>
      </c>
      <c r="H750" s="14">
        <f t="shared" si="37"/>
        <v>1.4988663704381358E-2</v>
      </c>
      <c r="I750" s="39">
        <f t="shared" si="38"/>
        <v>1.3227513227513227E-3</v>
      </c>
      <c r="J750" s="42">
        <v>3.4393809114359408E-2</v>
      </c>
      <c r="K750" s="88">
        <v>3.1147540983606614E-2</v>
      </c>
      <c r="L750" s="42">
        <v>4.0600393700787496E-2</v>
      </c>
      <c r="M750" s="43">
        <v>3.6603528715642805E-2</v>
      </c>
      <c r="Q750" s="2"/>
    </row>
    <row r="751" spans="1:20" x14ac:dyDescent="0.25">
      <c r="A751" s="2">
        <v>44320</v>
      </c>
      <c r="B751" s="20">
        <v>2140</v>
      </c>
      <c r="C751" s="20">
        <v>411</v>
      </c>
      <c r="D751" s="20">
        <v>13880</v>
      </c>
      <c r="E751" s="17">
        <f t="shared" si="39"/>
        <v>3.5818005808325282E-2</v>
      </c>
      <c r="F751" s="17">
        <f t="shared" si="39"/>
        <v>-9.6385542168674343E-3</v>
      </c>
      <c r="G751" s="17">
        <f t="shared" si="39"/>
        <v>2.7767493520918229E-2</v>
      </c>
      <c r="H751" s="14">
        <f t="shared" si="37"/>
        <v>2.7282630086112442E-2</v>
      </c>
      <c r="I751" s="39">
        <f t="shared" si="38"/>
        <v>1.3227513227513227E-3</v>
      </c>
      <c r="J751" s="42">
        <v>3.4959349593495892E-2</v>
      </c>
      <c r="K751" s="88">
        <v>3.1289111389236623E-2</v>
      </c>
      <c r="L751" s="42">
        <v>4.376083188908142E-2</v>
      </c>
      <c r="M751" s="43">
        <v>3.7251966868216073E-2</v>
      </c>
      <c r="Q751" s="2"/>
    </row>
    <row r="752" spans="1:20" x14ac:dyDescent="0.25">
      <c r="A752" s="2">
        <v>44319</v>
      </c>
      <c r="B752" s="20">
        <v>2066</v>
      </c>
      <c r="C752" s="20">
        <v>415</v>
      </c>
      <c r="D752" s="20">
        <v>13505</v>
      </c>
      <c r="E752" s="17">
        <f t="shared" si="39"/>
        <v>-1.9323671497584183E-3</v>
      </c>
      <c r="F752" s="17">
        <f t="shared" si="39"/>
        <v>0</v>
      </c>
      <c r="G752" s="17">
        <f t="shared" si="39"/>
        <v>2.5983667409057443E-3</v>
      </c>
      <c r="H752" s="14">
        <f t="shared" si="37"/>
        <v>1.8322491211925473E-3</v>
      </c>
      <c r="I752" s="39">
        <f t="shared" si="38"/>
        <v>1.3227513227513227E-3</v>
      </c>
      <c r="J752" s="42">
        <v>3.5818005808325282E-2</v>
      </c>
      <c r="K752" s="88">
        <v>3.1460674157303359E-2</v>
      </c>
      <c r="L752" s="42">
        <v>4.4918998527246012E-2</v>
      </c>
      <c r="M752" s="43">
        <v>3.7569538262642102E-2</v>
      </c>
      <c r="Q752" s="2"/>
    </row>
    <row r="753" spans="1:17" x14ac:dyDescent="0.25">
      <c r="A753" s="2">
        <v>44316</v>
      </c>
      <c r="B753" s="20">
        <v>2070</v>
      </c>
      <c r="C753" s="20">
        <v>415</v>
      </c>
      <c r="D753" s="20">
        <v>13470</v>
      </c>
      <c r="E753" s="17">
        <f t="shared" si="39"/>
        <v>-1.9886363636363646E-2</v>
      </c>
      <c r="F753" s="17">
        <f t="shared" si="39"/>
        <v>-2.4038461538461453E-3</v>
      </c>
      <c r="G753" s="17">
        <f t="shared" si="39"/>
        <v>-2.9607698001480331E-3</v>
      </c>
      <c r="H753" s="14">
        <f t="shared" si="37"/>
        <v>-5.3718723771471666E-3</v>
      </c>
      <c r="I753" s="39">
        <f t="shared" si="38"/>
        <v>1.3227513227513227E-3</v>
      </c>
      <c r="J753" s="42">
        <v>3.6624203821655987E-2</v>
      </c>
      <c r="K753" s="88">
        <v>3.2214765100671228E-2</v>
      </c>
      <c r="L753" s="42">
        <v>4.492723054207981E-2</v>
      </c>
      <c r="M753" s="43">
        <v>3.7777112244409855E-2</v>
      </c>
      <c r="Q753" s="2"/>
    </row>
    <row r="754" spans="1:17" x14ac:dyDescent="0.25">
      <c r="A754" s="2">
        <v>44315</v>
      </c>
      <c r="B754" s="20">
        <v>2112</v>
      </c>
      <c r="C754" s="20">
        <v>416</v>
      </c>
      <c r="D754" s="20">
        <v>13510</v>
      </c>
      <c r="E754" s="17">
        <f t="shared" si="39"/>
        <v>3.8022813688212143E-3</v>
      </c>
      <c r="F754" s="17">
        <f t="shared" si="39"/>
        <v>-9.52380952380949E-3</v>
      </c>
      <c r="G754" s="17">
        <f t="shared" si="39"/>
        <v>8.208955223880654E-3</v>
      </c>
      <c r="H754" s="14">
        <f t="shared" si="37"/>
        <v>6.7958059343371357E-3</v>
      </c>
      <c r="I754" s="39">
        <f t="shared" si="38"/>
        <v>1.3227513227513227E-3</v>
      </c>
      <c r="J754" s="42">
        <v>3.7356321839080442E-2</v>
      </c>
      <c r="K754" s="88">
        <v>3.2520325203251987E-2</v>
      </c>
      <c r="L754" s="42">
        <v>4.5060658578856216E-2</v>
      </c>
      <c r="M754" s="43">
        <v>3.812539033500198E-2</v>
      </c>
    </row>
    <row r="755" spans="1:17" x14ac:dyDescent="0.25">
      <c r="A755" s="2">
        <v>44314</v>
      </c>
      <c r="B755" s="20">
        <v>2104</v>
      </c>
      <c r="C755" s="20">
        <v>420</v>
      </c>
      <c r="D755" s="20">
        <v>13400</v>
      </c>
      <c r="E755" s="17">
        <f t="shared" si="39"/>
        <v>2.3346303501945442E-2</v>
      </c>
      <c r="F755" s="17">
        <f t="shared" si="39"/>
        <v>0</v>
      </c>
      <c r="G755" s="17">
        <f t="shared" si="39"/>
        <v>7.468259895444529E-4</v>
      </c>
      <c r="H755" s="14">
        <f t="shared" si="37"/>
        <v>3.9660497244799371E-3</v>
      </c>
      <c r="I755" s="39">
        <f t="shared" si="38"/>
        <v>1.3227513227513227E-3</v>
      </c>
      <c r="J755" s="42">
        <v>3.7938439513242717E-2</v>
      </c>
      <c r="K755" s="88">
        <v>3.2679738562091609E-2</v>
      </c>
      <c r="L755" s="42">
        <v>4.5651449516827647E-2</v>
      </c>
      <c r="M755" s="43">
        <v>3.8437417970887684E-2</v>
      </c>
    </row>
    <row r="756" spans="1:17" x14ac:dyDescent="0.25">
      <c r="A756" s="2">
        <v>44313</v>
      </c>
      <c r="B756" s="20">
        <v>2056</v>
      </c>
      <c r="C756" s="20">
        <v>420</v>
      </c>
      <c r="D756" s="20">
        <v>13390</v>
      </c>
      <c r="E756" s="17">
        <f t="shared" si="39"/>
        <v>-1.9417475728155109E-3</v>
      </c>
      <c r="F756" s="17">
        <f t="shared" si="39"/>
        <v>2.3866348448686736E-3</v>
      </c>
      <c r="G756" s="17">
        <f t="shared" si="39"/>
        <v>1.1214953271028172E-3</v>
      </c>
      <c r="H756" s="14">
        <f t="shared" si="37"/>
        <v>7.3627900641032979E-4</v>
      </c>
      <c r="I756" s="39">
        <f t="shared" si="38"/>
        <v>1.3227513227513227E-3</v>
      </c>
      <c r="J756" s="42">
        <v>3.8781163434903121E-2</v>
      </c>
      <c r="K756" s="88">
        <v>3.2812499999999911E-2</v>
      </c>
      <c r="L756" s="42">
        <v>4.6268152651131267E-2</v>
      </c>
      <c r="M756" s="43">
        <v>3.9033076092944624E-2</v>
      </c>
    </row>
    <row r="757" spans="1:17" x14ac:dyDescent="0.25">
      <c r="A757" s="2">
        <v>44312</v>
      </c>
      <c r="B757" s="20">
        <v>2060</v>
      </c>
      <c r="C757" s="20">
        <v>419</v>
      </c>
      <c r="D757" s="20">
        <v>13375</v>
      </c>
      <c r="E757" s="17">
        <f t="shared" si="39"/>
        <v>1.7786561264822032E-2</v>
      </c>
      <c r="F757" s="17">
        <f t="shared" si="39"/>
        <v>9.6385542168675453E-3</v>
      </c>
      <c r="G757" s="17">
        <f t="shared" si="39"/>
        <v>1.325757575757569E-2</v>
      </c>
      <c r="H757" s="14">
        <f t="shared" si="37"/>
        <v>1.3750299747252684E-2</v>
      </c>
      <c r="I757" s="39">
        <f t="shared" si="38"/>
        <v>1.3227513227513227E-3</v>
      </c>
      <c r="J757" s="42">
        <v>3.9452495974235058E-2</v>
      </c>
      <c r="K757" s="88">
        <v>3.327495621716281E-2</v>
      </c>
      <c r="L757" s="42">
        <v>4.8009367681498771E-2</v>
      </c>
      <c r="M757" s="43">
        <v>3.9595990719054175E-2</v>
      </c>
    </row>
    <row r="758" spans="1:17" x14ac:dyDescent="0.25">
      <c r="A758" s="2">
        <v>44309</v>
      </c>
      <c r="B758" s="20">
        <v>2024</v>
      </c>
      <c r="C758" s="20">
        <v>415</v>
      </c>
      <c r="D758" s="20">
        <v>13200</v>
      </c>
      <c r="E758" s="17">
        <f t="shared" si="39"/>
        <v>-1.0752688172043001E-2</v>
      </c>
      <c r="F758" s="17">
        <f t="shared" si="39"/>
        <v>2.4154589371980784E-3</v>
      </c>
      <c r="G758" s="17">
        <f t="shared" si="39"/>
        <v>5.7142857142857828E-3</v>
      </c>
      <c r="H758" s="14">
        <f t="shared" si="37"/>
        <v>3.1997872426038944E-3</v>
      </c>
      <c r="I758" s="39">
        <f t="shared" si="38"/>
        <v>1.3227513227513227E-3</v>
      </c>
      <c r="J758" s="42">
        <v>4.0334855403348469E-2</v>
      </c>
      <c r="K758" s="88">
        <v>3.3747779751332141E-2</v>
      </c>
      <c r="L758" s="42">
        <v>4.8879837067209886E-2</v>
      </c>
      <c r="M758" s="43">
        <v>3.9604484109882043E-2</v>
      </c>
    </row>
    <row r="759" spans="1:17" x14ac:dyDescent="0.25">
      <c r="A759" s="2">
        <v>44308</v>
      </c>
      <c r="B759" s="20">
        <v>2046</v>
      </c>
      <c r="C759" s="20">
        <v>414</v>
      </c>
      <c r="D759" s="20">
        <v>13125</v>
      </c>
      <c r="E759" s="17">
        <f t="shared" si="39"/>
        <v>0</v>
      </c>
      <c r="F759" s="17">
        <f t="shared" si="39"/>
        <v>0</v>
      </c>
      <c r="G759" s="17">
        <f t="shared" si="39"/>
        <v>3.8109756097570724E-4</v>
      </c>
      <c r="H759" s="14">
        <f t="shared" si="37"/>
        <v>3.0951579200604805E-4</v>
      </c>
      <c r="I759" s="39">
        <f t="shared" si="38"/>
        <v>1.3227513227513227E-3</v>
      </c>
      <c r="J759" s="42">
        <v>4.1924398625429626E-2</v>
      </c>
      <c r="K759" s="88">
        <v>3.4108527131782918E-2</v>
      </c>
      <c r="L759" s="42">
        <v>4.9096804075961176E-2</v>
      </c>
      <c r="M759" s="43">
        <v>4.1940723254592298E-2</v>
      </c>
    </row>
    <row r="760" spans="1:17" x14ac:dyDescent="0.25">
      <c r="A760" s="2">
        <v>44307</v>
      </c>
      <c r="B760" s="20">
        <v>2046</v>
      </c>
      <c r="C760" s="20">
        <v>414</v>
      </c>
      <c r="D760" s="20">
        <v>13120</v>
      </c>
      <c r="E760" s="17">
        <f t="shared" si="39"/>
        <v>9.7847358121327943E-4</v>
      </c>
      <c r="F760" s="17">
        <f t="shared" si="39"/>
        <v>-9.5693779904306719E-3</v>
      </c>
      <c r="G760" s="17">
        <f t="shared" si="39"/>
        <v>-3.418154196733747E-3</v>
      </c>
      <c r="H760" s="14">
        <f t="shared" si="37"/>
        <v>-3.0557209022366084E-3</v>
      </c>
      <c r="I760" s="39">
        <f t="shared" si="38"/>
        <v>1.3227513227513227E-3</v>
      </c>
      <c r="J760" s="42">
        <v>4.2136945071482357E-2</v>
      </c>
      <c r="K760" s="88">
        <v>3.4117647058823586E-2</v>
      </c>
      <c r="L760" s="42">
        <v>5.0359712230215736E-2</v>
      </c>
      <c r="M760" s="43">
        <v>4.4580650661009781E-2</v>
      </c>
    </row>
    <row r="761" spans="1:17" x14ac:dyDescent="0.25">
      <c r="A761" s="2">
        <v>44306</v>
      </c>
      <c r="B761" s="20">
        <v>2044</v>
      </c>
      <c r="C761" s="20">
        <v>418</v>
      </c>
      <c r="D761" s="20">
        <v>13165</v>
      </c>
      <c r="E761" s="17"/>
      <c r="F761" s="17"/>
      <c r="G761" s="17"/>
      <c r="H761" s="14"/>
      <c r="I761" s="39">
        <f t="shared" si="38"/>
        <v>1.3227513227513227E-3</v>
      </c>
      <c r="J761" s="42">
        <v>4.482758620689653E-2</v>
      </c>
      <c r="K761" s="88">
        <v>3.4161490683229712E-2</v>
      </c>
      <c r="L761" s="42">
        <v>5.0684009867683288E-2</v>
      </c>
      <c r="M761" s="43">
        <v>4.4820761471809883E-2</v>
      </c>
    </row>
    <row r="762" spans="1:17" x14ac:dyDescent="0.25">
      <c r="A762" s="2"/>
      <c r="B762" s="31"/>
      <c r="C762" s="31"/>
      <c r="D762" s="31"/>
      <c r="E762" s="17"/>
      <c r="F762" s="17"/>
      <c r="G762" s="17"/>
      <c r="H762" s="14"/>
      <c r="I762" s="39">
        <f t="shared" si="38"/>
        <v>1.3227513227513227E-3</v>
      </c>
      <c r="J762" s="42">
        <v>4.7619047619047672E-2</v>
      </c>
      <c r="K762" s="88">
        <v>3.4178610804851184E-2</v>
      </c>
      <c r="L762" s="42">
        <v>5.1058530510585287E-2</v>
      </c>
      <c r="M762" s="43">
        <v>4.6076286626877107E-2</v>
      </c>
    </row>
    <row r="763" spans="1:17" x14ac:dyDescent="0.25">
      <c r="A763" s="2"/>
      <c r="B763" s="31"/>
      <c r="C763" s="31"/>
      <c r="D763" s="31"/>
      <c r="E763" s="17"/>
      <c r="F763" s="17"/>
      <c r="G763" s="17"/>
      <c r="H763" s="14"/>
      <c r="I763" s="39">
        <f t="shared" si="38"/>
        <v>1.3227513227513227E-3</v>
      </c>
      <c r="J763" s="42">
        <v>4.7736625514403386E-2</v>
      </c>
      <c r="K763" s="88">
        <v>3.4782608695652195E-2</v>
      </c>
      <c r="L763" s="42">
        <v>5.2359271523178874E-2</v>
      </c>
      <c r="M763" s="43">
        <v>4.8432833685325159E-2</v>
      </c>
    </row>
    <row r="764" spans="1:17" x14ac:dyDescent="0.25">
      <c r="A764" s="2"/>
      <c r="B764" s="31"/>
      <c r="C764" s="31"/>
      <c r="D764" s="31"/>
      <c r="E764" s="17"/>
      <c r="F764" s="17"/>
      <c r="G764" s="17"/>
      <c r="H764" s="14"/>
      <c r="I764" s="39">
        <f t="shared" si="38"/>
        <v>1.3227513227513227E-3</v>
      </c>
      <c r="J764" s="42">
        <v>5.1282051282051322E-2</v>
      </c>
      <c r="K764" s="88">
        <v>3.5426731078904927E-2</v>
      </c>
      <c r="L764" s="42">
        <v>5.418604651162795E-2</v>
      </c>
      <c r="M764" s="43">
        <v>4.9135603843524951E-2</v>
      </c>
    </row>
    <row r="765" spans="1:17" x14ac:dyDescent="0.25">
      <c r="A765" s="2"/>
      <c r="B765" s="31"/>
      <c r="C765" s="31"/>
      <c r="D765" s="31"/>
      <c r="E765" s="17"/>
      <c r="F765" s="17"/>
      <c r="G765" s="17"/>
      <c r="H765" s="14"/>
      <c r="I765" s="39">
        <f t="shared" si="38"/>
        <v>1.3227513227513227E-3</v>
      </c>
      <c r="J765" s="42">
        <v>5.2592592592592524E-2</v>
      </c>
      <c r="K765" s="88">
        <v>3.6842105263157787E-2</v>
      </c>
      <c r="L765" s="42">
        <v>5.6643780290791534E-2</v>
      </c>
      <c r="M765" s="43">
        <v>5.378717406696449E-2</v>
      </c>
    </row>
    <row r="766" spans="1:17" x14ac:dyDescent="0.25">
      <c r="A766" s="2"/>
      <c r="B766" s="31"/>
      <c r="C766" s="31"/>
      <c r="D766" s="31"/>
      <c r="E766" s="17"/>
      <c r="F766" s="17"/>
      <c r="G766" s="17"/>
      <c r="H766" s="14"/>
      <c r="I766" s="39">
        <f t="shared" si="38"/>
        <v>1.3227513227513227E-3</v>
      </c>
      <c r="J766" s="42">
        <v>5.2845528455284452E-2</v>
      </c>
      <c r="K766" s="88">
        <v>4.0110650069156373E-2</v>
      </c>
      <c r="L766" s="42">
        <v>8.6956521739130377E-2</v>
      </c>
      <c r="M766" s="43">
        <v>7.2083777028452936E-2</v>
      </c>
    </row>
    <row r="767" spans="1:17" x14ac:dyDescent="0.25">
      <c r="A767" s="2"/>
      <c r="B767" s="31"/>
      <c r="C767" s="31"/>
      <c r="D767" s="31"/>
      <c r="E767" s="17"/>
      <c r="F767" s="17"/>
      <c r="G767" s="17"/>
      <c r="H767" s="14"/>
      <c r="I767" s="39">
        <f t="shared" si="38"/>
        <v>1.3227513227513227E-3</v>
      </c>
      <c r="J767" s="42">
        <v>5.6438791732909444E-2</v>
      </c>
      <c r="K767" s="88">
        <v>4.5092838196286511E-2</v>
      </c>
      <c r="L767" s="42">
        <v>8.9090909090909109E-2</v>
      </c>
      <c r="M767" s="43">
        <v>7.3571221882359358E-2</v>
      </c>
    </row>
    <row r="768" spans="1:17" x14ac:dyDescent="0.25">
      <c r="A768" s="2"/>
      <c r="B768" s="31"/>
      <c r="C768" s="31"/>
      <c r="D768" s="31"/>
      <c r="E768" s="17"/>
      <c r="F768" s="17"/>
      <c r="G768" s="17"/>
      <c r="H768" s="14"/>
      <c r="I768" s="39">
        <f t="shared" si="38"/>
        <v>1.3227513227513227E-3</v>
      </c>
      <c r="J768" s="42">
        <v>5.6603773584905648E-2</v>
      </c>
      <c r="K768" s="88">
        <v>5.1244509516837455E-2</v>
      </c>
      <c r="L768" s="42">
        <v>9.7256857855361645E-2</v>
      </c>
      <c r="M768" s="43">
        <v>8.2142827715440347E-2</v>
      </c>
    </row>
    <row r="769" spans="1:13" x14ac:dyDescent="0.25">
      <c r="A769" s="2"/>
      <c r="B769" s="31"/>
      <c r="C769" s="31"/>
      <c r="D769" s="31"/>
      <c r="E769" s="17"/>
      <c r="F769" s="17"/>
      <c r="G769" s="17"/>
      <c r="H769" s="14"/>
      <c r="I769" s="39">
        <f t="shared" si="38"/>
        <v>1.3227513227513227E-3</v>
      </c>
      <c r="J769" s="42">
        <v>6.4071370640713665E-2</v>
      </c>
      <c r="K769" s="88">
        <v>5.3667262969588458E-2</v>
      </c>
      <c r="L769" s="42">
        <v>9.8352471293060351E-2</v>
      </c>
      <c r="M769" s="43">
        <v>8.3713769791436424E-2</v>
      </c>
    </row>
    <row r="770" spans="1:13" x14ac:dyDescent="0.25">
      <c r="A770" s="2"/>
      <c r="B770" s="31"/>
      <c r="C770" s="31"/>
      <c r="D770" s="31"/>
      <c r="E770" s="17"/>
      <c r="F770" s="17"/>
      <c r="G770" s="17"/>
      <c r="H770" s="14"/>
      <c r="I770" s="39">
        <f t="shared" si="38"/>
        <v>1.3227513227513227E-3</v>
      </c>
      <c r="J770" s="42">
        <v>6.5598779557589637E-2</v>
      </c>
      <c r="K770" s="88">
        <v>0.10526315789473695</v>
      </c>
      <c r="L770" s="42">
        <v>0.13374327440430434</v>
      </c>
      <c r="M770" s="43">
        <v>0.11600161562363188</v>
      </c>
    </row>
    <row r="771" spans="1:13" x14ac:dyDescent="0.25">
      <c r="A771" s="2"/>
      <c r="B771" s="31"/>
      <c r="C771" s="31"/>
      <c r="D771" s="31"/>
      <c r="E771" s="17"/>
      <c r="F771" s="17"/>
      <c r="G771" s="17"/>
      <c r="H771" s="14"/>
      <c r="I771" s="39"/>
      <c r="J771" s="17"/>
      <c r="K771" s="24"/>
      <c r="L771" s="17"/>
      <c r="M771" s="27"/>
    </row>
    <row r="772" spans="1:13" x14ac:dyDescent="0.25">
      <c r="A772" s="2"/>
      <c r="B772" s="31"/>
      <c r="C772" s="31"/>
      <c r="D772" s="31"/>
      <c r="E772" s="17"/>
      <c r="F772" s="17"/>
      <c r="G772" s="17"/>
      <c r="H772" s="14"/>
      <c r="I772" s="39"/>
      <c r="J772" s="17"/>
      <c r="K772" s="24"/>
      <c r="L772" s="17"/>
      <c r="M772" s="27"/>
    </row>
    <row r="773" spans="1:13" x14ac:dyDescent="0.25">
      <c r="A773" s="2"/>
      <c r="B773" s="31"/>
      <c r="C773" s="31"/>
      <c r="D773" s="31"/>
      <c r="E773" s="17"/>
      <c r="F773" s="17"/>
      <c r="G773" s="17"/>
      <c r="H773" s="14"/>
      <c r="I773" s="39"/>
      <c r="J773" s="17"/>
      <c r="K773" s="24"/>
      <c r="L773" s="17"/>
      <c r="M773" s="27"/>
    </row>
    <row r="774" spans="1:13" x14ac:dyDescent="0.25">
      <c r="A774" s="2"/>
      <c r="B774" s="31"/>
      <c r="C774" s="31"/>
      <c r="D774" s="31"/>
      <c r="E774" s="17"/>
      <c r="F774" s="17"/>
      <c r="G774" s="17"/>
      <c r="H774" s="14"/>
      <c r="I774" s="39"/>
      <c r="J774" s="17"/>
      <c r="K774" s="24"/>
      <c r="L774" s="17"/>
      <c r="M774" s="27"/>
    </row>
    <row r="775" spans="1:13" x14ac:dyDescent="0.25">
      <c r="A775" s="2"/>
      <c r="E775" s="1"/>
      <c r="F775" s="1"/>
      <c r="G775" s="1"/>
      <c r="I775" s="39"/>
      <c r="J775" s="17"/>
      <c r="K775" s="24"/>
      <c r="L775" s="17"/>
      <c r="M775" s="27"/>
    </row>
    <row r="776" spans="1:13" x14ac:dyDescent="0.25">
      <c r="A776" s="2"/>
      <c r="E776" s="1"/>
      <c r="F776" s="1"/>
      <c r="G776" s="1"/>
      <c r="I776" s="39"/>
      <c r="J776" s="17"/>
      <c r="K776" s="24"/>
      <c r="L776" s="17"/>
      <c r="M776" s="27"/>
    </row>
    <row r="777" spans="1:13" x14ac:dyDescent="0.25">
      <c r="A777" s="2"/>
      <c r="E777" s="1"/>
      <c r="F777" s="1"/>
      <c r="G777" s="1"/>
      <c r="I777" s="39"/>
      <c r="J777" s="17"/>
      <c r="K777" s="24"/>
      <c r="L777" s="17"/>
      <c r="M777" s="27"/>
    </row>
    <row r="778" spans="1:13" x14ac:dyDescent="0.25">
      <c r="A778" s="2"/>
      <c r="E778" s="1"/>
      <c r="F778" s="1"/>
      <c r="G778" s="1"/>
      <c r="I778" s="39"/>
      <c r="J778" s="17"/>
      <c r="K778" s="24"/>
      <c r="L778" s="17"/>
      <c r="M778" s="27"/>
    </row>
    <row r="779" spans="1:13" x14ac:dyDescent="0.25">
      <c r="A779" s="2"/>
      <c r="E779" s="1"/>
      <c r="F779" s="1"/>
      <c r="G779" s="1"/>
      <c r="I779" s="39"/>
      <c r="J779" s="17"/>
      <c r="K779" s="24"/>
      <c r="L779" s="17"/>
      <c r="M779" s="27"/>
    </row>
    <row r="780" spans="1:13" x14ac:dyDescent="0.25">
      <c r="A780" s="2"/>
      <c r="E780" s="1"/>
      <c r="F780" s="1"/>
      <c r="G780" s="1"/>
      <c r="I780" s="39"/>
      <c r="J780" s="17"/>
      <c r="K780" s="24"/>
      <c r="L780" s="17"/>
      <c r="M780" s="27"/>
    </row>
    <row r="781" spans="1:13" x14ac:dyDescent="0.25">
      <c r="A781" s="2"/>
      <c r="E781" s="1"/>
      <c r="F781" s="1"/>
      <c r="G781" s="1"/>
      <c r="I781" s="39"/>
      <c r="J781" s="17"/>
      <c r="K781" s="24"/>
      <c r="L781" s="17"/>
      <c r="M781" s="27"/>
    </row>
    <row r="782" spans="1:13" x14ac:dyDescent="0.25">
      <c r="A782" s="2"/>
      <c r="E782" s="1"/>
      <c r="F782" s="1"/>
      <c r="G782" s="1"/>
      <c r="I782" s="39"/>
      <c r="J782" s="17"/>
      <c r="K782" s="24"/>
      <c r="L782" s="17"/>
      <c r="M782" s="27"/>
    </row>
    <row r="783" spans="1:13" x14ac:dyDescent="0.25">
      <c r="A783" s="2"/>
      <c r="E783" s="1"/>
      <c r="F783" s="1"/>
      <c r="G783" s="1"/>
      <c r="I783" s="39"/>
      <c r="J783" s="17"/>
      <c r="K783" s="24"/>
      <c r="L783" s="17"/>
      <c r="M783" s="27"/>
    </row>
    <row r="784" spans="1:13" x14ac:dyDescent="0.25">
      <c r="A784" s="2"/>
      <c r="E784" s="1"/>
      <c r="F784" s="1"/>
      <c r="G784" s="1"/>
    </row>
    <row r="785" spans="1:7" x14ac:dyDescent="0.25">
      <c r="A785" s="2"/>
      <c r="E785" s="1"/>
      <c r="F785" s="1"/>
      <c r="G785" s="1"/>
    </row>
    <row r="786" spans="1:7" x14ac:dyDescent="0.25">
      <c r="A786" s="2"/>
      <c r="E786" s="1"/>
      <c r="F786" s="1"/>
      <c r="G786" s="1"/>
    </row>
    <row r="787" spans="1:7" x14ac:dyDescent="0.25">
      <c r="A787" s="2"/>
      <c r="E787" s="1"/>
      <c r="F787" s="1"/>
      <c r="G787" s="1"/>
    </row>
    <row r="788" spans="1:7" x14ac:dyDescent="0.25">
      <c r="A788" s="2"/>
      <c r="E788" s="1"/>
      <c r="F788" s="1"/>
      <c r="G788" s="1"/>
    </row>
    <row r="789" spans="1:7" x14ac:dyDescent="0.25">
      <c r="A789" s="2"/>
      <c r="E789" s="1"/>
      <c r="F789" s="1"/>
      <c r="G789" s="1"/>
    </row>
    <row r="790" spans="1:7" x14ac:dyDescent="0.25">
      <c r="A790" s="2"/>
      <c r="E790" s="1"/>
      <c r="F790" s="1"/>
      <c r="G790" s="1"/>
    </row>
    <row r="791" spans="1:7" x14ac:dyDescent="0.25">
      <c r="A791" s="2"/>
      <c r="E791" s="1"/>
      <c r="F791" s="1"/>
      <c r="G791" s="1"/>
    </row>
    <row r="792" spans="1:7" x14ac:dyDescent="0.25">
      <c r="A792" s="2"/>
      <c r="E792" s="1"/>
      <c r="F792" s="1"/>
      <c r="G792" s="1"/>
    </row>
    <row r="793" spans="1:7" x14ac:dyDescent="0.25">
      <c r="A793" s="2"/>
      <c r="E793" s="1"/>
      <c r="F793" s="1"/>
      <c r="G793" s="1"/>
    </row>
    <row r="794" spans="1:7" x14ac:dyDescent="0.25">
      <c r="A794" s="2"/>
      <c r="E794" s="1"/>
      <c r="F794" s="1"/>
      <c r="G794" s="1"/>
    </row>
    <row r="795" spans="1:7" x14ac:dyDescent="0.25">
      <c r="A795" s="2"/>
      <c r="E795" s="1"/>
      <c r="F795" s="1"/>
      <c r="G795" s="1"/>
    </row>
    <row r="796" spans="1:7" x14ac:dyDescent="0.25">
      <c r="A796" s="2"/>
      <c r="E796" s="1"/>
      <c r="F796" s="1"/>
      <c r="G796" s="1"/>
    </row>
    <row r="797" spans="1:7" x14ac:dyDescent="0.25">
      <c r="A797" s="2"/>
      <c r="E797" s="1"/>
      <c r="F797" s="1"/>
      <c r="G797" s="1"/>
    </row>
    <row r="798" spans="1:7" x14ac:dyDescent="0.25">
      <c r="A798" s="2"/>
      <c r="E798" s="1"/>
      <c r="F798" s="1"/>
      <c r="G798" s="1"/>
    </row>
    <row r="799" spans="1:7" x14ac:dyDescent="0.25">
      <c r="A799" s="2"/>
      <c r="E799" s="1"/>
      <c r="F799" s="1"/>
      <c r="G799" s="1"/>
    </row>
    <row r="800" spans="1:7" x14ac:dyDescent="0.25">
      <c r="A800" s="2"/>
      <c r="E800" s="1"/>
      <c r="F800" s="1"/>
      <c r="G800" s="1"/>
    </row>
    <row r="801" spans="1:7" x14ac:dyDescent="0.25">
      <c r="A801" s="2"/>
      <c r="E801" s="1"/>
      <c r="F801" s="1"/>
      <c r="G801" s="1"/>
    </row>
    <row r="802" spans="1:7" x14ac:dyDescent="0.25">
      <c r="A802" s="2"/>
      <c r="E802" s="1"/>
      <c r="F802" s="1"/>
      <c r="G802" s="1"/>
    </row>
    <row r="803" spans="1:7" x14ac:dyDescent="0.25">
      <c r="A803" s="2"/>
      <c r="E803" s="1"/>
      <c r="F803" s="1"/>
      <c r="G803" s="1"/>
    </row>
    <row r="804" spans="1:7" x14ac:dyDescent="0.25">
      <c r="A804" s="2"/>
      <c r="E804" s="1"/>
      <c r="F804" s="1"/>
      <c r="G804" s="1"/>
    </row>
    <row r="805" spans="1:7" x14ac:dyDescent="0.25">
      <c r="A805" s="2"/>
      <c r="E805" s="1"/>
      <c r="F805" s="1"/>
      <c r="G805" s="1"/>
    </row>
    <row r="806" spans="1:7" x14ac:dyDescent="0.25">
      <c r="A806" s="2"/>
      <c r="E806" s="1"/>
      <c r="F806" s="1"/>
      <c r="G806" s="1"/>
    </row>
    <row r="807" spans="1:7" x14ac:dyDescent="0.25">
      <c r="A807" s="2"/>
      <c r="E807" s="1"/>
      <c r="F807" s="1"/>
      <c r="G807" s="1"/>
    </row>
    <row r="808" spans="1:7" x14ac:dyDescent="0.25">
      <c r="A808" s="2"/>
      <c r="E808" s="1"/>
      <c r="F808" s="1"/>
      <c r="G808" s="1"/>
    </row>
    <row r="809" spans="1:7" x14ac:dyDescent="0.25">
      <c r="A809" s="2"/>
      <c r="E809" s="1"/>
      <c r="F809" s="1"/>
      <c r="G809" s="1"/>
    </row>
    <row r="810" spans="1:7" x14ac:dyDescent="0.25">
      <c r="A810" s="2"/>
      <c r="E810" s="1"/>
      <c r="F810" s="1"/>
      <c r="G810" s="1"/>
    </row>
    <row r="811" spans="1:7" x14ac:dyDescent="0.25">
      <c r="A811" s="2"/>
      <c r="E811" s="1"/>
      <c r="F811" s="1"/>
      <c r="G811" s="1"/>
    </row>
    <row r="812" spans="1:7" x14ac:dyDescent="0.25">
      <c r="A812" s="2"/>
      <c r="E812" s="1"/>
      <c r="F812" s="1"/>
      <c r="G812" s="1"/>
    </row>
    <row r="813" spans="1:7" x14ac:dyDescent="0.25">
      <c r="A813" s="2"/>
      <c r="E813" s="1"/>
      <c r="F813" s="1"/>
      <c r="G813" s="1"/>
    </row>
    <row r="814" spans="1:7" x14ac:dyDescent="0.25">
      <c r="A814" s="2"/>
      <c r="E814" s="1"/>
      <c r="F814" s="1"/>
      <c r="G814" s="1"/>
    </row>
    <row r="815" spans="1:7" x14ac:dyDescent="0.25">
      <c r="A815" s="2"/>
      <c r="E815" s="1"/>
      <c r="F815" s="1"/>
      <c r="G815" s="1"/>
    </row>
    <row r="816" spans="1:7" x14ac:dyDescent="0.25">
      <c r="A816" s="2"/>
      <c r="E816" s="1"/>
      <c r="F816" s="1"/>
      <c r="G816" s="1"/>
    </row>
    <row r="817" spans="1:7" x14ac:dyDescent="0.25">
      <c r="A817" s="2"/>
      <c r="E817" s="1"/>
      <c r="F817" s="1"/>
      <c r="G817" s="1"/>
    </row>
    <row r="818" spans="1:7" x14ac:dyDescent="0.25">
      <c r="A818" s="2"/>
      <c r="E818" s="1"/>
      <c r="F818" s="1"/>
      <c r="G818" s="1"/>
    </row>
    <row r="819" spans="1:7" x14ac:dyDescent="0.25">
      <c r="A819" s="2"/>
      <c r="E819" s="1"/>
      <c r="F819" s="1"/>
      <c r="G819" s="1"/>
    </row>
    <row r="820" spans="1:7" x14ac:dyDescent="0.25">
      <c r="A820" s="2"/>
      <c r="E820" s="1"/>
      <c r="F820" s="1"/>
      <c r="G820" s="1"/>
    </row>
    <row r="821" spans="1:7" x14ac:dyDescent="0.25">
      <c r="A821" s="2"/>
      <c r="E821" s="1"/>
      <c r="F821" s="1"/>
      <c r="G821" s="1"/>
    </row>
    <row r="822" spans="1:7" x14ac:dyDescent="0.25">
      <c r="A822" s="2"/>
      <c r="E822" s="1"/>
      <c r="F822" s="1"/>
      <c r="G822" s="1"/>
    </row>
    <row r="823" spans="1:7" x14ac:dyDescent="0.25">
      <c r="A823" s="2"/>
      <c r="E823" s="1"/>
      <c r="F823" s="1"/>
      <c r="G823" s="1"/>
    </row>
    <row r="824" spans="1:7" x14ac:dyDescent="0.25">
      <c r="A824" s="2"/>
      <c r="E824" s="1"/>
      <c r="F824" s="1"/>
      <c r="G824" s="1"/>
    </row>
    <row r="825" spans="1:7" x14ac:dyDescent="0.25">
      <c r="A825" s="2"/>
      <c r="E825" s="1"/>
      <c r="F825" s="1"/>
      <c r="G825" s="1"/>
    </row>
    <row r="826" spans="1:7" x14ac:dyDescent="0.25">
      <c r="A826" s="2"/>
      <c r="E826" s="1"/>
      <c r="F826" s="1"/>
      <c r="G826" s="1"/>
    </row>
    <row r="827" spans="1:7" x14ac:dyDescent="0.25">
      <c r="A827" s="2"/>
      <c r="E827" s="1"/>
      <c r="F827" s="1"/>
      <c r="G827" s="1"/>
    </row>
    <row r="828" spans="1:7" x14ac:dyDescent="0.25">
      <c r="A828" s="2"/>
      <c r="E828" s="1"/>
      <c r="F828" s="1"/>
      <c r="G828" s="1"/>
    </row>
    <row r="829" spans="1:7" x14ac:dyDescent="0.25">
      <c r="A829" s="2"/>
      <c r="E829" s="1"/>
      <c r="F829" s="1"/>
      <c r="G829" s="1"/>
    </row>
    <row r="830" spans="1:7" x14ac:dyDescent="0.25">
      <c r="A830" s="2"/>
      <c r="E830" s="1"/>
      <c r="F830" s="1"/>
      <c r="G830" s="1"/>
    </row>
    <row r="831" spans="1:7" x14ac:dyDescent="0.25">
      <c r="A831" s="2"/>
      <c r="E831" s="1"/>
      <c r="F831" s="1"/>
      <c r="G831" s="1"/>
    </row>
    <row r="832" spans="1:7" x14ac:dyDescent="0.25">
      <c r="A832" s="2"/>
      <c r="E832" s="1"/>
      <c r="F832" s="1"/>
      <c r="G832" s="1"/>
    </row>
    <row r="833" spans="1:7" x14ac:dyDescent="0.25">
      <c r="A833" s="2"/>
      <c r="E833" s="1"/>
      <c r="F833" s="1"/>
      <c r="G833" s="1"/>
    </row>
    <row r="834" spans="1:7" x14ac:dyDescent="0.25">
      <c r="A834" s="2"/>
      <c r="E834" s="1"/>
      <c r="F834" s="1"/>
      <c r="G834" s="1"/>
    </row>
    <row r="835" spans="1:7" x14ac:dyDescent="0.25">
      <c r="A835" s="2"/>
      <c r="E835" s="1"/>
      <c r="F835" s="1"/>
      <c r="G835" s="1"/>
    </row>
    <row r="836" spans="1:7" x14ac:dyDescent="0.25">
      <c r="A836" s="2"/>
      <c r="E836" s="1"/>
      <c r="F836" s="1"/>
      <c r="G836" s="1"/>
    </row>
    <row r="837" spans="1:7" x14ac:dyDescent="0.25">
      <c r="A837" s="2"/>
      <c r="E837" s="1"/>
      <c r="F837" s="1"/>
      <c r="G837" s="1"/>
    </row>
    <row r="838" spans="1:7" x14ac:dyDescent="0.25">
      <c r="A838" s="2"/>
      <c r="E838" s="1"/>
      <c r="F838" s="1"/>
      <c r="G838" s="1"/>
    </row>
    <row r="839" spans="1:7" x14ac:dyDescent="0.25">
      <c r="A839" s="2"/>
      <c r="E839" s="1"/>
      <c r="F839" s="1"/>
      <c r="G839" s="1"/>
    </row>
    <row r="840" spans="1:7" x14ac:dyDescent="0.25">
      <c r="A840" s="2"/>
      <c r="E840" s="1"/>
      <c r="F840" s="1"/>
      <c r="G840" s="1"/>
    </row>
    <row r="841" spans="1:7" x14ac:dyDescent="0.25">
      <c r="A841" s="2"/>
      <c r="E841" s="1"/>
      <c r="F841" s="1"/>
      <c r="G841" s="1"/>
    </row>
    <row r="842" spans="1:7" x14ac:dyDescent="0.25">
      <c r="A842" s="2"/>
      <c r="E842" s="1"/>
      <c r="F842" s="1"/>
      <c r="G842" s="1"/>
    </row>
    <row r="843" spans="1:7" x14ac:dyDescent="0.25">
      <c r="A843" s="2"/>
      <c r="E843" s="1"/>
      <c r="F843" s="1"/>
      <c r="G843" s="1"/>
    </row>
    <row r="844" spans="1:7" x14ac:dyDescent="0.25">
      <c r="A844" s="2"/>
      <c r="E844" s="1"/>
      <c r="F844" s="1"/>
      <c r="G844" s="1"/>
    </row>
    <row r="845" spans="1:7" x14ac:dyDescent="0.25">
      <c r="A845" s="2"/>
      <c r="E845" s="1"/>
      <c r="F845" s="1"/>
      <c r="G845" s="1"/>
    </row>
    <row r="846" spans="1:7" x14ac:dyDescent="0.25">
      <c r="A846" s="2"/>
      <c r="E846" s="1"/>
      <c r="F846" s="1"/>
      <c r="G846" s="1"/>
    </row>
    <row r="847" spans="1:7" x14ac:dyDescent="0.25">
      <c r="A847" s="2"/>
      <c r="E847" s="1"/>
      <c r="F847" s="1"/>
      <c r="G847" s="1"/>
    </row>
    <row r="848" spans="1:7" x14ac:dyDescent="0.25">
      <c r="A848" s="2"/>
      <c r="E848" s="1"/>
      <c r="F848" s="1"/>
      <c r="G848" s="1"/>
    </row>
    <row r="849" spans="1:7" x14ac:dyDescent="0.25">
      <c r="A849" s="2"/>
      <c r="E849" s="1"/>
      <c r="F849" s="1"/>
      <c r="G849" s="1"/>
    </row>
    <row r="850" spans="1:7" x14ac:dyDescent="0.25">
      <c r="A850" s="2"/>
      <c r="E850" s="1"/>
      <c r="F850" s="1"/>
      <c r="G850" s="1"/>
    </row>
    <row r="851" spans="1:7" x14ac:dyDescent="0.25">
      <c r="A851" s="2"/>
      <c r="E851" s="1"/>
      <c r="F851" s="1"/>
      <c r="G851" s="1"/>
    </row>
    <row r="852" spans="1:7" x14ac:dyDescent="0.25">
      <c r="A852" s="2"/>
      <c r="E852" s="1"/>
      <c r="F852" s="1"/>
      <c r="G852" s="1"/>
    </row>
    <row r="853" spans="1:7" x14ac:dyDescent="0.25">
      <c r="A853" s="2"/>
      <c r="E853" s="1"/>
      <c r="F853" s="1"/>
      <c r="G853" s="1"/>
    </row>
    <row r="854" spans="1:7" x14ac:dyDescent="0.25">
      <c r="A854" s="2"/>
      <c r="E854" s="1"/>
      <c r="F854" s="1"/>
      <c r="G854" s="1"/>
    </row>
    <row r="855" spans="1:7" x14ac:dyDescent="0.25">
      <c r="A855" s="2"/>
      <c r="E855" s="1"/>
      <c r="F855" s="1"/>
      <c r="G855" s="1"/>
    </row>
    <row r="856" spans="1:7" x14ac:dyDescent="0.25">
      <c r="A856" s="2"/>
      <c r="E856" s="1"/>
      <c r="F856" s="1"/>
      <c r="G856" s="1"/>
    </row>
    <row r="857" spans="1:7" x14ac:dyDescent="0.25">
      <c r="A857" s="2"/>
      <c r="E857" s="1"/>
      <c r="F857" s="1"/>
      <c r="G857" s="1"/>
    </row>
    <row r="858" spans="1:7" x14ac:dyDescent="0.25">
      <c r="A858" s="2"/>
      <c r="E858" s="1"/>
      <c r="F858" s="1"/>
      <c r="G858" s="1"/>
    </row>
    <row r="859" spans="1:7" x14ac:dyDescent="0.25">
      <c r="A859" s="2"/>
      <c r="E859" s="1"/>
      <c r="F859" s="1"/>
      <c r="G859" s="1"/>
    </row>
    <row r="860" spans="1:7" x14ac:dyDescent="0.25">
      <c r="A860" s="2"/>
      <c r="E860" s="1"/>
      <c r="F860" s="1"/>
      <c r="G860" s="1"/>
    </row>
    <row r="861" spans="1:7" x14ac:dyDescent="0.25">
      <c r="A861" s="2"/>
      <c r="E861" s="1"/>
      <c r="F861" s="1"/>
      <c r="G861" s="1"/>
    </row>
    <row r="862" spans="1:7" x14ac:dyDescent="0.25">
      <c r="A862" s="2"/>
      <c r="E862" s="1"/>
      <c r="F862" s="1"/>
      <c r="G862" s="1"/>
    </row>
    <row r="863" spans="1:7" x14ac:dyDescent="0.25">
      <c r="A863" s="2"/>
      <c r="E863" s="1"/>
      <c r="F863" s="1"/>
      <c r="G863" s="1"/>
    </row>
    <row r="864" spans="1:7" x14ac:dyDescent="0.25">
      <c r="A864" s="2"/>
      <c r="E864" s="1"/>
      <c r="F864" s="1"/>
      <c r="G864" s="1"/>
    </row>
    <row r="865" spans="1:7" x14ac:dyDescent="0.25">
      <c r="A865" s="2"/>
      <c r="E865" s="1"/>
      <c r="F865" s="1"/>
      <c r="G865" s="1"/>
    </row>
    <row r="866" spans="1:7" x14ac:dyDescent="0.25">
      <c r="A866" s="2"/>
      <c r="E866" s="1"/>
      <c r="F866" s="1"/>
      <c r="G866" s="1"/>
    </row>
    <row r="867" spans="1:7" x14ac:dyDescent="0.25">
      <c r="A867" s="2"/>
      <c r="E867" s="1"/>
      <c r="F867" s="1"/>
      <c r="G867" s="1"/>
    </row>
    <row r="868" spans="1:7" x14ac:dyDescent="0.25">
      <c r="A868" s="2"/>
      <c r="E868" s="1"/>
      <c r="F868" s="1"/>
      <c r="G868" s="1"/>
    </row>
    <row r="869" spans="1:7" x14ac:dyDescent="0.25">
      <c r="A869" s="2"/>
      <c r="E869" s="1"/>
      <c r="F869" s="1"/>
      <c r="G869" s="1"/>
    </row>
    <row r="870" spans="1:7" x14ac:dyDescent="0.25">
      <c r="A870" s="2"/>
      <c r="E870" s="1"/>
      <c r="F870" s="1"/>
      <c r="G870" s="1"/>
    </row>
    <row r="871" spans="1:7" x14ac:dyDescent="0.25">
      <c r="A871" s="2"/>
      <c r="E871" s="1"/>
      <c r="F871" s="1"/>
      <c r="G871" s="1"/>
    </row>
    <row r="872" spans="1:7" x14ac:dyDescent="0.25">
      <c r="A872" s="2"/>
      <c r="E872" s="1"/>
      <c r="F872" s="1"/>
      <c r="G872" s="1"/>
    </row>
    <row r="873" spans="1:7" x14ac:dyDescent="0.25">
      <c r="A873" s="2"/>
      <c r="E873" s="1"/>
      <c r="F873" s="1"/>
      <c r="G873" s="1"/>
    </row>
    <row r="874" spans="1:7" x14ac:dyDescent="0.25">
      <c r="A874" s="2"/>
      <c r="E874" s="1"/>
      <c r="F874" s="1"/>
      <c r="G874" s="1"/>
    </row>
    <row r="875" spans="1:7" x14ac:dyDescent="0.25">
      <c r="A875" s="2"/>
      <c r="E875" s="1"/>
      <c r="F875" s="1"/>
      <c r="G875" s="1"/>
    </row>
    <row r="876" spans="1:7" x14ac:dyDescent="0.25">
      <c r="A876" s="2"/>
      <c r="E876" s="1"/>
      <c r="F876" s="1"/>
      <c r="G876" s="1"/>
    </row>
    <row r="877" spans="1:7" x14ac:dyDescent="0.25">
      <c r="A877" s="2"/>
      <c r="E877" s="1"/>
      <c r="F877" s="1"/>
      <c r="G877" s="1"/>
    </row>
    <row r="878" spans="1:7" x14ac:dyDescent="0.25">
      <c r="A878" s="2"/>
      <c r="E878" s="1"/>
      <c r="F878" s="1"/>
      <c r="G878" s="1"/>
    </row>
    <row r="879" spans="1:7" x14ac:dyDescent="0.25">
      <c r="A879" s="2"/>
      <c r="E879" s="1"/>
      <c r="F879" s="1"/>
      <c r="G879" s="1"/>
    </row>
    <row r="880" spans="1:7" x14ac:dyDescent="0.25">
      <c r="A880" s="2"/>
      <c r="E880" s="1"/>
      <c r="F880" s="1"/>
      <c r="G880" s="1"/>
    </row>
    <row r="881" spans="1:7" x14ac:dyDescent="0.25">
      <c r="A881" s="2"/>
      <c r="E881" s="1"/>
      <c r="F881" s="1"/>
      <c r="G881" s="1"/>
    </row>
    <row r="882" spans="1:7" x14ac:dyDescent="0.25">
      <c r="A882" s="2"/>
      <c r="E882" s="1"/>
      <c r="F882" s="1"/>
      <c r="G882" s="1"/>
    </row>
    <row r="883" spans="1:7" x14ac:dyDescent="0.25">
      <c r="A883" s="2"/>
      <c r="E883" s="1"/>
      <c r="F883" s="1"/>
      <c r="G883" s="1"/>
    </row>
    <row r="884" spans="1:7" x14ac:dyDescent="0.25">
      <c r="A884" s="2"/>
      <c r="E884" s="1"/>
      <c r="F884" s="1"/>
      <c r="G884" s="1"/>
    </row>
    <row r="885" spans="1:7" x14ac:dyDescent="0.25">
      <c r="A885" s="2"/>
      <c r="E885" s="1"/>
      <c r="F885" s="1"/>
      <c r="G885" s="1"/>
    </row>
    <row r="886" spans="1:7" x14ac:dyDescent="0.25">
      <c r="A886" s="2"/>
      <c r="E886" s="1"/>
      <c r="F886" s="1"/>
      <c r="G886" s="1"/>
    </row>
    <row r="887" spans="1:7" x14ac:dyDescent="0.25">
      <c r="A887" s="2"/>
      <c r="E887" s="1"/>
      <c r="F887" s="1"/>
      <c r="G887" s="1"/>
    </row>
    <row r="888" spans="1:7" x14ac:dyDescent="0.25">
      <c r="A888" s="2"/>
      <c r="E888" s="1"/>
      <c r="F888" s="1"/>
      <c r="G888" s="1"/>
    </row>
    <row r="889" spans="1:7" x14ac:dyDescent="0.25">
      <c r="A889" s="2"/>
      <c r="E889" s="1"/>
      <c r="F889" s="1"/>
      <c r="G889" s="1"/>
    </row>
    <row r="890" spans="1:7" x14ac:dyDescent="0.25">
      <c r="A890" s="2"/>
      <c r="E890" s="1"/>
      <c r="F890" s="1"/>
      <c r="G890" s="1"/>
    </row>
    <row r="891" spans="1:7" x14ac:dyDescent="0.25">
      <c r="A891" s="2"/>
      <c r="E891" s="1"/>
      <c r="F891" s="1"/>
      <c r="G891" s="1"/>
    </row>
    <row r="892" spans="1:7" x14ac:dyDescent="0.25">
      <c r="A892" s="2"/>
      <c r="E892" s="1"/>
      <c r="F892" s="1"/>
      <c r="G892" s="1"/>
    </row>
    <row r="893" spans="1:7" x14ac:dyDescent="0.25">
      <c r="A893" s="2"/>
      <c r="E893" s="1"/>
      <c r="F893" s="1"/>
      <c r="G893" s="1"/>
    </row>
    <row r="894" spans="1:7" x14ac:dyDescent="0.25">
      <c r="A894" s="2"/>
      <c r="E894" s="1"/>
      <c r="F894" s="1"/>
      <c r="G894" s="1"/>
    </row>
    <row r="895" spans="1:7" x14ac:dyDescent="0.25">
      <c r="A895" s="2"/>
      <c r="E895" s="1"/>
      <c r="F895" s="1"/>
      <c r="G895" s="1"/>
    </row>
    <row r="896" spans="1:7" x14ac:dyDescent="0.25">
      <c r="A896" s="2"/>
      <c r="E896" s="1"/>
      <c r="F896" s="1"/>
      <c r="G896" s="1"/>
    </row>
    <row r="897" spans="1:7" x14ac:dyDescent="0.25">
      <c r="A897" s="2"/>
      <c r="E897" s="1"/>
      <c r="F897" s="1"/>
      <c r="G897" s="1"/>
    </row>
    <row r="898" spans="1:7" x14ac:dyDescent="0.25">
      <c r="A898" s="2"/>
      <c r="E898" s="1"/>
      <c r="F898" s="1"/>
      <c r="G898" s="1"/>
    </row>
    <row r="899" spans="1:7" x14ac:dyDescent="0.25">
      <c r="A899" s="2"/>
      <c r="E899" s="1"/>
      <c r="F899" s="1"/>
      <c r="G899" s="1"/>
    </row>
    <row r="900" spans="1:7" x14ac:dyDescent="0.25">
      <c r="A900" s="2"/>
      <c r="E900" s="1"/>
      <c r="F900" s="1"/>
      <c r="G900" s="1"/>
    </row>
    <row r="901" spans="1:7" x14ac:dyDescent="0.25">
      <c r="A901" s="2"/>
      <c r="E901" s="1"/>
      <c r="F901" s="1"/>
      <c r="G901" s="1"/>
    </row>
    <row r="902" spans="1:7" x14ac:dyDescent="0.25">
      <c r="A902" s="2"/>
      <c r="E902" s="1"/>
      <c r="F902" s="1"/>
      <c r="G902" s="1"/>
    </row>
    <row r="903" spans="1:7" x14ac:dyDescent="0.25">
      <c r="A903" s="2"/>
      <c r="E903" s="1"/>
      <c r="F903" s="1"/>
      <c r="G903" s="1"/>
    </row>
    <row r="904" spans="1:7" x14ac:dyDescent="0.25">
      <c r="A904" s="2"/>
      <c r="E904" s="1"/>
      <c r="F904" s="1"/>
      <c r="G904" s="1"/>
    </row>
    <row r="905" spans="1:7" x14ac:dyDescent="0.25">
      <c r="A905" s="2"/>
      <c r="E905" s="1"/>
      <c r="F905" s="1"/>
      <c r="G905" s="1"/>
    </row>
    <row r="906" spans="1:7" x14ac:dyDescent="0.25">
      <c r="A906" s="2"/>
      <c r="E906" s="1"/>
      <c r="F906" s="1"/>
      <c r="G906" s="1"/>
    </row>
    <row r="907" spans="1:7" x14ac:dyDescent="0.25">
      <c r="A907" s="2"/>
      <c r="E907" s="1"/>
      <c r="F907" s="1"/>
      <c r="G907" s="1"/>
    </row>
    <row r="908" spans="1:7" x14ac:dyDescent="0.25">
      <c r="A908" s="2"/>
      <c r="E908" s="1"/>
      <c r="F908" s="1"/>
      <c r="G908" s="1"/>
    </row>
    <row r="909" spans="1:7" x14ac:dyDescent="0.25">
      <c r="A909" s="2"/>
      <c r="E909" s="1"/>
      <c r="F909" s="1"/>
      <c r="G909" s="1"/>
    </row>
    <row r="910" spans="1:7" x14ac:dyDescent="0.25">
      <c r="A910" s="2"/>
      <c r="E910" s="1"/>
      <c r="F910" s="1"/>
      <c r="G910" s="1"/>
    </row>
    <row r="911" spans="1:7" x14ac:dyDescent="0.25">
      <c r="A911" s="2"/>
      <c r="E911" s="1"/>
      <c r="F911" s="1"/>
      <c r="G911" s="1"/>
    </row>
    <row r="912" spans="1:7" x14ac:dyDescent="0.25">
      <c r="A912" s="2"/>
      <c r="E912" s="1"/>
      <c r="F912" s="1"/>
      <c r="G912" s="1"/>
    </row>
    <row r="913" spans="1:7" x14ac:dyDescent="0.25">
      <c r="A913" s="2"/>
      <c r="E913" s="1"/>
      <c r="F913" s="1"/>
      <c r="G913" s="1"/>
    </row>
    <row r="914" spans="1:7" x14ac:dyDescent="0.25">
      <c r="A914" s="2"/>
      <c r="E914" s="1"/>
      <c r="F914" s="1"/>
      <c r="G914" s="1"/>
    </row>
    <row r="915" spans="1:7" x14ac:dyDescent="0.25">
      <c r="A915" s="2"/>
      <c r="E915" s="1"/>
      <c r="F915" s="1"/>
      <c r="G915" s="1"/>
    </row>
    <row r="916" spans="1:7" x14ac:dyDescent="0.25">
      <c r="A916" s="2"/>
      <c r="E916" s="1"/>
      <c r="F916" s="1"/>
      <c r="G916" s="1"/>
    </row>
    <row r="917" spans="1:7" x14ac:dyDescent="0.25">
      <c r="A917" s="2"/>
      <c r="E917" s="1"/>
      <c r="F917" s="1"/>
      <c r="G917" s="1"/>
    </row>
    <row r="918" spans="1:7" x14ac:dyDescent="0.25">
      <c r="A918" s="2"/>
      <c r="E918" s="1"/>
      <c r="F918" s="1"/>
      <c r="G918" s="1"/>
    </row>
    <row r="919" spans="1:7" x14ac:dyDescent="0.25">
      <c r="A919" s="2"/>
      <c r="E919" s="1"/>
      <c r="F919" s="1"/>
      <c r="G919" s="1"/>
    </row>
    <row r="920" spans="1:7" x14ac:dyDescent="0.25">
      <c r="A920" s="2"/>
      <c r="E920" s="1"/>
      <c r="F920" s="1"/>
      <c r="G920" s="1"/>
    </row>
    <row r="921" spans="1:7" x14ac:dyDescent="0.25">
      <c r="A921" s="2"/>
      <c r="E921" s="1"/>
      <c r="F921" s="1"/>
      <c r="G921" s="1"/>
    </row>
    <row r="922" spans="1:7" x14ac:dyDescent="0.25">
      <c r="A922" s="2"/>
      <c r="E922" s="1"/>
      <c r="F922" s="1"/>
      <c r="G922" s="1"/>
    </row>
    <row r="923" spans="1:7" x14ac:dyDescent="0.25">
      <c r="A923" s="2"/>
      <c r="E923" s="1"/>
      <c r="F923" s="1"/>
      <c r="G923" s="1"/>
    </row>
    <row r="924" spans="1:7" x14ac:dyDescent="0.25">
      <c r="A924" s="2"/>
      <c r="E924" s="1"/>
      <c r="F924" s="1"/>
      <c r="G924" s="1"/>
    </row>
    <row r="925" spans="1:7" x14ac:dyDescent="0.25">
      <c r="A925" s="2"/>
      <c r="E925" s="1"/>
      <c r="F925" s="1"/>
      <c r="G925" s="1"/>
    </row>
    <row r="926" spans="1:7" x14ac:dyDescent="0.25">
      <c r="A926" s="2"/>
      <c r="E926" s="1"/>
      <c r="F926" s="1"/>
      <c r="G926" s="1"/>
    </row>
    <row r="927" spans="1:7" x14ac:dyDescent="0.25">
      <c r="A927" s="2"/>
      <c r="E927" s="1"/>
      <c r="F927" s="1"/>
      <c r="G927" s="1"/>
    </row>
    <row r="928" spans="1:7" x14ac:dyDescent="0.25">
      <c r="A928" s="2"/>
      <c r="E928" s="1"/>
      <c r="F928" s="1"/>
      <c r="G928" s="1"/>
    </row>
    <row r="929" spans="1:7" x14ac:dyDescent="0.25">
      <c r="A929" s="2"/>
      <c r="E929" s="1"/>
      <c r="F929" s="1"/>
      <c r="G929" s="1"/>
    </row>
    <row r="930" spans="1:7" x14ac:dyDescent="0.25">
      <c r="A930" s="2"/>
      <c r="E930" s="1"/>
      <c r="F930" s="1"/>
      <c r="G930" s="1"/>
    </row>
    <row r="931" spans="1:7" x14ac:dyDescent="0.25">
      <c r="A931" s="2"/>
      <c r="E931" s="1"/>
      <c r="F931" s="1"/>
      <c r="G931" s="1"/>
    </row>
    <row r="932" spans="1:7" x14ac:dyDescent="0.25">
      <c r="A932" s="2"/>
      <c r="E932" s="1"/>
      <c r="F932" s="1"/>
      <c r="G932" s="1"/>
    </row>
    <row r="933" spans="1:7" x14ac:dyDescent="0.25">
      <c r="A933" s="2"/>
      <c r="E933" s="1"/>
      <c r="F933" s="1"/>
      <c r="G933" s="1"/>
    </row>
    <row r="934" spans="1:7" x14ac:dyDescent="0.25">
      <c r="A934" s="2"/>
      <c r="E934" s="1"/>
      <c r="F934" s="1"/>
      <c r="G934" s="1"/>
    </row>
    <row r="935" spans="1:7" x14ac:dyDescent="0.25">
      <c r="A935" s="2"/>
      <c r="E935" s="1"/>
      <c r="F935" s="1"/>
      <c r="G935" s="1"/>
    </row>
    <row r="936" spans="1:7" x14ac:dyDescent="0.25">
      <c r="A936" s="2"/>
      <c r="E936" s="1"/>
      <c r="F936" s="1"/>
      <c r="G936" s="1"/>
    </row>
    <row r="937" spans="1:7" x14ac:dyDescent="0.25">
      <c r="A937" s="2"/>
      <c r="E937" s="1"/>
      <c r="F937" s="1"/>
      <c r="G937" s="1"/>
    </row>
    <row r="938" spans="1:7" x14ac:dyDescent="0.25">
      <c r="A938" s="2"/>
      <c r="E938" s="1"/>
      <c r="F938" s="1"/>
      <c r="G938" s="1"/>
    </row>
    <row r="939" spans="1:7" x14ac:dyDescent="0.25">
      <c r="A939" s="2"/>
      <c r="E939" s="1"/>
      <c r="F939" s="1"/>
      <c r="G939" s="1"/>
    </row>
    <row r="940" spans="1:7" x14ac:dyDescent="0.25">
      <c r="A940" s="2"/>
      <c r="E940" s="1"/>
      <c r="F940" s="1"/>
      <c r="G940" s="1"/>
    </row>
    <row r="941" spans="1:7" x14ac:dyDescent="0.25">
      <c r="A941" s="2"/>
      <c r="E941" s="1"/>
      <c r="F941" s="1"/>
      <c r="G941" s="1"/>
    </row>
    <row r="942" spans="1:7" x14ac:dyDescent="0.25">
      <c r="A942" s="2"/>
      <c r="E942" s="1"/>
      <c r="F942" s="1"/>
      <c r="G942" s="1"/>
    </row>
    <row r="943" spans="1:7" x14ac:dyDescent="0.25">
      <c r="A943" s="2"/>
      <c r="E943" s="1"/>
      <c r="F943" s="1"/>
      <c r="G943" s="1"/>
    </row>
    <row r="944" spans="1:7" x14ac:dyDescent="0.25">
      <c r="A944" s="2"/>
      <c r="E944" s="1"/>
      <c r="F944" s="1"/>
      <c r="G944" s="1"/>
    </row>
    <row r="945" spans="1:7" x14ac:dyDescent="0.25">
      <c r="A945" s="2"/>
      <c r="E945" s="1"/>
      <c r="F945" s="1"/>
      <c r="G945" s="1"/>
    </row>
    <row r="946" spans="1:7" x14ac:dyDescent="0.25">
      <c r="A946" s="2"/>
      <c r="E946" s="1"/>
      <c r="F946" s="1"/>
      <c r="G946" s="1"/>
    </row>
    <row r="947" spans="1:7" x14ac:dyDescent="0.25">
      <c r="A947" s="2"/>
      <c r="E947" s="1"/>
      <c r="F947" s="1"/>
      <c r="G947" s="1"/>
    </row>
    <row r="948" spans="1:7" x14ac:dyDescent="0.25">
      <c r="A948" s="2"/>
      <c r="E948" s="1"/>
      <c r="F948" s="1"/>
      <c r="G948" s="1"/>
    </row>
    <row r="949" spans="1:7" x14ac:dyDescent="0.25">
      <c r="A949" s="2"/>
      <c r="E949" s="1"/>
      <c r="F949" s="1"/>
      <c r="G949" s="1"/>
    </row>
    <row r="950" spans="1:7" x14ac:dyDescent="0.25">
      <c r="A950" s="2"/>
      <c r="E950" s="1"/>
      <c r="F950" s="1"/>
      <c r="G950" s="1"/>
    </row>
    <row r="951" spans="1:7" x14ac:dyDescent="0.25">
      <c r="A951" s="2"/>
      <c r="E951" s="1"/>
      <c r="F951" s="1"/>
      <c r="G951" s="1"/>
    </row>
    <row r="952" spans="1:7" x14ac:dyDescent="0.25">
      <c r="A952" s="2"/>
      <c r="E952" s="1"/>
      <c r="F952" s="1"/>
      <c r="G952" s="1"/>
    </row>
    <row r="953" spans="1:7" x14ac:dyDescent="0.25">
      <c r="A953" s="2"/>
      <c r="E953" s="1"/>
      <c r="F953" s="1"/>
      <c r="G953" s="1"/>
    </row>
    <row r="954" spans="1:7" x14ac:dyDescent="0.25">
      <c r="A954" s="2"/>
      <c r="E954" s="1"/>
      <c r="F954" s="1"/>
      <c r="G954" s="1"/>
    </row>
    <row r="955" spans="1:7" x14ac:dyDescent="0.25">
      <c r="A955" s="2"/>
      <c r="E955" s="1"/>
      <c r="F955" s="1"/>
      <c r="G955" s="1"/>
    </row>
    <row r="956" spans="1:7" x14ac:dyDescent="0.25">
      <c r="A956" s="2"/>
      <c r="E956" s="1"/>
      <c r="F956" s="1"/>
      <c r="G956" s="1"/>
    </row>
    <row r="957" spans="1:7" x14ac:dyDescent="0.25">
      <c r="A957" s="2"/>
      <c r="E957" s="1"/>
      <c r="F957" s="1"/>
      <c r="G957" s="1"/>
    </row>
    <row r="958" spans="1:7" x14ac:dyDescent="0.25">
      <c r="A958" s="2"/>
      <c r="E958" s="1"/>
      <c r="F958" s="1"/>
      <c r="G958" s="1"/>
    </row>
    <row r="959" spans="1:7" x14ac:dyDescent="0.25">
      <c r="A959" s="2"/>
      <c r="E959" s="1"/>
      <c r="F959" s="1"/>
      <c r="G959" s="1"/>
    </row>
    <row r="960" spans="1:7" x14ac:dyDescent="0.25">
      <c r="A960" s="2"/>
      <c r="E960" s="1"/>
      <c r="F960" s="1"/>
      <c r="G960" s="1"/>
    </row>
    <row r="961" spans="1:7" x14ac:dyDescent="0.25">
      <c r="A961" s="2"/>
      <c r="E961" s="1"/>
      <c r="F961" s="1"/>
      <c r="G961" s="1"/>
    </row>
    <row r="962" spans="1:7" x14ac:dyDescent="0.25">
      <c r="A962" s="2"/>
      <c r="E962" s="1"/>
      <c r="F962" s="1"/>
      <c r="G962" s="1"/>
    </row>
    <row r="963" spans="1:7" x14ac:dyDescent="0.25">
      <c r="A963" s="2"/>
      <c r="E963" s="1"/>
      <c r="F963" s="1"/>
      <c r="G963" s="1"/>
    </row>
    <row r="964" spans="1:7" x14ac:dyDescent="0.25">
      <c r="A964" s="2"/>
      <c r="E964" s="1"/>
      <c r="F964" s="1"/>
      <c r="G964" s="1"/>
    </row>
    <row r="965" spans="1:7" x14ac:dyDescent="0.25">
      <c r="A965" s="2"/>
      <c r="E965" s="1"/>
      <c r="F965" s="1"/>
      <c r="G965" s="1"/>
    </row>
    <row r="966" spans="1:7" x14ac:dyDescent="0.25">
      <c r="A966" s="2"/>
      <c r="E966" s="1"/>
      <c r="F966" s="1"/>
      <c r="G966" s="1"/>
    </row>
    <row r="967" spans="1:7" x14ac:dyDescent="0.25">
      <c r="A967" s="2"/>
      <c r="E967" s="1"/>
      <c r="F967" s="1"/>
      <c r="G967" s="1"/>
    </row>
    <row r="968" spans="1:7" x14ac:dyDescent="0.25">
      <c r="A968" s="2"/>
      <c r="E968" s="1"/>
      <c r="F968" s="1"/>
      <c r="G968" s="1"/>
    </row>
    <row r="969" spans="1:7" x14ac:dyDescent="0.25">
      <c r="A969" s="2"/>
      <c r="E969" s="1"/>
      <c r="F969" s="1"/>
      <c r="G969" s="1"/>
    </row>
    <row r="970" spans="1:7" x14ac:dyDescent="0.25">
      <c r="A970" s="2"/>
      <c r="E970" s="1"/>
      <c r="F970" s="1"/>
      <c r="G970" s="1"/>
    </row>
    <row r="971" spans="1:7" x14ac:dyDescent="0.25">
      <c r="A971" s="2"/>
      <c r="E971" s="1"/>
      <c r="F971" s="1"/>
      <c r="G971" s="1"/>
    </row>
    <row r="972" spans="1:7" x14ac:dyDescent="0.25">
      <c r="A972" s="2"/>
      <c r="E972" s="1"/>
      <c r="F972" s="1"/>
      <c r="G972" s="1"/>
    </row>
    <row r="973" spans="1:7" x14ac:dyDescent="0.25">
      <c r="A973" s="2"/>
      <c r="E973" s="1"/>
      <c r="F973" s="1"/>
      <c r="G973" s="1"/>
    </row>
    <row r="974" spans="1:7" x14ac:dyDescent="0.25">
      <c r="A974" s="2"/>
      <c r="E974" s="1"/>
      <c r="F974" s="1"/>
      <c r="G974" s="1"/>
    </row>
    <row r="975" spans="1:7" x14ac:dyDescent="0.25">
      <c r="A975" s="2"/>
      <c r="E975" s="1"/>
      <c r="F975" s="1"/>
      <c r="G975" s="1"/>
    </row>
    <row r="976" spans="1:7" x14ac:dyDescent="0.25">
      <c r="A976" s="2"/>
      <c r="E976" s="1"/>
      <c r="F976" s="1"/>
      <c r="G976" s="1"/>
    </row>
    <row r="977" spans="1:7" x14ac:dyDescent="0.25">
      <c r="A977" s="2"/>
      <c r="E977" s="1"/>
      <c r="F977" s="1"/>
      <c r="G977" s="1"/>
    </row>
    <row r="978" spans="1:7" x14ac:dyDescent="0.25">
      <c r="A978" s="2"/>
      <c r="E978" s="1"/>
      <c r="F978" s="1"/>
      <c r="G978" s="1"/>
    </row>
    <row r="979" spans="1:7" x14ac:dyDescent="0.25">
      <c r="A979" s="2"/>
      <c r="E979" s="1"/>
      <c r="F979" s="1"/>
      <c r="G979" s="1"/>
    </row>
    <row r="980" spans="1:7" x14ac:dyDescent="0.25">
      <c r="A980" s="2"/>
      <c r="E980" s="1"/>
      <c r="F980" s="1"/>
      <c r="G980" s="1"/>
    </row>
    <row r="981" spans="1:7" x14ac:dyDescent="0.25">
      <c r="A981" s="2"/>
      <c r="E981" s="1"/>
      <c r="F981" s="1"/>
      <c r="G981" s="1"/>
    </row>
    <row r="982" spans="1:7" x14ac:dyDescent="0.25">
      <c r="A982" s="2"/>
      <c r="E982" s="1"/>
      <c r="F982" s="1"/>
      <c r="G982" s="1"/>
    </row>
    <row r="983" spans="1:7" x14ac:dyDescent="0.25">
      <c r="A983" s="2"/>
      <c r="E983" s="1"/>
      <c r="F983" s="1"/>
      <c r="G983" s="1"/>
    </row>
    <row r="984" spans="1:7" x14ac:dyDescent="0.25">
      <c r="A984" s="2"/>
      <c r="E984" s="1"/>
      <c r="F984" s="1"/>
      <c r="G984" s="1"/>
    </row>
    <row r="985" spans="1:7" x14ac:dyDescent="0.25">
      <c r="A985" s="2"/>
      <c r="E985" s="1"/>
      <c r="F985" s="1"/>
      <c r="G985" s="1"/>
    </row>
    <row r="986" spans="1:7" x14ac:dyDescent="0.25">
      <c r="A986" s="2"/>
      <c r="E986" s="1"/>
      <c r="F986" s="1"/>
      <c r="G986" s="1"/>
    </row>
    <row r="987" spans="1:7" x14ac:dyDescent="0.25">
      <c r="A987" s="2"/>
      <c r="E987" s="1"/>
      <c r="F987" s="1"/>
      <c r="G987" s="1"/>
    </row>
    <row r="988" spans="1:7" x14ac:dyDescent="0.25">
      <c r="A988" s="2"/>
      <c r="E988" s="1"/>
      <c r="F988" s="1"/>
      <c r="G988" s="1"/>
    </row>
    <row r="989" spans="1:7" x14ac:dyDescent="0.25">
      <c r="A989" s="2"/>
      <c r="E989" s="1"/>
      <c r="F989" s="1"/>
      <c r="G989" s="1"/>
    </row>
    <row r="990" spans="1:7" x14ac:dyDescent="0.25">
      <c r="A990" s="2"/>
      <c r="E990" s="1"/>
      <c r="F990" s="1"/>
      <c r="G990" s="1"/>
    </row>
    <row r="991" spans="1:7" x14ac:dyDescent="0.25">
      <c r="A991" s="2"/>
      <c r="E991" s="1"/>
      <c r="F991" s="1"/>
      <c r="G991" s="1"/>
    </row>
    <row r="992" spans="1:7" x14ac:dyDescent="0.25">
      <c r="A992" s="2"/>
      <c r="E992" s="1"/>
      <c r="F992" s="1"/>
      <c r="G992" s="1"/>
    </row>
    <row r="993" spans="1:7" x14ac:dyDescent="0.25">
      <c r="A993" s="2"/>
      <c r="E993" s="1"/>
      <c r="F993" s="1"/>
      <c r="G993" s="1"/>
    </row>
    <row r="994" spans="1:7" x14ac:dyDescent="0.25">
      <c r="A994" s="2"/>
      <c r="E994" s="1"/>
      <c r="F994" s="1"/>
      <c r="G994" s="1"/>
    </row>
    <row r="995" spans="1:7" x14ac:dyDescent="0.25">
      <c r="A995" s="2"/>
      <c r="E995" s="1"/>
      <c r="F995" s="1"/>
      <c r="G995" s="1"/>
    </row>
    <row r="996" spans="1:7" x14ac:dyDescent="0.25">
      <c r="A996" s="2"/>
      <c r="E996" s="1"/>
      <c r="F996" s="1"/>
      <c r="G996" s="1"/>
    </row>
    <row r="997" spans="1:7" x14ac:dyDescent="0.25">
      <c r="A997" s="2"/>
      <c r="E997" s="1"/>
      <c r="F997" s="1"/>
      <c r="G997" s="1"/>
    </row>
    <row r="998" spans="1:7" x14ac:dyDescent="0.25">
      <c r="E998" s="1"/>
      <c r="F998" s="1"/>
      <c r="G998" s="1"/>
    </row>
  </sheetData>
  <sortState xmlns:xlrd2="http://schemas.microsoft.com/office/spreadsheetml/2017/richdata2" ref="M15:M770">
    <sortCondition ref="M15:M770"/>
  </sortState>
  <mergeCells count="2">
    <mergeCell ref="E3:G3"/>
    <mergeCell ref="B3:D3"/>
  </mergeCells>
  <phoneticPr fontId="0" type="noConversion"/>
  <pageMargins left="0.75" right="0.75" top="1" bottom="1" header="0.5" footer="0.5"/>
  <pageSetup paperSize="0" orientation="portrait" horizontalDpi="0" verticalDpi="0" copies="0"/>
  <headerFooter alignWithMargins="0">
    <oddHeader>&amp;A</oddHeader>
    <oddFooter>Page &amp;P</oddFooter>
  </headerFooter>
  <drawing r:id="rId1"/>
  <legacyDrawing r:id="rId2"/>
  <oleObjects>
    <mc:AlternateContent xmlns:mc="http://schemas.openxmlformats.org/markup-compatibility/2006">
      <mc:Choice Requires="x14">
        <oleObject progId="Equation.3" shapeId="40961" r:id="rId3">
          <objectPr defaultSize="0" autoPict="0" r:id="rId4">
            <anchor moveWithCells="1" sizeWithCells="1">
              <from>
                <xdr:col>15</xdr:col>
                <xdr:colOff>107950</xdr:colOff>
                <xdr:row>0</xdr:row>
                <xdr:rowOff>127000</xdr:rowOff>
              </from>
              <to>
                <xdr:col>18</xdr:col>
                <xdr:colOff>69850</xdr:colOff>
                <xdr:row>4</xdr:row>
                <xdr:rowOff>69850</xdr:rowOff>
              </to>
            </anchor>
          </objectPr>
        </oleObject>
      </mc:Choice>
      <mc:Fallback>
        <oleObject progId="Equation.3" shapeId="40961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DB199-0207-4A60-9215-D60BD563BF2D}">
  <sheetPr codeName="Sheet2"/>
  <dimension ref="A1:T998"/>
  <sheetViews>
    <sheetView topLeftCell="E5" workbookViewId="0">
      <selection activeCell="N11" sqref="N11"/>
    </sheetView>
  </sheetViews>
  <sheetFormatPr defaultRowHeight="12.5" x14ac:dyDescent="0.25"/>
  <cols>
    <col min="1" max="1" width="11.81640625" style="11" customWidth="1"/>
    <col min="2" max="2" width="9.81640625" style="11" customWidth="1"/>
    <col min="3" max="3" width="12.1796875" style="11" customWidth="1"/>
    <col min="4" max="4" width="10.81640625" style="11" customWidth="1"/>
    <col min="5" max="5" width="12.26953125" style="11" bestFit="1" customWidth="1"/>
    <col min="6" max="6" width="10.7265625" style="11" customWidth="1"/>
    <col min="7" max="7" width="12.453125" style="11" customWidth="1"/>
    <col min="8" max="8" width="11.81640625" style="11" customWidth="1"/>
    <col min="9" max="9" width="15.7265625" style="11" customWidth="1"/>
    <col min="10" max="10" width="13.7265625" style="11" bestFit="1" customWidth="1"/>
    <col min="11" max="11" width="16.36328125" style="11" customWidth="1"/>
    <col min="12" max="12" width="12.54296875" style="11" bestFit="1" customWidth="1"/>
    <col min="13" max="13" width="16.26953125" style="11" bestFit="1" customWidth="1"/>
    <col min="14" max="14" width="16.54296875" style="11" customWidth="1"/>
    <col min="15" max="15" width="8.7265625" style="11"/>
    <col min="16" max="16" width="11.6328125" style="11" customWidth="1"/>
    <col min="17" max="17" width="10.1796875" style="11" bestFit="1" customWidth="1"/>
    <col min="18" max="16384" width="8.7265625" style="11"/>
  </cols>
  <sheetData>
    <row r="1" spans="1:20" x14ac:dyDescent="0.25">
      <c r="J1" s="13" t="s">
        <v>15</v>
      </c>
      <c r="K1" s="12">
        <f>+COUNT(H5:H773)</f>
        <v>756</v>
      </c>
      <c r="L1" s="10"/>
      <c r="M1" s="10"/>
      <c r="R1" s="13"/>
      <c r="S1" s="13"/>
    </row>
    <row r="2" spans="1:20" ht="13" x14ac:dyDescent="0.3">
      <c r="H2" s="5"/>
      <c r="I2" s="5"/>
      <c r="J2" s="11" t="s">
        <v>3</v>
      </c>
      <c r="K2" s="6">
        <v>0.99</v>
      </c>
      <c r="L2" s="12"/>
      <c r="M2" s="12"/>
      <c r="P2" s="13"/>
      <c r="Q2" s="2"/>
    </row>
    <row r="3" spans="1:20" ht="13" x14ac:dyDescent="0.3">
      <c r="A3" s="3"/>
      <c r="B3" s="110" t="s">
        <v>8</v>
      </c>
      <c r="C3" s="113"/>
      <c r="D3" s="114"/>
      <c r="E3" s="110" t="s">
        <v>7</v>
      </c>
      <c r="F3" s="111"/>
      <c r="G3" s="112"/>
      <c r="J3" s="13" t="s">
        <v>16</v>
      </c>
      <c r="K3" s="40">
        <f>+SUM(B5:D5)</f>
        <v>20987</v>
      </c>
      <c r="L3" s="12"/>
      <c r="M3" s="12"/>
      <c r="Q3" s="2"/>
    </row>
    <row r="4" spans="1:20" ht="26" x14ac:dyDescent="0.3">
      <c r="A4" s="28" t="s">
        <v>9</v>
      </c>
      <c r="B4" s="7" t="s">
        <v>0</v>
      </c>
      <c r="C4" s="8" t="s">
        <v>10</v>
      </c>
      <c r="D4" s="9" t="s">
        <v>1</v>
      </c>
      <c r="E4" s="7" t="s">
        <v>0</v>
      </c>
      <c r="F4" s="8" t="s">
        <v>10</v>
      </c>
      <c r="G4" s="9" t="s">
        <v>1</v>
      </c>
      <c r="H4" s="34" t="s">
        <v>13</v>
      </c>
      <c r="I4" s="19"/>
      <c r="J4" s="19" t="s">
        <v>11</v>
      </c>
      <c r="K4" s="12"/>
      <c r="L4" s="12"/>
      <c r="M4" s="12"/>
      <c r="Q4" s="2"/>
    </row>
    <row r="5" spans="1:20" x14ac:dyDescent="0.25">
      <c r="A5" s="2">
        <v>45400</v>
      </c>
      <c r="B5" s="20">
        <v>3020</v>
      </c>
      <c r="C5" s="20">
        <v>922</v>
      </c>
      <c r="D5" s="20">
        <v>17045</v>
      </c>
      <c r="E5" s="17">
        <f>+B5/B6-1</f>
        <v>-1.98281559814939E-3</v>
      </c>
      <c r="F5" s="17">
        <f t="shared" ref="F5:G20" si="0">+C5/C6-1</f>
        <v>-3.2432432432432101E-3</v>
      </c>
      <c r="G5" s="17">
        <f t="shared" si="0"/>
        <v>-9.5874491574665655E-3</v>
      </c>
      <c r="H5" s="14">
        <f>+SUMPRODUCT(E5:G5,$K$9:$M$9)</f>
        <v>-8.2144396181302246E-3</v>
      </c>
      <c r="I5" s="4"/>
      <c r="J5" s="13"/>
      <c r="Q5" s="2"/>
    </row>
    <row r="6" spans="1:20" ht="13.5" thickBot="1" x14ac:dyDescent="0.35">
      <c r="A6" s="2">
        <v>45399</v>
      </c>
      <c r="B6" s="20">
        <v>3026</v>
      </c>
      <c r="C6" s="20">
        <v>925</v>
      </c>
      <c r="D6" s="20">
        <v>17210</v>
      </c>
      <c r="E6" s="17">
        <f t="shared" ref="E6:G69" si="1">+B6/B7-1</f>
        <v>1.9541778975741275E-2</v>
      </c>
      <c r="F6" s="17">
        <f t="shared" si="0"/>
        <v>9.8253275109170257E-3</v>
      </c>
      <c r="G6" s="17">
        <f t="shared" si="0"/>
        <v>1.0569583088666956E-2</v>
      </c>
      <c r="H6" s="14">
        <f t="shared" ref="H6:H69" si="2">+SUMPRODUCT(E6:G6,$K$9:$M$9)</f>
        <v>1.1827972946020509E-2</v>
      </c>
      <c r="I6" s="4"/>
      <c r="J6" s="15"/>
      <c r="K6" s="7" t="s">
        <v>0</v>
      </c>
      <c r="L6" s="8" t="s">
        <v>10</v>
      </c>
      <c r="M6" s="9" t="s">
        <v>1</v>
      </c>
      <c r="N6" s="19" t="s">
        <v>12</v>
      </c>
      <c r="Q6" s="2"/>
    </row>
    <row r="7" spans="1:20" ht="13" thickTop="1" x14ac:dyDescent="0.25">
      <c r="A7" s="2">
        <v>45398</v>
      </c>
      <c r="B7" s="20">
        <v>2968</v>
      </c>
      <c r="C7" s="20">
        <v>916</v>
      </c>
      <c r="D7" s="20">
        <v>17030</v>
      </c>
      <c r="E7" s="17">
        <f t="shared" si="1"/>
        <v>-2.6246719160105014E-2</v>
      </c>
      <c r="F7" s="17">
        <f t="shared" si="0"/>
        <v>-4.3478260869564966E-3</v>
      </c>
      <c r="G7" s="17">
        <f t="shared" si="0"/>
        <v>-3.7853107344632764E-2</v>
      </c>
      <c r="H7" s="14">
        <f t="shared" si="2"/>
        <v>-3.471101168365924E-2</v>
      </c>
      <c r="I7" s="4"/>
      <c r="J7" s="11" t="s">
        <v>2</v>
      </c>
      <c r="K7" s="14"/>
      <c r="L7" s="14"/>
      <c r="M7" s="14"/>
      <c r="N7" s="14">
        <f>-O37</f>
        <v>3.471101168365924E-2</v>
      </c>
      <c r="P7" s="23"/>
      <c r="Q7" s="2"/>
    </row>
    <row r="8" spans="1:20" x14ac:dyDescent="0.25">
      <c r="A8" s="2">
        <v>45397</v>
      </c>
      <c r="B8" s="20">
        <v>3048</v>
      </c>
      <c r="C8" s="20">
        <v>920</v>
      </c>
      <c r="D8" s="20">
        <v>17700</v>
      </c>
      <c r="E8" s="17">
        <f t="shared" si="1"/>
        <v>0</v>
      </c>
      <c r="F8" s="17">
        <f t="shared" si="0"/>
        <v>5.464480874316946E-3</v>
      </c>
      <c r="G8" s="17">
        <f t="shared" si="0"/>
        <v>5.6818181818181213E-3</v>
      </c>
      <c r="H8" s="14">
        <f t="shared" si="2"/>
        <v>4.8546644244155954E-3</v>
      </c>
      <c r="I8" s="4"/>
      <c r="J8" s="13" t="s">
        <v>6</v>
      </c>
      <c r="K8" s="21"/>
      <c r="L8" s="21"/>
      <c r="M8" s="21"/>
      <c r="N8" s="21">
        <f>+N7*K3</f>
        <v>728.48000220495646</v>
      </c>
      <c r="P8" s="27"/>
      <c r="Q8" s="25"/>
      <c r="R8" s="24"/>
      <c r="S8" s="24"/>
      <c r="T8" s="24"/>
    </row>
    <row r="9" spans="1:20" x14ac:dyDescent="0.25">
      <c r="A9" s="2">
        <v>45394</v>
      </c>
      <c r="B9" s="20">
        <v>3048</v>
      </c>
      <c r="C9" s="20">
        <v>915</v>
      </c>
      <c r="D9" s="20">
        <v>17600</v>
      </c>
      <c r="E9" s="17">
        <f t="shared" si="1"/>
        <v>5.9405940594059459E-3</v>
      </c>
      <c r="F9" s="17">
        <f t="shared" si="0"/>
        <v>-1.6129032258064502E-2</v>
      </c>
      <c r="G9" s="17">
        <f t="shared" si="0"/>
        <v>7.1530758226037161E-3</v>
      </c>
      <c r="H9" s="14">
        <f t="shared" si="2"/>
        <v>5.9557727981012446E-3</v>
      </c>
      <c r="I9" s="4"/>
      <c r="J9" s="22" t="s">
        <v>14</v>
      </c>
      <c r="K9" s="14">
        <f>+B5/SUM($B$5:$D$5)</f>
        <v>0.14389860389765094</v>
      </c>
      <c r="L9" s="14">
        <f t="shared" ref="L9:M9" si="3">+C5/SUM($B$5:$D$5)</f>
        <v>4.3931957878686805E-2</v>
      </c>
      <c r="M9" s="14">
        <f t="shared" si="3"/>
        <v>0.81216943822366228</v>
      </c>
      <c r="P9" s="27"/>
      <c r="Q9" s="25"/>
      <c r="R9" s="24"/>
      <c r="S9" s="24"/>
      <c r="T9" s="24"/>
    </row>
    <row r="10" spans="1:20" x14ac:dyDescent="0.25">
      <c r="A10" s="2">
        <v>45393</v>
      </c>
      <c r="B10" s="20">
        <v>3030</v>
      </c>
      <c r="C10" s="20">
        <v>930</v>
      </c>
      <c r="D10" s="20">
        <v>17475</v>
      </c>
      <c r="E10" s="17">
        <f t="shared" si="1"/>
        <v>3.3112582781456013E-3</v>
      </c>
      <c r="F10" s="17">
        <f t="shared" si="0"/>
        <v>-1.0741138560687036E-3</v>
      </c>
      <c r="G10" s="17">
        <f t="shared" si="0"/>
        <v>-4.2735042735042583E-3</v>
      </c>
      <c r="H10" s="14">
        <f t="shared" si="2"/>
        <v>-3.0415120463704059E-3</v>
      </c>
      <c r="J10" s="22" t="s">
        <v>5</v>
      </c>
      <c r="K10" s="14"/>
      <c r="L10" s="14"/>
      <c r="M10" s="14"/>
      <c r="N10" s="14">
        <f>-(SUMPRODUCT(N15:N36,O15:O36)+(1%-SUM(N15:N36))*O27)/1%</f>
        <v>4.3866837138121402E-2</v>
      </c>
      <c r="O10" s="12"/>
      <c r="P10" s="27"/>
      <c r="Q10" s="26"/>
      <c r="R10" s="24"/>
      <c r="S10" s="24"/>
      <c r="T10" s="24"/>
    </row>
    <row r="11" spans="1:20" x14ac:dyDescent="0.25">
      <c r="A11" s="2">
        <v>45392</v>
      </c>
      <c r="B11" s="20">
        <v>3020</v>
      </c>
      <c r="C11" s="20">
        <v>931</v>
      </c>
      <c r="D11" s="20">
        <v>17550</v>
      </c>
      <c r="E11" s="17">
        <f t="shared" si="1"/>
        <v>-1.113294040602486E-2</v>
      </c>
      <c r="F11" s="17">
        <f t="shared" si="0"/>
        <v>1.637554585152845E-2</v>
      </c>
      <c r="G11" s="17">
        <f t="shared" si="0"/>
        <v>3.8768866528558821E-2</v>
      </c>
      <c r="H11" s="14">
        <f t="shared" si="2"/>
        <v>3.0604283757954889E-2</v>
      </c>
      <c r="N11" s="33"/>
      <c r="O11" s="12"/>
      <c r="P11" s="27"/>
      <c r="Q11" s="25"/>
      <c r="R11" s="24"/>
      <c r="S11" s="24"/>
      <c r="T11" s="24"/>
    </row>
    <row r="12" spans="1:20" x14ac:dyDescent="0.25">
      <c r="A12" s="2">
        <v>45391</v>
      </c>
      <c r="B12" s="20">
        <v>3054</v>
      </c>
      <c r="C12" s="20">
        <v>916</v>
      </c>
      <c r="D12" s="20">
        <v>16895</v>
      </c>
      <c r="E12" s="17">
        <f t="shared" si="1"/>
        <v>-3.9138943248532287E-3</v>
      </c>
      <c r="F12" s="17">
        <f t="shared" si="0"/>
        <v>-3.2644178454842576E-3</v>
      </c>
      <c r="G12" s="17">
        <f t="shared" si="0"/>
        <v>-6.1764705882353388E-3</v>
      </c>
      <c r="H12" s="14">
        <f t="shared" si="2"/>
        <v>-5.722956844287635E-3</v>
      </c>
      <c r="N12" s="18"/>
      <c r="O12" s="12"/>
      <c r="P12" s="27"/>
      <c r="Q12" s="25"/>
      <c r="R12" s="24"/>
      <c r="S12" s="24"/>
      <c r="T12" s="24"/>
    </row>
    <row r="13" spans="1:20" x14ac:dyDescent="0.25">
      <c r="A13" s="2">
        <v>45390</v>
      </c>
      <c r="B13" s="20">
        <v>3066</v>
      </c>
      <c r="C13" s="20">
        <v>919</v>
      </c>
      <c r="D13" s="20">
        <v>17000</v>
      </c>
      <c r="E13" s="17">
        <f t="shared" si="1"/>
        <v>5.2459016393442415E-3</v>
      </c>
      <c r="F13" s="17">
        <f t="shared" si="0"/>
        <v>1.1001100110010986E-2</v>
      </c>
      <c r="G13" s="17">
        <f t="shared" si="0"/>
        <v>-1.468428781204123E-3</v>
      </c>
      <c r="H13" s="14">
        <f t="shared" si="2"/>
        <v>4.5564810436244481E-5</v>
      </c>
      <c r="I13" s="4"/>
      <c r="J13" s="48" t="s">
        <v>18</v>
      </c>
      <c r="K13" s="21">
        <v>0.98</v>
      </c>
      <c r="L13" s="21"/>
      <c r="M13" s="21"/>
      <c r="N13" s="18"/>
      <c r="O13" s="12"/>
      <c r="P13" s="27"/>
      <c r="Q13" s="26"/>
      <c r="R13" s="24"/>
      <c r="S13" s="24"/>
      <c r="T13" s="24"/>
    </row>
    <row r="14" spans="1:20" ht="26.5" thickBot="1" x14ac:dyDescent="0.3">
      <c r="A14" s="2">
        <v>45387</v>
      </c>
      <c r="B14" s="20">
        <v>3050</v>
      </c>
      <c r="C14" s="20">
        <v>909</v>
      </c>
      <c r="D14" s="20">
        <v>17025</v>
      </c>
      <c r="E14" s="17">
        <f t="shared" si="1"/>
        <v>8.5978835978834933E-3</v>
      </c>
      <c r="F14" s="17">
        <f t="shared" si="0"/>
        <v>-1.098901098901095E-3</v>
      </c>
      <c r="G14" s="17">
        <f t="shared" si="0"/>
        <v>-9.0221187427240723E-3</v>
      </c>
      <c r="H14" s="14">
        <f t="shared" si="2"/>
        <v>-6.1385425414452032E-3</v>
      </c>
      <c r="I14" s="38"/>
      <c r="J14" s="44" t="s">
        <v>17</v>
      </c>
      <c r="K14" s="45" t="s">
        <v>19</v>
      </c>
      <c r="L14" s="46" t="s">
        <v>13</v>
      </c>
      <c r="M14" s="44"/>
      <c r="N14" s="46" t="s">
        <v>19</v>
      </c>
      <c r="O14" s="46" t="s">
        <v>13</v>
      </c>
      <c r="P14" s="27"/>
      <c r="Q14" s="25"/>
      <c r="R14" s="24"/>
      <c r="S14" s="24"/>
      <c r="T14" s="24"/>
    </row>
    <row r="15" spans="1:20" ht="13" thickTop="1" x14ac:dyDescent="0.25">
      <c r="A15" s="2">
        <v>45386</v>
      </c>
      <c r="B15" s="20">
        <v>3024</v>
      </c>
      <c r="C15" s="20">
        <v>910</v>
      </c>
      <c r="D15" s="20">
        <v>17180</v>
      </c>
      <c r="E15" s="17">
        <f t="shared" si="1"/>
        <v>3.3178500331785266E-3</v>
      </c>
      <c r="F15" s="17">
        <f t="shared" si="0"/>
        <v>1.1111111111111072E-2</v>
      </c>
      <c r="G15" s="17">
        <f t="shared" si="0"/>
        <v>-6.9364161849710948E-3</v>
      </c>
      <c r="H15" s="14">
        <f t="shared" si="2"/>
        <v>-4.667978383198588E-3</v>
      </c>
      <c r="I15" s="39"/>
      <c r="J15" s="47">
        <f>+K1</f>
        <v>756</v>
      </c>
      <c r="K15" s="49">
        <f>+($K$13^($K$1-J15)*(1-$K$13))/(1-$K$13^$K$1)</f>
        <v>2.0000004655253357E-2</v>
      </c>
      <c r="L15" s="17">
        <v>-8.2144396181302246E-3</v>
      </c>
      <c r="M15" s="27"/>
      <c r="N15" s="49">
        <v>3.9646665615478156E-7</v>
      </c>
      <c r="O15" s="27">
        <v>-0.18428544746561548</v>
      </c>
      <c r="P15" s="27"/>
      <c r="Q15" s="25"/>
      <c r="R15" s="24"/>
      <c r="S15" s="24"/>
      <c r="T15" s="24"/>
    </row>
    <row r="16" spans="1:20" x14ac:dyDescent="0.25">
      <c r="A16" s="2">
        <v>45385</v>
      </c>
      <c r="B16" s="20">
        <v>3014</v>
      </c>
      <c r="C16" s="20">
        <v>900</v>
      </c>
      <c r="D16" s="20">
        <v>17300</v>
      </c>
      <c r="E16" s="17">
        <f t="shared" si="1"/>
        <v>1.6869095816464341E-2</v>
      </c>
      <c r="F16" s="17">
        <f t="shared" si="0"/>
        <v>7.838745800671898E-3</v>
      </c>
      <c r="G16" s="17">
        <f t="shared" si="0"/>
        <v>2.1552996752288056E-2</v>
      </c>
      <c r="H16" s="14">
        <f t="shared" si="2"/>
        <v>2.0276496051683982E-2</v>
      </c>
      <c r="I16" s="39"/>
      <c r="J16" s="47">
        <f>+J15-1</f>
        <v>755</v>
      </c>
      <c r="K16" s="49">
        <f t="shared" ref="K16:K79" si="4">+($K$13^($K$1-J16)*(1-$K$13))/(1-$K$13^$K$1)</f>
        <v>1.9600004562148287E-2</v>
      </c>
      <c r="L16" s="17">
        <v>1.1827972946020509E-2</v>
      </c>
      <c r="M16" s="27"/>
      <c r="N16" s="49">
        <v>3.7315124503963113E-7</v>
      </c>
      <c r="O16" s="27">
        <v>-0.13059117436468012</v>
      </c>
      <c r="Q16" s="26"/>
      <c r="R16" s="24"/>
      <c r="S16" s="24"/>
      <c r="T16" s="24"/>
    </row>
    <row r="17" spans="1:20" x14ac:dyDescent="0.25">
      <c r="A17" s="2">
        <v>45384</v>
      </c>
      <c r="B17" s="20">
        <v>2964</v>
      </c>
      <c r="C17" s="20">
        <v>893</v>
      </c>
      <c r="D17" s="20">
        <v>16935</v>
      </c>
      <c r="E17" s="17">
        <f t="shared" si="1"/>
        <v>1.3513513513514486E-3</v>
      </c>
      <c r="F17" s="17">
        <f t="shared" si="0"/>
        <v>-4.4593088071348541E-3</v>
      </c>
      <c r="G17" s="17">
        <f t="shared" si="0"/>
        <v>8.0357142857143682E-3</v>
      </c>
      <c r="H17" s="14">
        <f t="shared" si="2"/>
        <v>6.5249129633060676E-3</v>
      </c>
      <c r="I17" s="39"/>
      <c r="J17" s="47">
        <f t="shared" ref="J17:J80" si="5">+J16-1</f>
        <v>754</v>
      </c>
      <c r="K17" s="49">
        <f t="shared" si="4"/>
        <v>1.9208004470905322E-2</v>
      </c>
      <c r="L17" s="17">
        <v>-3.471101168365924E-2</v>
      </c>
      <c r="M17" s="27"/>
      <c r="N17" s="49">
        <v>3.8853732303168585E-7</v>
      </c>
      <c r="O17" s="27">
        <v>-0.10339891098027382</v>
      </c>
      <c r="Q17" s="25"/>
      <c r="R17" s="24"/>
      <c r="S17" s="24"/>
      <c r="T17" s="24"/>
    </row>
    <row r="18" spans="1:20" x14ac:dyDescent="0.25">
      <c r="A18" s="2">
        <v>45379</v>
      </c>
      <c r="B18" s="20">
        <v>2960</v>
      </c>
      <c r="C18" s="20">
        <v>897</v>
      </c>
      <c r="D18" s="20">
        <v>16800</v>
      </c>
      <c r="E18" s="17">
        <f t="shared" si="1"/>
        <v>1.3698630136986356E-2</v>
      </c>
      <c r="F18" s="17">
        <f t="shared" si="0"/>
        <v>7.8651685393258397E-3</v>
      </c>
      <c r="G18" s="17">
        <f t="shared" si="0"/>
        <v>1.2048192771084265E-2</v>
      </c>
      <c r="H18" s="14">
        <f t="shared" si="2"/>
        <v>1.2101919959502955E-2</v>
      </c>
      <c r="I18" s="39"/>
      <c r="J18" s="47">
        <f t="shared" si="5"/>
        <v>753</v>
      </c>
      <c r="K18" s="49">
        <f t="shared" si="4"/>
        <v>1.8823844381487216E-2</v>
      </c>
      <c r="L18" s="17">
        <v>4.8546644244155954E-3</v>
      </c>
      <c r="M18" s="27"/>
      <c r="N18" s="49">
        <v>1.2796590656917825E-6</v>
      </c>
      <c r="O18" s="27">
        <v>-8.1494176984293704E-2</v>
      </c>
      <c r="Q18" s="2"/>
      <c r="R18" s="24"/>
      <c r="S18" s="24"/>
      <c r="T18" s="24"/>
    </row>
    <row r="19" spans="1:20" x14ac:dyDescent="0.25">
      <c r="A19" s="2">
        <v>45378</v>
      </c>
      <c r="B19" s="20">
        <v>2920</v>
      </c>
      <c r="C19" s="20">
        <v>890</v>
      </c>
      <c r="D19" s="20">
        <v>16600</v>
      </c>
      <c r="E19" s="17">
        <f t="shared" si="1"/>
        <v>-1.3679890560875929E-3</v>
      </c>
      <c r="F19" s="17">
        <f t="shared" si="0"/>
        <v>0</v>
      </c>
      <c r="G19" s="17">
        <f t="shared" si="0"/>
        <v>-6.2855432505237729E-3</v>
      </c>
      <c r="H19" s="14">
        <f t="shared" si="2"/>
        <v>-5.3017778460266946E-3</v>
      </c>
      <c r="I19" s="39"/>
      <c r="J19" s="47">
        <f t="shared" si="5"/>
        <v>752</v>
      </c>
      <c r="K19" s="49">
        <f t="shared" si="4"/>
        <v>1.8447367493857472E-2</v>
      </c>
      <c r="L19" s="17">
        <v>5.9557727981012446E-3</v>
      </c>
      <c r="M19" s="27"/>
      <c r="N19" s="49">
        <v>6.4384429422087711E-7</v>
      </c>
      <c r="O19" s="27">
        <v>-7.692830315250293E-2</v>
      </c>
      <c r="Q19" s="2"/>
      <c r="R19" s="24"/>
      <c r="S19" s="24"/>
      <c r="T19" s="24"/>
    </row>
    <row r="20" spans="1:20" x14ac:dyDescent="0.25">
      <c r="A20" s="2">
        <v>45377</v>
      </c>
      <c r="B20" s="20">
        <v>2924</v>
      </c>
      <c r="C20" s="20">
        <v>890</v>
      </c>
      <c r="D20" s="20">
        <v>16705</v>
      </c>
      <c r="E20" s="17">
        <f t="shared" si="1"/>
        <v>2.0562028786841324E-3</v>
      </c>
      <c r="F20" s="17">
        <f t="shared" si="0"/>
        <v>-2.2421524663677195E-3</v>
      </c>
      <c r="G20" s="17">
        <f t="shared" si="0"/>
        <v>-8.6053412462907541E-3</v>
      </c>
      <c r="H20" s="14">
        <f t="shared" si="2"/>
        <v>-6.7916125898599541E-3</v>
      </c>
      <c r="I20" s="39"/>
      <c r="J20" s="47">
        <f t="shared" si="5"/>
        <v>751</v>
      </c>
      <c r="K20" s="49">
        <f t="shared" si="4"/>
        <v>1.8078420143980322E-2</v>
      </c>
      <c r="L20" s="17">
        <v>-3.0415120463704059E-3</v>
      </c>
      <c r="M20" s="27"/>
      <c r="N20" s="49">
        <v>1.5340242515564902E-7</v>
      </c>
      <c r="O20" s="27">
        <v>-5.9277358339613444E-2</v>
      </c>
      <c r="Q20" s="2"/>
      <c r="R20" s="24"/>
      <c r="S20" s="24"/>
      <c r="T20" s="24"/>
    </row>
    <row r="21" spans="1:20" x14ac:dyDescent="0.25">
      <c r="A21" s="2">
        <v>45376</v>
      </c>
      <c r="B21" s="20">
        <v>2918</v>
      </c>
      <c r="C21" s="20">
        <v>892</v>
      </c>
      <c r="D21" s="20">
        <v>16850</v>
      </c>
      <c r="E21" s="17">
        <f t="shared" si="1"/>
        <v>-4.7748976807640009E-3</v>
      </c>
      <c r="F21" s="17">
        <f t="shared" si="1"/>
        <v>2.2471910112360494E-3</v>
      </c>
      <c r="G21" s="17">
        <f t="shared" si="1"/>
        <v>-8.8235294117646745E-3</v>
      </c>
      <c r="H21" s="14">
        <f t="shared" si="2"/>
        <v>-7.7545785346679625E-3</v>
      </c>
      <c r="I21" s="39"/>
      <c r="J21" s="47">
        <f t="shared" si="5"/>
        <v>750</v>
      </c>
      <c r="K21" s="49">
        <f t="shared" si="4"/>
        <v>1.7716851741100714E-2</v>
      </c>
      <c r="L21" s="17">
        <v>3.0604283757954889E-2</v>
      </c>
      <c r="M21" s="27"/>
      <c r="N21" s="49">
        <v>1.1353580539604502E-3</v>
      </c>
      <c r="O21" s="27">
        <v>-5.1616918729289273E-2</v>
      </c>
      <c r="Q21" s="2"/>
      <c r="R21" s="24"/>
      <c r="S21" s="24"/>
      <c r="T21" s="24"/>
    </row>
    <row r="22" spans="1:20" x14ac:dyDescent="0.25">
      <c r="A22" s="2">
        <v>45373</v>
      </c>
      <c r="B22" s="20">
        <v>2932</v>
      </c>
      <c r="C22" s="20">
        <v>890</v>
      </c>
      <c r="D22" s="20">
        <v>17000</v>
      </c>
      <c r="E22" s="17">
        <f t="shared" si="1"/>
        <v>-2.7210884353741083E-3</v>
      </c>
      <c r="F22" s="17">
        <f t="shared" si="1"/>
        <v>-1.220865704772478E-2</v>
      </c>
      <c r="G22" s="17">
        <f t="shared" si="1"/>
        <v>-1.1340505961035197E-2</v>
      </c>
      <c r="H22" s="14">
        <f t="shared" si="2"/>
        <v>-1.0138323389654404E-2</v>
      </c>
      <c r="I22" s="39"/>
      <c r="J22" s="47">
        <f t="shared" si="5"/>
        <v>749</v>
      </c>
      <c r="K22" s="49">
        <f t="shared" si="4"/>
        <v>1.7362514706278698E-2</v>
      </c>
      <c r="L22" s="42">
        <v>-5.722956844287635E-3</v>
      </c>
      <c r="M22" s="43"/>
      <c r="N22" s="49">
        <v>9.0864095260594581E-5</v>
      </c>
      <c r="O22" s="27">
        <v>-4.8055363917778995E-2</v>
      </c>
      <c r="Q22" s="2"/>
      <c r="R22" s="24"/>
      <c r="S22" s="24"/>
      <c r="T22" s="24"/>
    </row>
    <row r="23" spans="1:20" x14ac:dyDescent="0.25">
      <c r="A23" s="2">
        <v>45372</v>
      </c>
      <c r="B23" s="20">
        <v>2940</v>
      </c>
      <c r="C23" s="20">
        <v>901</v>
      </c>
      <c r="D23" s="20">
        <v>17195</v>
      </c>
      <c r="E23" s="17">
        <f t="shared" si="1"/>
        <v>-1.0101010101010055E-2</v>
      </c>
      <c r="F23" s="17">
        <f t="shared" si="1"/>
        <v>1.1223344556677839E-2</v>
      </c>
      <c r="G23" s="17">
        <f t="shared" si="1"/>
        <v>-2.8993911278631934E-3</v>
      </c>
      <c r="H23" s="14">
        <f t="shared" si="2"/>
        <v>-3.3152546146767779E-3</v>
      </c>
      <c r="I23" s="39"/>
      <c r="J23" s="47">
        <f t="shared" si="5"/>
        <v>748</v>
      </c>
      <c r="K23" s="49">
        <f t="shared" si="4"/>
        <v>1.7015264412153123E-2</v>
      </c>
      <c r="L23" s="17">
        <v>4.5564810436244481E-5</v>
      </c>
      <c r="M23" s="27"/>
      <c r="N23" s="49">
        <v>7.7303812328062741E-5</v>
      </c>
      <c r="O23" s="27">
        <v>-4.5487299010047472E-2</v>
      </c>
      <c r="Q23" s="2"/>
      <c r="R23" s="24"/>
      <c r="S23" s="24"/>
      <c r="T23" s="24"/>
    </row>
    <row r="24" spans="1:20" x14ac:dyDescent="0.25">
      <c r="A24" s="2">
        <v>45371</v>
      </c>
      <c r="B24" s="20">
        <v>2970</v>
      </c>
      <c r="C24" s="20">
        <v>891</v>
      </c>
      <c r="D24" s="20">
        <v>17245</v>
      </c>
      <c r="E24" s="17">
        <f t="shared" si="1"/>
        <v>2.0242914979757831E-3</v>
      </c>
      <c r="F24" s="17">
        <f t="shared" si="1"/>
        <v>1.1235955056179137E-3</v>
      </c>
      <c r="G24" s="17">
        <f t="shared" si="1"/>
        <v>-1.4475969889982121E-3</v>
      </c>
      <c r="H24" s="14">
        <f t="shared" si="2"/>
        <v>-8.3503956246285536E-4</v>
      </c>
      <c r="I24" s="39"/>
      <c r="J24" s="47">
        <f t="shared" si="5"/>
        <v>747</v>
      </c>
      <c r="K24" s="49">
        <f t="shared" si="4"/>
        <v>1.6674959123910062E-2</v>
      </c>
      <c r="L24" s="17">
        <v>-6.1385425414452032E-3</v>
      </c>
      <c r="M24" s="27"/>
      <c r="N24" s="49">
        <v>1.2540658843779471E-6</v>
      </c>
      <c r="O24" s="27">
        <v>-4.5383678191748392E-2</v>
      </c>
      <c r="Q24" s="2"/>
      <c r="R24" s="24"/>
      <c r="S24" s="24"/>
      <c r="T24" s="24"/>
    </row>
    <row r="25" spans="1:20" x14ac:dyDescent="0.25">
      <c r="A25" s="2">
        <v>45370</v>
      </c>
      <c r="B25" s="20">
        <v>2964</v>
      </c>
      <c r="C25" s="20">
        <v>890</v>
      </c>
      <c r="D25" s="20">
        <v>17270</v>
      </c>
      <c r="E25" s="17">
        <f t="shared" si="1"/>
        <v>-2.6917900403768957E-3</v>
      </c>
      <c r="F25" s="17">
        <f t="shared" si="1"/>
        <v>-8.9086859688195519E-3</v>
      </c>
      <c r="G25" s="17">
        <f t="shared" si="1"/>
        <v>2.2195915951464862E-2</v>
      </c>
      <c r="H25" s="14">
        <f t="shared" si="2"/>
        <v>1.7248123743628375E-2</v>
      </c>
      <c r="I25" s="39"/>
      <c r="J25" s="47">
        <f t="shared" si="5"/>
        <v>746</v>
      </c>
      <c r="K25" s="49">
        <f t="shared" si="4"/>
        <v>1.6341459941431859E-2</v>
      </c>
      <c r="L25" s="17">
        <v>-4.667978383198588E-3</v>
      </c>
      <c r="M25" s="27"/>
      <c r="N25" s="49">
        <v>6.309674083364596E-7</v>
      </c>
      <c r="O25" s="27">
        <v>-4.4356657364618912E-2</v>
      </c>
      <c r="Q25" s="2"/>
      <c r="R25" s="24"/>
      <c r="S25" s="24"/>
      <c r="T25" s="24"/>
    </row>
    <row r="26" spans="1:20" x14ac:dyDescent="0.25">
      <c r="A26" s="2">
        <v>45369</v>
      </c>
      <c r="B26" s="20">
        <v>2972</v>
      </c>
      <c r="C26" s="20">
        <v>898</v>
      </c>
      <c r="D26" s="20">
        <v>16895</v>
      </c>
      <c r="E26" s="17">
        <f t="shared" si="1"/>
        <v>1.5027322404371546E-2</v>
      </c>
      <c r="F26" s="17">
        <f t="shared" si="1"/>
        <v>5.5991041433369748E-3</v>
      </c>
      <c r="G26" s="17">
        <f t="shared" si="1"/>
        <v>6.5534703604408495E-3</v>
      </c>
      <c r="H26" s="14">
        <f t="shared" si="2"/>
        <v>7.7309186627470836E-3</v>
      </c>
      <c r="I26" s="39"/>
      <c r="J26" s="47">
        <f t="shared" si="5"/>
        <v>745</v>
      </c>
      <c r="K26" s="49">
        <f t="shared" si="4"/>
        <v>1.601463074260322E-2</v>
      </c>
      <c r="L26" s="17">
        <v>2.0276496051683982E-2</v>
      </c>
      <c r="M26" s="27"/>
      <c r="N26" s="49">
        <v>1.1567104422924594E-6</v>
      </c>
      <c r="O26" s="27">
        <v>-4.4278435141126893E-2</v>
      </c>
      <c r="Q26" s="2"/>
      <c r="R26" s="24"/>
      <c r="S26" s="24"/>
      <c r="T26" s="24"/>
    </row>
    <row r="27" spans="1:20" x14ac:dyDescent="0.25">
      <c r="A27" s="2">
        <v>45365</v>
      </c>
      <c r="B27" s="20">
        <v>2928</v>
      </c>
      <c r="C27" s="20">
        <v>893</v>
      </c>
      <c r="D27" s="20">
        <v>16785</v>
      </c>
      <c r="E27" s="17">
        <f t="shared" si="1"/>
        <v>3.4270047978066653E-3</v>
      </c>
      <c r="F27" s="17">
        <f t="shared" si="1"/>
        <v>-6.6740823136818284E-3</v>
      </c>
      <c r="G27" s="17">
        <f t="shared" si="1"/>
        <v>-7.6854862548034752E-3</v>
      </c>
      <c r="H27" s="14">
        <f t="shared" si="2"/>
        <v>-6.0419813511680444E-3</v>
      </c>
      <c r="I27" s="39"/>
      <c r="J27" s="47">
        <f t="shared" si="5"/>
        <v>744</v>
      </c>
      <c r="K27" s="49">
        <f t="shared" si="4"/>
        <v>1.5694338127751156E-2</v>
      </c>
      <c r="L27" s="17">
        <v>6.5249129633060676E-3</v>
      </c>
      <c r="M27" s="27"/>
      <c r="N27" s="49">
        <v>4.2123887172307202E-7</v>
      </c>
      <c r="O27" s="27">
        <v>-4.2829377262044735E-2</v>
      </c>
      <c r="Q27" s="2"/>
      <c r="R27" s="24"/>
      <c r="S27" s="24"/>
      <c r="T27" s="24"/>
    </row>
    <row r="28" spans="1:20" x14ac:dyDescent="0.25">
      <c r="A28" s="2">
        <v>45364</v>
      </c>
      <c r="B28" s="20">
        <v>2918</v>
      </c>
      <c r="C28" s="20">
        <v>899</v>
      </c>
      <c r="D28" s="20">
        <v>16915</v>
      </c>
      <c r="E28" s="17">
        <f t="shared" si="1"/>
        <v>-8.1577158395649274E-3</v>
      </c>
      <c r="F28" s="17">
        <f t="shared" si="1"/>
        <v>1.0112359550561889E-2</v>
      </c>
      <c r="G28" s="17">
        <f t="shared" si="1"/>
        <v>-2.5072046109510082E-2</v>
      </c>
      <c r="H28" s="14">
        <f t="shared" si="2"/>
        <v>-2.1092377770356288E-2</v>
      </c>
      <c r="I28" s="39"/>
      <c r="J28" s="47">
        <f t="shared" si="5"/>
        <v>743</v>
      </c>
      <c r="K28" s="49">
        <f t="shared" si="4"/>
        <v>1.5380451365196132E-2</v>
      </c>
      <c r="L28" s="17">
        <v>1.2101919959502955E-2</v>
      </c>
      <c r="M28" s="27"/>
      <c r="N28" s="49">
        <v>1.9177859604907498E-5</v>
      </c>
      <c r="O28" s="27">
        <v>-4.2758644823875959E-2</v>
      </c>
      <c r="Q28" s="2"/>
      <c r="R28" s="24"/>
      <c r="S28" s="24"/>
      <c r="T28" s="24"/>
    </row>
    <row r="29" spans="1:20" x14ac:dyDescent="0.25">
      <c r="A29" s="2">
        <v>45363</v>
      </c>
      <c r="B29" s="20">
        <v>2942</v>
      </c>
      <c r="C29" s="20">
        <v>890</v>
      </c>
      <c r="D29" s="20">
        <v>17350</v>
      </c>
      <c r="E29" s="17">
        <f t="shared" si="1"/>
        <v>5.4682159945318443E-3</v>
      </c>
      <c r="F29" s="17">
        <f t="shared" si="1"/>
        <v>1.2514220705347023E-2</v>
      </c>
      <c r="G29" s="17">
        <f t="shared" si="1"/>
        <v>2.9062870699881449E-2</v>
      </c>
      <c r="H29" s="14">
        <f t="shared" si="2"/>
        <v>2.4940618233825484E-2</v>
      </c>
      <c r="I29" s="39"/>
      <c r="J29" s="47">
        <f t="shared" si="5"/>
        <v>742</v>
      </c>
      <c r="K29" s="49">
        <f t="shared" si="4"/>
        <v>1.5072842337892208E-2</v>
      </c>
      <c r="L29" s="17">
        <v>-5.3017778460266946E-3</v>
      </c>
      <c r="M29" s="27"/>
      <c r="N29" s="49">
        <v>9.8357139716424622E-8</v>
      </c>
      <c r="O29" s="27">
        <v>-4.2158427210216273E-2</v>
      </c>
      <c r="Q29" s="2"/>
      <c r="R29" s="24"/>
      <c r="S29" s="24"/>
      <c r="T29" s="24"/>
    </row>
    <row r="30" spans="1:20" x14ac:dyDescent="0.25">
      <c r="A30" s="2">
        <v>45362</v>
      </c>
      <c r="B30" s="20">
        <v>2926</v>
      </c>
      <c r="C30" s="20">
        <v>879</v>
      </c>
      <c r="D30" s="20">
        <v>16860</v>
      </c>
      <c r="E30" s="17">
        <f t="shared" si="1"/>
        <v>-4.0844111640572223E-3</v>
      </c>
      <c r="F30" s="17">
        <f t="shared" si="1"/>
        <v>-7.900677200902928E-3</v>
      </c>
      <c r="G30" s="17">
        <f t="shared" si="1"/>
        <v>-1.3169446883230851E-2</v>
      </c>
      <c r="H30" s="14">
        <f t="shared" si="2"/>
        <v>-1.1630655559124943E-2</v>
      </c>
      <c r="I30" s="39"/>
      <c r="J30" s="47">
        <f t="shared" si="5"/>
        <v>741</v>
      </c>
      <c r="K30" s="49">
        <f t="shared" si="4"/>
        <v>1.4771385491134364E-2</v>
      </c>
      <c r="L30" s="17">
        <v>-6.7916125898599541E-3</v>
      </c>
      <c r="M30" s="27"/>
      <c r="N30" s="49">
        <v>1.3057745568283496E-6</v>
      </c>
      <c r="O30" s="27">
        <v>-4.1638718383628905E-2</v>
      </c>
      <c r="Q30" s="2"/>
      <c r="R30" s="24"/>
      <c r="S30" s="24"/>
      <c r="T30" s="24"/>
    </row>
    <row r="31" spans="1:20" x14ac:dyDescent="0.25">
      <c r="A31" s="2">
        <v>45359</v>
      </c>
      <c r="B31" s="20">
        <v>2938</v>
      </c>
      <c r="C31" s="20">
        <v>886</v>
      </c>
      <c r="D31" s="20">
        <v>17085</v>
      </c>
      <c r="E31" s="17">
        <f t="shared" si="1"/>
        <v>-6.8027210884358258E-4</v>
      </c>
      <c r="F31" s="17">
        <f t="shared" si="1"/>
        <v>7.9635949943117623E-3</v>
      </c>
      <c r="G31" s="17">
        <f t="shared" si="1"/>
        <v>-9.565217391304337E-3</v>
      </c>
      <c r="H31" s="14">
        <f t="shared" si="2"/>
        <v>-7.5166111220629243E-3</v>
      </c>
      <c r="I31" s="39"/>
      <c r="J31" s="47">
        <f t="shared" si="5"/>
        <v>740</v>
      </c>
      <c r="K31" s="49">
        <f t="shared" si="4"/>
        <v>1.4475957781311678E-2</v>
      </c>
      <c r="L31" s="17">
        <v>-7.7545785346679625E-3</v>
      </c>
      <c r="M31" s="27"/>
      <c r="N31" s="49">
        <v>1.0663544556484325E-7</v>
      </c>
      <c r="O31" s="27">
        <v>-3.9635779482160807E-2</v>
      </c>
      <c r="Q31" s="2"/>
      <c r="R31" s="24"/>
      <c r="S31" s="24"/>
      <c r="T31" s="24"/>
    </row>
    <row r="32" spans="1:20" x14ac:dyDescent="0.25">
      <c r="A32" s="2">
        <v>45358</v>
      </c>
      <c r="B32" s="20">
        <v>2940</v>
      </c>
      <c r="C32" s="20">
        <v>879</v>
      </c>
      <c r="D32" s="20">
        <v>17250</v>
      </c>
      <c r="E32" s="17">
        <f t="shared" si="1"/>
        <v>1.1699931176875511E-2</v>
      </c>
      <c r="F32" s="17">
        <f t="shared" si="1"/>
        <v>3.4117647058823586E-2</v>
      </c>
      <c r="G32" s="17">
        <f t="shared" si="1"/>
        <v>-2.8901734104046506E-3</v>
      </c>
      <c r="H32" s="14">
        <f t="shared" si="2"/>
        <v>8.3514828046181563E-4</v>
      </c>
      <c r="I32" s="39"/>
      <c r="J32" s="47">
        <f t="shared" si="5"/>
        <v>739</v>
      </c>
      <c r="K32" s="49">
        <f t="shared" si="4"/>
        <v>1.4186438625685444E-2</v>
      </c>
      <c r="L32" s="17">
        <v>-1.0138323389654404E-2</v>
      </c>
      <c r="M32" s="27"/>
      <c r="N32" s="49">
        <v>3.5120696662134053E-7</v>
      </c>
      <c r="O32" s="27">
        <v>-3.9490817700669228E-2</v>
      </c>
      <c r="Q32" s="2"/>
      <c r="R32" s="24"/>
      <c r="S32" s="24"/>
      <c r="T32" s="24"/>
    </row>
    <row r="33" spans="1:20" x14ac:dyDescent="0.25">
      <c r="A33" s="2">
        <v>45357</v>
      </c>
      <c r="B33" s="20">
        <v>2906</v>
      </c>
      <c r="C33" s="20">
        <v>850</v>
      </c>
      <c r="D33" s="20">
        <v>17300</v>
      </c>
      <c r="E33" s="17">
        <f t="shared" si="1"/>
        <v>6.8870523415975882E-4</v>
      </c>
      <c r="F33" s="17">
        <f t="shared" si="1"/>
        <v>0</v>
      </c>
      <c r="G33" s="17">
        <f t="shared" si="1"/>
        <v>2.0272227048943048E-3</v>
      </c>
      <c r="H33" s="14">
        <f t="shared" si="2"/>
        <v>1.7455520470808547E-3</v>
      </c>
      <c r="I33" s="39"/>
      <c r="J33" s="47">
        <f t="shared" si="5"/>
        <v>738</v>
      </c>
      <c r="K33" s="49">
        <f t="shared" si="4"/>
        <v>1.3902709853171734E-2</v>
      </c>
      <c r="L33" s="17">
        <v>-3.3152546146767779E-3</v>
      </c>
      <c r="M33" s="27"/>
      <c r="N33" s="49">
        <v>3.65879723115072E-6</v>
      </c>
      <c r="O33" s="27">
        <v>-3.8779235416237456E-2</v>
      </c>
      <c r="Q33" s="2"/>
      <c r="R33" s="24"/>
      <c r="S33" s="24"/>
      <c r="T33" s="24"/>
    </row>
    <row r="34" spans="1:20" x14ac:dyDescent="0.25">
      <c r="A34" s="2">
        <v>45356</v>
      </c>
      <c r="B34" s="20">
        <v>2904</v>
      </c>
      <c r="C34" s="20">
        <v>850</v>
      </c>
      <c r="D34" s="20">
        <v>17265</v>
      </c>
      <c r="E34" s="17">
        <f t="shared" si="1"/>
        <v>-4.7978067169294203E-3</v>
      </c>
      <c r="F34" s="17">
        <f t="shared" si="1"/>
        <v>2.3584905660376521E-3</v>
      </c>
      <c r="G34" s="17">
        <f t="shared" si="1"/>
        <v>-1.4273479874393424E-2</v>
      </c>
      <c r="H34" s="14">
        <f t="shared" si="2"/>
        <v>-1.2179268711215326E-2</v>
      </c>
      <c r="I34" s="39"/>
      <c r="J34" s="47">
        <f t="shared" si="5"/>
        <v>737</v>
      </c>
      <c r="K34" s="49">
        <f t="shared" si="4"/>
        <v>1.3624655656108299E-2</v>
      </c>
      <c r="L34" s="17">
        <v>-8.3503956246285536E-4</v>
      </c>
      <c r="M34" s="27"/>
      <c r="N34" s="49">
        <v>2.2079550824121444E-6</v>
      </c>
      <c r="O34" s="27">
        <v>-3.8287880109170766E-2</v>
      </c>
      <c r="Q34" s="2"/>
      <c r="R34" s="24"/>
      <c r="S34" s="24"/>
      <c r="T34" s="24"/>
    </row>
    <row r="35" spans="1:20" x14ac:dyDescent="0.25">
      <c r="A35" s="2">
        <v>45355</v>
      </c>
      <c r="B35" s="20">
        <v>2918</v>
      </c>
      <c r="C35" s="20">
        <v>848</v>
      </c>
      <c r="D35" s="20">
        <v>17515</v>
      </c>
      <c r="E35" s="17">
        <f t="shared" si="1"/>
        <v>-2.7341079972659221E-3</v>
      </c>
      <c r="F35" s="17">
        <f t="shared" si="1"/>
        <v>5.9311981020166993E-3</v>
      </c>
      <c r="G35" s="17">
        <f t="shared" si="1"/>
        <v>5.1649928263988176E-3</v>
      </c>
      <c r="H35" s="14">
        <f t="shared" si="2"/>
        <v>4.0619841437215497E-3</v>
      </c>
      <c r="I35" s="39"/>
      <c r="J35" s="47">
        <f t="shared" si="5"/>
        <v>736</v>
      </c>
      <c r="K35" s="49">
        <f t="shared" si="4"/>
        <v>1.3352162542986134E-2</v>
      </c>
      <c r="L35" s="17">
        <v>1.7248123743628375E-2</v>
      </c>
      <c r="M35" s="27"/>
      <c r="N35" s="49">
        <v>8.0491266480698401E-5</v>
      </c>
      <c r="O35" s="27">
        <v>-3.7337385201066928E-2</v>
      </c>
      <c r="Q35" s="2"/>
      <c r="R35" s="24"/>
      <c r="S35" s="24"/>
      <c r="T35" s="24"/>
    </row>
    <row r="36" spans="1:20" x14ac:dyDescent="0.25">
      <c r="A36" s="2">
        <v>45352</v>
      </c>
      <c r="B36" s="20">
        <v>2926</v>
      </c>
      <c r="C36" s="20">
        <v>843</v>
      </c>
      <c r="D36" s="20">
        <v>17425</v>
      </c>
      <c r="E36" s="17">
        <f t="shared" si="1"/>
        <v>1.2456747404844259E-2</v>
      </c>
      <c r="F36" s="17">
        <f t="shared" si="1"/>
        <v>2.3058252427184511E-2</v>
      </c>
      <c r="G36" s="17">
        <f t="shared" si="1"/>
        <v>5.7421762848108848E-4</v>
      </c>
      <c r="H36" s="14">
        <f t="shared" si="2"/>
        <v>3.2718647437915823E-3</v>
      </c>
      <c r="I36" s="39"/>
      <c r="J36" s="47">
        <f t="shared" si="5"/>
        <v>735</v>
      </c>
      <c r="K36" s="49">
        <f t="shared" si="4"/>
        <v>1.3085119292126411E-2</v>
      </c>
      <c r="L36" s="17">
        <v>7.7309186627470836E-3</v>
      </c>
      <c r="M36" s="27"/>
      <c r="N36" s="49">
        <v>4.5669277192208376E-7</v>
      </c>
      <c r="O36" s="27">
        <v>-3.516900140830783E-2</v>
      </c>
      <c r="Q36" s="2"/>
      <c r="R36" s="24"/>
      <c r="S36" s="24"/>
      <c r="T36" s="24"/>
    </row>
    <row r="37" spans="1:20" x14ac:dyDescent="0.25">
      <c r="A37" s="2">
        <v>45351</v>
      </c>
      <c r="B37" s="20">
        <v>2890</v>
      </c>
      <c r="C37" s="20">
        <v>824</v>
      </c>
      <c r="D37" s="20">
        <v>17415</v>
      </c>
      <c r="E37" s="17">
        <f t="shared" si="1"/>
        <v>-3.4482758620689724E-3</v>
      </c>
      <c r="F37" s="17">
        <f t="shared" si="1"/>
        <v>-1.7878426698450522E-2</v>
      </c>
      <c r="G37" s="17">
        <f t="shared" si="1"/>
        <v>8.6880973066898459E-3</v>
      </c>
      <c r="H37" s="14">
        <f t="shared" si="2"/>
        <v>5.7745707377475936E-3</v>
      </c>
      <c r="I37" s="39"/>
      <c r="J37" s="47">
        <f t="shared" si="5"/>
        <v>734</v>
      </c>
      <c r="K37" s="49">
        <f t="shared" si="4"/>
        <v>1.282341690628388E-2</v>
      </c>
      <c r="L37" s="17">
        <v>-6.0419813511680444E-3</v>
      </c>
      <c r="M37" s="27"/>
      <c r="N37" s="89">
        <v>1.9208004470905322E-2</v>
      </c>
      <c r="O37" s="37">
        <v>-3.471101168365924E-2</v>
      </c>
      <c r="Q37" s="2"/>
      <c r="R37" s="24"/>
      <c r="S37" s="24"/>
      <c r="T37" s="24"/>
    </row>
    <row r="38" spans="1:20" x14ac:dyDescent="0.25">
      <c r="A38" s="2">
        <v>45350</v>
      </c>
      <c r="B38" s="20">
        <v>2900</v>
      </c>
      <c r="C38" s="20">
        <v>839</v>
      </c>
      <c r="D38" s="20">
        <v>17265</v>
      </c>
      <c r="E38" s="17">
        <f t="shared" si="1"/>
        <v>2.7662517289073207E-3</v>
      </c>
      <c r="F38" s="17">
        <f t="shared" si="1"/>
        <v>0</v>
      </c>
      <c r="G38" s="17">
        <f t="shared" si="1"/>
        <v>1.0535557506584636E-2</v>
      </c>
      <c r="H38" s="14">
        <f t="shared" si="2"/>
        <v>8.9547175833151593E-3</v>
      </c>
      <c r="I38" s="39"/>
      <c r="J38" s="47">
        <f t="shared" si="5"/>
        <v>733</v>
      </c>
      <c r="K38" s="49">
        <f t="shared" si="4"/>
        <v>1.2566948568158202E-2</v>
      </c>
      <c r="L38" s="17">
        <v>-2.1092377770356288E-2</v>
      </c>
      <c r="M38" s="27"/>
      <c r="N38" s="49">
        <v>5.3680373946692194E-7</v>
      </c>
      <c r="O38" s="27">
        <v>-3.4698361252579135E-2</v>
      </c>
      <c r="Q38" s="2"/>
      <c r="R38" s="24"/>
      <c r="S38" s="24"/>
      <c r="T38" s="24"/>
    </row>
    <row r="39" spans="1:20" x14ac:dyDescent="0.25">
      <c r="A39" s="2">
        <v>45349</v>
      </c>
      <c r="B39" s="20">
        <v>2892</v>
      </c>
      <c r="C39" s="20">
        <v>839</v>
      </c>
      <c r="D39" s="20">
        <v>17085</v>
      </c>
      <c r="E39" s="17">
        <f t="shared" si="1"/>
        <v>-1.8329938900203624E-2</v>
      </c>
      <c r="F39" s="17">
        <f t="shared" si="1"/>
        <v>8.4134615384614531E-3</v>
      </c>
      <c r="G39" s="17">
        <f t="shared" si="1"/>
        <v>-8.7032201914708507E-3</v>
      </c>
      <c r="H39" s="14">
        <f t="shared" si="2"/>
        <v>-9.3365222329906197E-3</v>
      </c>
      <c r="I39" s="39"/>
      <c r="J39" s="47">
        <f t="shared" si="5"/>
        <v>732</v>
      </c>
      <c r="K39" s="49">
        <f t="shared" si="4"/>
        <v>1.2315609596795039E-2</v>
      </c>
      <c r="L39" s="17">
        <v>2.4940618233825484E-2</v>
      </c>
      <c r="M39" s="27"/>
      <c r="N39" s="49">
        <v>3.9667427712928878E-6</v>
      </c>
      <c r="O39" s="27">
        <v>-3.34270347517873E-2</v>
      </c>
      <c r="Q39" s="2"/>
      <c r="R39" s="24"/>
      <c r="S39" s="24"/>
      <c r="T39" s="24"/>
    </row>
    <row r="40" spans="1:20" x14ac:dyDescent="0.25">
      <c r="A40" s="2">
        <v>45348</v>
      </c>
      <c r="B40" s="20">
        <v>2946</v>
      </c>
      <c r="C40" s="20">
        <v>832</v>
      </c>
      <c r="D40" s="20">
        <v>17235</v>
      </c>
      <c r="E40" s="17">
        <f t="shared" si="1"/>
        <v>4.7748976807640009E-3</v>
      </c>
      <c r="F40" s="17">
        <f t="shared" si="1"/>
        <v>-1.2004801920768582E-3</v>
      </c>
      <c r="G40" s="17">
        <f t="shared" si="1"/>
        <v>-9.4827586206897019E-3</v>
      </c>
      <c r="H40" s="14">
        <f t="shared" si="2"/>
        <v>-7.0672450769925926E-3</v>
      </c>
      <c r="I40" s="39"/>
      <c r="J40" s="47">
        <f t="shared" si="5"/>
        <v>731</v>
      </c>
      <c r="K40" s="49">
        <f t="shared" si="4"/>
        <v>1.2069297404859137E-2</v>
      </c>
      <c r="L40" s="17">
        <v>-1.1630655559124943E-2</v>
      </c>
      <c r="M40" s="27"/>
      <c r="N40" s="49">
        <v>5.9386147698700901E-7</v>
      </c>
      <c r="O40" s="27">
        <v>-3.310509261026158E-2</v>
      </c>
      <c r="Q40" s="2"/>
      <c r="R40" s="24"/>
      <c r="S40" s="24"/>
      <c r="T40" s="24"/>
    </row>
    <row r="41" spans="1:20" x14ac:dyDescent="0.25">
      <c r="A41" s="2">
        <v>45345</v>
      </c>
      <c r="B41" s="20">
        <v>2932</v>
      </c>
      <c r="C41" s="20">
        <v>833</v>
      </c>
      <c r="D41" s="20">
        <v>17400</v>
      </c>
      <c r="E41" s="17">
        <f t="shared" si="1"/>
        <v>3.4223134839150848E-3</v>
      </c>
      <c r="F41" s="17">
        <f t="shared" si="1"/>
        <v>3.4782608695652195E-2</v>
      </c>
      <c r="G41" s="17">
        <f t="shared" si="1"/>
        <v>-6.8493150684931781E-3</v>
      </c>
      <c r="H41" s="14">
        <f t="shared" si="2"/>
        <v>-3.5422701388312453E-3</v>
      </c>
      <c r="I41" s="39"/>
      <c r="J41" s="47">
        <f t="shared" si="5"/>
        <v>730</v>
      </c>
      <c r="K41" s="49">
        <f t="shared" si="4"/>
        <v>1.1827911456761955E-2</v>
      </c>
      <c r="L41" s="17">
        <v>-7.5166111220629243E-3</v>
      </c>
      <c r="M41" s="27"/>
      <c r="N41" s="49">
        <v>1.5981128558205254E-6</v>
      </c>
      <c r="O41" s="27">
        <v>-3.2922967506966119E-2</v>
      </c>
      <c r="Q41" s="2"/>
      <c r="R41" s="24"/>
      <c r="S41" s="24"/>
      <c r="T41" s="24"/>
    </row>
    <row r="42" spans="1:20" x14ac:dyDescent="0.25">
      <c r="A42" s="2">
        <v>45344</v>
      </c>
      <c r="B42" s="20">
        <v>2922</v>
      </c>
      <c r="C42" s="20">
        <v>805</v>
      </c>
      <c r="D42" s="20">
        <v>17520</v>
      </c>
      <c r="E42" s="17">
        <f t="shared" si="1"/>
        <v>-9.4915254237287749E-3</v>
      </c>
      <c r="F42" s="17">
        <f t="shared" si="1"/>
        <v>-1.3480392156862697E-2</v>
      </c>
      <c r="G42" s="17">
        <f t="shared" si="1"/>
        <v>4.2992261392948983E-3</v>
      </c>
      <c r="H42" s="14">
        <f t="shared" si="2"/>
        <v>1.53366280059052E-3</v>
      </c>
      <c r="I42" s="39"/>
      <c r="J42" s="47">
        <f t="shared" si="5"/>
        <v>729</v>
      </c>
      <c r="K42" s="49">
        <f t="shared" si="4"/>
        <v>1.1591353227626713E-2</v>
      </c>
      <c r="L42" s="17">
        <v>8.3514828046181563E-4</v>
      </c>
      <c r="M42" s="27"/>
      <c r="N42" s="49">
        <v>2.9895037234887033E-6</v>
      </c>
      <c r="O42" s="27">
        <v>-3.2870037389501443E-2</v>
      </c>
      <c r="Q42" s="2"/>
      <c r="R42" s="24"/>
      <c r="S42" s="24"/>
      <c r="T42" s="24"/>
    </row>
    <row r="43" spans="1:20" x14ac:dyDescent="0.25">
      <c r="A43" s="2">
        <v>45343</v>
      </c>
      <c r="B43" s="20">
        <v>2950</v>
      </c>
      <c r="C43" s="20">
        <v>816</v>
      </c>
      <c r="D43" s="20">
        <v>17445</v>
      </c>
      <c r="E43" s="17">
        <f t="shared" si="1"/>
        <v>5.4533060668029432E-3</v>
      </c>
      <c r="F43" s="17">
        <f t="shared" si="1"/>
        <v>2.9003783102143688E-2</v>
      </c>
      <c r="G43" s="17">
        <f t="shared" si="1"/>
        <v>7.21709006928406E-3</v>
      </c>
      <c r="H43" s="14">
        <f t="shared" si="2"/>
        <v>7.9204160943854851E-3</v>
      </c>
      <c r="I43" s="39"/>
      <c r="J43" s="47">
        <f t="shared" si="5"/>
        <v>728</v>
      </c>
      <c r="K43" s="49">
        <f t="shared" si="4"/>
        <v>1.1359526163074181E-2</v>
      </c>
      <c r="L43" s="17">
        <v>1.7455520470808547E-3</v>
      </c>
      <c r="M43" s="27"/>
      <c r="N43" s="49">
        <v>1.0455746246638803E-6</v>
      </c>
      <c r="O43" s="27">
        <v>-3.1896727763139884E-2</v>
      </c>
      <c r="Q43" s="2"/>
      <c r="R43" s="24"/>
      <c r="S43" s="24"/>
      <c r="T43" s="24"/>
    </row>
    <row r="44" spans="1:20" x14ac:dyDescent="0.25">
      <c r="A44" s="2">
        <v>45342</v>
      </c>
      <c r="B44" s="20">
        <v>2934</v>
      </c>
      <c r="C44" s="20">
        <v>793</v>
      </c>
      <c r="D44" s="20">
        <v>17320</v>
      </c>
      <c r="E44" s="17">
        <f t="shared" si="1"/>
        <v>-1.1455525606469008E-2</v>
      </c>
      <c r="F44" s="17">
        <f t="shared" si="1"/>
        <v>1.1479591836734748E-2</v>
      </c>
      <c r="G44" s="17">
        <f t="shared" si="1"/>
        <v>3.4762456546928444E-3</v>
      </c>
      <c r="H44" s="14">
        <f t="shared" si="2"/>
        <v>1.6791872838506012E-3</v>
      </c>
      <c r="I44" s="39"/>
      <c r="J44" s="47">
        <f t="shared" si="5"/>
        <v>727</v>
      </c>
      <c r="K44" s="49">
        <f t="shared" si="4"/>
        <v>1.1132335639812696E-2</v>
      </c>
      <c r="L44" s="17">
        <v>-1.2179268711215326E-2</v>
      </c>
      <c r="M44" s="27"/>
      <c r="N44" s="49">
        <v>2.3937893545806525E-6</v>
      </c>
      <c r="O44" s="27">
        <v>-3.1857082471440069E-2</v>
      </c>
      <c r="Q44" s="2"/>
      <c r="R44" s="24"/>
      <c r="S44" s="24"/>
      <c r="T44" s="24"/>
    </row>
    <row r="45" spans="1:20" x14ac:dyDescent="0.25">
      <c r="A45" s="2">
        <v>45341</v>
      </c>
      <c r="B45" s="20">
        <v>2968</v>
      </c>
      <c r="C45" s="20">
        <v>784</v>
      </c>
      <c r="D45" s="20">
        <v>17260</v>
      </c>
      <c r="E45" s="17">
        <f t="shared" si="1"/>
        <v>2.7027027027026751E-3</v>
      </c>
      <c r="F45" s="17">
        <f t="shared" si="1"/>
        <v>1.8181818181818077E-2</v>
      </c>
      <c r="G45" s="17">
        <f t="shared" si="1"/>
        <v>2.0319303338172112E-3</v>
      </c>
      <c r="H45" s="14">
        <f t="shared" si="2"/>
        <v>2.8379497339168394E-3</v>
      </c>
      <c r="I45" s="39"/>
      <c r="J45" s="47">
        <f t="shared" si="5"/>
        <v>726</v>
      </c>
      <c r="K45" s="49">
        <f t="shared" si="4"/>
        <v>1.0909688927016442E-2</v>
      </c>
      <c r="L45" s="17">
        <v>4.0619841437215497E-3</v>
      </c>
      <c r="M45" s="27"/>
      <c r="N45" s="49">
        <v>1.1347638028098999E-4</v>
      </c>
      <c r="O45" s="27">
        <v>-3.1552553188772765E-2</v>
      </c>
      <c r="Q45" s="2"/>
      <c r="R45" s="24"/>
      <c r="S45" s="24"/>
      <c r="T45" s="24"/>
    </row>
    <row r="46" spans="1:20" x14ac:dyDescent="0.25">
      <c r="A46" s="2">
        <v>45338</v>
      </c>
      <c r="B46" s="20">
        <v>2960</v>
      </c>
      <c r="C46" s="20">
        <v>770</v>
      </c>
      <c r="D46" s="20">
        <v>17225</v>
      </c>
      <c r="E46" s="17">
        <f t="shared" si="1"/>
        <v>6.11828687967364E-3</v>
      </c>
      <c r="F46" s="17">
        <f t="shared" si="1"/>
        <v>2.6041666666667407E-3</v>
      </c>
      <c r="G46" s="17">
        <f t="shared" si="1"/>
        <v>-7.4906367041198685E-3</v>
      </c>
      <c r="H46" s="14">
        <f t="shared" si="2"/>
        <v>-5.0888471233831436E-3</v>
      </c>
      <c r="I46" s="39"/>
      <c r="J46" s="47">
        <f t="shared" si="5"/>
        <v>725</v>
      </c>
      <c r="K46" s="49">
        <f t="shared" si="4"/>
        <v>1.0691495148476114E-2</v>
      </c>
      <c r="L46" s="17">
        <v>3.2718647437915823E-3</v>
      </c>
      <c r="M46" s="27"/>
      <c r="N46" s="49">
        <v>5.8198424744726879E-7</v>
      </c>
      <c r="O46" s="27">
        <v>-3.1454232515808332E-2</v>
      </c>
      <c r="Q46" s="2"/>
      <c r="R46" s="24"/>
      <c r="S46" s="24"/>
      <c r="T46" s="24"/>
    </row>
    <row r="47" spans="1:20" x14ac:dyDescent="0.25">
      <c r="A47" s="2">
        <v>45337</v>
      </c>
      <c r="B47" s="20">
        <v>2942</v>
      </c>
      <c r="C47" s="20">
        <v>768</v>
      </c>
      <c r="D47" s="20">
        <v>17355</v>
      </c>
      <c r="E47" s="17">
        <f t="shared" si="1"/>
        <v>8.9163237311384869E-3</v>
      </c>
      <c r="F47" s="17">
        <f t="shared" si="1"/>
        <v>7.8740157480314821E-3</v>
      </c>
      <c r="G47" s="17">
        <f t="shared" si="1"/>
        <v>1.848591549295775E-2</v>
      </c>
      <c r="H47" s="14">
        <f t="shared" si="2"/>
        <v>1.6642663065954549E-2</v>
      </c>
      <c r="I47" s="39"/>
      <c r="J47" s="47">
        <f t="shared" si="5"/>
        <v>724</v>
      </c>
      <c r="K47" s="49">
        <f t="shared" si="4"/>
        <v>1.047766524550659E-2</v>
      </c>
      <c r="L47" s="17">
        <v>5.7745707377475936E-3</v>
      </c>
      <c r="M47" s="27"/>
      <c r="N47" s="49">
        <v>1.1803167778494488E-6</v>
      </c>
      <c r="O47" s="27">
        <v>-3.142108006079114E-2</v>
      </c>
      <c r="Q47" s="2"/>
      <c r="R47" s="24"/>
      <c r="S47" s="24"/>
      <c r="T47" s="24"/>
    </row>
    <row r="48" spans="1:20" x14ac:dyDescent="0.25">
      <c r="A48" s="2">
        <v>45336</v>
      </c>
      <c r="B48" s="20">
        <v>2916</v>
      </c>
      <c r="C48" s="20">
        <v>762</v>
      </c>
      <c r="D48" s="20">
        <v>17040</v>
      </c>
      <c r="E48" s="17">
        <f t="shared" si="1"/>
        <v>1.2499999999999956E-2</v>
      </c>
      <c r="F48" s="17">
        <f t="shared" si="1"/>
        <v>-1.1673151750972721E-2</v>
      </c>
      <c r="G48" s="17">
        <f t="shared" si="1"/>
        <v>4.1249263406011316E-3</v>
      </c>
      <c r="H48" s="14">
        <f t="shared" si="2"/>
        <v>4.6360472464453857E-3</v>
      </c>
      <c r="I48" s="39"/>
      <c r="J48" s="47">
        <f t="shared" si="5"/>
        <v>723</v>
      </c>
      <c r="K48" s="49">
        <f t="shared" si="4"/>
        <v>1.0268111940596458E-2</v>
      </c>
      <c r="L48" s="17">
        <v>8.9547175833151593E-3</v>
      </c>
      <c r="M48" s="27"/>
      <c r="N48" s="49">
        <v>1.0041698695271905E-6</v>
      </c>
      <c r="O48" s="27">
        <v>-3.0520284892168972E-2</v>
      </c>
      <c r="Q48" s="2"/>
      <c r="R48" s="24"/>
      <c r="S48" s="24"/>
      <c r="T48" s="24"/>
    </row>
    <row r="49" spans="1:20" x14ac:dyDescent="0.25">
      <c r="A49" s="2">
        <v>45335</v>
      </c>
      <c r="B49" s="20">
        <v>2880</v>
      </c>
      <c r="C49" s="20">
        <v>771</v>
      </c>
      <c r="D49" s="20">
        <v>16970</v>
      </c>
      <c r="E49" s="17">
        <f t="shared" si="1"/>
        <v>-6.8965517241379448E-3</v>
      </c>
      <c r="F49" s="17">
        <f t="shared" si="1"/>
        <v>-7.7220077220077066E-3</v>
      </c>
      <c r="G49" s="17">
        <f t="shared" si="1"/>
        <v>1.6776512881965244E-2</v>
      </c>
      <c r="H49" s="14">
        <f t="shared" si="2"/>
        <v>1.2293723959904222E-2</v>
      </c>
      <c r="I49" s="39"/>
      <c r="J49" s="47">
        <f t="shared" si="5"/>
        <v>722</v>
      </c>
      <c r="K49" s="49">
        <f t="shared" si="4"/>
        <v>1.0062749701784529E-2</v>
      </c>
      <c r="L49" s="17">
        <v>-9.3365222329906197E-3</v>
      </c>
      <c r="M49" s="27"/>
      <c r="N49" s="49">
        <v>4.0434606515302067E-8</v>
      </c>
      <c r="O49" s="27">
        <v>-2.9797203576276902E-2</v>
      </c>
      <c r="Q49" s="2"/>
      <c r="R49" s="24"/>
      <c r="S49" s="24"/>
      <c r="T49" s="24"/>
    </row>
    <row r="50" spans="1:20" x14ac:dyDescent="0.25">
      <c r="A50" s="2">
        <v>45334</v>
      </c>
      <c r="B50" s="20">
        <v>2900</v>
      </c>
      <c r="C50" s="20">
        <v>777</v>
      </c>
      <c r="D50" s="20">
        <v>16690</v>
      </c>
      <c r="E50" s="17">
        <f t="shared" si="1"/>
        <v>0</v>
      </c>
      <c r="F50" s="17">
        <f t="shared" si="1"/>
        <v>1.5686274509803866E-2</v>
      </c>
      <c r="G50" s="17">
        <f t="shared" si="1"/>
        <v>-9.4955489614243493E-3</v>
      </c>
      <c r="H50" s="14">
        <f t="shared" si="2"/>
        <v>-7.0228659145870715E-3</v>
      </c>
      <c r="I50" s="39"/>
      <c r="J50" s="47">
        <f t="shared" si="5"/>
        <v>721</v>
      </c>
      <c r="K50" s="49">
        <f t="shared" si="4"/>
        <v>9.8614947077488389E-3</v>
      </c>
      <c r="L50" s="17">
        <v>-7.0672450769925926E-3</v>
      </c>
      <c r="M50" s="27"/>
      <c r="N50" s="49">
        <v>2.0770219686444089E-7</v>
      </c>
      <c r="O50" s="27">
        <v>-2.8797208706064122E-2</v>
      </c>
      <c r="Q50" s="2"/>
      <c r="R50" s="24"/>
      <c r="S50" s="24"/>
      <c r="T50" s="24"/>
    </row>
    <row r="51" spans="1:20" x14ac:dyDescent="0.25">
      <c r="A51" s="2">
        <v>45331</v>
      </c>
      <c r="B51" s="20">
        <v>2900</v>
      </c>
      <c r="C51" s="20">
        <v>765</v>
      </c>
      <c r="D51" s="20">
        <v>16850</v>
      </c>
      <c r="E51" s="17">
        <f t="shared" si="1"/>
        <v>2.0732550103663705E-3</v>
      </c>
      <c r="F51" s="17">
        <f t="shared" si="1"/>
        <v>-6.4935064935064402E-3</v>
      </c>
      <c r="G51" s="17">
        <f t="shared" si="1"/>
        <v>2.0902756740381667E-2</v>
      </c>
      <c r="H51" s="14">
        <f t="shared" si="2"/>
        <v>1.6989646246919475E-2</v>
      </c>
      <c r="I51" s="39"/>
      <c r="J51" s="47">
        <f t="shared" si="5"/>
        <v>720</v>
      </c>
      <c r="K51" s="49">
        <f t="shared" si="4"/>
        <v>9.6642648135938595E-3</v>
      </c>
      <c r="L51" s="17">
        <v>-3.5422701388312453E-3</v>
      </c>
      <c r="M51" s="27"/>
      <c r="N51" s="49">
        <v>3.4418282728891366E-7</v>
      </c>
      <c r="O51" s="27">
        <v>-2.8795116189066647E-2</v>
      </c>
      <c r="Q51" s="2"/>
      <c r="R51" s="24"/>
      <c r="S51" s="24"/>
      <c r="T51" s="24"/>
    </row>
    <row r="52" spans="1:20" x14ac:dyDescent="0.25">
      <c r="A52" s="2">
        <v>45330</v>
      </c>
      <c r="B52" s="20">
        <v>2894</v>
      </c>
      <c r="C52" s="20">
        <v>770</v>
      </c>
      <c r="D52" s="20">
        <v>16505</v>
      </c>
      <c r="E52" s="17">
        <f t="shared" si="1"/>
        <v>0</v>
      </c>
      <c r="F52" s="17">
        <f t="shared" si="1"/>
        <v>1.3003901170351995E-3</v>
      </c>
      <c r="G52" s="17">
        <f t="shared" si="1"/>
        <v>-2.1160822249093325E-3</v>
      </c>
      <c r="H52" s="14">
        <f t="shared" si="2"/>
        <v>-1.661488627992239E-3</v>
      </c>
      <c r="I52" s="39"/>
      <c r="J52" s="47">
        <f t="shared" si="5"/>
        <v>719</v>
      </c>
      <c r="K52" s="49">
        <f t="shared" si="4"/>
        <v>9.470979517321983E-3</v>
      </c>
      <c r="L52" s="17">
        <v>1.53366280059052E-3</v>
      </c>
      <c r="M52" s="27"/>
      <c r="N52" s="49">
        <v>6.7074287951906348E-6</v>
      </c>
      <c r="O52" s="27">
        <v>-2.8166278767693124E-2</v>
      </c>
      <c r="Q52" s="2"/>
      <c r="R52" s="24"/>
      <c r="S52" s="24"/>
      <c r="T52" s="24"/>
    </row>
    <row r="53" spans="1:20" x14ac:dyDescent="0.25">
      <c r="A53" s="2">
        <v>45329</v>
      </c>
      <c r="B53" s="20">
        <v>2894</v>
      </c>
      <c r="C53" s="20">
        <v>769</v>
      </c>
      <c r="D53" s="20">
        <v>16540</v>
      </c>
      <c r="E53" s="17">
        <f t="shared" si="1"/>
        <v>-7.5445816186556769E-3</v>
      </c>
      <c r="F53" s="17">
        <f t="shared" si="1"/>
        <v>-1.2987012987012436E-3</v>
      </c>
      <c r="G53" s="17">
        <f t="shared" si="1"/>
        <v>-2.130177514792897E-2</v>
      </c>
      <c r="H53" s="14">
        <f t="shared" si="2"/>
        <v>-1.8443360007728213E-2</v>
      </c>
      <c r="I53" s="39"/>
      <c r="J53" s="47">
        <f t="shared" si="5"/>
        <v>718</v>
      </c>
      <c r="K53" s="49">
        <f t="shared" si="4"/>
        <v>9.2815599269755415E-3</v>
      </c>
      <c r="L53" s="17">
        <v>7.9204160943854851E-3</v>
      </c>
      <c r="M53" s="27"/>
      <c r="N53" s="49">
        <v>1.8408776088450148E-6</v>
      </c>
      <c r="O53" s="27">
        <v>-2.7732265000152287E-2</v>
      </c>
      <c r="Q53" s="2"/>
      <c r="R53" s="24"/>
      <c r="S53" s="24"/>
      <c r="T53" s="24"/>
    </row>
    <row r="54" spans="1:20" x14ac:dyDescent="0.25">
      <c r="A54" s="2">
        <v>45328</v>
      </c>
      <c r="B54" s="20">
        <v>2916</v>
      </c>
      <c r="C54" s="20">
        <v>770</v>
      </c>
      <c r="D54" s="20">
        <v>16900</v>
      </c>
      <c r="E54" s="17">
        <f t="shared" si="1"/>
        <v>9.6952908587257802E-3</v>
      </c>
      <c r="F54" s="17">
        <f t="shared" si="1"/>
        <v>-2.1601016518424387E-2</v>
      </c>
      <c r="G54" s="17">
        <f t="shared" si="1"/>
        <v>-5.0044156608772816E-3</v>
      </c>
      <c r="H54" s="14">
        <f t="shared" si="2"/>
        <v>-3.6182695848043407E-3</v>
      </c>
      <c r="I54" s="39"/>
      <c r="J54" s="47">
        <f t="shared" si="5"/>
        <v>717</v>
      </c>
      <c r="K54" s="49">
        <f t="shared" si="4"/>
        <v>9.0959287284360316E-3</v>
      </c>
      <c r="L54" s="17">
        <v>1.6791872838506012E-3</v>
      </c>
      <c r="M54" s="27"/>
      <c r="N54" s="49">
        <v>7.1302575138020531E-5</v>
      </c>
      <c r="O54" s="27">
        <v>-2.7524312122942034E-2</v>
      </c>
      <c r="Q54" s="2"/>
      <c r="R54" s="24"/>
      <c r="S54" s="24"/>
      <c r="T54" s="24"/>
    </row>
    <row r="55" spans="1:20" x14ac:dyDescent="0.25">
      <c r="A55" s="2">
        <v>45327</v>
      </c>
      <c r="B55" s="20">
        <v>2888</v>
      </c>
      <c r="C55" s="20">
        <v>787</v>
      </c>
      <c r="D55" s="20">
        <v>16985</v>
      </c>
      <c r="E55" s="17">
        <f t="shared" si="1"/>
        <v>-1.3661202185792365E-2</v>
      </c>
      <c r="F55" s="17">
        <f t="shared" si="1"/>
        <v>1.287001287001277E-2</v>
      </c>
      <c r="G55" s="17">
        <f t="shared" si="1"/>
        <v>-4.6879578083797169E-3</v>
      </c>
      <c r="H55" s="14">
        <f t="shared" si="2"/>
        <v>-5.2078391184434865E-3</v>
      </c>
      <c r="I55" s="39"/>
      <c r="J55" s="47">
        <f t="shared" si="5"/>
        <v>716</v>
      </c>
      <c r="K55" s="49">
        <f t="shared" si="4"/>
        <v>8.9140101538673095E-3</v>
      </c>
      <c r="L55" s="17">
        <v>2.8379497339168394E-3</v>
      </c>
      <c r="M55" s="27"/>
      <c r="N55" s="49">
        <v>4.8548216729954496E-6</v>
      </c>
      <c r="O55" s="27">
        <v>-2.7491810190300316E-2</v>
      </c>
      <c r="Q55" s="2"/>
      <c r="R55" s="24"/>
      <c r="S55" s="24"/>
      <c r="T55" s="24"/>
    </row>
    <row r="56" spans="1:20" x14ac:dyDescent="0.25">
      <c r="A56" s="2">
        <v>45324</v>
      </c>
      <c r="B56" s="20">
        <v>2928</v>
      </c>
      <c r="C56" s="20">
        <v>777</v>
      </c>
      <c r="D56" s="20">
        <v>17065</v>
      </c>
      <c r="E56" s="17">
        <f t="shared" si="1"/>
        <v>0</v>
      </c>
      <c r="F56" s="17">
        <f t="shared" si="1"/>
        <v>-2.5673940949936247E-3</v>
      </c>
      <c r="G56" s="17">
        <f t="shared" si="1"/>
        <v>4.7100382690610232E-3</v>
      </c>
      <c r="H56" s="14">
        <f t="shared" si="2"/>
        <v>3.7125584857559931E-3</v>
      </c>
      <c r="I56" s="39"/>
      <c r="J56" s="47">
        <f t="shared" si="5"/>
        <v>715</v>
      </c>
      <c r="K56" s="49">
        <f t="shared" si="4"/>
        <v>8.7357299507899652E-3</v>
      </c>
      <c r="L56" s="17">
        <v>-5.0888471233831436E-3</v>
      </c>
      <c r="M56" s="27"/>
      <c r="N56" s="49">
        <v>7.1265255072191822E-6</v>
      </c>
      <c r="O56" s="27">
        <v>-2.7460590606651087E-2</v>
      </c>
      <c r="Q56" s="2"/>
      <c r="R56" s="24"/>
      <c r="S56" s="24"/>
      <c r="T56" s="24"/>
    </row>
    <row r="57" spans="1:20" x14ac:dyDescent="0.25">
      <c r="A57" s="2">
        <v>45323</v>
      </c>
      <c r="B57" s="20">
        <v>2928</v>
      </c>
      <c r="C57" s="20">
        <v>779</v>
      </c>
      <c r="D57" s="20">
        <v>16985</v>
      </c>
      <c r="E57" s="17">
        <f t="shared" si="1"/>
        <v>6.1855670103092564E-3</v>
      </c>
      <c r="F57" s="17">
        <f t="shared" si="1"/>
        <v>1.3003901170351106E-2</v>
      </c>
      <c r="G57" s="17">
        <f t="shared" si="1"/>
        <v>3.2522796352583594E-2</v>
      </c>
      <c r="H57" s="14">
        <f t="shared" si="2"/>
        <v>2.7875402538713727E-2</v>
      </c>
      <c r="I57" s="39"/>
      <c r="J57" s="47">
        <f t="shared" si="5"/>
        <v>714</v>
      </c>
      <c r="K57" s="49">
        <f t="shared" si="4"/>
        <v>8.5610153517741653E-3</v>
      </c>
      <c r="L57" s="17">
        <v>1.6642663065954549E-2</v>
      </c>
      <c r="M57" s="27"/>
      <c r="N57" s="49">
        <v>1.3603273246517444E-5</v>
      </c>
      <c r="O57" s="27">
        <v>-2.7016517115597976E-2</v>
      </c>
      <c r="Q57" s="2"/>
      <c r="R57" s="24"/>
      <c r="S57" s="24"/>
      <c r="T57" s="24"/>
    </row>
    <row r="58" spans="1:20" x14ac:dyDescent="0.25">
      <c r="A58" s="2">
        <v>45322</v>
      </c>
      <c r="B58" s="20">
        <v>2910</v>
      </c>
      <c r="C58" s="20">
        <v>769</v>
      </c>
      <c r="D58" s="20">
        <v>16450</v>
      </c>
      <c r="E58" s="17">
        <f t="shared" si="1"/>
        <v>7.6177285318559385E-3</v>
      </c>
      <c r="F58" s="17">
        <f t="shared" si="1"/>
        <v>3.2214765100671228E-2</v>
      </c>
      <c r="G58" s="17">
        <f t="shared" si="1"/>
        <v>3.9670430271590007E-3</v>
      </c>
      <c r="H58" s="14">
        <f t="shared" si="2"/>
        <v>5.7333493108566724E-3</v>
      </c>
      <c r="I58" s="39"/>
      <c r="J58" s="47">
        <f t="shared" si="5"/>
        <v>713</v>
      </c>
      <c r="K58" s="49">
        <f t="shared" si="4"/>
        <v>8.38979504473868E-3</v>
      </c>
      <c r="L58" s="17">
        <v>4.6360472464453857E-3</v>
      </c>
      <c r="M58" s="27"/>
      <c r="N58" s="49">
        <v>2.036547466727137E-6</v>
      </c>
      <c r="O58" s="27">
        <v>-2.6389008528340297E-2</v>
      </c>
      <c r="Q58" s="2"/>
      <c r="R58" s="24"/>
      <c r="S58" s="24"/>
      <c r="T58" s="24"/>
    </row>
    <row r="59" spans="1:20" x14ac:dyDescent="0.25">
      <c r="A59" s="2">
        <v>45321</v>
      </c>
      <c r="B59" s="20">
        <v>2888</v>
      </c>
      <c r="C59" s="20">
        <v>745</v>
      </c>
      <c r="D59" s="20">
        <v>16385</v>
      </c>
      <c r="E59" s="17">
        <f t="shared" si="1"/>
        <v>1.1913104414856379E-2</v>
      </c>
      <c r="F59" s="17">
        <f t="shared" si="1"/>
        <v>-1.5852047556142668E-2</v>
      </c>
      <c r="G59" s="17">
        <f t="shared" si="1"/>
        <v>-9.9697885196374791E-3</v>
      </c>
      <c r="H59" s="14">
        <f t="shared" si="2"/>
        <v>-7.0792899333453141E-3</v>
      </c>
      <c r="I59" s="39"/>
      <c r="J59" s="47">
        <f t="shared" si="5"/>
        <v>712</v>
      </c>
      <c r="K59" s="49">
        <f t="shared" si="4"/>
        <v>8.2219991438439062E-3</v>
      </c>
      <c r="L59" s="17">
        <v>1.2293723959904222E-2</v>
      </c>
      <c r="M59" s="27"/>
      <c r="N59" s="49">
        <v>1.4740484142955229E-6</v>
      </c>
      <c r="O59" s="27">
        <v>-2.6295708467468901E-2</v>
      </c>
      <c r="Q59" s="2"/>
      <c r="R59" s="24"/>
      <c r="S59" s="24"/>
      <c r="T59" s="24"/>
    </row>
    <row r="60" spans="1:20" x14ac:dyDescent="0.25">
      <c r="A60" s="2">
        <v>45320</v>
      </c>
      <c r="B60" s="20">
        <v>2854</v>
      </c>
      <c r="C60" s="20">
        <v>757</v>
      </c>
      <c r="D60" s="20">
        <v>16550</v>
      </c>
      <c r="E60" s="17">
        <f t="shared" si="1"/>
        <v>2.1067415730338102E-3</v>
      </c>
      <c r="F60" s="17">
        <f t="shared" si="1"/>
        <v>-2.5740025740025763E-2</v>
      </c>
      <c r="G60" s="17">
        <f t="shared" si="1"/>
        <v>-2.04202426753477E-2</v>
      </c>
      <c r="H60" s="14">
        <f t="shared" si="2"/>
        <v>-1.7412349577502415E-2</v>
      </c>
      <c r="I60" s="39"/>
      <c r="J60" s="47">
        <f t="shared" si="5"/>
        <v>711</v>
      </c>
      <c r="K60" s="49">
        <f t="shared" si="4"/>
        <v>8.0575591609670285E-3</v>
      </c>
      <c r="L60" s="17">
        <v>-7.0228659145870715E-3</v>
      </c>
      <c r="M60" s="27"/>
      <c r="N60" s="49">
        <v>4.2983558339088983E-7</v>
      </c>
      <c r="O60" s="27">
        <v>-2.5867141719596008E-2</v>
      </c>
      <c r="Q60" s="2"/>
      <c r="R60" s="24"/>
      <c r="S60" s="24"/>
      <c r="T60" s="24"/>
    </row>
    <row r="61" spans="1:20" x14ac:dyDescent="0.25">
      <c r="A61" s="2">
        <v>45317</v>
      </c>
      <c r="B61" s="20">
        <v>2848</v>
      </c>
      <c r="C61" s="20">
        <v>777</v>
      </c>
      <c r="D61" s="20">
        <v>16895</v>
      </c>
      <c r="E61" s="17">
        <f t="shared" si="1"/>
        <v>-3.4989503149055468E-3</v>
      </c>
      <c r="F61" s="17">
        <f t="shared" si="1"/>
        <v>-3.8461538461538325E-3</v>
      </c>
      <c r="G61" s="17">
        <f t="shared" si="1"/>
        <v>-5.5915244261329766E-3</v>
      </c>
      <c r="H61" s="14">
        <f t="shared" si="2"/>
        <v>-5.2137283861726389E-3</v>
      </c>
      <c r="I61" s="39"/>
      <c r="J61" s="47">
        <f t="shared" si="5"/>
        <v>710</v>
      </c>
      <c r="K61" s="49">
        <f t="shared" si="4"/>
        <v>7.8964079777476895E-3</v>
      </c>
      <c r="L61" s="17">
        <v>1.6989646246919475E-2</v>
      </c>
      <c r="M61" s="27"/>
      <c r="N61" s="49">
        <v>7.7263351189607223E-6</v>
      </c>
      <c r="O61" s="27">
        <v>-2.5485109917793656E-2</v>
      </c>
      <c r="Q61" s="2"/>
      <c r="R61" s="24"/>
      <c r="S61" s="24"/>
      <c r="T61" s="24"/>
    </row>
    <row r="62" spans="1:20" x14ac:dyDescent="0.25">
      <c r="A62" s="2">
        <v>45316</v>
      </c>
      <c r="B62" s="20">
        <v>2858</v>
      </c>
      <c r="C62" s="20">
        <v>780</v>
      </c>
      <c r="D62" s="20">
        <v>16990</v>
      </c>
      <c r="E62" s="17">
        <f t="shared" si="1"/>
        <v>0</v>
      </c>
      <c r="F62" s="17">
        <f t="shared" si="1"/>
        <v>1.8276762402088753E-2</v>
      </c>
      <c r="G62" s="17">
        <f t="shared" si="1"/>
        <v>1.5237526142814373E-2</v>
      </c>
      <c r="H62" s="14">
        <f t="shared" si="2"/>
        <v>1.3178387003335247E-2</v>
      </c>
      <c r="I62" s="39"/>
      <c r="J62" s="47">
        <f t="shared" si="5"/>
        <v>709</v>
      </c>
      <c r="K62" s="49">
        <f t="shared" si="4"/>
        <v>7.7384798181927335E-3</v>
      </c>
      <c r="L62" s="17">
        <v>-1.661488627992239E-3</v>
      </c>
      <c r="M62" s="27"/>
      <c r="N62" s="49">
        <v>8.0407029600875354E-7</v>
      </c>
      <c r="O62" s="27">
        <v>-2.4442759041665308E-2</v>
      </c>
      <c r="Q62" s="2"/>
      <c r="R62" s="24"/>
      <c r="S62" s="24"/>
      <c r="T62" s="24"/>
    </row>
    <row r="63" spans="1:20" x14ac:dyDescent="0.25">
      <c r="A63" s="2">
        <v>45315</v>
      </c>
      <c r="B63" s="20">
        <v>2858</v>
      </c>
      <c r="C63" s="20">
        <v>766</v>
      </c>
      <c r="D63" s="20">
        <v>16735</v>
      </c>
      <c r="E63" s="17">
        <f t="shared" si="1"/>
        <v>1.3475177304964614E-2</v>
      </c>
      <c r="F63" s="17">
        <f t="shared" si="1"/>
        <v>-2.6041666666666297E-3</v>
      </c>
      <c r="G63" s="17">
        <f t="shared" si="1"/>
        <v>-3.8690476190476053E-3</v>
      </c>
      <c r="H63" s="14">
        <f t="shared" si="2"/>
        <v>-1.3176691700738517E-3</v>
      </c>
      <c r="I63" s="39"/>
      <c r="J63" s="47">
        <f t="shared" si="5"/>
        <v>708</v>
      </c>
      <c r="K63" s="49">
        <f t="shared" si="4"/>
        <v>7.5837102218288795E-3</v>
      </c>
      <c r="L63" s="17">
        <v>-1.8443360007728213E-2</v>
      </c>
      <c r="M63" s="27"/>
      <c r="N63" s="49">
        <v>4.9538996663218865E-6</v>
      </c>
      <c r="O63" s="27">
        <v>-2.4222743830812361E-2</v>
      </c>
      <c r="Q63" s="2"/>
      <c r="R63" s="24"/>
      <c r="S63" s="24"/>
      <c r="T63" s="24"/>
    </row>
    <row r="64" spans="1:20" x14ac:dyDescent="0.25">
      <c r="A64" s="2">
        <v>45314</v>
      </c>
      <c r="B64" s="20">
        <v>2820</v>
      </c>
      <c r="C64" s="20">
        <v>768</v>
      </c>
      <c r="D64" s="20">
        <v>16800</v>
      </c>
      <c r="E64" s="17">
        <f t="shared" si="1"/>
        <v>-6.3424947145876986E-3</v>
      </c>
      <c r="F64" s="17">
        <f t="shared" si="1"/>
        <v>-2.7848101265822822E-2</v>
      </c>
      <c r="G64" s="17">
        <f t="shared" si="1"/>
        <v>-2.0408163265306145E-2</v>
      </c>
      <c r="H64" s="14">
        <f t="shared" si="2"/>
        <v>-1.8710984240829405E-2</v>
      </c>
      <c r="I64" s="39"/>
      <c r="J64" s="47">
        <f t="shared" si="5"/>
        <v>707</v>
      </c>
      <c r="K64" s="49">
        <f t="shared" si="4"/>
        <v>7.4320360173923024E-3</v>
      </c>
      <c r="L64" s="17">
        <v>-3.6182695848043407E-3</v>
      </c>
      <c r="M64" s="27"/>
      <c r="N64" s="49">
        <v>7.1190673530745746E-8</v>
      </c>
      <c r="O64" s="27">
        <v>-2.412846945339104E-2</v>
      </c>
      <c r="Q64" s="2"/>
      <c r="R64" s="24"/>
      <c r="S64" s="24"/>
      <c r="T64" s="24"/>
    </row>
    <row r="65" spans="1:20" x14ac:dyDescent="0.25">
      <c r="A65" s="2">
        <v>45313</v>
      </c>
      <c r="B65" s="20">
        <v>2838</v>
      </c>
      <c r="C65" s="20">
        <v>790</v>
      </c>
      <c r="D65" s="20">
        <v>17150</v>
      </c>
      <c r="E65" s="17">
        <f t="shared" si="1"/>
        <v>0</v>
      </c>
      <c r="F65" s="17">
        <f t="shared" si="1"/>
        <v>3.2679738562091609E-2</v>
      </c>
      <c r="G65" s="17">
        <f t="shared" si="1"/>
        <v>-3.4863451481697005E-3</v>
      </c>
      <c r="H65" s="14">
        <f t="shared" si="2"/>
        <v>-1.3958180824464711E-3</v>
      </c>
      <c r="I65" s="39"/>
      <c r="J65" s="47">
        <f t="shared" si="5"/>
        <v>706</v>
      </c>
      <c r="K65" s="49">
        <f t="shared" si="4"/>
        <v>7.2833952970444548E-3</v>
      </c>
      <c r="L65" s="17">
        <v>-5.2078391184434865E-3</v>
      </c>
      <c r="M65" s="27"/>
      <c r="N65" s="49">
        <v>1.6657508205454054E-4</v>
      </c>
      <c r="O65" s="27">
        <v>-2.3202648346530033E-2</v>
      </c>
      <c r="Q65" s="2"/>
      <c r="R65" s="24"/>
      <c r="S65" s="24"/>
      <c r="T65" s="24"/>
    </row>
    <row r="66" spans="1:20" x14ac:dyDescent="0.25">
      <c r="A66" s="2">
        <v>45310</v>
      </c>
      <c r="B66" s="20">
        <v>2838</v>
      </c>
      <c r="C66" s="20">
        <v>765</v>
      </c>
      <c r="D66" s="20">
        <v>17210</v>
      </c>
      <c r="E66" s="17">
        <f t="shared" si="1"/>
        <v>9.9644128113878239E-3</v>
      </c>
      <c r="F66" s="17">
        <f t="shared" si="1"/>
        <v>1.8641810918774926E-2</v>
      </c>
      <c r="G66" s="17">
        <f t="shared" si="1"/>
        <v>1.1460476050543678E-2</v>
      </c>
      <c r="H66" s="14">
        <f t="shared" si="2"/>
        <v>1.1560684740030433E-2</v>
      </c>
      <c r="I66" s="39"/>
      <c r="J66" s="47">
        <f t="shared" si="5"/>
        <v>705</v>
      </c>
      <c r="K66" s="49">
        <f t="shared" si="4"/>
        <v>7.1377273911035662E-3</v>
      </c>
      <c r="L66" s="17">
        <v>3.7125584857559931E-3</v>
      </c>
      <c r="M66" s="27"/>
      <c r="N66" s="49">
        <v>8.5565344805591979E-4</v>
      </c>
      <c r="O66" s="27">
        <v>-2.2801897897707021E-2</v>
      </c>
      <c r="Q66" s="2"/>
      <c r="R66" s="24"/>
      <c r="S66" s="24"/>
      <c r="T66" s="24"/>
    </row>
    <row r="67" spans="1:20" x14ac:dyDescent="0.25">
      <c r="A67" s="2">
        <v>45309</v>
      </c>
      <c r="B67" s="20">
        <v>2810</v>
      </c>
      <c r="C67" s="20">
        <v>751</v>
      </c>
      <c r="D67" s="20">
        <v>17015</v>
      </c>
      <c r="E67" s="17">
        <f t="shared" si="1"/>
        <v>2.855103497501732E-3</v>
      </c>
      <c r="F67" s="17">
        <f t="shared" si="1"/>
        <v>1.6238159675236785E-2</v>
      </c>
      <c r="G67" s="17">
        <f t="shared" si="1"/>
        <v>1.8252543387193398E-2</v>
      </c>
      <c r="H67" s="14">
        <f t="shared" si="2"/>
        <v>1.5948377463083578E-2</v>
      </c>
      <c r="I67" s="39"/>
      <c r="J67" s="47">
        <f t="shared" si="5"/>
        <v>704</v>
      </c>
      <c r="K67" s="49">
        <f t="shared" si="4"/>
        <v>6.9949728432814945E-3</v>
      </c>
      <c r="L67" s="17">
        <v>2.7875402538713727E-2</v>
      </c>
      <c r="M67" s="27"/>
      <c r="N67" s="49">
        <v>3.5837445573606169E-7</v>
      </c>
      <c r="O67" s="27">
        <v>-2.2610151267222815E-2</v>
      </c>
      <c r="Q67" s="2"/>
      <c r="R67" s="24"/>
      <c r="S67" s="24"/>
      <c r="T67" s="24"/>
    </row>
    <row r="68" spans="1:20" x14ac:dyDescent="0.25">
      <c r="A68" s="2">
        <v>45308</v>
      </c>
      <c r="B68" s="20">
        <v>2802</v>
      </c>
      <c r="C68" s="20">
        <v>739</v>
      </c>
      <c r="D68" s="20">
        <v>16710</v>
      </c>
      <c r="E68" s="17">
        <f t="shared" si="1"/>
        <v>-1.4255167498218313E-3</v>
      </c>
      <c r="F68" s="17">
        <f t="shared" si="1"/>
        <v>-3.9011703511053319E-2</v>
      </c>
      <c r="G68" s="17">
        <f t="shared" si="1"/>
        <v>-6.8350668647845225E-3</v>
      </c>
      <c r="H68" s="14">
        <f t="shared" si="2"/>
        <v>-7.4702228013487056E-3</v>
      </c>
      <c r="I68" s="39"/>
      <c r="J68" s="47">
        <f t="shared" si="5"/>
        <v>703</v>
      </c>
      <c r="K68" s="49">
        <f t="shared" si="4"/>
        <v>6.8550733864158643E-3</v>
      </c>
      <c r="L68" s="17">
        <v>5.7333493108566724E-3</v>
      </c>
      <c r="M68" s="27"/>
      <c r="N68" s="49">
        <v>1.8794302412809343E-5</v>
      </c>
      <c r="O68" s="27">
        <v>-2.2585943349906733E-2</v>
      </c>
      <c r="Q68" s="2"/>
      <c r="R68" s="24"/>
      <c r="S68" s="24"/>
      <c r="T68" s="24"/>
    </row>
    <row r="69" spans="1:20" x14ac:dyDescent="0.25">
      <c r="A69" s="2">
        <v>45307</v>
      </c>
      <c r="B69" s="20">
        <v>2806</v>
      </c>
      <c r="C69" s="20">
        <v>769</v>
      </c>
      <c r="D69" s="20">
        <v>16825</v>
      </c>
      <c r="E69" s="17">
        <f t="shared" si="1"/>
        <v>-9.1807909604519899E-3</v>
      </c>
      <c r="F69" s="17">
        <f t="shared" si="1"/>
        <v>2.3968042609853635E-2</v>
      </c>
      <c r="G69" s="17">
        <f t="shared" si="1"/>
        <v>-9.1283863368668561E-3</v>
      </c>
      <c r="H69" s="14">
        <f t="shared" si="2"/>
        <v>-7.6819363666162637E-3</v>
      </c>
      <c r="I69" s="39"/>
      <c r="J69" s="47">
        <f t="shared" si="5"/>
        <v>702</v>
      </c>
      <c r="K69" s="49">
        <f t="shared" si="4"/>
        <v>6.7179719186875476E-3</v>
      </c>
      <c r="L69" s="17">
        <v>-7.0792899333453141E-3</v>
      </c>
      <c r="M69" s="27"/>
      <c r="N69" s="49">
        <v>1.0875472666016653E-8</v>
      </c>
      <c r="O69" s="27">
        <v>-2.2542295950530235E-2</v>
      </c>
      <c r="Q69" s="2"/>
      <c r="R69" s="24"/>
      <c r="S69" s="24"/>
      <c r="T69" s="24"/>
    </row>
    <row r="70" spans="1:20" x14ac:dyDescent="0.25">
      <c r="A70" s="2">
        <v>45306</v>
      </c>
      <c r="B70" s="20">
        <v>2832</v>
      </c>
      <c r="C70" s="20">
        <v>751</v>
      </c>
      <c r="D70" s="20">
        <v>16980</v>
      </c>
      <c r="E70" s="17">
        <f t="shared" ref="E70:G133" si="6">+B70/B71-1</f>
        <v>-2.1141649048626032E-3</v>
      </c>
      <c r="F70" s="17">
        <f t="shared" si="6"/>
        <v>2.735978112175097E-2</v>
      </c>
      <c r="G70" s="17">
        <f t="shared" si="6"/>
        <v>2.9533372711163519E-3</v>
      </c>
      <c r="H70" s="14">
        <f t="shared" ref="H70:H133" si="7">+SUMPRODUCT(E70:G70,$K$9:$M$9)</f>
        <v>3.2963536459592871E-3</v>
      </c>
      <c r="I70" s="39"/>
      <c r="J70" s="47">
        <f t="shared" si="5"/>
        <v>701</v>
      </c>
      <c r="K70" s="49">
        <f t="shared" si="4"/>
        <v>6.5836124803137957E-3</v>
      </c>
      <c r="L70" s="17">
        <v>-1.7412349577502415E-2</v>
      </c>
      <c r="M70" s="27"/>
      <c r="N70" s="49">
        <v>4.2168017453440921E-5</v>
      </c>
      <c r="O70" s="27">
        <v>-2.2308873323722403E-2</v>
      </c>
      <c r="Q70" s="2"/>
      <c r="R70" s="24"/>
      <c r="S70" s="24"/>
      <c r="T70" s="24"/>
    </row>
    <row r="71" spans="1:20" x14ac:dyDescent="0.25">
      <c r="A71" s="2">
        <v>45303</v>
      </c>
      <c r="B71" s="20">
        <v>2838</v>
      </c>
      <c r="C71" s="20">
        <v>731</v>
      </c>
      <c r="D71" s="20">
        <v>16930</v>
      </c>
      <c r="E71" s="17">
        <f t="shared" si="6"/>
        <v>1.1404133998574428E-2</v>
      </c>
      <c r="F71" s="17">
        <f t="shared" si="6"/>
        <v>1.5277777777777724E-2</v>
      </c>
      <c r="G71" s="17">
        <f t="shared" si="6"/>
        <v>6.5398335315101086E-3</v>
      </c>
      <c r="H71" s="14">
        <f t="shared" si="7"/>
        <v>7.6236745762326991E-3</v>
      </c>
      <c r="I71" s="39"/>
      <c r="J71" s="47">
        <f t="shared" si="5"/>
        <v>700</v>
      </c>
      <c r="K71" s="49">
        <f t="shared" si="4"/>
        <v>6.4519402307075197E-3</v>
      </c>
      <c r="L71" s="17">
        <v>-5.2137283861726389E-3</v>
      </c>
      <c r="M71" s="27"/>
      <c r="N71" s="49">
        <v>4.1303027606131679E-6</v>
      </c>
      <c r="O71" s="27">
        <v>-2.2237261310791144E-2</v>
      </c>
      <c r="Q71" s="2"/>
      <c r="R71" s="24"/>
      <c r="S71" s="24"/>
      <c r="T71" s="24"/>
    </row>
    <row r="72" spans="1:20" x14ac:dyDescent="0.25">
      <c r="A72" s="2">
        <v>45302</v>
      </c>
      <c r="B72" s="20">
        <v>2806</v>
      </c>
      <c r="C72" s="20">
        <v>720</v>
      </c>
      <c r="D72" s="20">
        <v>16820</v>
      </c>
      <c r="E72" s="17">
        <f t="shared" si="6"/>
        <v>-2.8429282160625791E-3</v>
      </c>
      <c r="F72" s="17">
        <f t="shared" si="6"/>
        <v>2.7855153203342198E-3</v>
      </c>
      <c r="G72" s="17">
        <f t="shared" si="6"/>
        <v>7.1856287425149379E-3</v>
      </c>
      <c r="H72" s="14">
        <f t="shared" si="7"/>
        <v>5.5492277995428732E-3</v>
      </c>
      <c r="I72" s="39"/>
      <c r="J72" s="47">
        <f t="shared" si="5"/>
        <v>699</v>
      </c>
      <c r="K72" s="49">
        <f t="shared" si="4"/>
        <v>6.3229014260933686E-3</v>
      </c>
      <c r="L72" s="17">
        <v>1.3178387003335247E-2</v>
      </c>
      <c r="M72" s="27"/>
      <c r="N72" s="49">
        <v>9.2621431488323467E-7</v>
      </c>
      <c r="O72" s="27">
        <v>-2.211169747174253E-2</v>
      </c>
      <c r="Q72" s="2"/>
      <c r="R72" s="24"/>
      <c r="S72" s="24"/>
      <c r="T72" s="24"/>
    </row>
    <row r="73" spans="1:20" x14ac:dyDescent="0.25">
      <c r="A73" s="2">
        <v>45301</v>
      </c>
      <c r="B73" s="20">
        <v>2814</v>
      </c>
      <c r="C73" s="20">
        <v>718</v>
      </c>
      <c r="D73" s="20">
        <v>16700</v>
      </c>
      <c r="E73" s="17">
        <f t="shared" si="6"/>
        <v>-6.3559322033898136E-3</v>
      </c>
      <c r="F73" s="17">
        <f t="shared" si="6"/>
        <v>5.1244509516837455E-2</v>
      </c>
      <c r="G73" s="17">
        <f t="shared" si="6"/>
        <v>3.2138442521631561E-2</v>
      </c>
      <c r="H73" s="14">
        <f t="shared" si="7"/>
        <v>2.7438522671248716E-2</v>
      </c>
      <c r="I73" s="39"/>
      <c r="J73" s="47">
        <f t="shared" si="5"/>
        <v>698</v>
      </c>
      <c r="K73" s="49">
        <f t="shared" si="4"/>
        <v>6.1964433975715012E-3</v>
      </c>
      <c r="L73" s="17">
        <v>-1.3176691700738517E-3</v>
      </c>
      <c r="M73" s="27"/>
      <c r="N73" s="49">
        <v>8.8907064103439462E-8</v>
      </c>
      <c r="O73" s="27">
        <v>-2.2080708468417601E-2</v>
      </c>
      <c r="Q73" s="2"/>
      <c r="R73" s="24"/>
      <c r="S73" s="24"/>
      <c r="T73" s="24"/>
    </row>
    <row r="74" spans="1:20" x14ac:dyDescent="0.25">
      <c r="A74" s="2">
        <v>45300</v>
      </c>
      <c r="B74" s="20">
        <v>2832</v>
      </c>
      <c r="C74" s="20">
        <v>683</v>
      </c>
      <c r="D74" s="20">
        <v>16180</v>
      </c>
      <c r="E74" s="17">
        <f t="shared" si="6"/>
        <v>-1.4104372355430161E-3</v>
      </c>
      <c r="F74" s="17">
        <f t="shared" si="6"/>
        <v>4.4117647058823373E-3</v>
      </c>
      <c r="G74" s="17">
        <f t="shared" si="6"/>
        <v>1.4420062695924774E-2</v>
      </c>
      <c r="H74" s="14">
        <f t="shared" si="7"/>
        <v>1.170239173104881E-2</v>
      </c>
      <c r="I74" s="39"/>
      <c r="J74" s="47">
        <f t="shared" si="5"/>
        <v>697</v>
      </c>
      <c r="K74" s="49">
        <f t="shared" si="4"/>
        <v>6.0725145296200702E-3</v>
      </c>
      <c r="L74" s="17">
        <v>-1.8710984240829405E-2</v>
      </c>
      <c r="M74" s="27"/>
      <c r="N74" s="49">
        <v>8.036494422552967E-8</v>
      </c>
      <c r="O74" s="27">
        <v>-2.1973970731778307E-2</v>
      </c>
      <c r="Q74" s="2"/>
      <c r="R74" s="24"/>
      <c r="S74" s="24"/>
      <c r="T74" s="24"/>
    </row>
    <row r="75" spans="1:20" x14ac:dyDescent="0.25">
      <c r="A75" s="2">
        <v>45299</v>
      </c>
      <c r="B75" s="20">
        <v>2836</v>
      </c>
      <c r="C75" s="20">
        <v>680</v>
      </c>
      <c r="D75" s="20">
        <v>15950</v>
      </c>
      <c r="E75" s="17">
        <f t="shared" si="6"/>
        <v>-7.0472163495416407E-4</v>
      </c>
      <c r="F75" s="17">
        <f t="shared" si="6"/>
        <v>-7.2992700729926918E-3</v>
      </c>
      <c r="G75" s="17">
        <f t="shared" si="6"/>
        <v>4.4080604534004753E-3</v>
      </c>
      <c r="H75" s="14">
        <f t="shared" si="7"/>
        <v>3.1580122972959578E-3</v>
      </c>
      <c r="I75" s="39"/>
      <c r="J75" s="47">
        <f t="shared" si="5"/>
        <v>696</v>
      </c>
      <c r="K75" s="49">
        <f t="shared" si="4"/>
        <v>5.951064239027669E-3</v>
      </c>
      <c r="L75" s="17">
        <v>-1.3958180824464711E-3</v>
      </c>
      <c r="M75" s="27"/>
      <c r="N75" s="49">
        <v>6.0629843810279811E-6</v>
      </c>
      <c r="O75" s="27">
        <v>-2.1492799455943932E-2</v>
      </c>
      <c r="Q75" s="2"/>
      <c r="R75" s="24"/>
      <c r="S75" s="24"/>
      <c r="T75" s="24"/>
    </row>
    <row r="76" spans="1:20" x14ac:dyDescent="0.25">
      <c r="A76" s="2">
        <v>45296</v>
      </c>
      <c r="B76" s="20">
        <v>2838</v>
      </c>
      <c r="C76" s="20">
        <v>685</v>
      </c>
      <c r="D76" s="20">
        <v>15880</v>
      </c>
      <c r="E76" s="17">
        <f t="shared" si="6"/>
        <v>6.382978723404209E-3</v>
      </c>
      <c r="F76" s="17">
        <f t="shared" si="6"/>
        <v>1.9345238095238138E-2</v>
      </c>
      <c r="G76" s="17">
        <f t="shared" si="6"/>
        <v>1.7948717948717885E-2</v>
      </c>
      <c r="H76" s="14">
        <f t="shared" si="7"/>
        <v>1.6345776085404613E-2</v>
      </c>
      <c r="I76" s="39"/>
      <c r="J76" s="47">
        <f t="shared" si="5"/>
        <v>695</v>
      </c>
      <c r="K76" s="49">
        <f t="shared" si="4"/>
        <v>5.8320429542471162E-3</v>
      </c>
      <c r="L76" s="17">
        <v>1.1560684740030433E-2</v>
      </c>
      <c r="M76" s="27"/>
      <c r="N76" s="49">
        <v>1.2566948568158202E-2</v>
      </c>
      <c r="O76" s="27">
        <v>-2.1092377770356288E-2</v>
      </c>
      <c r="Q76" s="2"/>
      <c r="R76" s="24"/>
      <c r="S76" s="24"/>
      <c r="T76" s="24"/>
    </row>
    <row r="77" spans="1:20" x14ac:dyDescent="0.25">
      <c r="A77" s="2">
        <v>45295</v>
      </c>
      <c r="B77" s="20">
        <v>2820</v>
      </c>
      <c r="C77" s="20">
        <v>672</v>
      </c>
      <c r="D77" s="20">
        <v>15600</v>
      </c>
      <c r="E77" s="17">
        <f t="shared" si="6"/>
        <v>-2.8288543140028155E-3</v>
      </c>
      <c r="F77" s="17">
        <f t="shared" si="6"/>
        <v>-4.4444444444444731E-3</v>
      </c>
      <c r="G77" s="17">
        <f t="shared" si="6"/>
        <v>-3.2041012495998E-4</v>
      </c>
      <c r="H77" s="14">
        <f t="shared" si="7"/>
        <v>-8.625486437322707E-4</v>
      </c>
      <c r="I77" s="39"/>
      <c r="J77" s="47">
        <f t="shared" si="5"/>
        <v>694</v>
      </c>
      <c r="K77" s="49">
        <f t="shared" si="4"/>
        <v>5.7154020951621738E-3</v>
      </c>
      <c r="L77" s="17">
        <v>1.5948377463083578E-2</v>
      </c>
      <c r="M77" s="27"/>
      <c r="N77" s="49">
        <v>9.6440474269391361E-7</v>
      </c>
      <c r="O77" s="27">
        <v>-2.1078926358101772E-2</v>
      </c>
      <c r="Q77" s="2"/>
      <c r="R77" s="24"/>
      <c r="S77" s="24"/>
      <c r="T77" s="24"/>
    </row>
    <row r="78" spans="1:20" x14ac:dyDescent="0.25">
      <c r="A78" s="2">
        <v>45294</v>
      </c>
      <c r="B78" s="20">
        <v>2828</v>
      </c>
      <c r="C78" s="20">
        <v>675</v>
      </c>
      <c r="D78" s="20">
        <v>15605</v>
      </c>
      <c r="E78" s="17">
        <f t="shared" si="6"/>
        <v>2.8368794326241176E-3</v>
      </c>
      <c r="F78" s="17">
        <f t="shared" si="6"/>
        <v>-4.4247787610619538E-3</v>
      </c>
      <c r="G78" s="17">
        <f t="shared" si="6"/>
        <v>-9.2063492063492181E-3</v>
      </c>
      <c r="H78" s="14">
        <f t="shared" si="7"/>
        <v>-7.263281667384415E-3</v>
      </c>
      <c r="I78" s="39"/>
      <c r="J78" s="47">
        <f t="shared" si="5"/>
        <v>693</v>
      </c>
      <c r="K78" s="49">
        <f t="shared" si="4"/>
        <v>5.6010940532589286E-3</v>
      </c>
      <c r="L78" s="17">
        <v>-7.4702228013487056E-3</v>
      </c>
      <c r="M78" s="27"/>
      <c r="N78" s="49">
        <v>3.9688200683038957E-5</v>
      </c>
      <c r="O78" s="27">
        <v>-2.0789769539702685E-2</v>
      </c>
      <c r="Q78" s="2"/>
      <c r="R78" s="24"/>
      <c r="S78" s="24"/>
      <c r="T78" s="24"/>
    </row>
    <row r="79" spans="1:20" x14ac:dyDescent="0.25">
      <c r="A79" s="2">
        <v>45293</v>
      </c>
      <c r="B79" s="20">
        <v>2820</v>
      </c>
      <c r="C79" s="20">
        <v>678</v>
      </c>
      <c r="D79" s="20">
        <v>15750</v>
      </c>
      <c r="E79" s="17">
        <f t="shared" si="6"/>
        <v>-2.1231422505307851E-3</v>
      </c>
      <c r="F79" s="17">
        <f t="shared" si="6"/>
        <v>-5.8651026392961825E-3</v>
      </c>
      <c r="G79" s="17">
        <f t="shared" si="6"/>
        <v>-3.1645569620253333E-3</v>
      </c>
      <c r="H79" s="14">
        <f t="shared" si="7"/>
        <v>-3.1333390979061257E-3</v>
      </c>
      <c r="I79" s="39"/>
      <c r="J79" s="47">
        <f t="shared" si="5"/>
        <v>692</v>
      </c>
      <c r="K79" s="49">
        <f t="shared" si="4"/>
        <v>5.4890721721937508E-3</v>
      </c>
      <c r="L79" s="17">
        <v>-7.6819363666162637E-3</v>
      </c>
      <c r="M79" s="27"/>
      <c r="N79" s="49">
        <v>7.875764534101907E-8</v>
      </c>
      <c r="O79" s="27">
        <v>-2.075292473544545E-2</v>
      </c>
      <c r="Q79" s="2"/>
      <c r="R79" s="24"/>
      <c r="S79" s="24"/>
      <c r="T79" s="24"/>
    </row>
    <row r="80" spans="1:20" x14ac:dyDescent="0.25">
      <c r="A80" s="2">
        <v>45289</v>
      </c>
      <c r="B80" s="20">
        <v>2826</v>
      </c>
      <c r="C80" s="20">
        <v>682</v>
      </c>
      <c r="D80" s="20">
        <v>15800</v>
      </c>
      <c r="E80" s="17">
        <f t="shared" si="6"/>
        <v>0</v>
      </c>
      <c r="F80" s="17">
        <f t="shared" si="6"/>
        <v>1.0370370370370363E-2</v>
      </c>
      <c r="G80" s="17">
        <f t="shared" si="6"/>
        <v>-5.6639395846443952E-3</v>
      </c>
      <c r="H80" s="14">
        <f t="shared" si="7"/>
        <v>-4.1444879562959093E-3</v>
      </c>
      <c r="I80" s="39"/>
      <c r="J80" s="47">
        <f t="shared" si="5"/>
        <v>691</v>
      </c>
      <c r="K80" s="49">
        <f t="shared" ref="K80:K143" si="8">+($K$13^($K$1-J80)*(1-$K$13))/(1-$K$13^$K$1)</f>
        <v>5.3792907287498757E-3</v>
      </c>
      <c r="L80" s="17">
        <v>3.2963536459592871E-3</v>
      </c>
      <c r="M80" s="27"/>
      <c r="N80" s="49">
        <v>1.1126508928812411E-3</v>
      </c>
      <c r="O80" s="27">
        <v>-2.0061387446210714E-2</v>
      </c>
      <c r="Q80" s="2"/>
      <c r="R80" s="24"/>
      <c r="S80" s="24"/>
      <c r="T80" s="24"/>
    </row>
    <row r="81" spans="1:20" x14ac:dyDescent="0.25">
      <c r="A81" s="2">
        <v>45288</v>
      </c>
      <c r="B81" s="20">
        <v>2826</v>
      </c>
      <c r="C81" s="20">
        <v>675</v>
      </c>
      <c r="D81" s="20">
        <v>15890</v>
      </c>
      <c r="E81" s="17">
        <f t="shared" si="6"/>
        <v>2.8388928317955031E-3</v>
      </c>
      <c r="F81" s="17">
        <f t="shared" si="6"/>
        <v>1.5037593984962516E-2</v>
      </c>
      <c r="G81" s="17">
        <f t="shared" si="6"/>
        <v>9.5298602287166023E-3</v>
      </c>
      <c r="H81" s="14">
        <f t="shared" si="7"/>
        <v>8.8090048889613737E-3</v>
      </c>
      <c r="I81" s="39"/>
      <c r="J81" s="47">
        <f t="shared" ref="J81:J144" si="9">+J80-1</f>
        <v>690</v>
      </c>
      <c r="K81" s="49">
        <f t="shared" si="8"/>
        <v>5.2717049141748776E-3</v>
      </c>
      <c r="L81" s="17">
        <v>7.6236745762326991E-3</v>
      </c>
      <c r="M81" s="27"/>
      <c r="N81" s="49">
        <v>2.7559798019993544E-7</v>
      </c>
      <c r="O81" s="27">
        <v>-1.9943582589862008E-2</v>
      </c>
      <c r="Q81" s="2"/>
      <c r="R81" s="24"/>
      <c r="S81" s="24"/>
      <c r="T81" s="24"/>
    </row>
    <row r="82" spans="1:20" x14ac:dyDescent="0.25">
      <c r="A82" s="2">
        <v>45287</v>
      </c>
      <c r="B82" s="20">
        <v>2818</v>
      </c>
      <c r="C82" s="20">
        <v>665</v>
      </c>
      <c r="D82" s="20">
        <v>15740</v>
      </c>
      <c r="E82" s="17">
        <f t="shared" si="6"/>
        <v>-1.4174344436569397E-3</v>
      </c>
      <c r="F82" s="17">
        <f t="shared" si="6"/>
        <v>3.0165912518853588E-3</v>
      </c>
      <c r="G82" s="17">
        <f t="shared" si="6"/>
        <v>-6.3492063492065487E-4</v>
      </c>
      <c r="H82" s="14">
        <f t="shared" si="7"/>
        <v>-5.8710521312375376E-4</v>
      </c>
      <c r="I82" s="39"/>
      <c r="J82" s="47">
        <f t="shared" si="9"/>
        <v>689</v>
      </c>
      <c r="K82" s="49">
        <f t="shared" si="8"/>
        <v>5.1662708158913802E-3</v>
      </c>
      <c r="L82" s="17">
        <v>5.5492277995428732E-3</v>
      </c>
      <c r="M82" s="27"/>
      <c r="N82" s="49">
        <v>7.571808416581506E-6</v>
      </c>
      <c r="O82" s="27">
        <v>-1.9600228135888496E-2</v>
      </c>
      <c r="Q82" s="2"/>
      <c r="R82" s="24"/>
      <c r="S82" s="24"/>
      <c r="T82" s="24"/>
    </row>
    <row r="83" spans="1:20" x14ac:dyDescent="0.25">
      <c r="A83" s="2">
        <v>45282</v>
      </c>
      <c r="B83" s="20">
        <v>2822</v>
      </c>
      <c r="C83" s="20">
        <v>663</v>
      </c>
      <c r="D83" s="20">
        <v>15750</v>
      </c>
      <c r="E83" s="17">
        <f t="shared" si="6"/>
        <v>-2.8268551236748651E-3</v>
      </c>
      <c r="F83" s="17">
        <f t="shared" si="6"/>
        <v>4.5454545454546302E-3</v>
      </c>
      <c r="G83" s="17">
        <f t="shared" si="6"/>
        <v>-1.9011406844106071E-3</v>
      </c>
      <c r="H83" s="14">
        <f t="shared" si="7"/>
        <v>-1.7511381497292478E-3</v>
      </c>
      <c r="I83" s="39"/>
      <c r="J83" s="47">
        <f t="shared" si="9"/>
        <v>688</v>
      </c>
      <c r="K83" s="49">
        <f t="shared" si="8"/>
        <v>5.0629453995735523E-3</v>
      </c>
      <c r="L83" s="17">
        <v>2.7438522671248716E-2</v>
      </c>
      <c r="M83" s="27"/>
      <c r="N83" s="49">
        <v>3.1746328111007302E-7</v>
      </c>
      <c r="O83" s="27">
        <v>-1.9562018032712489E-2</v>
      </c>
      <c r="Q83" s="2"/>
      <c r="R83" s="24"/>
      <c r="S83" s="24"/>
      <c r="T83" s="24"/>
    </row>
    <row r="84" spans="1:20" x14ac:dyDescent="0.25">
      <c r="A84" s="2">
        <v>45281</v>
      </c>
      <c r="B84" s="20">
        <v>2830</v>
      </c>
      <c r="C84" s="20">
        <v>660</v>
      </c>
      <c r="D84" s="20">
        <v>15780</v>
      </c>
      <c r="E84" s="17">
        <f t="shared" si="6"/>
        <v>-1.4114326040931546E-3</v>
      </c>
      <c r="F84" s="17">
        <f t="shared" si="6"/>
        <v>-1.19760479041916E-2</v>
      </c>
      <c r="G84" s="17">
        <f t="shared" si="6"/>
        <v>-1.5595757953836609E-2</v>
      </c>
      <c r="H84" s="14">
        <f t="shared" si="7"/>
        <v>-1.3395632389344403E-2</v>
      </c>
      <c r="I84" s="39"/>
      <c r="J84" s="47">
        <f t="shared" si="9"/>
        <v>687</v>
      </c>
      <c r="K84" s="49">
        <f t="shared" si="8"/>
        <v>4.9616864915820805E-3</v>
      </c>
      <c r="L84" s="17">
        <v>1.170239173104881E-2</v>
      </c>
      <c r="M84" s="27"/>
      <c r="N84" s="49">
        <v>6.1867187561510017E-6</v>
      </c>
      <c r="O84" s="27">
        <v>-1.9379811318570781E-2</v>
      </c>
      <c r="Q84" s="2"/>
      <c r="R84" s="24"/>
      <c r="S84" s="24"/>
      <c r="T84" s="24"/>
    </row>
    <row r="85" spans="1:20" x14ac:dyDescent="0.25">
      <c r="A85" s="2">
        <v>45280</v>
      </c>
      <c r="B85" s="20">
        <v>2834</v>
      </c>
      <c r="C85" s="20">
        <v>668</v>
      </c>
      <c r="D85" s="20">
        <v>16030</v>
      </c>
      <c r="E85" s="17">
        <f t="shared" si="6"/>
        <v>1.4134275618373771E-3</v>
      </c>
      <c r="F85" s="17">
        <f t="shared" si="6"/>
        <v>1.2121212121212199E-2</v>
      </c>
      <c r="G85" s="17">
        <f t="shared" si="6"/>
        <v>2.5015634771732298E-3</v>
      </c>
      <c r="H85" s="14">
        <f t="shared" si="7"/>
        <v>2.7675922371431945E-3</v>
      </c>
      <c r="I85" s="39"/>
      <c r="J85" s="47">
        <f t="shared" si="9"/>
        <v>686</v>
      </c>
      <c r="K85" s="49">
        <f t="shared" si="8"/>
        <v>4.8624527617504385E-3</v>
      </c>
      <c r="L85" s="17">
        <v>3.1580122972959578E-3</v>
      </c>
      <c r="M85" s="27"/>
      <c r="N85" s="49">
        <v>1.9968616831432211E-5</v>
      </c>
      <c r="O85" s="27">
        <v>-1.9062462953596617E-2</v>
      </c>
      <c r="Q85" s="2"/>
      <c r="R85" s="24"/>
      <c r="S85" s="24"/>
      <c r="T85" s="24"/>
    </row>
    <row r="86" spans="1:20" x14ac:dyDescent="0.25">
      <c r="A86" s="2">
        <v>45279</v>
      </c>
      <c r="B86" s="20">
        <v>2830</v>
      </c>
      <c r="C86" s="20">
        <v>660</v>
      </c>
      <c r="D86" s="20">
        <v>15990</v>
      </c>
      <c r="E86" s="17">
        <f t="shared" si="6"/>
        <v>4.2583392476933657E-3</v>
      </c>
      <c r="F86" s="17">
        <f t="shared" si="6"/>
        <v>-1.0494752623688153E-2</v>
      </c>
      <c r="G86" s="17">
        <f t="shared" si="6"/>
        <v>1.6852146263911072E-2</v>
      </c>
      <c r="H86" s="14">
        <f t="shared" si="7"/>
        <v>1.3838512206478186E-2</v>
      </c>
      <c r="I86" s="39"/>
      <c r="J86" s="47">
        <f t="shared" si="9"/>
        <v>685</v>
      </c>
      <c r="K86" s="49">
        <f t="shared" si="8"/>
        <v>4.7652037065154303E-3</v>
      </c>
      <c r="L86" s="17">
        <v>1.6345776085404613E-2</v>
      </c>
      <c r="M86" s="27"/>
      <c r="N86" s="49">
        <v>1.4732768911948529E-7</v>
      </c>
      <c r="O86" s="27">
        <v>-1.8927247281904612E-2</v>
      </c>
      <c r="Q86" s="2"/>
      <c r="R86" s="24"/>
      <c r="S86" s="24"/>
      <c r="T86" s="24"/>
    </row>
    <row r="87" spans="1:20" x14ac:dyDescent="0.25">
      <c r="A87" s="2">
        <v>45278</v>
      </c>
      <c r="B87" s="20">
        <v>2818</v>
      </c>
      <c r="C87" s="20">
        <v>667</v>
      </c>
      <c r="D87" s="20">
        <v>15725</v>
      </c>
      <c r="E87" s="17">
        <f t="shared" si="6"/>
        <v>-4.9435028248587809E-3</v>
      </c>
      <c r="F87" s="17">
        <f t="shared" si="6"/>
        <v>1.5015015015014122E-3</v>
      </c>
      <c r="G87" s="17">
        <f t="shared" si="6"/>
        <v>9.3068035943517646E-3</v>
      </c>
      <c r="H87" s="14">
        <f t="shared" si="7"/>
        <v>6.9133021927401065E-3</v>
      </c>
      <c r="I87" s="39"/>
      <c r="J87" s="47">
        <f t="shared" si="9"/>
        <v>684</v>
      </c>
      <c r="K87" s="49">
        <f t="shared" si="8"/>
        <v>4.6698996323851216E-3</v>
      </c>
      <c r="L87" s="17">
        <v>-8.625486437322707E-4</v>
      </c>
      <c r="M87" s="27"/>
      <c r="N87" s="49">
        <v>2.1626634409042155E-7</v>
      </c>
      <c r="O87" s="27">
        <v>-1.8919158887766716E-2</v>
      </c>
      <c r="Q87" s="2"/>
      <c r="R87" s="24"/>
      <c r="S87" s="24"/>
      <c r="T87" s="24"/>
    </row>
    <row r="88" spans="1:20" x14ac:dyDescent="0.25">
      <c r="A88" s="2">
        <v>45275</v>
      </c>
      <c r="B88" s="20">
        <v>2832</v>
      </c>
      <c r="C88" s="20">
        <v>666</v>
      </c>
      <c r="D88" s="20">
        <v>15580</v>
      </c>
      <c r="E88" s="17">
        <f t="shared" si="6"/>
        <v>5.6818181818181213E-3</v>
      </c>
      <c r="F88" s="17">
        <f t="shared" si="6"/>
        <v>-1.4992503748125774E-3</v>
      </c>
      <c r="G88" s="17">
        <f t="shared" si="6"/>
        <v>-7.0108349267049563E-3</v>
      </c>
      <c r="H88" s="14">
        <f t="shared" si="7"/>
        <v>-4.9422451642527499E-3</v>
      </c>
      <c r="I88" s="39"/>
      <c r="J88" s="47">
        <f t="shared" si="9"/>
        <v>683</v>
      </c>
      <c r="K88" s="49">
        <f t="shared" si="8"/>
        <v>4.5765016397374195E-3</v>
      </c>
      <c r="L88" s="17">
        <v>-7.263281667384415E-3</v>
      </c>
      <c r="M88" s="27"/>
      <c r="N88" s="49">
        <v>6.0725145296200702E-3</v>
      </c>
      <c r="O88" s="27">
        <v>-1.8710984240829405E-2</v>
      </c>
      <c r="Q88" s="2"/>
      <c r="R88" s="24"/>
      <c r="S88" s="24"/>
      <c r="T88" s="24"/>
    </row>
    <row r="89" spans="1:20" x14ac:dyDescent="0.25">
      <c r="A89" s="2">
        <v>45274</v>
      </c>
      <c r="B89" s="20">
        <v>2816</v>
      </c>
      <c r="C89" s="20">
        <v>667</v>
      </c>
      <c r="D89" s="20">
        <v>15690</v>
      </c>
      <c r="E89" s="17">
        <f t="shared" si="6"/>
        <v>7.1530758226037161E-3</v>
      </c>
      <c r="F89" s="17">
        <f t="shared" si="6"/>
        <v>3.4108527131782918E-2</v>
      </c>
      <c r="G89" s="17">
        <f t="shared" si="6"/>
        <v>4.5651449516827647E-2</v>
      </c>
      <c r="H89" s="14">
        <f t="shared" si="7"/>
        <v>3.9604484109882043E-2</v>
      </c>
      <c r="I89" s="39"/>
      <c r="J89" s="47">
        <f t="shared" si="9"/>
        <v>682</v>
      </c>
      <c r="K89" s="49">
        <f t="shared" si="8"/>
        <v>4.4849716069426705E-3</v>
      </c>
      <c r="L89" s="17">
        <v>-3.1333390979061257E-3</v>
      </c>
      <c r="M89" s="27"/>
      <c r="N89" s="49">
        <v>2.4426421985516866E-6</v>
      </c>
      <c r="O89" s="27">
        <v>-1.8634769804735257E-2</v>
      </c>
      <c r="Q89" s="2"/>
      <c r="R89" s="24"/>
      <c r="S89" s="24"/>
      <c r="T89" s="24"/>
    </row>
    <row r="90" spans="1:20" x14ac:dyDescent="0.25">
      <c r="A90" s="2">
        <v>45273</v>
      </c>
      <c r="B90" s="20">
        <v>2796</v>
      </c>
      <c r="C90" s="20">
        <v>645</v>
      </c>
      <c r="D90" s="20">
        <v>15005</v>
      </c>
      <c r="E90" s="17">
        <f t="shared" si="6"/>
        <v>-2.8530670470755526E-3</v>
      </c>
      <c r="F90" s="17">
        <f t="shared" si="6"/>
        <v>4.6728971962617383E-3</v>
      </c>
      <c r="G90" s="17">
        <f t="shared" si="6"/>
        <v>-1.3311148086522229E-3</v>
      </c>
      <c r="H90" s="14">
        <f t="shared" si="7"/>
        <v>-1.2863536084572347E-3</v>
      </c>
      <c r="I90" s="39"/>
      <c r="J90" s="47">
        <f t="shared" si="9"/>
        <v>681</v>
      </c>
      <c r="K90" s="49">
        <f t="shared" si="8"/>
        <v>4.3952721748038168E-3</v>
      </c>
      <c r="L90" s="17">
        <v>-4.1444879562959093E-3</v>
      </c>
      <c r="M90" s="27"/>
      <c r="N90" s="49">
        <v>7.5837102218288795E-3</v>
      </c>
      <c r="O90" s="27">
        <v>-1.8443360007728213E-2</v>
      </c>
      <c r="Q90" s="2"/>
      <c r="R90" s="24"/>
      <c r="S90" s="24"/>
      <c r="T90" s="24"/>
    </row>
    <row r="91" spans="1:20" x14ac:dyDescent="0.25">
      <c r="A91" s="2">
        <v>45272</v>
      </c>
      <c r="B91" s="20">
        <v>2804</v>
      </c>
      <c r="C91" s="20">
        <v>642</v>
      </c>
      <c r="D91" s="20">
        <v>15025</v>
      </c>
      <c r="E91" s="17">
        <f t="shared" si="6"/>
        <v>1.7416545718432541E-2</v>
      </c>
      <c r="F91" s="17">
        <f t="shared" si="6"/>
        <v>1.5822784810126667E-2</v>
      </c>
      <c r="G91" s="17">
        <f t="shared" si="6"/>
        <v>1.8644067796610209E-2</v>
      </c>
      <c r="H91" s="14">
        <f t="shared" si="7"/>
        <v>1.8343484597980849E-2</v>
      </c>
      <c r="I91" s="39"/>
      <c r="J91" s="47">
        <f t="shared" si="9"/>
        <v>680</v>
      </c>
      <c r="K91" s="49">
        <f t="shared" si="8"/>
        <v>4.30736673130774E-3</v>
      </c>
      <c r="L91" s="17">
        <v>8.8090048889613737E-3</v>
      </c>
      <c r="M91" s="27"/>
      <c r="N91" s="49">
        <v>1.2560370974755411E-3</v>
      </c>
      <c r="O91" s="27">
        <v>-1.8429995776687084E-2</v>
      </c>
      <c r="Q91" s="2"/>
      <c r="R91" s="24"/>
      <c r="S91" s="24"/>
      <c r="T91" s="24"/>
    </row>
    <row r="92" spans="1:20" x14ac:dyDescent="0.25">
      <c r="A92" s="2">
        <v>45271</v>
      </c>
      <c r="B92" s="20">
        <v>2756</v>
      </c>
      <c r="C92" s="20">
        <v>632</v>
      </c>
      <c r="D92" s="20">
        <v>14750</v>
      </c>
      <c r="E92" s="17">
        <f t="shared" si="6"/>
        <v>-3.6153289949385492E-3</v>
      </c>
      <c r="F92" s="17">
        <f t="shared" si="6"/>
        <v>-7.8492935635793293E-3</v>
      </c>
      <c r="G92" s="17">
        <f t="shared" si="6"/>
        <v>-2.0297699594046259E-3</v>
      </c>
      <c r="H92" s="14">
        <f t="shared" si="7"/>
        <v>-2.5135927568678898E-3</v>
      </c>
      <c r="I92" s="39"/>
      <c r="J92" s="47">
        <f t="shared" si="9"/>
        <v>679</v>
      </c>
      <c r="K92" s="49">
        <f t="shared" si="8"/>
        <v>4.2212193966815852E-3</v>
      </c>
      <c r="L92" s="17">
        <v>-5.8710521312375376E-4</v>
      </c>
      <c r="M92" s="27"/>
      <c r="N92" s="49">
        <v>2.2102682041361411E-4</v>
      </c>
      <c r="O92" s="27">
        <v>-1.8195741716172418E-2</v>
      </c>
      <c r="Q92" s="2"/>
      <c r="R92" s="24"/>
      <c r="S92" s="24"/>
      <c r="T92" s="24"/>
    </row>
    <row r="93" spans="1:20" x14ac:dyDescent="0.25">
      <c r="A93" s="2">
        <v>45268</v>
      </c>
      <c r="B93" s="20">
        <v>2766</v>
      </c>
      <c r="C93" s="20">
        <v>637</v>
      </c>
      <c r="D93" s="20">
        <v>14780</v>
      </c>
      <c r="E93" s="17">
        <f t="shared" si="6"/>
        <v>-1.3552068473609125E-2</v>
      </c>
      <c r="F93" s="17">
        <f t="shared" si="6"/>
        <v>-4.6874999999999556E-3</v>
      </c>
      <c r="G93" s="17">
        <f t="shared" si="6"/>
        <v>1.6506189821182904E-2</v>
      </c>
      <c r="H93" s="14">
        <f t="shared" si="7"/>
        <v>1.1249768128449186E-2</v>
      </c>
      <c r="I93" s="39"/>
      <c r="J93" s="47">
        <f t="shared" si="9"/>
        <v>678</v>
      </c>
      <c r="K93" s="49">
        <f t="shared" si="8"/>
        <v>4.1367950087479542E-3</v>
      </c>
      <c r="L93" s="17">
        <v>-1.7511381497292478E-3</v>
      </c>
      <c r="M93" s="27"/>
      <c r="N93" s="49">
        <v>1.5661505987041151E-6</v>
      </c>
      <c r="O93" s="27">
        <v>-1.8072390464620492E-2</v>
      </c>
      <c r="Q93" s="2"/>
      <c r="R93" s="24"/>
      <c r="S93" s="24"/>
      <c r="T93" s="24"/>
    </row>
    <row r="94" spans="1:20" x14ac:dyDescent="0.25">
      <c r="A94" s="2">
        <v>45267</v>
      </c>
      <c r="B94" s="20">
        <v>2804</v>
      </c>
      <c r="C94" s="20">
        <v>640</v>
      </c>
      <c r="D94" s="20">
        <v>14540</v>
      </c>
      <c r="E94" s="17">
        <f t="shared" si="6"/>
        <v>-2.135231316725994E-3</v>
      </c>
      <c r="F94" s="17">
        <f t="shared" si="6"/>
        <v>-4.6656298600310508E-3</v>
      </c>
      <c r="G94" s="17">
        <f t="shared" si="6"/>
        <v>2.0675396278428959E-3</v>
      </c>
      <c r="H94" s="14">
        <f t="shared" si="7"/>
        <v>1.1669654380864836E-3</v>
      </c>
      <c r="I94" s="39"/>
      <c r="J94" s="47">
        <f t="shared" si="9"/>
        <v>677</v>
      </c>
      <c r="K94" s="49">
        <f t="shared" si="8"/>
        <v>4.0540591085729948E-3</v>
      </c>
      <c r="L94" s="17">
        <v>-1.3395632389344403E-2</v>
      </c>
      <c r="M94" s="27"/>
      <c r="N94" s="49">
        <v>5.595232315616186E-5</v>
      </c>
      <c r="O94" s="27">
        <v>-1.7951252867574909E-2</v>
      </c>
      <c r="Q94" s="2"/>
      <c r="R94" s="24"/>
      <c r="S94" s="24"/>
      <c r="T94" s="24"/>
    </row>
    <row r="95" spans="1:20" x14ac:dyDescent="0.25">
      <c r="A95" s="2">
        <v>45266</v>
      </c>
      <c r="B95" s="20">
        <v>2810</v>
      </c>
      <c r="C95" s="20">
        <v>643</v>
      </c>
      <c r="D95" s="20">
        <v>14510</v>
      </c>
      <c r="E95" s="17">
        <f t="shared" si="6"/>
        <v>-3.5460992907800915E-3</v>
      </c>
      <c r="F95" s="17">
        <f t="shared" si="6"/>
        <v>3.5426731078904927E-2</v>
      </c>
      <c r="G95" s="17">
        <f t="shared" si="6"/>
        <v>-9.2181631956299581E-3</v>
      </c>
      <c r="H95" s="14">
        <f t="shared" si="7"/>
        <v>-6.4406235037365121E-3</v>
      </c>
      <c r="I95" s="39"/>
      <c r="J95" s="47">
        <f t="shared" si="9"/>
        <v>676</v>
      </c>
      <c r="K95" s="49">
        <f t="shared" si="8"/>
        <v>3.9729779264015344E-3</v>
      </c>
      <c r="L95" s="17">
        <v>2.7675922371431945E-3</v>
      </c>
      <c r="M95" s="27"/>
      <c r="N95" s="49">
        <v>1.1585286264902553E-3</v>
      </c>
      <c r="O95" s="27">
        <v>-1.7805532605417888E-2</v>
      </c>
      <c r="Q95" s="2"/>
      <c r="R95" s="24"/>
      <c r="S95" s="24"/>
      <c r="T95" s="24"/>
    </row>
    <row r="96" spans="1:20" x14ac:dyDescent="0.25">
      <c r="A96" s="2">
        <v>45265</v>
      </c>
      <c r="B96" s="20">
        <v>2820</v>
      </c>
      <c r="C96" s="20">
        <v>621</v>
      </c>
      <c r="D96" s="20">
        <v>14645</v>
      </c>
      <c r="E96" s="17">
        <f t="shared" si="6"/>
        <v>1.0028653295129031E-2</v>
      </c>
      <c r="F96" s="17">
        <f t="shared" si="6"/>
        <v>6.482982171799101E-3</v>
      </c>
      <c r="G96" s="17">
        <f t="shared" si="6"/>
        <v>-1.7041581458759891E-3</v>
      </c>
      <c r="H96" s="14">
        <f t="shared" si="7"/>
        <v>3.4385414386201994E-4</v>
      </c>
      <c r="I96" s="39"/>
      <c r="J96" s="47">
        <f t="shared" si="9"/>
        <v>675</v>
      </c>
      <c r="K96" s="49">
        <f t="shared" si="8"/>
        <v>3.8935183678735041E-3</v>
      </c>
      <c r="L96" s="17">
        <v>1.3838512206478186E-2</v>
      </c>
      <c r="M96" s="27"/>
      <c r="N96" s="49">
        <v>6.8443150971333008E-6</v>
      </c>
      <c r="O96" s="27">
        <v>-1.7558980236605997E-2</v>
      </c>
      <c r="Q96" s="2"/>
      <c r="R96" s="24"/>
      <c r="S96" s="24"/>
      <c r="T96" s="24"/>
    </row>
    <row r="97" spans="1:20" x14ac:dyDescent="0.25">
      <c r="A97" s="2">
        <v>45264</v>
      </c>
      <c r="B97" s="20">
        <v>2792</v>
      </c>
      <c r="C97" s="20">
        <v>617</v>
      </c>
      <c r="D97" s="20">
        <v>14670</v>
      </c>
      <c r="E97" s="17">
        <f t="shared" si="6"/>
        <v>4.3165467625898568E-3</v>
      </c>
      <c r="F97" s="17">
        <f t="shared" si="6"/>
        <v>2.1523178807947074E-2</v>
      </c>
      <c r="G97" s="17">
        <f t="shared" si="6"/>
        <v>8.5940185630801746E-3</v>
      </c>
      <c r="H97" s="14">
        <f t="shared" si="7"/>
        <v>8.5464996660623311E-3</v>
      </c>
      <c r="I97" s="39"/>
      <c r="J97" s="47">
        <f t="shared" si="9"/>
        <v>674</v>
      </c>
      <c r="K97" s="49">
        <f t="shared" si="8"/>
        <v>3.8156480005160339E-3</v>
      </c>
      <c r="L97" s="17">
        <v>6.9133021927401065E-3</v>
      </c>
      <c r="M97" s="27"/>
      <c r="N97" s="49">
        <v>6.0534691889636607E-9</v>
      </c>
      <c r="O97" s="27">
        <v>-1.7482528074385623E-2</v>
      </c>
      <c r="Q97" s="2"/>
      <c r="R97" s="24"/>
      <c r="S97" s="24"/>
      <c r="T97" s="24"/>
    </row>
    <row r="98" spans="1:20" x14ac:dyDescent="0.25">
      <c r="A98" s="2">
        <v>45261</v>
      </c>
      <c r="B98" s="20">
        <v>2780</v>
      </c>
      <c r="C98" s="20">
        <v>604</v>
      </c>
      <c r="D98" s="20">
        <v>14545</v>
      </c>
      <c r="E98" s="17">
        <f t="shared" si="6"/>
        <v>0</v>
      </c>
      <c r="F98" s="17">
        <f t="shared" si="6"/>
        <v>2.3728813559322104E-2</v>
      </c>
      <c r="G98" s="17">
        <f t="shared" si="6"/>
        <v>2.0668274199104886E-3</v>
      </c>
      <c r="H98" s="14">
        <f t="shared" si="7"/>
        <v>2.7210673023333135E-3</v>
      </c>
      <c r="I98" s="39"/>
      <c r="J98" s="47">
        <f t="shared" si="9"/>
        <v>673</v>
      </c>
      <c r="K98" s="49">
        <f t="shared" si="8"/>
        <v>3.7393350405057128E-3</v>
      </c>
      <c r="L98" s="17">
        <v>-4.9422451642527499E-3</v>
      </c>
      <c r="M98" s="27"/>
      <c r="N98" s="49">
        <v>8.3678617477644385E-8</v>
      </c>
      <c r="O98" s="27">
        <v>-1.747437796463544E-2</v>
      </c>
      <c r="Q98" s="2"/>
      <c r="R98" s="24"/>
      <c r="S98" s="24"/>
      <c r="T98" s="24"/>
    </row>
    <row r="99" spans="1:20" x14ac:dyDescent="0.25">
      <c r="A99" s="2">
        <v>45260</v>
      </c>
      <c r="B99" s="20">
        <v>2780</v>
      </c>
      <c r="C99" s="20">
        <v>590</v>
      </c>
      <c r="D99" s="20">
        <v>14515</v>
      </c>
      <c r="E99" s="17">
        <f t="shared" si="6"/>
        <v>0</v>
      </c>
      <c r="F99" s="17">
        <f t="shared" si="6"/>
        <v>-2.1558872305140975E-2</v>
      </c>
      <c r="G99" s="17">
        <f t="shared" si="6"/>
        <v>1.149825783972136E-2</v>
      </c>
      <c r="H99" s="14">
        <f t="shared" si="7"/>
        <v>8.3914101402158756E-3</v>
      </c>
      <c r="I99" s="39"/>
      <c r="J99" s="47">
        <f t="shared" si="9"/>
        <v>672</v>
      </c>
      <c r="K99" s="49">
        <f t="shared" si="8"/>
        <v>3.664548339695599E-3</v>
      </c>
      <c r="L99" s="17">
        <v>3.9604484109882043E-2</v>
      </c>
      <c r="M99" s="27"/>
      <c r="N99" s="49">
        <v>6.5836124803137957E-3</v>
      </c>
      <c r="O99" s="27">
        <v>-1.7412349577502415E-2</v>
      </c>
      <c r="Q99" s="2"/>
      <c r="R99" s="24"/>
      <c r="S99" s="24"/>
      <c r="T99" s="24"/>
    </row>
    <row r="100" spans="1:20" x14ac:dyDescent="0.25">
      <c r="A100" s="2">
        <v>45259</v>
      </c>
      <c r="B100" s="20">
        <v>2780</v>
      </c>
      <c r="C100" s="20">
        <v>603</v>
      </c>
      <c r="D100" s="20">
        <v>14350</v>
      </c>
      <c r="E100" s="17">
        <f t="shared" si="6"/>
        <v>-5.7224606580830173E-3</v>
      </c>
      <c r="F100" s="17">
        <f t="shared" si="6"/>
        <v>-1.6556291390728006E-3</v>
      </c>
      <c r="G100" s="17">
        <f t="shared" si="6"/>
        <v>1.1275546159267069E-2</v>
      </c>
      <c r="H100" s="14">
        <f t="shared" si="7"/>
        <v>8.2614648606790572E-3</v>
      </c>
      <c r="I100" s="39"/>
      <c r="J100" s="47">
        <f t="shared" si="9"/>
        <v>671</v>
      </c>
      <c r="K100" s="49">
        <f t="shared" si="8"/>
        <v>3.5912573729016861E-3</v>
      </c>
      <c r="L100" s="17">
        <v>-1.2863536084572347E-3</v>
      </c>
      <c r="M100" s="27"/>
      <c r="N100" s="49">
        <v>8.7174550345358143E-7</v>
      </c>
      <c r="O100" s="27">
        <v>-1.7384634108224644E-2</v>
      </c>
      <c r="Q100" s="2"/>
      <c r="R100" s="24"/>
      <c r="S100" s="24"/>
      <c r="T100" s="24"/>
    </row>
    <row r="101" spans="1:20" x14ac:dyDescent="0.25">
      <c r="A101" s="2">
        <v>45258</v>
      </c>
      <c r="B101" s="20">
        <v>2796</v>
      </c>
      <c r="C101" s="20">
        <v>604</v>
      </c>
      <c r="D101" s="20">
        <v>14190</v>
      </c>
      <c r="E101" s="17">
        <f t="shared" si="6"/>
        <v>9.3862815884475648E-3</v>
      </c>
      <c r="F101" s="17">
        <f t="shared" si="6"/>
        <v>6.6666666666665986E-3</v>
      </c>
      <c r="G101" s="17">
        <f t="shared" si="6"/>
        <v>4.4918998527246012E-2</v>
      </c>
      <c r="H101" s="14">
        <f t="shared" si="7"/>
        <v>3.812539033500198E-2</v>
      </c>
      <c r="I101" s="39"/>
      <c r="J101" s="47">
        <f t="shared" si="9"/>
        <v>670</v>
      </c>
      <c r="K101" s="49">
        <f t="shared" si="8"/>
        <v>3.5194322254436523E-3</v>
      </c>
      <c r="L101" s="17">
        <v>1.8343484597980849E-2</v>
      </c>
      <c r="M101" s="27"/>
      <c r="N101" s="49">
        <v>4.3837816903070536E-8</v>
      </c>
      <c r="O101" s="27">
        <v>-1.736077278884059E-2</v>
      </c>
      <c r="Q101" s="2"/>
      <c r="R101" s="24"/>
      <c r="S101" s="24"/>
      <c r="T101" s="24"/>
    </row>
    <row r="102" spans="1:20" x14ac:dyDescent="0.25">
      <c r="A102" s="2">
        <v>45257</v>
      </c>
      <c r="B102" s="20">
        <v>2770</v>
      </c>
      <c r="C102" s="20">
        <v>600</v>
      </c>
      <c r="D102" s="20">
        <v>13580</v>
      </c>
      <c r="E102" s="17">
        <f t="shared" si="6"/>
        <v>1.46520146520146E-2</v>
      </c>
      <c r="F102" s="17">
        <f t="shared" si="6"/>
        <v>-1.1532125205930832E-2</v>
      </c>
      <c r="G102" s="17">
        <f t="shared" si="6"/>
        <v>-1.3798111837327487E-2</v>
      </c>
      <c r="H102" s="14">
        <f t="shared" si="7"/>
        <v>-9.6046291255553994E-3</v>
      </c>
      <c r="I102" s="39"/>
      <c r="J102" s="47">
        <f t="shared" si="9"/>
        <v>669</v>
      </c>
      <c r="K102" s="49">
        <f t="shared" si="8"/>
        <v>3.4490435809347796E-3</v>
      </c>
      <c r="L102" s="17">
        <v>-2.5135927568678898E-3</v>
      </c>
      <c r="M102" s="27"/>
      <c r="N102" s="49">
        <v>1.3895433116729696E-3</v>
      </c>
      <c r="O102" s="27">
        <v>-1.7344940280675316E-2</v>
      </c>
      <c r="Q102" s="2"/>
      <c r="R102" s="24"/>
      <c r="S102" s="24"/>
      <c r="T102" s="24"/>
    </row>
    <row r="103" spans="1:20" x14ac:dyDescent="0.25">
      <c r="A103" s="2">
        <v>45254</v>
      </c>
      <c r="B103" s="20">
        <v>2730</v>
      </c>
      <c r="C103" s="20">
        <v>607</v>
      </c>
      <c r="D103" s="20">
        <v>13770</v>
      </c>
      <c r="E103" s="17">
        <f t="shared" si="6"/>
        <v>-6.5502183406113135E-3</v>
      </c>
      <c r="F103" s="17">
        <f t="shared" si="6"/>
        <v>-1.6447368421053099E-3</v>
      </c>
      <c r="G103" s="17">
        <f t="shared" si="6"/>
        <v>-9.3525179856115415E-3</v>
      </c>
      <c r="H103" s="14">
        <f t="shared" si="7"/>
        <v>-8.6106530624584735E-3</v>
      </c>
      <c r="I103" s="39"/>
      <c r="J103" s="47">
        <f t="shared" si="9"/>
        <v>668</v>
      </c>
      <c r="K103" s="49">
        <f t="shared" si="8"/>
        <v>3.3800627093160838E-3</v>
      </c>
      <c r="L103" s="17">
        <v>1.1249768128449186E-2</v>
      </c>
      <c r="M103" s="27"/>
      <c r="N103" s="49">
        <v>1.7006358551646327E-3</v>
      </c>
      <c r="O103" s="27">
        <v>-1.7287036314443827E-2</v>
      </c>
      <c r="Q103" s="2"/>
      <c r="R103" s="24"/>
      <c r="S103" s="24"/>
      <c r="T103" s="24"/>
    </row>
    <row r="104" spans="1:20" x14ac:dyDescent="0.25">
      <c r="A104" s="2">
        <v>45253</v>
      </c>
      <c r="B104" s="20">
        <v>2748</v>
      </c>
      <c r="C104" s="20">
        <v>608</v>
      </c>
      <c r="D104" s="20">
        <v>13900</v>
      </c>
      <c r="E104" s="17">
        <f t="shared" si="6"/>
        <v>-1.5759312320916874E-2</v>
      </c>
      <c r="F104" s="17">
        <f t="shared" si="6"/>
        <v>3.3003300330032292E-3</v>
      </c>
      <c r="G104" s="17">
        <f t="shared" si="6"/>
        <v>-5.0107372942018724E-3</v>
      </c>
      <c r="H104" s="14">
        <f t="shared" si="7"/>
        <v>-6.192320774689614E-3</v>
      </c>
      <c r="I104" s="39"/>
      <c r="J104" s="47">
        <f t="shared" si="9"/>
        <v>667</v>
      </c>
      <c r="K104" s="49">
        <f t="shared" si="8"/>
        <v>3.3124614551297616E-3</v>
      </c>
      <c r="L104" s="17">
        <v>1.1669654380864836E-3</v>
      </c>
      <c r="M104" s="27"/>
      <c r="N104" s="49">
        <v>1.2783198584504973E-8</v>
      </c>
      <c r="O104" s="27">
        <v>-1.7059063840712037E-2</v>
      </c>
      <c r="Q104" s="2"/>
      <c r="R104" s="24"/>
      <c r="S104" s="24"/>
      <c r="T104" s="24"/>
    </row>
    <row r="105" spans="1:20" x14ac:dyDescent="0.25">
      <c r="A105" s="2">
        <v>45252</v>
      </c>
      <c r="B105" s="20">
        <v>2792</v>
      </c>
      <c r="C105" s="20">
        <v>606</v>
      </c>
      <c r="D105" s="20">
        <v>13970</v>
      </c>
      <c r="E105" s="17">
        <f t="shared" si="6"/>
        <v>4.3165467625898568E-3</v>
      </c>
      <c r="F105" s="17">
        <f t="shared" si="6"/>
        <v>-1.6474464579900872E-3</v>
      </c>
      <c r="G105" s="17">
        <f t="shared" si="6"/>
        <v>9.7578604987351714E-3</v>
      </c>
      <c r="H105" s="14">
        <f t="shared" si="7"/>
        <v>8.4738055839184024E-3</v>
      </c>
      <c r="I105" s="39"/>
      <c r="J105" s="47">
        <f t="shared" si="9"/>
        <v>666</v>
      </c>
      <c r="K105" s="49">
        <f t="shared" si="8"/>
        <v>3.2462122260271671E-3</v>
      </c>
      <c r="L105" s="17">
        <v>-6.4406235037365121E-3</v>
      </c>
      <c r="M105" s="27"/>
      <c r="N105" s="49">
        <v>2.0354815292715201E-7</v>
      </c>
      <c r="O105" s="27">
        <v>-1.6972270244704792E-2</v>
      </c>
      <c r="Q105" s="2"/>
      <c r="R105" s="24"/>
      <c r="S105" s="24"/>
      <c r="T105" s="24"/>
    </row>
    <row r="106" spans="1:20" x14ac:dyDescent="0.25">
      <c r="A106" s="2">
        <v>45251</v>
      </c>
      <c r="B106" s="20">
        <v>2780</v>
      </c>
      <c r="C106" s="20">
        <v>607</v>
      </c>
      <c r="D106" s="20">
        <v>13835</v>
      </c>
      <c r="E106" s="17">
        <f t="shared" si="6"/>
        <v>-1.0676156583629859E-2</v>
      </c>
      <c r="F106" s="17">
        <f t="shared" si="6"/>
        <v>-9.7879282218596986E-3</v>
      </c>
      <c r="G106" s="17">
        <f t="shared" si="6"/>
        <v>2.5362318840580489E-3</v>
      </c>
      <c r="H106" s="14">
        <f t="shared" si="7"/>
        <v>9.3563146740964932E-5</v>
      </c>
      <c r="I106" s="39"/>
      <c r="J106" s="47">
        <f t="shared" si="9"/>
        <v>665</v>
      </c>
      <c r="K106" s="49">
        <f t="shared" si="8"/>
        <v>3.181287981506623E-3</v>
      </c>
      <c r="L106" s="17">
        <v>3.4385414386201994E-4</v>
      </c>
      <c r="M106" s="27"/>
      <c r="N106" s="49">
        <v>2.8107523578088422E-8</v>
      </c>
      <c r="O106" s="27">
        <v>-1.6887977031701872E-2</v>
      </c>
      <c r="Q106" s="2"/>
      <c r="R106" s="24"/>
      <c r="S106" s="24"/>
      <c r="T106" s="24"/>
    </row>
    <row r="107" spans="1:20" x14ac:dyDescent="0.25">
      <c r="A107" s="2">
        <v>45250</v>
      </c>
      <c r="B107" s="20">
        <v>2810</v>
      </c>
      <c r="C107" s="20">
        <v>613</v>
      </c>
      <c r="D107" s="20">
        <v>13800</v>
      </c>
      <c r="E107" s="17">
        <f t="shared" si="6"/>
        <v>-7.1123755334279171E-4</v>
      </c>
      <c r="F107" s="17">
        <f t="shared" si="6"/>
        <v>8.2236842105263275E-3</v>
      </c>
      <c r="G107" s="17">
        <f t="shared" si="6"/>
        <v>-5.7636887608069065E-3</v>
      </c>
      <c r="H107" s="14">
        <f t="shared" si="7"/>
        <v>-4.4221554055817259E-3</v>
      </c>
      <c r="I107" s="39"/>
      <c r="J107" s="47">
        <f t="shared" si="9"/>
        <v>664</v>
      </c>
      <c r="K107" s="49">
        <f t="shared" si="8"/>
        <v>3.1176622218764905E-3</v>
      </c>
      <c r="L107" s="17">
        <v>8.5464996660623311E-3</v>
      </c>
      <c r="M107" s="27"/>
      <c r="N107" s="49">
        <v>9.0816536613378443E-6</v>
      </c>
      <c r="O107" s="27">
        <v>-1.68548347742122E-2</v>
      </c>
      <c r="Q107" s="2"/>
      <c r="R107" s="24"/>
      <c r="S107" s="24"/>
      <c r="T107" s="24"/>
    </row>
    <row r="108" spans="1:20" x14ac:dyDescent="0.25">
      <c r="A108" s="2">
        <v>45247</v>
      </c>
      <c r="B108" s="20">
        <v>2812</v>
      </c>
      <c r="C108" s="20">
        <v>608</v>
      </c>
      <c r="D108" s="20">
        <v>13880</v>
      </c>
      <c r="E108" s="17">
        <f t="shared" si="6"/>
        <v>-1.7470300489168422E-2</v>
      </c>
      <c r="F108" s="17">
        <f t="shared" si="6"/>
        <v>-8.1566068515497303E-3</v>
      </c>
      <c r="G108" s="17">
        <f t="shared" si="6"/>
        <v>-2.1567217828900587E-3</v>
      </c>
      <c r="H108" s="14">
        <f t="shared" si="7"/>
        <v>-4.6239110775136297E-3</v>
      </c>
      <c r="I108" s="39"/>
      <c r="J108" s="47">
        <f t="shared" si="9"/>
        <v>663</v>
      </c>
      <c r="K108" s="49">
        <f t="shared" si="8"/>
        <v>3.0553089774389606E-3</v>
      </c>
      <c r="L108" s="17">
        <v>2.7210673023333135E-3</v>
      </c>
      <c r="M108" s="27"/>
      <c r="N108" s="49">
        <v>3.8874079158670291E-6</v>
      </c>
      <c r="O108" s="27">
        <v>-1.6788188773651447E-2</v>
      </c>
      <c r="Q108" s="2"/>
      <c r="R108" s="24"/>
      <c r="S108" s="24"/>
      <c r="T108" s="24"/>
    </row>
    <row r="109" spans="1:20" x14ac:dyDescent="0.25">
      <c r="A109" s="2">
        <v>45246</v>
      </c>
      <c r="B109" s="20">
        <v>2862</v>
      </c>
      <c r="C109" s="20">
        <v>613</v>
      </c>
      <c r="D109" s="20">
        <v>13910</v>
      </c>
      <c r="E109" s="17">
        <f t="shared" si="6"/>
        <v>-4.8678720445062273E-3</v>
      </c>
      <c r="F109" s="17">
        <f t="shared" si="6"/>
        <v>0</v>
      </c>
      <c r="G109" s="17">
        <f t="shared" si="6"/>
        <v>-1.0316613304873656E-2</v>
      </c>
      <c r="H109" s="14">
        <f t="shared" si="7"/>
        <v>-9.0793180233468464E-3</v>
      </c>
      <c r="I109" s="39"/>
      <c r="J109" s="47">
        <f t="shared" si="9"/>
        <v>662</v>
      </c>
      <c r="K109" s="49">
        <f t="shared" si="8"/>
        <v>2.9942027978901811E-3</v>
      </c>
      <c r="L109" s="17">
        <v>8.3914101402158756E-3</v>
      </c>
      <c r="M109" s="27"/>
      <c r="N109" s="49">
        <v>9.4511664784003539E-7</v>
      </c>
      <c r="O109" s="27">
        <v>-1.6759559568246814E-2</v>
      </c>
      <c r="Q109" s="2"/>
      <c r="R109" s="24"/>
      <c r="S109" s="24"/>
      <c r="T109" s="24"/>
    </row>
    <row r="110" spans="1:20" x14ac:dyDescent="0.25">
      <c r="A110" s="2">
        <v>45245</v>
      </c>
      <c r="B110" s="20">
        <v>2876</v>
      </c>
      <c r="C110" s="20">
        <v>613</v>
      </c>
      <c r="D110" s="20">
        <v>14055</v>
      </c>
      <c r="E110" s="17">
        <f t="shared" si="6"/>
        <v>1.2676056338028152E-2</v>
      </c>
      <c r="F110" s="17">
        <f t="shared" si="6"/>
        <v>8.2236842105263275E-3</v>
      </c>
      <c r="G110" s="17">
        <f t="shared" si="6"/>
        <v>2.8540849090259446E-3</v>
      </c>
      <c r="H110" s="14">
        <f t="shared" si="7"/>
        <v>4.5033498955209189E-3</v>
      </c>
      <c r="I110" s="39"/>
      <c r="J110" s="47">
        <f t="shared" si="9"/>
        <v>661</v>
      </c>
      <c r="K110" s="49">
        <f t="shared" si="8"/>
        <v>2.9343187419323775E-3</v>
      </c>
      <c r="L110" s="17">
        <v>8.2614648606790572E-3</v>
      </c>
      <c r="M110" s="27"/>
      <c r="N110" s="49">
        <v>1.0444803948442391E-8</v>
      </c>
      <c r="O110" s="27">
        <v>-1.6683827590395325E-2</v>
      </c>
      <c r="Q110" s="2"/>
      <c r="R110" s="24"/>
      <c r="S110" s="24"/>
      <c r="T110" s="24"/>
    </row>
    <row r="111" spans="1:20" x14ac:dyDescent="0.25">
      <c r="A111" s="2">
        <v>45244</v>
      </c>
      <c r="B111" s="20">
        <v>2840</v>
      </c>
      <c r="C111" s="20">
        <v>608</v>
      </c>
      <c r="D111" s="20">
        <v>14015</v>
      </c>
      <c r="E111" s="17">
        <f t="shared" si="6"/>
        <v>2.1171489061397875E-3</v>
      </c>
      <c r="F111" s="17">
        <f t="shared" si="6"/>
        <v>3.3003300330032292E-3</v>
      </c>
      <c r="G111" s="17">
        <f t="shared" si="6"/>
        <v>1.7053701015965261E-2</v>
      </c>
      <c r="H111" s="14">
        <f t="shared" si="7"/>
        <v>1.4300139505603424E-2</v>
      </c>
      <c r="I111" s="39"/>
      <c r="J111" s="47">
        <f t="shared" si="9"/>
        <v>660</v>
      </c>
      <c r="K111" s="49">
        <f t="shared" si="8"/>
        <v>2.8756323670937299E-3</v>
      </c>
      <c r="L111" s="17">
        <v>3.812539033500198E-2</v>
      </c>
      <c r="M111" s="27"/>
      <c r="N111" s="49">
        <v>2.8741272490943957E-4</v>
      </c>
      <c r="O111" s="27">
        <v>-1.6681146569846785E-2</v>
      </c>
      <c r="Q111" s="2"/>
      <c r="R111" s="24"/>
      <c r="S111" s="24"/>
      <c r="T111" s="24"/>
    </row>
    <row r="112" spans="1:20" x14ac:dyDescent="0.25">
      <c r="A112" s="2">
        <v>45243</v>
      </c>
      <c r="B112" s="20">
        <v>2834</v>
      </c>
      <c r="C112" s="20">
        <v>606</v>
      </c>
      <c r="D112" s="20">
        <v>13780</v>
      </c>
      <c r="E112" s="17">
        <f t="shared" si="6"/>
        <v>-3.5161744022503827E-3</v>
      </c>
      <c r="F112" s="17">
        <f t="shared" si="6"/>
        <v>0</v>
      </c>
      <c r="G112" s="17">
        <f t="shared" si="6"/>
        <v>-1.1832197920401577E-2</v>
      </c>
      <c r="H112" s="14">
        <f t="shared" si="7"/>
        <v>-1.0115722125508221E-2</v>
      </c>
      <c r="I112" s="39"/>
      <c r="J112" s="47">
        <f t="shared" si="9"/>
        <v>659</v>
      </c>
      <c r="K112" s="49">
        <f t="shared" si="8"/>
        <v>2.8181197197518558E-3</v>
      </c>
      <c r="L112" s="17">
        <v>-9.6046291255553994E-3</v>
      </c>
      <c r="M112" s="27"/>
      <c r="N112" s="49">
        <v>8.3766281773654486E-6</v>
      </c>
      <c r="O112" s="27">
        <v>-1.6641435477021321E-2</v>
      </c>
      <c r="Q112" s="2"/>
      <c r="R112" s="24"/>
      <c r="S112" s="24"/>
      <c r="T112" s="24"/>
    </row>
    <row r="113" spans="1:20" x14ac:dyDescent="0.25">
      <c r="A113" s="2">
        <v>45240</v>
      </c>
      <c r="B113" s="20">
        <v>2844</v>
      </c>
      <c r="C113" s="20">
        <v>606</v>
      </c>
      <c r="D113" s="20">
        <v>13945</v>
      </c>
      <c r="E113" s="17">
        <f t="shared" si="6"/>
        <v>-4.2016806722688926E-3</v>
      </c>
      <c r="F113" s="17">
        <f t="shared" si="6"/>
        <v>-1.3029315960912058E-2</v>
      </c>
      <c r="G113" s="17">
        <f t="shared" si="6"/>
        <v>1.4181818181818073E-2</v>
      </c>
      <c r="H113" s="14">
        <f t="shared" si="7"/>
        <v>1.0341019962971177E-2</v>
      </c>
      <c r="I113" s="39"/>
      <c r="J113" s="47">
        <f t="shared" si="9"/>
        <v>658</v>
      </c>
      <c r="K113" s="49">
        <f t="shared" si="8"/>
        <v>2.7617573253568184E-3</v>
      </c>
      <c r="L113" s="17">
        <v>-8.6106530624584735E-3</v>
      </c>
      <c r="M113" s="27"/>
      <c r="N113" s="49">
        <v>2.297791992392855E-7</v>
      </c>
      <c r="O113" s="27">
        <v>-1.6427769427726016E-2</v>
      </c>
      <c r="Q113" s="2"/>
      <c r="R113" s="24"/>
      <c r="S113" s="24"/>
      <c r="T113" s="24"/>
    </row>
    <row r="114" spans="1:20" x14ac:dyDescent="0.25">
      <c r="A114" s="2">
        <v>45239</v>
      </c>
      <c r="B114" s="20">
        <v>2856</v>
      </c>
      <c r="C114" s="20">
        <v>614</v>
      </c>
      <c r="D114" s="20">
        <v>13750</v>
      </c>
      <c r="E114" s="17">
        <f t="shared" si="6"/>
        <v>-6.2630480167014113E-3</v>
      </c>
      <c r="F114" s="17">
        <f t="shared" si="6"/>
        <v>1.1532125205930832E-2</v>
      </c>
      <c r="G114" s="17">
        <f t="shared" si="6"/>
        <v>1.4566642388929019E-3</v>
      </c>
      <c r="H114" s="14">
        <f t="shared" si="7"/>
        <v>7.8844314963355782E-4</v>
      </c>
      <c r="I114" s="39"/>
      <c r="J114" s="47">
        <f t="shared" si="9"/>
        <v>657</v>
      </c>
      <c r="K114" s="49">
        <f t="shared" si="8"/>
        <v>2.7065221788496814E-3</v>
      </c>
      <c r="L114" s="17">
        <v>-6.192320774689614E-3</v>
      </c>
      <c r="M114" s="27"/>
      <c r="N114" s="49">
        <v>1.8784465396377707E-6</v>
      </c>
      <c r="O114" s="27">
        <v>-1.59018614787866E-2</v>
      </c>
      <c r="Q114" s="2"/>
      <c r="R114" s="24"/>
      <c r="S114" s="24"/>
      <c r="T114" s="24"/>
    </row>
    <row r="115" spans="1:20" x14ac:dyDescent="0.25">
      <c r="A115" s="2">
        <v>45238</v>
      </c>
      <c r="B115" s="20">
        <v>2874</v>
      </c>
      <c r="C115" s="20">
        <v>607</v>
      </c>
      <c r="D115" s="20">
        <v>13730</v>
      </c>
      <c r="E115" s="17">
        <f t="shared" si="6"/>
        <v>-1.7099863201094356E-2</v>
      </c>
      <c r="F115" s="17">
        <f t="shared" si="6"/>
        <v>-4.9180327868852958E-3</v>
      </c>
      <c r="G115" s="17">
        <f t="shared" si="6"/>
        <v>2.1897810218978186E-3</v>
      </c>
      <c r="H115" s="14">
        <f t="shared" si="7"/>
        <v>-8.9823202833015127E-4</v>
      </c>
      <c r="I115" s="39"/>
      <c r="J115" s="47">
        <f t="shared" si="9"/>
        <v>656</v>
      </c>
      <c r="K115" s="49">
        <f t="shared" si="8"/>
        <v>2.6523917352726874E-3</v>
      </c>
      <c r="L115" s="17">
        <v>8.4738055839184024E-3</v>
      </c>
      <c r="M115" s="27"/>
      <c r="N115" s="49">
        <v>4.6650124217432905E-5</v>
      </c>
      <c r="O115" s="27">
        <v>-1.580493122939498E-2</v>
      </c>
      <c r="Q115" s="2"/>
      <c r="R115" s="24"/>
      <c r="S115" s="24"/>
      <c r="T115" s="24"/>
    </row>
    <row r="116" spans="1:20" x14ac:dyDescent="0.25">
      <c r="A116" s="2">
        <v>45237</v>
      </c>
      <c r="B116" s="20">
        <v>2924</v>
      </c>
      <c r="C116" s="20">
        <v>610</v>
      </c>
      <c r="D116" s="20">
        <v>13700</v>
      </c>
      <c r="E116" s="17">
        <f t="shared" si="6"/>
        <v>3.4317089910775866E-3</v>
      </c>
      <c r="F116" s="17">
        <f t="shared" si="6"/>
        <v>8.2644628099173278E-3</v>
      </c>
      <c r="G116" s="17">
        <f t="shared" si="6"/>
        <v>-3.2739177882866732E-3</v>
      </c>
      <c r="H116" s="14">
        <f t="shared" si="7"/>
        <v>-1.8020838060488998E-3</v>
      </c>
      <c r="I116" s="39"/>
      <c r="J116" s="47">
        <f t="shared" si="9"/>
        <v>655</v>
      </c>
      <c r="K116" s="49">
        <f t="shared" si="8"/>
        <v>2.5993439005672337E-3</v>
      </c>
      <c r="L116" s="17">
        <v>9.3563146740964932E-5</v>
      </c>
      <c r="M116" s="27"/>
      <c r="N116" s="49">
        <v>1.1579222477652039E-4</v>
      </c>
      <c r="O116" s="27">
        <v>-1.5768157530214249E-2</v>
      </c>
      <c r="Q116" s="2"/>
      <c r="R116" s="24"/>
      <c r="S116" s="24"/>
      <c r="T116" s="24"/>
    </row>
    <row r="117" spans="1:20" x14ac:dyDescent="0.25">
      <c r="A117" s="2">
        <v>45236</v>
      </c>
      <c r="B117" s="20">
        <v>2914</v>
      </c>
      <c r="C117" s="20">
        <v>605</v>
      </c>
      <c r="D117" s="20">
        <v>13745</v>
      </c>
      <c r="E117" s="17">
        <f t="shared" si="6"/>
        <v>4.8275862068964948E-3</v>
      </c>
      <c r="F117" s="17">
        <f t="shared" si="6"/>
        <v>2.7164685908319219E-2</v>
      </c>
      <c r="G117" s="17">
        <f t="shared" si="6"/>
        <v>-1.4529604068289625E-3</v>
      </c>
      <c r="H117" s="14">
        <f t="shared" si="7"/>
        <v>7.0803071510449635E-4</v>
      </c>
      <c r="I117" s="39"/>
      <c r="J117" s="47">
        <f t="shared" si="9"/>
        <v>654</v>
      </c>
      <c r="K117" s="49">
        <f t="shared" si="8"/>
        <v>2.5473570225558891E-3</v>
      </c>
      <c r="L117" s="17">
        <v>-4.4221554055817259E-3</v>
      </c>
      <c r="M117" s="27"/>
      <c r="N117" s="49">
        <v>1.3338189045479032E-4</v>
      </c>
      <c r="O117" s="27">
        <v>-1.561253121985331E-2</v>
      </c>
      <c r="Q117" s="2"/>
      <c r="R117" s="24"/>
      <c r="S117" s="24"/>
      <c r="T117" s="24"/>
    </row>
    <row r="118" spans="1:20" x14ac:dyDescent="0.25">
      <c r="A118" s="2">
        <v>45233</v>
      </c>
      <c r="B118" s="20">
        <v>2900</v>
      </c>
      <c r="C118" s="20">
        <v>589</v>
      </c>
      <c r="D118" s="20">
        <v>13765</v>
      </c>
      <c r="E118" s="17">
        <f t="shared" si="6"/>
        <v>2.7662517289073207E-3</v>
      </c>
      <c r="F118" s="17">
        <f t="shared" si="6"/>
        <v>5.3667262969588458E-2</v>
      </c>
      <c r="G118" s="17">
        <f t="shared" si="6"/>
        <v>1.5867158671586612E-2</v>
      </c>
      <c r="H118" s="14">
        <f t="shared" si="7"/>
        <v>1.5642589042571806E-2</v>
      </c>
      <c r="I118" s="39"/>
      <c r="J118" s="47">
        <f t="shared" si="9"/>
        <v>653</v>
      </c>
      <c r="K118" s="49">
        <f t="shared" si="8"/>
        <v>2.4964098821047714E-3</v>
      </c>
      <c r="L118" s="17">
        <v>-4.6239110775136297E-3</v>
      </c>
      <c r="M118" s="27"/>
      <c r="N118" s="49">
        <v>7.1153412034685957E-9</v>
      </c>
      <c r="O118" s="27">
        <v>-1.5519336914903172E-2</v>
      </c>
      <c r="Q118" s="2"/>
      <c r="R118" s="24"/>
      <c r="S118" s="24"/>
      <c r="T118" s="24"/>
    </row>
    <row r="119" spans="1:20" x14ac:dyDescent="0.25">
      <c r="A119" s="2">
        <v>45232</v>
      </c>
      <c r="B119" s="20">
        <v>2892</v>
      </c>
      <c r="C119" s="20">
        <v>559</v>
      </c>
      <c r="D119" s="20">
        <v>13550</v>
      </c>
      <c r="E119" s="17">
        <f t="shared" si="6"/>
        <v>5.5632823365785455E-3</v>
      </c>
      <c r="F119" s="17">
        <f t="shared" si="6"/>
        <v>-5.3380782918149849E-3</v>
      </c>
      <c r="G119" s="17">
        <f t="shared" si="6"/>
        <v>7.4349442379182396E-3</v>
      </c>
      <c r="H119" s="14">
        <f t="shared" si="7"/>
        <v>6.6044708155872768E-3</v>
      </c>
      <c r="I119" s="39"/>
      <c r="J119" s="47">
        <f t="shared" si="9"/>
        <v>652</v>
      </c>
      <c r="K119" s="49">
        <f t="shared" si="8"/>
        <v>2.4464816844626757E-3</v>
      </c>
      <c r="L119" s="17">
        <v>-9.0793180233468464E-3</v>
      </c>
      <c r="M119" s="27"/>
      <c r="N119" s="49">
        <v>3.1111401548787154E-7</v>
      </c>
      <c r="O119" s="27">
        <v>-1.5458750633583308E-2</v>
      </c>
      <c r="Q119" s="2"/>
      <c r="R119" s="24"/>
      <c r="S119" s="24"/>
      <c r="T119" s="24"/>
    </row>
    <row r="120" spans="1:20" x14ac:dyDescent="0.25">
      <c r="A120" s="2">
        <v>45230</v>
      </c>
      <c r="B120" s="20">
        <v>2876</v>
      </c>
      <c r="C120" s="20">
        <v>562</v>
      </c>
      <c r="D120" s="20">
        <v>13450</v>
      </c>
      <c r="E120" s="17">
        <f t="shared" si="6"/>
        <v>-6.906077348066253E-3</v>
      </c>
      <c r="F120" s="17">
        <f t="shared" si="6"/>
        <v>7.1684587813620748E-3</v>
      </c>
      <c r="G120" s="17">
        <f t="shared" si="6"/>
        <v>-9.9374309900626123E-3</v>
      </c>
      <c r="H120" s="14">
        <f t="shared" si="7"/>
        <v>-8.7497282041435875E-3</v>
      </c>
      <c r="I120" s="39"/>
      <c r="J120" s="47">
        <f t="shared" si="9"/>
        <v>651</v>
      </c>
      <c r="K120" s="49">
        <f t="shared" si="8"/>
        <v>2.3975520507734222E-3</v>
      </c>
      <c r="L120" s="17">
        <v>4.5033498955209189E-3</v>
      </c>
      <c r="M120" s="27"/>
      <c r="N120" s="49">
        <v>4.3883742749759563E-6</v>
      </c>
      <c r="O120" s="27">
        <v>-1.5407496826441103E-2</v>
      </c>
      <c r="Q120" s="2"/>
      <c r="R120" s="24"/>
      <c r="S120" s="24"/>
      <c r="T120" s="24"/>
    </row>
    <row r="121" spans="1:20" x14ac:dyDescent="0.25">
      <c r="A121" s="2">
        <v>45229</v>
      </c>
      <c r="B121" s="20">
        <v>2896</v>
      </c>
      <c r="C121" s="20">
        <v>558</v>
      </c>
      <c r="D121" s="20">
        <v>13585</v>
      </c>
      <c r="E121" s="17">
        <f t="shared" si="6"/>
        <v>7.6548364648574285E-3</v>
      </c>
      <c r="F121" s="17">
        <f t="shared" si="6"/>
        <v>-1.7889087656529634E-3</v>
      </c>
      <c r="G121" s="17">
        <f t="shared" si="6"/>
        <v>4.0650406504065817E-3</v>
      </c>
      <c r="H121" s="14">
        <f t="shared" si="7"/>
        <v>4.3244317972133987E-3</v>
      </c>
      <c r="I121" s="39"/>
      <c r="J121" s="47">
        <f t="shared" si="9"/>
        <v>650</v>
      </c>
      <c r="K121" s="49">
        <f t="shared" si="8"/>
        <v>2.3496010097579538E-3</v>
      </c>
      <c r="L121" s="17">
        <v>1.4300139505603424E-2</v>
      </c>
      <c r="M121" s="27"/>
      <c r="N121" s="49">
        <v>1.3317256213958782E-7</v>
      </c>
      <c r="O121" s="27">
        <v>-1.5340726096057446E-2</v>
      </c>
      <c r="Q121" s="2"/>
      <c r="R121" s="24"/>
      <c r="S121" s="24"/>
      <c r="T121" s="24"/>
    </row>
    <row r="122" spans="1:20" x14ac:dyDescent="0.25">
      <c r="A122" s="2">
        <v>45226</v>
      </c>
      <c r="B122" s="20">
        <v>2874</v>
      </c>
      <c r="C122" s="20">
        <v>559</v>
      </c>
      <c r="D122" s="20">
        <v>13530</v>
      </c>
      <c r="E122" s="17">
        <f t="shared" si="6"/>
        <v>-2.7758501040944239E-3</v>
      </c>
      <c r="F122" s="17">
        <f t="shared" si="6"/>
        <v>-1.9298245614035037E-2</v>
      </c>
      <c r="G122" s="17">
        <f t="shared" si="6"/>
        <v>-5.1470588235293935E-3</v>
      </c>
      <c r="H122" s="14">
        <f t="shared" si="7"/>
        <v>-5.4275345412666872E-3</v>
      </c>
      <c r="I122" s="39"/>
      <c r="J122" s="47">
        <f t="shared" si="9"/>
        <v>649</v>
      </c>
      <c r="K122" s="49">
        <f t="shared" si="8"/>
        <v>2.3026089895627948E-3</v>
      </c>
      <c r="L122" s="17">
        <v>-1.0115722125508221E-2</v>
      </c>
      <c r="M122" s="27"/>
      <c r="N122" s="49">
        <v>8.8953622801385866E-7</v>
      </c>
      <c r="O122" s="27">
        <v>-1.499330539018694E-2</v>
      </c>
      <c r="Q122" s="2"/>
      <c r="R122" s="24"/>
      <c r="S122" s="24"/>
      <c r="T122" s="24"/>
    </row>
    <row r="123" spans="1:20" x14ac:dyDescent="0.25">
      <c r="A123" s="2">
        <v>45225</v>
      </c>
      <c r="B123" s="20">
        <v>2882</v>
      </c>
      <c r="C123" s="20">
        <v>570</v>
      </c>
      <c r="D123" s="20">
        <v>13600</v>
      </c>
      <c r="E123" s="17">
        <f t="shared" si="6"/>
        <v>4.1811846689896459E-3</v>
      </c>
      <c r="F123" s="17">
        <f t="shared" si="6"/>
        <v>3.5211267605634866E-3</v>
      </c>
      <c r="G123" s="17">
        <f t="shared" si="6"/>
        <v>-7.2992700729926918E-3</v>
      </c>
      <c r="H123" s="14">
        <f t="shared" si="7"/>
        <v>-5.1718874455888011E-3</v>
      </c>
      <c r="I123" s="39"/>
      <c r="J123" s="47">
        <f t="shared" si="9"/>
        <v>648</v>
      </c>
      <c r="K123" s="49">
        <f t="shared" si="8"/>
        <v>2.2565568097715387E-3</v>
      </c>
      <c r="L123" s="17">
        <v>1.0341019962971177E-2</v>
      </c>
      <c r="M123" s="27"/>
      <c r="N123" s="49">
        <v>1.068589917523144E-3</v>
      </c>
      <c r="O123" s="27">
        <v>-1.4927037963666288E-2</v>
      </c>
      <c r="Q123" s="2"/>
      <c r="R123" s="24"/>
      <c r="S123" s="24"/>
      <c r="T123" s="24"/>
    </row>
    <row r="124" spans="1:20" x14ac:dyDescent="0.25">
      <c r="A124" s="2">
        <v>45224</v>
      </c>
      <c r="B124" s="20">
        <v>2870</v>
      </c>
      <c r="C124" s="20">
        <v>568</v>
      </c>
      <c r="D124" s="20">
        <v>13700</v>
      </c>
      <c r="E124" s="17">
        <f t="shared" si="6"/>
        <v>6.9735006973492553E-4</v>
      </c>
      <c r="F124" s="17">
        <f t="shared" si="6"/>
        <v>3.5335689045936647E-3</v>
      </c>
      <c r="G124" s="17">
        <f t="shared" si="6"/>
        <v>3.3962264150943389E-2</v>
      </c>
      <c r="H124" s="14">
        <f t="shared" si="7"/>
        <v>2.7838697298016149E-2</v>
      </c>
      <c r="I124" s="39"/>
      <c r="J124" s="47">
        <f t="shared" si="9"/>
        <v>647</v>
      </c>
      <c r="K124" s="49">
        <f t="shared" si="8"/>
        <v>2.2114256735761076E-3</v>
      </c>
      <c r="L124" s="17">
        <v>7.8844314963355782E-4</v>
      </c>
      <c r="M124" s="27"/>
      <c r="N124" s="49">
        <v>3.3729917074313535E-7</v>
      </c>
      <c r="O124" s="27">
        <v>-1.4893495206729586E-2</v>
      </c>
      <c r="Q124" s="2"/>
      <c r="R124" s="24"/>
      <c r="S124" s="24"/>
      <c r="T124" s="24"/>
    </row>
    <row r="125" spans="1:20" x14ac:dyDescent="0.25">
      <c r="A125" s="2">
        <v>45223</v>
      </c>
      <c r="B125" s="20">
        <v>2868</v>
      </c>
      <c r="C125" s="20">
        <v>566</v>
      </c>
      <c r="D125" s="20">
        <v>13250</v>
      </c>
      <c r="E125" s="17">
        <f t="shared" si="6"/>
        <v>-1.1034482758620734E-2</v>
      </c>
      <c r="F125" s="17">
        <f t="shared" si="6"/>
        <v>-7.0175438596491446E-3</v>
      </c>
      <c r="G125" s="17">
        <f t="shared" si="6"/>
        <v>2.2692889561271024E-3</v>
      </c>
      <c r="H125" s="14">
        <f t="shared" si="7"/>
        <v>-5.30939682872576E-5</v>
      </c>
      <c r="I125" s="39"/>
      <c r="J125" s="47">
        <f t="shared" si="9"/>
        <v>646</v>
      </c>
      <c r="K125" s="49">
        <f t="shared" si="8"/>
        <v>2.1671971601045859E-3</v>
      </c>
      <c r="L125" s="17">
        <v>-8.9823202833015127E-4</v>
      </c>
      <c r="M125" s="27"/>
      <c r="N125" s="49">
        <v>2.6454576331508196E-8</v>
      </c>
      <c r="O125" s="27">
        <v>-1.4783907054142533E-2</v>
      </c>
      <c r="Q125" s="2"/>
      <c r="R125" s="24"/>
      <c r="S125" s="24"/>
      <c r="T125" s="24"/>
    </row>
    <row r="126" spans="1:20" x14ac:dyDescent="0.25">
      <c r="A126" s="2">
        <v>45219</v>
      </c>
      <c r="B126" s="20">
        <v>2900</v>
      </c>
      <c r="C126" s="20">
        <v>570</v>
      </c>
      <c r="D126" s="20">
        <v>13220</v>
      </c>
      <c r="E126" s="17">
        <f t="shared" si="6"/>
        <v>2.7662517289073207E-3</v>
      </c>
      <c r="F126" s="17">
        <f t="shared" si="6"/>
        <v>-1.8932874354561147E-2</v>
      </c>
      <c r="G126" s="17">
        <f t="shared" si="6"/>
        <v>-9.7378277153558068E-3</v>
      </c>
      <c r="H126" s="14">
        <f t="shared" si="7"/>
        <v>-8.3424645419471581E-3</v>
      </c>
      <c r="I126" s="39"/>
      <c r="J126" s="47">
        <f t="shared" si="9"/>
        <v>645</v>
      </c>
      <c r="K126" s="49">
        <f t="shared" si="8"/>
        <v>2.123853216902494E-3</v>
      </c>
      <c r="L126" s="17">
        <v>-1.8020838060488998E-3</v>
      </c>
      <c r="M126" s="27"/>
      <c r="N126" s="49">
        <v>1.1561050152126162E-7</v>
      </c>
      <c r="O126" s="27">
        <v>-1.4308559943803896E-2</v>
      </c>
      <c r="Q126" s="2"/>
      <c r="R126" s="24"/>
      <c r="S126" s="24"/>
      <c r="T126" s="24"/>
    </row>
    <row r="127" spans="1:20" x14ac:dyDescent="0.25">
      <c r="A127" s="2">
        <v>45218</v>
      </c>
      <c r="B127" s="20">
        <v>2892</v>
      </c>
      <c r="C127" s="20">
        <v>581</v>
      </c>
      <c r="D127" s="20">
        <v>13350</v>
      </c>
      <c r="E127" s="17">
        <f t="shared" si="6"/>
        <v>-2.0703933747412417E-3</v>
      </c>
      <c r="F127" s="17">
        <f t="shared" si="6"/>
        <v>-1.358234295415961E-2</v>
      </c>
      <c r="G127" s="17">
        <f t="shared" si="6"/>
        <v>-2.0183486238532056E-2</v>
      </c>
      <c r="H127" s="14">
        <f t="shared" si="7"/>
        <v>-1.7287036314443827E-2</v>
      </c>
      <c r="I127" s="39"/>
      <c r="J127" s="47">
        <f t="shared" si="9"/>
        <v>644</v>
      </c>
      <c r="K127" s="49">
        <f t="shared" si="8"/>
        <v>2.081376152564444E-3</v>
      </c>
      <c r="L127" s="17">
        <v>7.0803071510449635E-4</v>
      </c>
      <c r="M127" s="27"/>
      <c r="N127" s="49">
        <v>8.7128922821370675E-8</v>
      </c>
      <c r="O127" s="27">
        <v>-1.4098794828762501E-2</v>
      </c>
      <c r="Q127" s="2"/>
      <c r="R127" s="24"/>
      <c r="S127" s="24"/>
      <c r="T127" s="24"/>
    </row>
    <row r="128" spans="1:20" x14ac:dyDescent="0.25">
      <c r="A128" s="2">
        <v>45217</v>
      </c>
      <c r="B128" s="20">
        <v>2898</v>
      </c>
      <c r="C128" s="20">
        <v>589</v>
      </c>
      <c r="D128" s="20">
        <v>13625</v>
      </c>
      <c r="E128" s="17">
        <f t="shared" si="6"/>
        <v>-1.0921501706484649E-2</v>
      </c>
      <c r="F128" s="17">
        <f t="shared" si="6"/>
        <v>1.3769363166953541E-2</v>
      </c>
      <c r="G128" s="17">
        <f t="shared" si="6"/>
        <v>2.944423997055523E-3</v>
      </c>
      <c r="H128" s="14">
        <f t="shared" si="7"/>
        <v>1.4246974182188453E-3</v>
      </c>
      <c r="I128" s="39"/>
      <c r="J128" s="47">
        <f t="shared" si="9"/>
        <v>643</v>
      </c>
      <c r="K128" s="49">
        <f t="shared" si="8"/>
        <v>2.0397486295131552E-3</v>
      </c>
      <c r="L128" s="17">
        <v>1.5642589042571806E-2</v>
      </c>
      <c r="M128" s="27"/>
      <c r="N128" s="49">
        <v>1.8389510670885574E-8</v>
      </c>
      <c r="O128" s="27">
        <v>-1.3977111833119348E-2</v>
      </c>
      <c r="Q128" s="2"/>
      <c r="R128" s="24"/>
      <c r="S128" s="24"/>
      <c r="T128" s="24"/>
    </row>
    <row r="129" spans="1:20" x14ac:dyDescent="0.25">
      <c r="A129" s="2">
        <v>45216</v>
      </c>
      <c r="B129" s="20">
        <v>2930</v>
      </c>
      <c r="C129" s="20">
        <v>581</v>
      </c>
      <c r="D129" s="20">
        <v>13585</v>
      </c>
      <c r="E129" s="17">
        <f t="shared" si="6"/>
        <v>3.0964109781843829E-2</v>
      </c>
      <c r="F129" s="17">
        <f t="shared" si="6"/>
        <v>-3.4305317324184736E-3</v>
      </c>
      <c r="G129" s="17">
        <f t="shared" si="6"/>
        <v>2.5830258302583786E-3</v>
      </c>
      <c r="H129" s="14">
        <f t="shared" si="7"/>
        <v>6.4028368304489738E-3</v>
      </c>
      <c r="I129" s="39"/>
      <c r="J129" s="47">
        <f t="shared" si="9"/>
        <v>642</v>
      </c>
      <c r="K129" s="49">
        <f t="shared" si="8"/>
        <v>1.9989536569228919E-3</v>
      </c>
      <c r="L129" s="17">
        <v>6.6044708155872768E-3</v>
      </c>
      <c r="M129" s="27"/>
      <c r="N129" s="49">
        <v>3.7373778569173613E-4</v>
      </c>
      <c r="O129" s="27">
        <v>-1.3771348531812406E-2</v>
      </c>
      <c r="Q129" s="2"/>
      <c r="R129" s="24"/>
      <c r="S129" s="24"/>
      <c r="T129" s="24"/>
    </row>
    <row r="130" spans="1:20" x14ac:dyDescent="0.25">
      <c r="A130" s="2">
        <v>45215</v>
      </c>
      <c r="B130" s="20">
        <v>2842</v>
      </c>
      <c r="C130" s="20">
        <v>583</v>
      </c>
      <c r="D130" s="20">
        <v>13550</v>
      </c>
      <c r="E130" s="17">
        <f t="shared" si="6"/>
        <v>1.4999999999999902E-2</v>
      </c>
      <c r="F130" s="17">
        <f t="shared" si="6"/>
        <v>-3.4188034188034067E-3</v>
      </c>
      <c r="G130" s="17">
        <f t="shared" si="6"/>
        <v>7.8095946448493159E-3</v>
      </c>
      <c r="H130" s="14">
        <f t="shared" si="7"/>
        <v>8.3509984261361594E-3</v>
      </c>
      <c r="I130" s="39"/>
      <c r="J130" s="47">
        <f t="shared" si="9"/>
        <v>641</v>
      </c>
      <c r="K130" s="49">
        <f t="shared" si="8"/>
        <v>1.958974583784434E-3</v>
      </c>
      <c r="L130" s="17">
        <v>-8.7497282041435875E-3</v>
      </c>
      <c r="M130" s="27"/>
      <c r="N130" s="49">
        <v>2.2518361525449978E-7</v>
      </c>
      <c r="O130" s="27">
        <v>-1.3686974816737319E-2</v>
      </c>
      <c r="Q130" s="2"/>
      <c r="R130" s="24"/>
      <c r="S130" s="24"/>
      <c r="T130" s="24"/>
    </row>
    <row r="131" spans="1:20" x14ac:dyDescent="0.25">
      <c r="A131" s="2">
        <v>45212</v>
      </c>
      <c r="B131" s="20">
        <v>2800</v>
      </c>
      <c r="C131" s="20">
        <v>585</v>
      </c>
      <c r="D131" s="20">
        <v>13445</v>
      </c>
      <c r="E131" s="17">
        <f t="shared" si="6"/>
        <v>1.2292118582791112E-2</v>
      </c>
      <c r="F131" s="17">
        <f t="shared" si="6"/>
        <v>0</v>
      </c>
      <c r="G131" s="17">
        <f t="shared" si="6"/>
        <v>-7.7490774907749138E-3</v>
      </c>
      <c r="H131" s="14">
        <f t="shared" si="7"/>
        <v>-4.5247452094262751E-3</v>
      </c>
      <c r="I131" s="39"/>
      <c r="J131" s="47">
        <f t="shared" si="9"/>
        <v>640</v>
      </c>
      <c r="K131" s="49">
        <f t="shared" si="8"/>
        <v>1.9197950921087455E-3</v>
      </c>
      <c r="L131" s="17">
        <v>4.3244317972133987E-3</v>
      </c>
      <c r="M131" s="27"/>
      <c r="N131" s="49">
        <v>5.054999659512131E-6</v>
      </c>
      <c r="O131" s="27">
        <v>-1.3614361827890494E-2</v>
      </c>
      <c r="Q131" s="2"/>
      <c r="R131" s="24"/>
      <c r="S131" s="24"/>
      <c r="T131" s="24"/>
    </row>
    <row r="132" spans="1:20" x14ac:dyDescent="0.25">
      <c r="A132" s="2">
        <v>45211</v>
      </c>
      <c r="B132" s="20">
        <v>2766</v>
      </c>
      <c r="C132" s="20">
        <v>585</v>
      </c>
      <c r="D132" s="20">
        <v>13550</v>
      </c>
      <c r="E132" s="17">
        <f t="shared" si="6"/>
        <v>-5.0359712230215736E-3</v>
      </c>
      <c r="F132" s="17">
        <f t="shared" si="6"/>
        <v>5.1546391752577136E-3</v>
      </c>
      <c r="G132" s="17">
        <f t="shared" si="6"/>
        <v>1.1082379017361976E-3</v>
      </c>
      <c r="H132" s="14">
        <f t="shared" si="7"/>
        <v>4.0186111693695837E-4</v>
      </c>
      <c r="I132" s="39"/>
      <c r="J132" s="47">
        <f t="shared" si="9"/>
        <v>639</v>
      </c>
      <c r="K132" s="49">
        <f t="shared" si="8"/>
        <v>1.8813991902665703E-3</v>
      </c>
      <c r="L132" s="17">
        <v>-5.4275345412666872E-3</v>
      </c>
      <c r="M132" s="27"/>
      <c r="N132" s="49">
        <v>3.7295593611843163E-8</v>
      </c>
      <c r="O132" s="27">
        <v>-1.3525684829783219E-2</v>
      </c>
      <c r="Q132" s="2"/>
      <c r="R132" s="24"/>
      <c r="S132" s="24"/>
      <c r="T132" s="24"/>
    </row>
    <row r="133" spans="1:20" x14ac:dyDescent="0.25">
      <c r="A133" s="2">
        <v>45210</v>
      </c>
      <c r="B133" s="20">
        <v>2780</v>
      </c>
      <c r="C133" s="20">
        <v>582</v>
      </c>
      <c r="D133" s="20">
        <v>13535</v>
      </c>
      <c r="E133" s="17">
        <f t="shared" si="6"/>
        <v>-7.1428571428571175E-3</v>
      </c>
      <c r="F133" s="17">
        <f t="shared" si="6"/>
        <v>-1.3559322033898313E-2</v>
      </c>
      <c r="G133" s="17">
        <f t="shared" si="6"/>
        <v>1.0074626865671732E-2</v>
      </c>
      <c r="H133" s="14">
        <f t="shared" si="7"/>
        <v>6.5587693066513526E-3</v>
      </c>
      <c r="I133" s="39"/>
      <c r="J133" s="47">
        <f t="shared" si="9"/>
        <v>638</v>
      </c>
      <c r="K133" s="49">
        <f t="shared" si="8"/>
        <v>1.8437712064612391E-3</v>
      </c>
      <c r="L133" s="17">
        <v>-5.1718874455888011E-3</v>
      </c>
      <c r="M133" s="27"/>
      <c r="N133" s="49">
        <v>4.0540591085729948E-3</v>
      </c>
      <c r="O133" s="27">
        <v>-1.3395632389344403E-2</v>
      </c>
      <c r="Q133" s="2"/>
      <c r="R133" s="24"/>
      <c r="S133" s="24"/>
      <c r="T133" s="24"/>
    </row>
    <row r="134" spans="1:20" x14ac:dyDescent="0.25">
      <c r="A134" s="2">
        <v>45209</v>
      </c>
      <c r="B134" s="20">
        <v>2800</v>
      </c>
      <c r="C134" s="20">
        <v>590</v>
      </c>
      <c r="D134" s="20">
        <v>13400</v>
      </c>
      <c r="E134" s="17">
        <f t="shared" ref="E134:G197" si="10">+B134/B135-1</f>
        <v>9.3727469358326765E-3</v>
      </c>
      <c r="F134" s="17">
        <f t="shared" si="10"/>
        <v>2.7874564459930307E-2</v>
      </c>
      <c r="G134" s="17">
        <f t="shared" si="10"/>
        <v>2.0563594821020548E-2</v>
      </c>
      <c r="H134" s="14">
        <f t="shared" ref="H134:H197" si="11">+SUMPRODUCT(E134:G134,$K$9:$M$9)</f>
        <v>1.9274432644139975E-2</v>
      </c>
      <c r="I134" s="39"/>
      <c r="J134" s="47">
        <f t="shared" si="9"/>
        <v>637</v>
      </c>
      <c r="K134" s="49">
        <f t="shared" si="8"/>
        <v>1.806895782332014E-3</v>
      </c>
      <c r="L134" s="17">
        <v>2.7838697298016149E-2</v>
      </c>
      <c r="M134" s="27"/>
      <c r="N134" s="49">
        <v>6.8407327540063778E-7</v>
      </c>
      <c r="O134" s="27">
        <v>-1.3388750789956277E-2</v>
      </c>
      <c r="Q134" s="2"/>
      <c r="R134" s="24"/>
      <c r="S134" s="24"/>
      <c r="T134" s="24"/>
    </row>
    <row r="135" spans="1:20" x14ac:dyDescent="0.25">
      <c r="A135" s="2">
        <v>45208</v>
      </c>
      <c r="B135" s="20">
        <v>2774</v>
      </c>
      <c r="C135" s="20">
        <v>574</v>
      </c>
      <c r="D135" s="20">
        <v>13130</v>
      </c>
      <c r="E135" s="17">
        <f t="shared" si="10"/>
        <v>1.0932944606413919E-2</v>
      </c>
      <c r="F135" s="17">
        <f t="shared" si="10"/>
        <v>1.0563380281690238E-2</v>
      </c>
      <c r="G135" s="17">
        <f t="shared" si="10"/>
        <v>-3.793626707132014E-3</v>
      </c>
      <c r="H135" s="14">
        <f t="shared" si="11"/>
        <v>-1.0437622286166076E-3</v>
      </c>
      <c r="I135" s="39"/>
      <c r="J135" s="47">
        <f t="shared" si="9"/>
        <v>636</v>
      </c>
      <c r="K135" s="49">
        <f t="shared" si="8"/>
        <v>1.7707578666853736E-3</v>
      </c>
      <c r="L135" s="17">
        <v>-5.30939682872576E-5</v>
      </c>
      <c r="M135" s="27"/>
      <c r="N135" s="49">
        <v>8.5475797728218871E-6</v>
      </c>
      <c r="O135" s="27">
        <v>-1.3348720366685574E-2</v>
      </c>
      <c r="Q135" s="2"/>
      <c r="R135" s="24"/>
      <c r="S135" s="24"/>
      <c r="T135" s="24"/>
    </row>
    <row r="136" spans="1:20" x14ac:dyDescent="0.25">
      <c r="A136" s="2">
        <v>45205</v>
      </c>
      <c r="B136" s="20">
        <v>2744</v>
      </c>
      <c r="C136" s="20">
        <v>568</v>
      </c>
      <c r="D136" s="20">
        <v>13180</v>
      </c>
      <c r="E136" s="17">
        <f t="shared" si="10"/>
        <v>-1.6487455197132572E-2</v>
      </c>
      <c r="F136" s="17">
        <f t="shared" si="10"/>
        <v>1.7636684303350414E-3</v>
      </c>
      <c r="G136" s="17">
        <f t="shared" si="10"/>
        <v>-3.0257186081694698E-3</v>
      </c>
      <c r="H136" s="14">
        <f t="shared" si="11"/>
        <v>-4.7524365597188777E-3</v>
      </c>
      <c r="I136" s="39"/>
      <c r="J136" s="47">
        <f t="shared" si="9"/>
        <v>635</v>
      </c>
      <c r="K136" s="49">
        <f t="shared" si="8"/>
        <v>1.7353427093516659E-3</v>
      </c>
      <c r="L136" s="17">
        <v>-8.3424645419471581E-3</v>
      </c>
      <c r="M136" s="27"/>
      <c r="N136" s="49">
        <v>7.4164883944024913E-7</v>
      </c>
      <c r="O136" s="27">
        <v>-1.3284205001884819E-2</v>
      </c>
      <c r="Q136" s="2"/>
      <c r="R136" s="24"/>
      <c r="S136" s="24"/>
      <c r="T136" s="24"/>
    </row>
    <row r="137" spans="1:20" x14ac:dyDescent="0.25">
      <c r="A137" s="2">
        <v>45204</v>
      </c>
      <c r="B137" s="20">
        <v>2790</v>
      </c>
      <c r="C137" s="20">
        <v>567</v>
      </c>
      <c r="D137" s="20">
        <v>13220</v>
      </c>
      <c r="E137" s="17">
        <f t="shared" si="10"/>
        <v>9.4066570188133802E-3</v>
      </c>
      <c r="F137" s="17">
        <f t="shared" si="10"/>
        <v>1.795332136445249E-2</v>
      </c>
      <c r="G137" s="17">
        <f t="shared" si="10"/>
        <v>-2.3994093761535606E-2</v>
      </c>
      <c r="H137" s="14">
        <f t="shared" si="11"/>
        <v>-1.7344940280675316E-2</v>
      </c>
      <c r="I137" s="39"/>
      <c r="J137" s="47">
        <f t="shared" si="9"/>
        <v>634</v>
      </c>
      <c r="K137" s="49">
        <f t="shared" si="8"/>
        <v>1.7006358551646327E-3</v>
      </c>
      <c r="L137" s="17">
        <v>-1.7287036314443827E-2</v>
      </c>
      <c r="M137" s="27"/>
      <c r="N137" s="49">
        <v>2.0376139623910425E-5</v>
      </c>
      <c r="O137" s="27">
        <v>-1.3161167371689816E-2</v>
      </c>
      <c r="Q137" s="2"/>
      <c r="R137" s="24"/>
      <c r="S137" s="24"/>
      <c r="T137" s="24"/>
    </row>
    <row r="138" spans="1:20" x14ac:dyDescent="0.25">
      <c r="A138" s="2">
        <v>45203</v>
      </c>
      <c r="B138" s="20">
        <v>2764</v>
      </c>
      <c r="C138" s="20">
        <v>557</v>
      </c>
      <c r="D138" s="20">
        <v>13545</v>
      </c>
      <c r="E138" s="17">
        <f t="shared" si="10"/>
        <v>-7.2306579898773204E-4</v>
      </c>
      <c r="F138" s="17">
        <f t="shared" si="10"/>
        <v>9.0579710144926828E-3</v>
      </c>
      <c r="G138" s="17">
        <f t="shared" si="10"/>
        <v>4.0770941438101893E-3</v>
      </c>
      <c r="H138" s="14">
        <f t="shared" si="11"/>
        <v>3.6051775024378892E-3</v>
      </c>
      <c r="I138" s="39"/>
      <c r="J138" s="47">
        <f t="shared" si="9"/>
        <v>633</v>
      </c>
      <c r="K138" s="49">
        <f t="shared" si="8"/>
        <v>1.6666231380613398E-3</v>
      </c>
      <c r="L138" s="17">
        <v>1.4246974182188453E-3</v>
      </c>
      <c r="M138" s="27"/>
      <c r="N138" s="49">
        <v>4.9513067745322407E-7</v>
      </c>
      <c r="O138" s="27">
        <v>-1.2988462227000914E-2</v>
      </c>
      <c r="Q138" s="2"/>
      <c r="R138" s="24"/>
      <c r="S138" s="24"/>
      <c r="T138" s="24"/>
    </row>
    <row r="139" spans="1:20" x14ac:dyDescent="0.25">
      <c r="A139" s="2">
        <v>45202</v>
      </c>
      <c r="B139" s="20">
        <v>2766</v>
      </c>
      <c r="C139" s="20">
        <v>552</v>
      </c>
      <c r="D139" s="20">
        <v>13490</v>
      </c>
      <c r="E139" s="17">
        <f t="shared" si="10"/>
        <v>7.2358900144720018E-4</v>
      </c>
      <c r="F139" s="17">
        <f t="shared" si="10"/>
        <v>7.2992700729928028E-3</v>
      </c>
      <c r="G139" s="17">
        <f t="shared" si="10"/>
        <v>1.2003000750187454E-2</v>
      </c>
      <c r="H139" s="14">
        <f t="shared" si="11"/>
        <v>1.0173265048773767E-2</v>
      </c>
      <c r="I139" s="39"/>
      <c r="J139" s="47">
        <f t="shared" si="9"/>
        <v>632</v>
      </c>
      <c r="K139" s="49">
        <f t="shared" si="8"/>
        <v>1.6332906753001131E-3</v>
      </c>
      <c r="L139" s="17">
        <v>6.4028368304489738E-3</v>
      </c>
      <c r="M139" s="27"/>
      <c r="N139" s="49">
        <v>4.3906723712454097E-5</v>
      </c>
      <c r="O139" s="27">
        <v>-1.2955499147582003E-2</v>
      </c>
      <c r="Q139" s="2"/>
      <c r="R139" s="24"/>
      <c r="S139" s="24"/>
      <c r="T139" s="24"/>
    </row>
    <row r="140" spans="1:20" x14ac:dyDescent="0.25">
      <c r="A140" s="2">
        <v>45201</v>
      </c>
      <c r="B140" s="20">
        <v>2764</v>
      </c>
      <c r="C140" s="20">
        <v>548</v>
      </c>
      <c r="D140" s="20">
        <v>13330</v>
      </c>
      <c r="E140" s="17">
        <f t="shared" si="10"/>
        <v>-1.0737294201861092E-2</v>
      </c>
      <c r="F140" s="17">
        <f t="shared" si="10"/>
        <v>1.4814814814814836E-2</v>
      </c>
      <c r="G140" s="17">
        <f t="shared" si="10"/>
        <v>2.2556390977443996E-3</v>
      </c>
      <c r="H140" s="14">
        <f t="shared" si="11"/>
        <v>9.377233139892349E-4</v>
      </c>
      <c r="I140" s="39"/>
      <c r="J140" s="47">
        <f t="shared" si="9"/>
        <v>631</v>
      </c>
      <c r="K140" s="49">
        <f t="shared" si="8"/>
        <v>1.6006248617941106E-3</v>
      </c>
      <c r="L140" s="17">
        <v>8.3509984261361594E-3</v>
      </c>
      <c r="M140" s="27"/>
      <c r="N140" s="49">
        <v>4.3028589238205024E-5</v>
      </c>
      <c r="O140" s="27">
        <v>-1.2744320157987493E-2</v>
      </c>
      <c r="Q140" s="2"/>
      <c r="R140" s="24"/>
      <c r="S140" s="24"/>
      <c r="T140" s="24"/>
    </row>
    <row r="141" spans="1:20" x14ac:dyDescent="0.25">
      <c r="A141" s="2">
        <v>45198</v>
      </c>
      <c r="B141" s="20">
        <v>2794</v>
      </c>
      <c r="C141" s="20">
        <v>540</v>
      </c>
      <c r="D141" s="20">
        <v>13300</v>
      </c>
      <c r="E141" s="17">
        <f t="shared" si="10"/>
        <v>5.0359712230216847E-3</v>
      </c>
      <c r="F141" s="17">
        <f t="shared" si="10"/>
        <v>-7.3529411764705621E-3</v>
      </c>
      <c r="G141" s="17">
        <f t="shared" si="10"/>
        <v>2.229054573405076E-2</v>
      </c>
      <c r="H141" s="14">
        <f t="shared" si="11"/>
        <v>1.8505340132735255E-2</v>
      </c>
      <c r="I141" s="39"/>
      <c r="J141" s="47">
        <f t="shared" si="9"/>
        <v>630</v>
      </c>
      <c r="K141" s="49">
        <f t="shared" si="8"/>
        <v>1.5686123645582285E-3</v>
      </c>
      <c r="L141" s="17">
        <v>-4.5247452094262751E-3</v>
      </c>
      <c r="M141" s="27"/>
      <c r="N141" s="49">
        <v>8.3854037909480148E-4</v>
      </c>
      <c r="O141" s="27">
        <v>-1.2718478261514043E-2</v>
      </c>
      <c r="Q141" s="2"/>
      <c r="R141" s="24"/>
      <c r="S141" s="24"/>
      <c r="T141" s="24"/>
    </row>
    <row r="142" spans="1:20" x14ac:dyDescent="0.25">
      <c r="A142" s="2">
        <v>45197</v>
      </c>
      <c r="B142" s="20">
        <v>2780</v>
      </c>
      <c r="C142" s="20">
        <v>544</v>
      </c>
      <c r="D142" s="20">
        <v>13010</v>
      </c>
      <c r="E142" s="17">
        <f t="shared" si="10"/>
        <v>-5.0107372942018724E-3</v>
      </c>
      <c r="F142" s="17">
        <f t="shared" si="10"/>
        <v>0</v>
      </c>
      <c r="G142" s="17">
        <f t="shared" si="10"/>
        <v>-2.1804511278195493E-2</v>
      </c>
      <c r="H142" s="14">
        <f t="shared" si="11"/>
        <v>-1.8429995776687084E-2</v>
      </c>
      <c r="I142" s="39"/>
      <c r="J142" s="47">
        <f t="shared" si="9"/>
        <v>629</v>
      </c>
      <c r="K142" s="49">
        <f t="shared" si="8"/>
        <v>1.5372401172670637E-3</v>
      </c>
      <c r="L142" s="17">
        <v>4.0186111693695837E-4</v>
      </c>
      <c r="M142" s="27"/>
      <c r="N142" s="49">
        <v>9.6389996922096124E-8</v>
      </c>
      <c r="O142" s="27">
        <v>-1.2512900628202001E-2</v>
      </c>
      <c r="Q142" s="2"/>
      <c r="R142" s="24"/>
      <c r="S142" s="24"/>
      <c r="T142" s="24"/>
    </row>
    <row r="143" spans="1:20" x14ac:dyDescent="0.25">
      <c r="A143" s="2">
        <v>45196</v>
      </c>
      <c r="B143" s="20">
        <v>2794</v>
      </c>
      <c r="C143" s="20">
        <v>544</v>
      </c>
      <c r="D143" s="20">
        <v>13300</v>
      </c>
      <c r="E143" s="17">
        <f t="shared" si="10"/>
        <v>1.2318840579710111E-2</v>
      </c>
      <c r="F143" s="17">
        <f t="shared" si="10"/>
        <v>1.3035381750465591E-2</v>
      </c>
      <c r="G143" s="17">
        <f t="shared" si="10"/>
        <v>9.1047040971168336E-3</v>
      </c>
      <c r="H143" s="14">
        <f t="shared" si="11"/>
        <v>9.739896214800127E-3</v>
      </c>
      <c r="I143" s="39"/>
      <c r="J143" s="47">
        <f t="shared" si="9"/>
        <v>628</v>
      </c>
      <c r="K143" s="49">
        <f t="shared" si="8"/>
        <v>1.5064953149217227E-3</v>
      </c>
      <c r="L143" s="17">
        <v>6.5587693066513526E-3</v>
      </c>
      <c r="M143" s="27"/>
      <c r="N143" s="49">
        <v>2.2553757185062666E-4</v>
      </c>
      <c r="O143" s="27">
        <v>-1.2445768926932988E-2</v>
      </c>
      <c r="Q143" s="2"/>
      <c r="R143" s="24"/>
      <c r="S143" s="24"/>
      <c r="T143" s="24"/>
    </row>
    <row r="144" spans="1:20" x14ac:dyDescent="0.25">
      <c r="A144" s="2">
        <v>45195</v>
      </c>
      <c r="B144" s="20">
        <v>2760</v>
      </c>
      <c r="C144" s="20">
        <v>537</v>
      </c>
      <c r="D144" s="20">
        <v>13180</v>
      </c>
      <c r="E144" s="17">
        <f t="shared" si="10"/>
        <v>-5.0468637346792189E-3</v>
      </c>
      <c r="F144" s="17">
        <f t="shared" si="10"/>
        <v>2.6768642447418722E-2</v>
      </c>
      <c r="G144" s="17">
        <f t="shared" si="10"/>
        <v>1.4236244709503687E-2</v>
      </c>
      <c r="H144" s="14">
        <f t="shared" si="11"/>
        <v>1.2012005095119797E-2</v>
      </c>
      <c r="I144" s="39"/>
      <c r="J144" s="47">
        <f t="shared" si="9"/>
        <v>627</v>
      </c>
      <c r="K144" s="49">
        <f t="shared" ref="K144:K207" si="12">+($K$13^($K$1-J144)*(1-$K$13))/(1-$K$13^$K$1)</f>
        <v>1.4763654086232879E-3</v>
      </c>
      <c r="L144" s="17">
        <v>1.9274432644139975E-2</v>
      </c>
      <c r="M144" s="27"/>
      <c r="N144" s="49">
        <v>1.5348275867300323E-6</v>
      </c>
      <c r="O144" s="27">
        <v>-1.231657340096603E-2</v>
      </c>
      <c r="Q144" s="2"/>
      <c r="R144" s="24"/>
      <c r="S144" s="24"/>
      <c r="T144" s="24"/>
    </row>
    <row r="145" spans="1:20" x14ac:dyDescent="0.25">
      <c r="A145" s="2">
        <v>45194</v>
      </c>
      <c r="B145" s="20">
        <v>2774</v>
      </c>
      <c r="C145" s="20">
        <v>523</v>
      </c>
      <c r="D145" s="20">
        <v>12995</v>
      </c>
      <c r="E145" s="17">
        <f t="shared" si="10"/>
        <v>-4.3072505384063042E-3</v>
      </c>
      <c r="F145" s="17">
        <f t="shared" si="10"/>
        <v>-1.8761726078799223E-2</v>
      </c>
      <c r="G145" s="17">
        <f t="shared" si="10"/>
        <v>1.1677695601401306E-2</v>
      </c>
      <c r="H145" s="14">
        <f t="shared" si="11"/>
        <v>8.0402207773976903E-3</v>
      </c>
      <c r="I145" s="39"/>
      <c r="J145" s="47">
        <f t="shared" ref="J145:J208" si="13">+J144-1</f>
        <v>626</v>
      </c>
      <c r="K145" s="49">
        <f t="shared" si="12"/>
        <v>1.4468381004508223E-3</v>
      </c>
      <c r="L145" s="17">
        <v>-1.0437622286166076E-3</v>
      </c>
      <c r="M145" s="27"/>
      <c r="N145" s="49">
        <v>1.2527534612814876E-8</v>
      </c>
      <c r="O145" s="27">
        <v>-1.2307285207624103E-2</v>
      </c>
      <c r="Q145" s="2"/>
      <c r="R145" s="24"/>
      <c r="S145" s="24"/>
      <c r="T145" s="24"/>
    </row>
    <row r="146" spans="1:20" x14ac:dyDescent="0.25">
      <c r="A146" s="2">
        <v>45191</v>
      </c>
      <c r="B146" s="20">
        <v>2786</v>
      </c>
      <c r="C146" s="20">
        <v>533</v>
      </c>
      <c r="D146" s="20">
        <v>12845</v>
      </c>
      <c r="E146" s="17">
        <f t="shared" si="10"/>
        <v>-1.4336917562723928E-3</v>
      </c>
      <c r="F146" s="17">
        <f t="shared" si="10"/>
        <v>7.5614366729679361E-3</v>
      </c>
      <c r="G146" s="17">
        <f t="shared" si="10"/>
        <v>-2.2078416444613613E-2</v>
      </c>
      <c r="H146" s="14">
        <f t="shared" si="11"/>
        <v>-1.7805532605417888E-2</v>
      </c>
      <c r="I146" s="39"/>
      <c r="J146" s="47">
        <f t="shared" si="13"/>
        <v>625</v>
      </c>
      <c r="K146" s="49">
        <f t="shared" si="12"/>
        <v>1.4179013384418057E-3</v>
      </c>
      <c r="L146" s="17">
        <v>-4.7524365597188777E-3</v>
      </c>
      <c r="M146" s="27"/>
      <c r="N146" s="49">
        <v>5.7094207302205986E-5</v>
      </c>
      <c r="O146" s="27">
        <v>-1.2232108675358795E-2</v>
      </c>
      <c r="Q146" s="2"/>
      <c r="R146" s="24"/>
      <c r="S146" s="24"/>
      <c r="T146" s="24"/>
    </row>
    <row r="147" spans="1:20" x14ac:dyDescent="0.25">
      <c r="A147" s="2">
        <v>45190</v>
      </c>
      <c r="B147" s="20">
        <v>2790</v>
      </c>
      <c r="C147" s="20">
        <v>529</v>
      </c>
      <c r="D147" s="20">
        <v>13135</v>
      </c>
      <c r="E147" s="17">
        <f t="shared" si="10"/>
        <v>-8.5287846481876262E-3</v>
      </c>
      <c r="F147" s="17">
        <f t="shared" si="10"/>
        <v>7.6190476190476364E-3</v>
      </c>
      <c r="G147" s="17">
        <f t="shared" si="10"/>
        <v>-6.2455389007851525E-2</v>
      </c>
      <c r="H147" s="14">
        <f t="shared" si="11"/>
        <v>-5.1616918729289273E-2</v>
      </c>
      <c r="I147" s="39"/>
      <c r="J147" s="47">
        <f t="shared" si="13"/>
        <v>624</v>
      </c>
      <c r="K147" s="49">
        <f t="shared" si="12"/>
        <v>1.3895433116729696E-3</v>
      </c>
      <c r="L147" s="17">
        <v>-1.7344940280675316E-2</v>
      </c>
      <c r="M147" s="27"/>
      <c r="N147" s="49">
        <v>6.7109413299303809E-5</v>
      </c>
      <c r="O147" s="27">
        <v>-1.2211567041494261E-2</v>
      </c>
      <c r="Q147" s="2"/>
      <c r="R147" s="24"/>
      <c r="S147" s="24"/>
      <c r="T147" s="24"/>
    </row>
    <row r="148" spans="1:20" x14ac:dyDescent="0.25">
      <c r="A148" s="2">
        <v>45189</v>
      </c>
      <c r="B148" s="20">
        <v>2814</v>
      </c>
      <c r="C148" s="20">
        <v>525</v>
      </c>
      <c r="D148" s="20">
        <v>14010</v>
      </c>
      <c r="E148" s="17">
        <f t="shared" si="10"/>
        <v>1.9565217391304346E-2</v>
      </c>
      <c r="F148" s="17">
        <f t="shared" si="10"/>
        <v>-7.5614366729678251E-3</v>
      </c>
      <c r="G148" s="17">
        <f t="shared" si="10"/>
        <v>-2.7758501040943795E-2</v>
      </c>
      <c r="H148" s="14">
        <f t="shared" si="11"/>
        <v>-2.0061387446210714E-2</v>
      </c>
      <c r="I148" s="39"/>
      <c r="J148" s="47">
        <f t="shared" si="13"/>
        <v>623</v>
      </c>
      <c r="K148" s="49">
        <f t="shared" si="12"/>
        <v>1.3617524454395101E-3</v>
      </c>
      <c r="L148" s="17">
        <v>3.6051775024378892E-3</v>
      </c>
      <c r="M148" s="27"/>
      <c r="N148" s="49">
        <v>9.4610678113905255E-5</v>
      </c>
      <c r="O148" s="27">
        <v>-1.2197219649725824E-2</v>
      </c>
      <c r="Q148" s="2"/>
      <c r="R148" s="24"/>
      <c r="S148" s="24"/>
      <c r="T148" s="24"/>
    </row>
    <row r="149" spans="1:20" x14ac:dyDescent="0.25">
      <c r="A149" s="2">
        <v>45188</v>
      </c>
      <c r="B149" s="20">
        <v>2760</v>
      </c>
      <c r="C149" s="20">
        <v>529</v>
      </c>
      <c r="D149" s="20">
        <v>14410</v>
      </c>
      <c r="E149" s="17">
        <f t="shared" si="10"/>
        <v>5.0983248361253786E-3</v>
      </c>
      <c r="F149" s="17">
        <f t="shared" si="10"/>
        <v>7.6190476190476364E-3</v>
      </c>
      <c r="G149" s="17">
        <f t="shared" si="10"/>
        <v>-2.0775623268698418E-3</v>
      </c>
      <c r="H149" s="14">
        <f t="shared" si="11"/>
        <v>-6.1897112267765239E-4</v>
      </c>
      <c r="I149" s="39"/>
      <c r="J149" s="47">
        <f t="shared" si="13"/>
        <v>622</v>
      </c>
      <c r="K149" s="49">
        <f t="shared" si="12"/>
        <v>1.3345173965307198E-3</v>
      </c>
      <c r="L149" s="17">
        <v>1.0173265048773767E-2</v>
      </c>
      <c r="M149" s="27"/>
      <c r="N149" s="49">
        <v>1.1132335639812696E-2</v>
      </c>
      <c r="O149" s="27">
        <v>-1.2179268711215326E-2</v>
      </c>
      <c r="Q149" s="2"/>
      <c r="R149" s="24"/>
      <c r="S149" s="24"/>
      <c r="T149" s="24"/>
    </row>
    <row r="150" spans="1:20" x14ac:dyDescent="0.25">
      <c r="A150" s="2">
        <v>45187</v>
      </c>
      <c r="B150" s="20">
        <v>2746</v>
      </c>
      <c r="C150" s="20">
        <v>525</v>
      </c>
      <c r="D150" s="20">
        <v>14440</v>
      </c>
      <c r="E150" s="17">
        <f t="shared" si="10"/>
        <v>-5.7929036929761368E-3</v>
      </c>
      <c r="F150" s="17">
        <f t="shared" si="10"/>
        <v>0</v>
      </c>
      <c r="G150" s="17">
        <f t="shared" si="10"/>
        <v>-1.735284110241575E-2</v>
      </c>
      <c r="H150" s="14">
        <f t="shared" si="11"/>
        <v>-1.4927037963666288E-2</v>
      </c>
      <c r="I150" s="39"/>
      <c r="J150" s="47">
        <f t="shared" si="13"/>
        <v>621</v>
      </c>
      <c r="K150" s="49">
        <f t="shared" si="12"/>
        <v>1.3078270486001056E-3</v>
      </c>
      <c r="L150" s="17">
        <v>9.377233139892349E-4</v>
      </c>
      <c r="M150" s="27"/>
      <c r="N150" s="49">
        <v>6.1802441421071802E-8</v>
      </c>
      <c r="O150" s="27">
        <v>-1.2053603451942467E-2</v>
      </c>
      <c r="Q150" s="2"/>
      <c r="R150" s="24"/>
      <c r="S150" s="24"/>
      <c r="T150" s="24"/>
    </row>
    <row r="151" spans="1:20" x14ac:dyDescent="0.25">
      <c r="A151" s="2">
        <v>45184</v>
      </c>
      <c r="B151" s="20">
        <v>2762</v>
      </c>
      <c r="C151" s="20">
        <v>525</v>
      </c>
      <c r="D151" s="20">
        <v>14695</v>
      </c>
      <c r="E151" s="17">
        <f t="shared" si="10"/>
        <v>1.2463343108504388E-2</v>
      </c>
      <c r="F151" s="17">
        <f t="shared" si="10"/>
        <v>0.10526315789473695</v>
      </c>
      <c r="G151" s="17">
        <f t="shared" si="10"/>
        <v>1.021798365122617E-3</v>
      </c>
      <c r="H151" s="14">
        <f t="shared" si="11"/>
        <v>7.247747696199824E-3</v>
      </c>
      <c r="I151" s="39"/>
      <c r="J151" s="47">
        <f t="shared" si="13"/>
        <v>620</v>
      </c>
      <c r="K151" s="49">
        <f t="shared" si="12"/>
        <v>1.2816705076281033E-3</v>
      </c>
      <c r="L151" s="17">
        <v>1.8505340132735255E-2</v>
      </c>
      <c r="M151" s="27"/>
      <c r="N151" s="49">
        <v>9.8511743142341995E-5</v>
      </c>
      <c r="O151" s="27">
        <v>-1.1983571159660814E-2</v>
      </c>
      <c r="Q151" s="2"/>
      <c r="R151" s="24"/>
      <c r="S151" s="24"/>
      <c r="T151" s="24"/>
    </row>
    <row r="152" spans="1:20" x14ac:dyDescent="0.25">
      <c r="A152" s="2">
        <v>45183</v>
      </c>
      <c r="B152" s="20">
        <v>2728</v>
      </c>
      <c r="C152" s="20">
        <v>475</v>
      </c>
      <c r="D152" s="20">
        <v>14680</v>
      </c>
      <c r="E152" s="17">
        <f t="shared" si="10"/>
        <v>7.3855243722305008E-3</v>
      </c>
      <c r="F152" s="17">
        <f t="shared" si="10"/>
        <v>2.1097046413502962E-3</v>
      </c>
      <c r="G152" s="17">
        <f t="shared" si="10"/>
        <v>1.2064805239572651E-2</v>
      </c>
      <c r="H152" s="14">
        <f t="shared" si="11"/>
        <v>1.0954116195357933E-2</v>
      </c>
      <c r="I152" s="39"/>
      <c r="J152" s="47">
        <f t="shared" si="13"/>
        <v>619</v>
      </c>
      <c r="K152" s="49">
        <f t="shared" si="12"/>
        <v>1.2560370974755411E-3</v>
      </c>
      <c r="L152" s="17">
        <v>-1.8429995776687084E-2</v>
      </c>
      <c r="M152" s="27"/>
      <c r="N152" s="49">
        <v>1.3589036953019167E-7</v>
      </c>
      <c r="O152" s="27">
        <v>-1.1941820019374312E-2</v>
      </c>
      <c r="Q152" s="2"/>
      <c r="R152" s="24"/>
      <c r="S152" s="24"/>
      <c r="T152" s="24"/>
    </row>
    <row r="153" spans="1:20" x14ac:dyDescent="0.25">
      <c r="A153" s="2">
        <v>45182</v>
      </c>
      <c r="B153" s="20">
        <v>2708</v>
      </c>
      <c r="C153" s="20">
        <v>474</v>
      </c>
      <c r="D153" s="20">
        <v>14505</v>
      </c>
      <c r="E153" s="17">
        <f t="shared" si="10"/>
        <v>1.4792899408284654E-3</v>
      </c>
      <c r="F153" s="17">
        <f t="shared" si="10"/>
        <v>1.0660980810234477E-2</v>
      </c>
      <c r="G153" s="17">
        <f t="shared" si="10"/>
        <v>-3.7774725274725141E-3</v>
      </c>
      <c r="H153" s="14">
        <f t="shared" si="11"/>
        <v>-2.3867222233969051E-3</v>
      </c>
      <c r="I153" s="39"/>
      <c r="J153" s="47">
        <f t="shared" si="13"/>
        <v>618</v>
      </c>
      <c r="K153" s="49">
        <f t="shared" si="12"/>
        <v>1.2309163555260304E-3</v>
      </c>
      <c r="L153" s="17">
        <v>9.739896214800127E-3</v>
      </c>
      <c r="M153" s="27"/>
      <c r="N153" s="49">
        <v>1.2276983920558576E-8</v>
      </c>
      <c r="O153" s="27">
        <v>-1.1898303289403405E-2</v>
      </c>
      <c r="Q153" s="2"/>
      <c r="R153" s="24"/>
      <c r="S153" s="24"/>
      <c r="T153" s="24"/>
    </row>
    <row r="154" spans="1:20" x14ac:dyDescent="0.25">
      <c r="A154" s="2">
        <v>45181</v>
      </c>
      <c r="B154" s="20">
        <v>2704</v>
      </c>
      <c r="C154" s="20">
        <v>469</v>
      </c>
      <c r="D154" s="20">
        <v>14560</v>
      </c>
      <c r="E154" s="17">
        <f t="shared" si="10"/>
        <v>9.7087378640776656E-3</v>
      </c>
      <c r="F154" s="17">
        <f t="shared" si="10"/>
        <v>3.4178610804851184E-2</v>
      </c>
      <c r="G154" s="17">
        <f t="shared" si="10"/>
        <v>4.1379310344826781E-3</v>
      </c>
      <c r="H154" s="14">
        <f t="shared" si="11"/>
        <v>6.2593082381638444E-3</v>
      </c>
      <c r="I154" s="39"/>
      <c r="J154" s="47">
        <f t="shared" si="13"/>
        <v>617</v>
      </c>
      <c r="K154" s="49">
        <f t="shared" si="12"/>
        <v>1.2062980284155097E-3</v>
      </c>
      <c r="L154" s="17">
        <v>1.2012005095119797E-2</v>
      </c>
      <c r="M154" s="27"/>
      <c r="N154" s="49">
        <v>1.5332213368519352E-8</v>
      </c>
      <c r="O154" s="27">
        <v>-1.1701044355359343E-2</v>
      </c>
      <c r="Q154" s="2"/>
      <c r="R154" s="24"/>
      <c r="S154" s="24"/>
      <c r="T154" s="24"/>
    </row>
    <row r="155" spans="1:20" x14ac:dyDescent="0.25">
      <c r="A155" s="2">
        <v>45180</v>
      </c>
      <c r="B155" s="20">
        <v>2678</v>
      </c>
      <c r="C155" s="29">
        <v>453.5</v>
      </c>
      <c r="D155" s="20">
        <v>14500</v>
      </c>
      <c r="E155" s="17">
        <f t="shared" si="10"/>
        <v>3.7481259370315545E-3</v>
      </c>
      <c r="F155" s="17">
        <f t="shared" si="10"/>
        <v>7.7777777777778834E-3</v>
      </c>
      <c r="G155" s="17">
        <f t="shared" si="10"/>
        <v>1.1157601115760141E-2</v>
      </c>
      <c r="H155" s="14">
        <f t="shared" si="11"/>
        <v>9.9429057254051597E-3</v>
      </c>
      <c r="I155" s="39"/>
      <c r="J155" s="47">
        <f t="shared" si="13"/>
        <v>616</v>
      </c>
      <c r="K155" s="49">
        <f t="shared" si="12"/>
        <v>1.1821720678471994E-3</v>
      </c>
      <c r="L155" s="17">
        <v>8.0402207773976903E-3</v>
      </c>
      <c r="M155" s="27"/>
      <c r="N155" s="49">
        <v>3.6626302997790137E-4</v>
      </c>
      <c r="O155" s="27">
        <v>-1.1646188129508853E-2</v>
      </c>
      <c r="Q155" s="2"/>
      <c r="R155" s="24"/>
      <c r="S155" s="24"/>
      <c r="T155" s="24"/>
    </row>
    <row r="156" spans="1:20" x14ac:dyDescent="0.25">
      <c r="A156" s="2">
        <v>45177</v>
      </c>
      <c r="B156" s="20">
        <v>2668</v>
      </c>
      <c r="C156" s="20">
        <v>450</v>
      </c>
      <c r="D156" s="20">
        <v>14340</v>
      </c>
      <c r="E156" s="17">
        <f t="shared" si="10"/>
        <v>-4.4776119402984982E-3</v>
      </c>
      <c r="F156" s="17">
        <f t="shared" si="10"/>
        <v>3.3444816053511683E-3</v>
      </c>
      <c r="G156" s="17">
        <f t="shared" si="10"/>
        <v>3.4989503149054357E-3</v>
      </c>
      <c r="H156" s="14">
        <f t="shared" si="11"/>
        <v>2.3443480296371786E-3</v>
      </c>
      <c r="I156" s="39"/>
      <c r="J156" s="47">
        <f t="shared" si="13"/>
        <v>615</v>
      </c>
      <c r="K156" s="49">
        <f t="shared" si="12"/>
        <v>1.1585286264902553E-3</v>
      </c>
      <c r="L156" s="17">
        <v>-1.7805532605417888E-2</v>
      </c>
      <c r="M156" s="27"/>
      <c r="N156" s="49">
        <v>1.2069297404859137E-2</v>
      </c>
      <c r="O156" s="27">
        <v>-1.1630655559124943E-2</v>
      </c>
      <c r="Q156" s="2"/>
      <c r="R156" s="24"/>
      <c r="S156" s="24"/>
      <c r="T156" s="24"/>
    </row>
    <row r="157" spans="1:20" x14ac:dyDescent="0.25">
      <c r="A157" s="2">
        <v>45176</v>
      </c>
      <c r="B157" s="20">
        <v>2680</v>
      </c>
      <c r="C157" s="29">
        <v>448.5</v>
      </c>
      <c r="D157" s="20">
        <v>14290</v>
      </c>
      <c r="E157" s="17">
        <f t="shared" si="10"/>
        <v>7.5187969924812581E-3</v>
      </c>
      <c r="F157" s="17">
        <f t="shared" si="10"/>
        <v>-3.3333333333332993E-3</v>
      </c>
      <c r="G157" s="17">
        <f t="shared" si="10"/>
        <v>1.0608203677510586E-2</v>
      </c>
      <c r="H157" s="14">
        <f t="shared" si="11"/>
        <v>9.551163351938249E-3</v>
      </c>
      <c r="I157" s="39"/>
      <c r="J157" s="47">
        <f t="shared" si="13"/>
        <v>614</v>
      </c>
      <c r="K157" s="49">
        <f t="shared" si="12"/>
        <v>1.1353580539604502E-3</v>
      </c>
      <c r="L157" s="17">
        <v>-5.1616918729289273E-2</v>
      </c>
      <c r="M157" s="27"/>
      <c r="N157" s="49">
        <v>7.8716423260288438E-9</v>
      </c>
      <c r="O157" s="27">
        <v>-1.1586148995695853E-2</v>
      </c>
      <c r="Q157" s="2"/>
      <c r="R157" s="24"/>
      <c r="S157" s="24"/>
      <c r="T157" s="24"/>
    </row>
    <row r="158" spans="1:20" x14ac:dyDescent="0.25">
      <c r="A158" s="2">
        <v>45175</v>
      </c>
      <c r="B158" s="20">
        <v>2660</v>
      </c>
      <c r="C158" s="20">
        <v>450</v>
      </c>
      <c r="D158" s="20">
        <v>14140</v>
      </c>
      <c r="E158" s="17">
        <f t="shared" si="10"/>
        <v>-1.5544041450777257E-2</v>
      </c>
      <c r="F158" s="17">
        <f t="shared" si="10"/>
        <v>-4.4247787610619538E-3</v>
      </c>
      <c r="G158" s="17">
        <f t="shared" si="10"/>
        <v>1.5804597701149392E-2</v>
      </c>
      <c r="H158" s="14">
        <f t="shared" si="11"/>
        <v>1.0404856178445941E-2</v>
      </c>
      <c r="I158" s="39"/>
      <c r="J158" s="47">
        <f t="shared" si="13"/>
        <v>613</v>
      </c>
      <c r="K158" s="49">
        <f t="shared" si="12"/>
        <v>1.1126508928812411E-3</v>
      </c>
      <c r="L158" s="17">
        <v>-2.0061387446210714E-2</v>
      </c>
      <c r="M158" s="27"/>
      <c r="N158" s="49">
        <v>1.6315813804120225E-5</v>
      </c>
      <c r="O158" s="27">
        <v>-1.1567205012645463E-2</v>
      </c>
      <c r="Q158" s="2"/>
      <c r="R158" s="24"/>
      <c r="S158" s="24"/>
      <c r="T158" s="24"/>
    </row>
    <row r="159" spans="1:20" x14ac:dyDescent="0.25">
      <c r="A159" s="2">
        <v>45174</v>
      </c>
      <c r="B159" s="20">
        <v>2702</v>
      </c>
      <c r="C159" s="20">
        <v>452</v>
      </c>
      <c r="D159" s="20">
        <v>13920</v>
      </c>
      <c r="E159" s="17">
        <f t="shared" si="10"/>
        <v>1.2743628185907019E-2</v>
      </c>
      <c r="F159" s="17">
        <f t="shared" si="10"/>
        <v>-1.0940919037199071E-2</v>
      </c>
      <c r="G159" s="17">
        <f t="shared" si="10"/>
        <v>-5.0035739814152658E-3</v>
      </c>
      <c r="H159" s="14">
        <f t="shared" si="11"/>
        <v>-2.7106155593501473E-3</v>
      </c>
      <c r="I159" s="39"/>
      <c r="J159" s="47">
        <f t="shared" si="13"/>
        <v>612</v>
      </c>
      <c r="K159" s="49">
        <f t="shared" si="12"/>
        <v>1.0903978750236164E-3</v>
      </c>
      <c r="L159" s="17">
        <v>-6.1897112267765239E-4</v>
      </c>
      <c r="M159" s="27"/>
      <c r="N159" s="49">
        <v>1.1796989951149147E-7</v>
      </c>
      <c r="O159" s="27">
        <v>-1.1554303902607109E-2</v>
      </c>
      <c r="Q159" s="2"/>
      <c r="R159" s="24"/>
      <c r="S159" s="24"/>
      <c r="T159" s="24"/>
    </row>
    <row r="160" spans="1:20" x14ac:dyDescent="0.25">
      <c r="A160" s="2">
        <v>45173</v>
      </c>
      <c r="B160" s="20">
        <v>2668</v>
      </c>
      <c r="C160" s="20">
        <v>457</v>
      </c>
      <c r="D160" s="20">
        <v>13990</v>
      </c>
      <c r="E160" s="17">
        <f t="shared" si="10"/>
        <v>2.2539444027047661E-3</v>
      </c>
      <c r="F160" s="17">
        <f t="shared" si="10"/>
        <v>-1.295896328293733E-2</v>
      </c>
      <c r="G160" s="17">
        <f t="shared" si="10"/>
        <v>1.4316392269149159E-3</v>
      </c>
      <c r="H160" s="14">
        <f t="shared" si="11"/>
        <v>9.1776045037713434E-4</v>
      </c>
      <c r="I160" s="39"/>
      <c r="J160" s="47">
        <f t="shared" si="13"/>
        <v>611</v>
      </c>
      <c r="K160" s="49">
        <f t="shared" si="12"/>
        <v>1.068589917523144E-3</v>
      </c>
      <c r="L160" s="17">
        <v>-1.4927037963666288E-2</v>
      </c>
      <c r="M160" s="27"/>
      <c r="N160" s="49">
        <v>6.3162842921998344E-5</v>
      </c>
      <c r="O160" s="27">
        <v>-1.1525223668890451E-2</v>
      </c>
      <c r="Q160" s="2"/>
      <c r="R160" s="24"/>
      <c r="S160" s="24"/>
      <c r="T160" s="24"/>
    </row>
    <row r="161" spans="1:20" x14ac:dyDescent="0.25">
      <c r="A161" s="2">
        <v>45170</v>
      </c>
      <c r="B161" s="20">
        <v>2662</v>
      </c>
      <c r="C161" s="20">
        <v>463</v>
      </c>
      <c r="D161" s="20">
        <v>13970</v>
      </c>
      <c r="E161" s="17">
        <f t="shared" si="10"/>
        <v>0</v>
      </c>
      <c r="F161" s="17">
        <f t="shared" si="10"/>
        <v>-1.0683760683760646E-2</v>
      </c>
      <c r="G161" s="17">
        <f t="shared" si="10"/>
        <v>-2.7497389488339685E-2</v>
      </c>
      <c r="H161" s="14">
        <f t="shared" si="11"/>
        <v>-2.2801897897707021E-2</v>
      </c>
      <c r="I161" s="39"/>
      <c r="J161" s="47">
        <f t="shared" si="13"/>
        <v>610</v>
      </c>
      <c r="K161" s="49">
        <f t="shared" si="12"/>
        <v>1.0472181191726812E-3</v>
      </c>
      <c r="L161" s="17">
        <v>7.247747696199824E-3</v>
      </c>
      <c r="M161" s="27"/>
      <c r="N161" s="49">
        <v>2.3446857065233211E-7</v>
      </c>
      <c r="O161" s="27">
        <v>-1.1515229841261763E-2</v>
      </c>
      <c r="Q161" s="2"/>
      <c r="R161" s="24"/>
      <c r="S161" s="24"/>
      <c r="T161" s="24"/>
    </row>
    <row r="162" spans="1:20" x14ac:dyDescent="0.25">
      <c r="A162" s="2">
        <v>45169</v>
      </c>
      <c r="B162" s="20">
        <v>2662</v>
      </c>
      <c r="C162" s="20">
        <v>468</v>
      </c>
      <c r="D162" s="20">
        <v>14365</v>
      </c>
      <c r="E162" s="17">
        <f t="shared" si="10"/>
        <v>-7.4571215510812472E-3</v>
      </c>
      <c r="F162" s="17">
        <f t="shared" si="10"/>
        <v>7.5349838536060698E-3</v>
      </c>
      <c r="G162" s="17">
        <f t="shared" si="10"/>
        <v>-1.4746227709190651E-2</v>
      </c>
      <c r="H162" s="14">
        <f t="shared" si="11"/>
        <v>-1.2718478261514043E-2</v>
      </c>
      <c r="I162" s="39"/>
      <c r="J162" s="47">
        <f t="shared" si="13"/>
        <v>609</v>
      </c>
      <c r="K162" s="49">
        <f t="shared" si="12"/>
        <v>1.0262737567892275E-3</v>
      </c>
      <c r="L162" s="17">
        <v>1.0954116195357933E-2</v>
      </c>
      <c r="M162" s="27"/>
      <c r="N162" s="49">
        <v>2.5446911257852508E-5</v>
      </c>
      <c r="O162" s="27">
        <v>-1.1452791192311802E-2</v>
      </c>
      <c r="Q162" s="2"/>
      <c r="R162" s="24"/>
      <c r="S162" s="24"/>
      <c r="T162" s="24"/>
    </row>
    <row r="163" spans="1:20" x14ac:dyDescent="0.25">
      <c r="A163" s="2">
        <v>45168</v>
      </c>
      <c r="B163" s="20">
        <v>2682</v>
      </c>
      <c r="C163" s="29">
        <v>464.5</v>
      </c>
      <c r="D163" s="20">
        <v>14580</v>
      </c>
      <c r="E163" s="17">
        <f t="shared" si="10"/>
        <v>-1.7582417582417631E-2</v>
      </c>
      <c r="F163" s="17">
        <f t="shared" si="10"/>
        <v>6.50054171180936E-3</v>
      </c>
      <c r="G163" s="17">
        <f t="shared" si="10"/>
        <v>6.2111801242235032E-3</v>
      </c>
      <c r="H163" s="14">
        <f t="shared" si="11"/>
        <v>2.8000268536130272E-3</v>
      </c>
      <c r="I163" s="39"/>
      <c r="J163" s="47">
        <f t="shared" si="13"/>
        <v>608</v>
      </c>
      <c r="K163" s="49">
        <f t="shared" si="12"/>
        <v>1.0057482816534429E-3</v>
      </c>
      <c r="L163" s="17">
        <v>-2.3867222233969051E-3</v>
      </c>
      <c r="M163" s="27"/>
      <c r="N163" s="49">
        <v>7.7344294655137455E-4</v>
      </c>
      <c r="O163" s="27">
        <v>-1.1439526410081575E-2</v>
      </c>
      <c r="Q163" s="2"/>
      <c r="R163" s="24"/>
      <c r="S163" s="24"/>
      <c r="T163" s="24"/>
    </row>
    <row r="164" spans="1:20" x14ac:dyDescent="0.25">
      <c r="A164" s="2">
        <v>45167</v>
      </c>
      <c r="B164" s="20">
        <v>2730</v>
      </c>
      <c r="C164" s="29">
        <v>461.5</v>
      </c>
      <c r="D164" s="20">
        <v>14490</v>
      </c>
      <c r="E164" s="17">
        <f t="shared" si="10"/>
        <v>2.9390154298309934E-3</v>
      </c>
      <c r="F164" s="17">
        <f t="shared" si="10"/>
        <v>1.2061403508771829E-2</v>
      </c>
      <c r="G164" s="17">
        <f t="shared" si="10"/>
        <v>1.2578616352201255E-2</v>
      </c>
      <c r="H164" s="14">
        <f t="shared" si="11"/>
        <v>1.1168769064489808E-2</v>
      </c>
      <c r="I164" s="39"/>
      <c r="J164" s="47">
        <f t="shared" si="13"/>
        <v>607</v>
      </c>
      <c r="K164" s="49">
        <f t="shared" si="12"/>
        <v>9.8563331602037401E-4</v>
      </c>
      <c r="L164" s="17">
        <v>6.2593082381638444E-3</v>
      </c>
      <c r="M164" s="27"/>
      <c r="N164" s="49">
        <v>8.2047989388648322E-7</v>
      </c>
      <c r="O164" s="27">
        <v>-1.1130986433997821E-2</v>
      </c>
      <c r="Q164" s="2"/>
      <c r="R164" s="24"/>
      <c r="S164" s="24"/>
      <c r="T164" s="24"/>
    </row>
    <row r="165" spans="1:20" x14ac:dyDescent="0.25">
      <c r="A165" s="2">
        <v>45166</v>
      </c>
      <c r="B165" s="20">
        <v>2722</v>
      </c>
      <c r="C165" s="20">
        <v>456</v>
      </c>
      <c r="D165" s="20">
        <v>14310</v>
      </c>
      <c r="E165" s="17">
        <f t="shared" si="10"/>
        <v>-8.7399854333576332E-3</v>
      </c>
      <c r="F165" s="17">
        <f t="shared" si="10"/>
        <v>7.7348066298341678E-3</v>
      </c>
      <c r="G165" s="17">
        <f t="shared" si="10"/>
        <v>3.4952813701494279E-4</v>
      </c>
      <c r="H165" s="14">
        <f t="shared" si="11"/>
        <v>-6.339904322015177E-4</v>
      </c>
      <c r="I165" s="39"/>
      <c r="J165" s="47">
        <f t="shared" si="13"/>
        <v>606</v>
      </c>
      <c r="K165" s="49">
        <f t="shared" si="12"/>
        <v>9.6592064969996656E-4</v>
      </c>
      <c r="L165" s="17">
        <v>9.9429057254051597E-3</v>
      </c>
      <c r="M165" s="27"/>
      <c r="N165" s="49">
        <v>9.4412755074958314E-9</v>
      </c>
      <c r="O165" s="27">
        <v>-1.1086685953811943E-2</v>
      </c>
      <c r="Q165" s="2"/>
      <c r="R165" s="24"/>
      <c r="S165" s="24"/>
      <c r="T165" s="24"/>
    </row>
    <row r="166" spans="1:20" x14ac:dyDescent="0.25">
      <c r="A166" s="2">
        <v>45163</v>
      </c>
      <c r="B166" s="20">
        <v>2746</v>
      </c>
      <c r="C166" s="29">
        <v>452.5</v>
      </c>
      <c r="D166" s="20">
        <v>14305</v>
      </c>
      <c r="E166" s="17">
        <f t="shared" si="10"/>
        <v>7.2886297376095754E-4</v>
      </c>
      <c r="F166" s="17">
        <f t="shared" si="10"/>
        <v>-1.4161220043573008E-2</v>
      </c>
      <c r="G166" s="17">
        <f t="shared" si="10"/>
        <v>-1.3448275862068981E-2</v>
      </c>
      <c r="H166" s="14">
        <f t="shared" si="11"/>
        <v>-1.1439526410081575E-2</v>
      </c>
      <c r="I166" s="39"/>
      <c r="J166" s="47">
        <f t="shared" si="13"/>
        <v>605</v>
      </c>
      <c r="K166" s="49">
        <f t="shared" si="12"/>
        <v>9.4660223670596706E-4</v>
      </c>
      <c r="L166" s="17">
        <v>2.3443480296371786E-3</v>
      </c>
      <c r="M166" s="27"/>
      <c r="N166" s="49">
        <v>2.6468430018401795E-7</v>
      </c>
      <c r="O166" s="27">
        <v>-1.0996336254342359E-2</v>
      </c>
      <c r="Q166" s="2"/>
      <c r="R166" s="24"/>
      <c r="S166" s="24"/>
      <c r="T166" s="24"/>
    </row>
    <row r="167" spans="1:20" x14ac:dyDescent="0.25">
      <c r="A167" s="2">
        <v>45162</v>
      </c>
      <c r="B167" s="20">
        <v>2744</v>
      </c>
      <c r="C167" s="20">
        <v>459</v>
      </c>
      <c r="D167" s="20">
        <v>14500</v>
      </c>
      <c r="E167" s="17">
        <f t="shared" si="10"/>
        <v>3.6576444769569338E-3</v>
      </c>
      <c r="F167" s="17">
        <f t="shared" si="10"/>
        <v>3.1460674157303359E-2</v>
      </c>
      <c r="G167" s="17">
        <f t="shared" si="10"/>
        <v>8.3449235048678183E-3</v>
      </c>
      <c r="H167" s="14">
        <f t="shared" si="11"/>
        <v>8.6859507806697281E-3</v>
      </c>
      <c r="I167" s="39"/>
      <c r="J167" s="47">
        <f t="shared" si="13"/>
        <v>604</v>
      </c>
      <c r="K167" s="49">
        <f t="shared" si="12"/>
        <v>9.2767019197184783E-4</v>
      </c>
      <c r="L167" s="17">
        <v>9.551163351938249E-3</v>
      </c>
      <c r="M167" s="27"/>
      <c r="N167" s="49">
        <v>1.2289845666903879E-6</v>
      </c>
      <c r="O167" s="27">
        <v>-1.0819278677639252E-2</v>
      </c>
      <c r="Q167" s="2"/>
      <c r="R167" s="24"/>
      <c r="S167" s="24"/>
      <c r="T167" s="24"/>
    </row>
    <row r="168" spans="1:20" x14ac:dyDescent="0.25">
      <c r="A168" s="2">
        <v>45161</v>
      </c>
      <c r="B168" s="20">
        <v>2734</v>
      </c>
      <c r="C168" s="20">
        <v>445</v>
      </c>
      <c r="D168" s="20">
        <v>14380</v>
      </c>
      <c r="E168" s="17">
        <f t="shared" si="10"/>
        <v>1.3343217197924417E-2</v>
      </c>
      <c r="F168" s="17">
        <f t="shared" si="10"/>
        <v>6.7873303167420573E-3</v>
      </c>
      <c r="G168" s="17">
        <f t="shared" si="10"/>
        <v>5.9461350122420598E-3</v>
      </c>
      <c r="H168" s="14">
        <f t="shared" si="11"/>
        <v>7.0475201683629779E-3</v>
      </c>
      <c r="I168" s="39"/>
      <c r="J168" s="47">
        <f t="shared" si="13"/>
        <v>603</v>
      </c>
      <c r="K168" s="49">
        <f t="shared" si="12"/>
        <v>9.0911678813241064E-4</v>
      </c>
      <c r="L168" s="17">
        <v>1.0404856178445941E-2</v>
      </c>
      <c r="M168" s="27"/>
      <c r="N168" s="49">
        <v>6.976686006013083E-8</v>
      </c>
      <c r="O168" s="27">
        <v>-1.069017480122942E-2</v>
      </c>
      <c r="Q168" s="2"/>
      <c r="R168" s="24"/>
      <c r="S168" s="24"/>
      <c r="T168" s="24"/>
    </row>
    <row r="169" spans="1:20" x14ac:dyDescent="0.25">
      <c r="A169" s="2">
        <v>45160</v>
      </c>
      <c r="B169" s="20">
        <v>2698</v>
      </c>
      <c r="C169" s="20">
        <v>442</v>
      </c>
      <c r="D169" s="20">
        <v>14295</v>
      </c>
      <c r="E169" s="17">
        <f t="shared" si="10"/>
        <v>-3.6927621861152504E-3</v>
      </c>
      <c r="F169" s="17">
        <f t="shared" si="10"/>
        <v>1.0285714285714231E-2</v>
      </c>
      <c r="G169" s="17">
        <f t="shared" si="10"/>
        <v>1.4189428875487797E-2</v>
      </c>
      <c r="H169" s="14">
        <f t="shared" si="11"/>
        <v>1.1444708722163719E-2</v>
      </c>
      <c r="I169" s="39"/>
      <c r="J169" s="47">
        <f t="shared" si="13"/>
        <v>602</v>
      </c>
      <c r="K169" s="49">
        <f t="shared" si="12"/>
        <v>8.9093445236976244E-4</v>
      </c>
      <c r="L169" s="17">
        <v>-2.7106155593501473E-3</v>
      </c>
      <c r="M169" s="27"/>
      <c r="N169" s="49">
        <v>2.8122242877544436E-7</v>
      </c>
      <c r="O169" s="27">
        <v>-1.0598232726814599E-2</v>
      </c>
      <c r="Q169" s="2"/>
      <c r="R169" s="24"/>
      <c r="S169" s="24"/>
      <c r="T169" s="24"/>
    </row>
    <row r="170" spans="1:20" x14ac:dyDescent="0.25">
      <c r="A170" s="2">
        <v>45159</v>
      </c>
      <c r="B170" s="20">
        <v>2708</v>
      </c>
      <c r="C170" s="29">
        <v>437.5</v>
      </c>
      <c r="D170" s="20">
        <v>14095</v>
      </c>
      <c r="E170" s="17">
        <f t="shared" si="10"/>
        <v>2.1116138763197512E-2</v>
      </c>
      <c r="F170" s="17">
        <f t="shared" si="10"/>
        <v>-5.6818181818182323E-3</v>
      </c>
      <c r="G170" s="17">
        <f t="shared" si="10"/>
        <v>-3.5460992907798694E-4</v>
      </c>
      <c r="H170" s="14">
        <f t="shared" si="11"/>
        <v>2.5009661438073947E-3</v>
      </c>
      <c r="I170" s="39"/>
      <c r="J170" s="47">
        <f t="shared" si="13"/>
        <v>601</v>
      </c>
      <c r="K170" s="49">
        <f t="shared" si="12"/>
        <v>8.7311576332236717E-4</v>
      </c>
      <c r="L170" s="17">
        <v>9.1776045037713434E-4</v>
      </c>
      <c r="M170" s="27"/>
      <c r="N170" s="49">
        <v>3.6568822013883848E-7</v>
      </c>
      <c r="O170" s="27">
        <v>-1.0578654711748601E-2</v>
      </c>
      <c r="Q170" s="2"/>
      <c r="R170" s="24"/>
      <c r="S170" s="24"/>
      <c r="T170" s="24"/>
    </row>
    <row r="171" spans="1:20" x14ac:dyDescent="0.25">
      <c r="A171" s="2">
        <v>45156</v>
      </c>
      <c r="B171" s="20">
        <v>2652</v>
      </c>
      <c r="C171" s="20">
        <v>440</v>
      </c>
      <c r="D171" s="20">
        <v>14100</v>
      </c>
      <c r="E171" s="17">
        <f t="shared" si="10"/>
        <v>-1.6320474777448024E-2</v>
      </c>
      <c r="F171" s="17">
        <f t="shared" si="10"/>
        <v>3.420752565564511E-3</v>
      </c>
      <c r="G171" s="17">
        <f t="shared" si="10"/>
        <v>0</v>
      </c>
      <c r="H171" s="14">
        <f t="shared" si="11"/>
        <v>-2.1982131777978061E-3</v>
      </c>
      <c r="I171" s="39"/>
      <c r="J171" s="47">
        <f t="shared" si="13"/>
        <v>600</v>
      </c>
      <c r="K171" s="49">
        <f t="shared" si="12"/>
        <v>8.5565344805591979E-4</v>
      </c>
      <c r="L171" s="17">
        <v>-2.2801897897707021E-2</v>
      </c>
      <c r="M171" s="27"/>
      <c r="N171" s="49">
        <v>6.9803395449044675E-7</v>
      </c>
      <c r="O171" s="27">
        <v>-1.0463528479854023E-2</v>
      </c>
      <c r="Q171" s="2"/>
      <c r="R171" s="24"/>
      <c r="S171" s="24"/>
      <c r="T171" s="24"/>
    </row>
    <row r="172" spans="1:20" x14ac:dyDescent="0.25">
      <c r="A172" s="2">
        <v>45155</v>
      </c>
      <c r="B172" s="20">
        <v>2696</v>
      </c>
      <c r="C172" s="29">
        <v>438.5</v>
      </c>
      <c r="D172" s="20">
        <v>14100</v>
      </c>
      <c r="E172" s="17">
        <f t="shared" si="10"/>
        <v>1.277235161532686E-2</v>
      </c>
      <c r="F172" s="17">
        <f t="shared" si="10"/>
        <v>0</v>
      </c>
      <c r="G172" s="17">
        <f t="shared" si="10"/>
        <v>3.1833150384193099E-2</v>
      </c>
      <c r="H172" s="14">
        <f t="shared" si="11"/>
        <v>2.7691835430354909E-2</v>
      </c>
      <c r="I172" s="39"/>
      <c r="J172" s="47">
        <f t="shared" si="13"/>
        <v>599</v>
      </c>
      <c r="K172" s="49">
        <f t="shared" si="12"/>
        <v>8.3854037909480148E-4</v>
      </c>
      <c r="L172" s="17">
        <v>-1.2718478261514043E-2</v>
      </c>
      <c r="M172" s="27"/>
      <c r="N172" s="49">
        <v>1.3310285906398349E-8</v>
      </c>
      <c r="O172" s="27">
        <v>-1.0220704212926257E-2</v>
      </c>
      <c r="Q172" s="2"/>
      <c r="R172" s="24"/>
      <c r="S172" s="24"/>
      <c r="T172" s="24"/>
    </row>
    <row r="173" spans="1:20" x14ac:dyDescent="0.25">
      <c r="A173" s="2">
        <v>45154</v>
      </c>
      <c r="B173" s="20">
        <v>2662</v>
      </c>
      <c r="C173" s="29">
        <v>438.5</v>
      </c>
      <c r="D173" s="20">
        <v>13665</v>
      </c>
      <c r="E173" s="17">
        <f t="shared" si="10"/>
        <v>-2.2488755622188661E-3</v>
      </c>
      <c r="F173" s="17">
        <f t="shared" si="10"/>
        <v>-2.2753128555176305E-3</v>
      </c>
      <c r="G173" s="17">
        <f t="shared" si="10"/>
        <v>-7.2648020341445907E-3</v>
      </c>
      <c r="H173" s="14">
        <f t="shared" si="11"/>
        <v>-6.3238191891496062E-3</v>
      </c>
      <c r="I173" s="39"/>
      <c r="J173" s="47">
        <f t="shared" si="13"/>
        <v>598</v>
      </c>
      <c r="K173" s="49">
        <f t="shared" si="12"/>
        <v>8.2176957151290555E-4</v>
      </c>
      <c r="L173" s="17">
        <v>2.8000268536130272E-3</v>
      </c>
      <c r="M173" s="27"/>
      <c r="N173" s="49">
        <v>2.2506575320914471E-8</v>
      </c>
      <c r="O173" s="27">
        <v>-1.0181205285773353E-2</v>
      </c>
      <c r="Q173" s="2"/>
      <c r="R173" s="24"/>
      <c r="S173" s="24"/>
      <c r="T173" s="24"/>
    </row>
    <row r="174" spans="1:20" x14ac:dyDescent="0.25">
      <c r="A174" s="2">
        <v>45153</v>
      </c>
      <c r="B174" s="20">
        <v>2668</v>
      </c>
      <c r="C174" s="29">
        <v>439.5</v>
      </c>
      <c r="D174" s="20">
        <v>13765</v>
      </c>
      <c r="E174" s="17">
        <f t="shared" si="10"/>
        <v>-8.9153046062406816E-3</v>
      </c>
      <c r="F174" s="17">
        <f t="shared" si="10"/>
        <v>-6.7796610169491567E-3</v>
      </c>
      <c r="G174" s="17">
        <f t="shared" si="10"/>
        <v>-9.3558834112990041E-3</v>
      </c>
      <c r="H174" s="14">
        <f t="shared" si="11"/>
        <v>-9.1793062426295102E-3</v>
      </c>
      <c r="I174" s="39"/>
      <c r="J174" s="47">
        <f t="shared" si="13"/>
        <v>597</v>
      </c>
      <c r="K174" s="49">
        <f t="shared" si="12"/>
        <v>8.0533418008264725E-4</v>
      </c>
      <c r="L174" s="17">
        <v>1.1168769064489808E-2</v>
      </c>
      <c r="M174" s="27"/>
      <c r="N174" s="49">
        <v>1.4186438625685444E-2</v>
      </c>
      <c r="O174" s="27">
        <v>-1.0138323389654404E-2</v>
      </c>
      <c r="Q174" s="2"/>
      <c r="R174" s="24"/>
      <c r="S174" s="24"/>
      <c r="T174" s="24"/>
    </row>
    <row r="175" spans="1:20" x14ac:dyDescent="0.25">
      <c r="A175" s="2">
        <v>45152</v>
      </c>
      <c r="B175" s="20">
        <v>2692</v>
      </c>
      <c r="C175" s="29">
        <v>442.5</v>
      </c>
      <c r="D175" s="20">
        <v>13895</v>
      </c>
      <c r="E175" s="17">
        <f t="shared" si="10"/>
        <v>8.2397003745318109E-3</v>
      </c>
      <c r="F175" s="17">
        <f t="shared" si="10"/>
        <v>6.8259385665530026E-3</v>
      </c>
      <c r="G175" s="17">
        <f t="shared" si="10"/>
        <v>-1.3489527866524686E-2</v>
      </c>
      <c r="H175" s="14">
        <f t="shared" si="11"/>
        <v>-9.4702240432394027E-3</v>
      </c>
      <c r="I175" s="39"/>
      <c r="J175" s="47">
        <f t="shared" si="13"/>
        <v>596</v>
      </c>
      <c r="K175" s="49">
        <f t="shared" si="12"/>
        <v>7.8922749648099432E-4</v>
      </c>
      <c r="L175" s="17">
        <v>-6.339904322015177E-4</v>
      </c>
      <c r="M175" s="27"/>
      <c r="N175" s="49">
        <v>2.3026089895627948E-3</v>
      </c>
      <c r="O175" s="27">
        <v>-1.0115722125508221E-2</v>
      </c>
      <c r="Q175" s="2"/>
      <c r="R175" s="24"/>
      <c r="S175" s="24"/>
      <c r="T175" s="24"/>
    </row>
    <row r="176" spans="1:20" x14ac:dyDescent="0.25">
      <c r="A176" s="2">
        <v>45149</v>
      </c>
      <c r="B176" s="20">
        <v>2670</v>
      </c>
      <c r="C176" s="29">
        <v>439.5</v>
      </c>
      <c r="D176" s="20">
        <v>14085</v>
      </c>
      <c r="E176" s="17">
        <f t="shared" si="10"/>
        <v>-3.7313432835820448E-3</v>
      </c>
      <c r="F176" s="17">
        <f t="shared" si="10"/>
        <v>-5.6561085972850478E-3</v>
      </c>
      <c r="G176" s="17">
        <f t="shared" si="10"/>
        <v>1.0039440659734611E-2</v>
      </c>
      <c r="H176" s="14">
        <f t="shared" si="11"/>
        <v>7.3683078668729139E-3</v>
      </c>
      <c r="I176" s="39"/>
      <c r="J176" s="47">
        <f t="shared" si="13"/>
        <v>595</v>
      </c>
      <c r="K176" s="49">
        <f t="shared" si="12"/>
        <v>7.7344294655137455E-4</v>
      </c>
      <c r="L176" s="17">
        <v>-1.1439526410081575E-2</v>
      </c>
      <c r="M176" s="27"/>
      <c r="N176" s="49">
        <v>1.0251997259918995E-5</v>
      </c>
      <c r="O176" s="27">
        <v>-9.9794526692713343E-3</v>
      </c>
      <c r="Q176" s="2"/>
      <c r="R176" s="24"/>
      <c r="S176" s="24"/>
      <c r="T176" s="24"/>
    </row>
    <row r="177" spans="1:20" x14ac:dyDescent="0.25">
      <c r="A177" s="2">
        <v>45148</v>
      </c>
      <c r="B177" s="20">
        <v>2680</v>
      </c>
      <c r="C177" s="20">
        <v>442</v>
      </c>
      <c r="D177" s="20">
        <v>13945</v>
      </c>
      <c r="E177" s="17">
        <f t="shared" si="10"/>
        <v>-6.6716085989622087E-3</v>
      </c>
      <c r="F177" s="17">
        <f t="shared" si="10"/>
        <v>1.1325028312569874E-3</v>
      </c>
      <c r="G177" s="17">
        <f t="shared" si="10"/>
        <v>1.8998903909389853E-2</v>
      </c>
      <c r="H177" s="14">
        <f t="shared" si="11"/>
        <v>1.4520047018492547E-2</v>
      </c>
      <c r="I177" s="39"/>
      <c r="J177" s="47">
        <f t="shared" si="13"/>
        <v>594</v>
      </c>
      <c r="K177" s="49">
        <f t="shared" si="12"/>
        <v>7.5797408762034698E-4</v>
      </c>
      <c r="L177" s="17">
        <v>8.6859507806697281E-3</v>
      </c>
      <c r="M177" s="27"/>
      <c r="N177" s="49">
        <v>1.8399140858107947E-7</v>
      </c>
      <c r="O177" s="27">
        <v>-9.9565102456148618E-3</v>
      </c>
      <c r="Q177" s="2"/>
      <c r="R177" s="24"/>
      <c r="S177" s="24"/>
      <c r="T177" s="24"/>
    </row>
    <row r="178" spans="1:20" x14ac:dyDescent="0.25">
      <c r="A178" s="2">
        <v>45147</v>
      </c>
      <c r="B178" s="20">
        <v>2698</v>
      </c>
      <c r="C178" s="29">
        <v>441.5</v>
      </c>
      <c r="D178" s="20">
        <v>13685</v>
      </c>
      <c r="E178" s="17">
        <f t="shared" si="10"/>
        <v>1.5813253012048278E-2</v>
      </c>
      <c r="F178" s="17">
        <f t="shared" si="10"/>
        <v>1.9630484988452546E-2</v>
      </c>
      <c r="G178" s="17">
        <f t="shared" si="10"/>
        <v>-1.3338139870223475E-2</v>
      </c>
      <c r="H178" s="14">
        <f t="shared" si="11"/>
        <v>-7.694918894183069E-3</v>
      </c>
      <c r="I178" s="39"/>
      <c r="J178" s="47">
        <f t="shared" si="13"/>
        <v>593</v>
      </c>
      <c r="K178" s="49">
        <f t="shared" si="12"/>
        <v>7.4281460586793986E-4</v>
      </c>
      <c r="L178" s="17">
        <v>7.0475201683629779E-3</v>
      </c>
      <c r="M178" s="27"/>
      <c r="N178" s="49">
        <v>2.7574230487474238E-6</v>
      </c>
      <c r="O178" s="27">
        <v>-9.926887406280744E-3</v>
      </c>
      <c r="Q178" s="2"/>
      <c r="R178" s="24"/>
      <c r="S178" s="24"/>
      <c r="T178" s="24"/>
    </row>
    <row r="179" spans="1:20" x14ac:dyDescent="0.25">
      <c r="A179" s="2">
        <v>45146</v>
      </c>
      <c r="B179" s="20">
        <v>2656</v>
      </c>
      <c r="C179" s="20">
        <v>433</v>
      </c>
      <c r="D179" s="20">
        <v>13870</v>
      </c>
      <c r="E179" s="17">
        <f t="shared" si="10"/>
        <v>-1.9926199261992572E-2</v>
      </c>
      <c r="F179" s="17">
        <f t="shared" si="10"/>
        <v>1.6431924882629012E-2</v>
      </c>
      <c r="G179" s="17">
        <f t="shared" si="10"/>
        <v>2.7407407407407325E-2</v>
      </c>
      <c r="H179" s="14">
        <f t="shared" si="11"/>
        <v>2.0113993054263316E-2</v>
      </c>
      <c r="I179" s="39"/>
      <c r="J179" s="47">
        <f t="shared" si="13"/>
        <v>592</v>
      </c>
      <c r="K179" s="49">
        <f t="shared" si="12"/>
        <v>7.2795831375058098E-4</v>
      </c>
      <c r="L179" s="17">
        <v>1.1444708722163719E-2</v>
      </c>
      <c r="M179" s="27"/>
      <c r="N179" s="49">
        <v>6.431704890143202E-9</v>
      </c>
      <c r="O179" s="27">
        <v>-9.8788306415663642E-3</v>
      </c>
      <c r="Q179" s="2"/>
      <c r="R179" s="24"/>
      <c r="S179" s="24"/>
      <c r="T179" s="24"/>
    </row>
    <row r="180" spans="1:20" x14ac:dyDescent="0.25">
      <c r="A180" s="2">
        <v>45145</v>
      </c>
      <c r="B180" s="20">
        <v>2710</v>
      </c>
      <c r="C180" s="20">
        <v>426</v>
      </c>
      <c r="D180" s="20">
        <v>13500</v>
      </c>
      <c r="E180" s="17">
        <f t="shared" si="10"/>
        <v>-1.0226442658875068E-2</v>
      </c>
      <c r="F180" s="17">
        <f t="shared" si="10"/>
        <v>-3.5087719298245723E-3</v>
      </c>
      <c r="G180" s="17">
        <f t="shared" si="10"/>
        <v>1.6949152542372836E-2</v>
      </c>
      <c r="H180" s="14">
        <f t="shared" si="11"/>
        <v>1.2139865656627627E-2</v>
      </c>
      <c r="I180" s="39"/>
      <c r="J180" s="47">
        <f t="shared" si="13"/>
        <v>591</v>
      </c>
      <c r="K180" s="49">
        <f t="shared" si="12"/>
        <v>7.1339914747556939E-4</v>
      </c>
      <c r="L180" s="17">
        <v>2.5009661438073947E-3</v>
      </c>
      <c r="M180" s="27"/>
      <c r="N180" s="49">
        <v>5.3708485192310721E-6</v>
      </c>
      <c r="O180" s="27">
        <v>-9.7369817339236532E-3</v>
      </c>
      <c r="Q180" s="2"/>
      <c r="R180" s="24"/>
      <c r="S180" s="24"/>
      <c r="T180" s="24"/>
    </row>
    <row r="181" spans="1:20" x14ac:dyDescent="0.25">
      <c r="A181" s="2">
        <v>45142</v>
      </c>
      <c r="B181" s="20">
        <v>2738</v>
      </c>
      <c r="C181" s="29">
        <v>427.5</v>
      </c>
      <c r="D181" s="20">
        <v>13275</v>
      </c>
      <c r="E181" s="17">
        <f t="shared" si="10"/>
        <v>-1.5107913669064721E-2</v>
      </c>
      <c r="F181" s="17">
        <f t="shared" si="10"/>
        <v>1.1709601873535203E-3</v>
      </c>
      <c r="G181" s="17">
        <f t="shared" si="10"/>
        <v>1.1043412033511002E-2</v>
      </c>
      <c r="H181" s="14">
        <f t="shared" si="11"/>
        <v>6.8465566361728455E-3</v>
      </c>
      <c r="I181" s="39"/>
      <c r="J181" s="47">
        <f t="shared" si="13"/>
        <v>590</v>
      </c>
      <c r="K181" s="49">
        <f t="shared" si="12"/>
        <v>6.99131164526058E-4</v>
      </c>
      <c r="L181" s="17">
        <v>-2.1982131777978061E-3</v>
      </c>
      <c r="M181" s="27"/>
      <c r="N181" s="49">
        <v>6.5767225033317741E-5</v>
      </c>
      <c r="O181" s="27">
        <v>-9.6544352348654529E-3</v>
      </c>
      <c r="Q181" s="2"/>
      <c r="R181" s="24"/>
      <c r="S181" s="24"/>
      <c r="T181" s="24"/>
    </row>
    <row r="182" spans="1:20" x14ac:dyDescent="0.25">
      <c r="A182" s="2">
        <v>45141</v>
      </c>
      <c r="B182" s="20">
        <v>2780</v>
      </c>
      <c r="C182" s="20">
        <v>427</v>
      </c>
      <c r="D182" s="20">
        <v>13130</v>
      </c>
      <c r="E182" s="17">
        <f t="shared" si="10"/>
        <v>-8.5592011412267688E-3</v>
      </c>
      <c r="F182" s="17">
        <f t="shared" si="10"/>
        <v>7.0754716981131782E-3</v>
      </c>
      <c r="G182" s="17">
        <f t="shared" si="10"/>
        <v>1.5860735009671112E-2</v>
      </c>
      <c r="H182" s="14">
        <f t="shared" si="11"/>
        <v>1.1960786472530596E-2</v>
      </c>
      <c r="I182" s="39"/>
      <c r="J182" s="47">
        <f t="shared" si="13"/>
        <v>589</v>
      </c>
      <c r="K182" s="49">
        <f t="shared" si="12"/>
        <v>6.8514854123553697E-4</v>
      </c>
      <c r="L182" s="17">
        <v>2.7691835430354909E-2</v>
      </c>
      <c r="M182" s="27"/>
      <c r="N182" s="49">
        <v>5.2606766467758342E-7</v>
      </c>
      <c r="O182" s="27">
        <v>-9.6359598435770653E-3</v>
      </c>
      <c r="Q182" s="2"/>
      <c r="R182" s="24"/>
      <c r="S182" s="24"/>
      <c r="T182" s="24"/>
    </row>
    <row r="183" spans="1:20" x14ac:dyDescent="0.25">
      <c r="A183" s="2">
        <v>45140</v>
      </c>
      <c r="B183" s="20">
        <v>2804</v>
      </c>
      <c r="C183" s="20">
        <v>424</v>
      </c>
      <c r="D183" s="20">
        <v>12925</v>
      </c>
      <c r="E183" s="17">
        <f t="shared" si="10"/>
        <v>4.2979942693410766E-3</v>
      </c>
      <c r="F183" s="17">
        <f t="shared" si="10"/>
        <v>2.3640661938533203E-3</v>
      </c>
      <c r="G183" s="17">
        <f t="shared" si="10"/>
        <v>-5.7692307692307487E-3</v>
      </c>
      <c r="H183" s="14">
        <f t="shared" si="11"/>
        <v>-3.9632594814597273E-3</v>
      </c>
      <c r="I183" s="39"/>
      <c r="J183" s="47">
        <f t="shared" si="13"/>
        <v>588</v>
      </c>
      <c r="K183" s="49">
        <f t="shared" si="12"/>
        <v>6.71445570410826E-4</v>
      </c>
      <c r="L183" s="17">
        <v>-6.3238191891496062E-3</v>
      </c>
      <c r="M183" s="27"/>
      <c r="N183" s="49">
        <v>2.8181197197518558E-3</v>
      </c>
      <c r="O183" s="27">
        <v>-9.6046291255553994E-3</v>
      </c>
      <c r="Q183" s="2"/>
      <c r="R183" s="24"/>
      <c r="S183" s="24"/>
      <c r="T183" s="24"/>
    </row>
    <row r="184" spans="1:20" x14ac:dyDescent="0.25">
      <c r="A184" s="2">
        <v>45139</v>
      </c>
      <c r="B184" s="20">
        <v>2792</v>
      </c>
      <c r="C184" s="20">
        <v>423</v>
      </c>
      <c r="D184" s="20">
        <v>13000</v>
      </c>
      <c r="E184" s="17">
        <f t="shared" si="10"/>
        <v>4.3165467625898568E-3</v>
      </c>
      <c r="F184" s="17">
        <f t="shared" si="10"/>
        <v>1.0752688172043001E-2</v>
      </c>
      <c r="G184" s="17">
        <f t="shared" si="10"/>
        <v>1.4832162373145996E-2</v>
      </c>
      <c r="H184" s="14">
        <f t="shared" si="11"/>
        <v>1.3139760678892578E-2</v>
      </c>
      <c r="I184" s="39"/>
      <c r="J184" s="47">
        <f t="shared" si="13"/>
        <v>587</v>
      </c>
      <c r="K184" s="49">
        <f t="shared" si="12"/>
        <v>6.5801665900260963E-4</v>
      </c>
      <c r="L184" s="17">
        <v>-9.1793062426295102E-3</v>
      </c>
      <c r="M184" s="27"/>
      <c r="N184" s="49">
        <v>1.3888160188961927E-4</v>
      </c>
      <c r="O184" s="27">
        <v>-9.5835595210645996E-3</v>
      </c>
      <c r="Q184" s="2"/>
      <c r="R184" s="24"/>
      <c r="S184" s="24"/>
      <c r="T184" s="24"/>
    </row>
    <row r="185" spans="1:20" x14ac:dyDescent="0.25">
      <c r="A185" s="2">
        <v>45138</v>
      </c>
      <c r="B185" s="20">
        <v>2780</v>
      </c>
      <c r="C185" s="29">
        <v>418.5</v>
      </c>
      <c r="D185" s="20">
        <v>12810</v>
      </c>
      <c r="E185" s="17">
        <f t="shared" si="10"/>
        <v>7.1994240460759862E-4</v>
      </c>
      <c r="F185" s="17">
        <f t="shared" si="10"/>
        <v>-7.1174377224199059E-3</v>
      </c>
      <c r="G185" s="17">
        <f t="shared" si="10"/>
        <v>-6.9767441860465462E-3</v>
      </c>
      <c r="H185" s="14">
        <f t="shared" si="11"/>
        <v>-5.8753826735274016E-3</v>
      </c>
      <c r="I185" s="39"/>
      <c r="J185" s="47">
        <f t="shared" si="13"/>
        <v>586</v>
      </c>
      <c r="K185" s="49">
        <f t="shared" si="12"/>
        <v>6.4485632582255727E-4</v>
      </c>
      <c r="L185" s="17">
        <v>-9.4702240432394027E-3</v>
      </c>
      <c r="M185" s="27"/>
      <c r="N185" s="49">
        <v>7.4242581359871442E-5</v>
      </c>
      <c r="O185" s="27">
        <v>-9.5663204908977909E-3</v>
      </c>
      <c r="Q185" s="2"/>
      <c r="R185" s="24"/>
      <c r="S185" s="24"/>
      <c r="T185" s="24"/>
    </row>
    <row r="186" spans="1:20" x14ac:dyDescent="0.25">
      <c r="A186" s="2">
        <v>45135</v>
      </c>
      <c r="B186" s="20">
        <v>2778</v>
      </c>
      <c r="C186" s="29">
        <v>421.5</v>
      </c>
      <c r="D186" s="20">
        <v>12900</v>
      </c>
      <c r="E186" s="17">
        <f t="shared" si="10"/>
        <v>4.3383947939261702E-3</v>
      </c>
      <c r="F186" s="17">
        <f t="shared" si="10"/>
        <v>5.9665871121719061E-3</v>
      </c>
      <c r="G186" s="17">
        <f t="shared" si="10"/>
        <v>5.0642773665756646E-3</v>
      </c>
      <c r="H186" s="14">
        <f t="shared" si="11"/>
        <v>4.9994641115148298E-3</v>
      </c>
      <c r="I186" s="39"/>
      <c r="J186" s="47">
        <f t="shared" si="13"/>
        <v>585</v>
      </c>
      <c r="K186" s="49">
        <f t="shared" si="12"/>
        <v>6.319591993061061E-4</v>
      </c>
      <c r="L186" s="17">
        <v>7.3683078668729139E-3</v>
      </c>
      <c r="M186" s="27"/>
      <c r="N186" s="49">
        <v>2.0386810165555567E-4</v>
      </c>
      <c r="O186" s="27">
        <v>-9.5240224670901062E-3</v>
      </c>
      <c r="Q186" s="2"/>
      <c r="R186" s="24"/>
      <c r="S186" s="24"/>
      <c r="T186" s="24"/>
    </row>
    <row r="187" spans="1:20" x14ac:dyDescent="0.25">
      <c r="A187" s="2">
        <v>45134</v>
      </c>
      <c r="B187" s="20">
        <v>2766</v>
      </c>
      <c r="C187" s="20">
        <v>419</v>
      </c>
      <c r="D187" s="20">
        <v>12835</v>
      </c>
      <c r="E187" s="17">
        <f t="shared" si="10"/>
        <v>-1.4255167498218091E-2</v>
      </c>
      <c r="F187" s="17">
        <f t="shared" si="10"/>
        <v>1.330108827085863E-2</v>
      </c>
      <c r="G187" s="17">
        <f t="shared" si="10"/>
        <v>-5.0387596899225118E-3</v>
      </c>
      <c r="H187" s="14">
        <f t="shared" si="11"/>
        <v>-5.5592824783730968E-3</v>
      </c>
      <c r="I187" s="39"/>
      <c r="J187" s="47">
        <f t="shared" si="13"/>
        <v>584</v>
      </c>
      <c r="K187" s="49">
        <f t="shared" si="12"/>
        <v>6.1932001531998402E-4</v>
      </c>
      <c r="L187" s="17">
        <v>1.4520047018492547E-2</v>
      </c>
      <c r="M187" s="27"/>
      <c r="N187" s="49">
        <v>4.1324657104372101E-5</v>
      </c>
      <c r="O187" s="27">
        <v>-9.5216229197513397E-3</v>
      </c>
      <c r="Q187" s="2"/>
      <c r="R187" s="24"/>
      <c r="S187" s="24"/>
      <c r="T187" s="24"/>
    </row>
    <row r="188" spans="1:20" x14ac:dyDescent="0.25">
      <c r="A188" s="2">
        <v>45133</v>
      </c>
      <c r="B188" s="20">
        <v>2806</v>
      </c>
      <c r="C188" s="29">
        <v>413.5</v>
      </c>
      <c r="D188" s="20">
        <v>12900</v>
      </c>
      <c r="E188" s="17">
        <f t="shared" si="10"/>
        <v>-9.8800282286520824E-3</v>
      </c>
      <c r="F188" s="17">
        <f t="shared" si="10"/>
        <v>2.4242424242424399E-3</v>
      </c>
      <c r="G188" s="17">
        <f t="shared" si="10"/>
        <v>-5.3970701619121542E-3</v>
      </c>
      <c r="H188" s="14">
        <f t="shared" si="11"/>
        <v>-5.6985559939567556E-3</v>
      </c>
      <c r="I188" s="39"/>
      <c r="J188" s="47">
        <f t="shared" si="13"/>
        <v>583</v>
      </c>
      <c r="K188" s="49">
        <f t="shared" si="12"/>
        <v>6.0693361501358426E-4</v>
      </c>
      <c r="L188" s="17">
        <v>-7.694918894183069E-3</v>
      </c>
      <c r="M188" s="27"/>
      <c r="N188" s="49">
        <v>1.5025569101148965E-8</v>
      </c>
      <c r="O188" s="27">
        <v>-9.5148457494650916E-3</v>
      </c>
      <c r="Q188" s="2"/>
      <c r="R188" s="24"/>
      <c r="S188" s="24"/>
      <c r="T188" s="24"/>
    </row>
    <row r="189" spans="1:20" x14ac:dyDescent="0.25">
      <c r="A189" s="2">
        <v>45132</v>
      </c>
      <c r="B189" s="20">
        <v>2834</v>
      </c>
      <c r="C189" s="29">
        <v>412.5</v>
      </c>
      <c r="D189" s="20">
        <v>12970</v>
      </c>
      <c r="E189" s="17">
        <f t="shared" si="10"/>
        <v>6.3920454545454142E-3</v>
      </c>
      <c r="F189" s="17">
        <f t="shared" si="10"/>
        <v>-8.4134615384615641E-3</v>
      </c>
      <c r="G189" s="17">
        <f t="shared" si="10"/>
        <v>9.7314130011678657E-3</v>
      </c>
      <c r="H189" s="14">
        <f t="shared" si="11"/>
        <v>8.4537428093187147E-3</v>
      </c>
      <c r="I189" s="39"/>
      <c r="J189" s="47">
        <f t="shared" si="13"/>
        <v>582</v>
      </c>
      <c r="K189" s="49">
        <f t="shared" si="12"/>
        <v>5.9479494271331263E-4</v>
      </c>
      <c r="L189" s="17">
        <v>2.0113993054263316E-2</v>
      </c>
      <c r="M189" s="27"/>
      <c r="N189" s="49">
        <v>6.4485632582255727E-4</v>
      </c>
      <c r="O189" s="27">
        <v>-9.4702240432394027E-3</v>
      </c>
      <c r="Q189" s="2"/>
      <c r="R189" s="24"/>
      <c r="S189" s="24"/>
      <c r="T189" s="24"/>
    </row>
    <row r="190" spans="1:20" x14ac:dyDescent="0.25">
      <c r="A190" s="2">
        <v>45131</v>
      </c>
      <c r="B190" s="20">
        <v>2816</v>
      </c>
      <c r="C190" s="20">
        <v>416</v>
      </c>
      <c r="D190" s="20">
        <v>12845</v>
      </c>
      <c r="E190" s="17">
        <f t="shared" si="10"/>
        <v>-2.2222222222222254E-2</v>
      </c>
      <c r="F190" s="17">
        <f t="shared" si="10"/>
        <v>8.4848484848485395E-3</v>
      </c>
      <c r="G190" s="17">
        <f t="shared" si="10"/>
        <v>7.4509803921569695E-3</v>
      </c>
      <c r="H190" s="14">
        <f t="shared" si="11"/>
        <v>3.2264678122759173E-3</v>
      </c>
      <c r="I190" s="39"/>
      <c r="J190" s="47">
        <f t="shared" si="13"/>
        <v>581</v>
      </c>
      <c r="K190" s="49">
        <f t="shared" si="12"/>
        <v>5.8289904385904628E-4</v>
      </c>
      <c r="L190" s="32">
        <v>1.2139865656627627E-2</v>
      </c>
      <c r="M190" s="27"/>
      <c r="N190" s="49">
        <v>7.2719648032848795E-6</v>
      </c>
      <c r="O190" s="27">
        <v>-9.360484065360641E-3</v>
      </c>
      <c r="Q190" s="2"/>
      <c r="R190" s="24"/>
      <c r="S190" s="24"/>
      <c r="T190" s="24"/>
    </row>
    <row r="191" spans="1:20" x14ac:dyDescent="0.25">
      <c r="A191" s="2">
        <v>45128</v>
      </c>
      <c r="B191" s="20">
        <v>2880</v>
      </c>
      <c r="C191" s="29">
        <v>412.5</v>
      </c>
      <c r="D191" s="20">
        <v>12750</v>
      </c>
      <c r="E191" s="17">
        <f t="shared" si="10"/>
        <v>3.4843205574912606E-3</v>
      </c>
      <c r="F191" s="17">
        <f t="shared" si="10"/>
        <v>1.2135922330096527E-3</v>
      </c>
      <c r="G191" s="17">
        <f t="shared" si="10"/>
        <v>7.905138339920903E-3</v>
      </c>
      <c r="H191" s="14">
        <f t="shared" si="11"/>
        <v>6.9750161112312522E-3</v>
      </c>
      <c r="I191" s="39"/>
      <c r="J191" s="47">
        <f t="shared" si="13"/>
        <v>580</v>
      </c>
      <c r="K191" s="49">
        <f t="shared" si="12"/>
        <v>5.7124106298186549E-4</v>
      </c>
      <c r="L191" s="17">
        <v>6.8465566361728455E-3</v>
      </c>
      <c r="M191" s="27"/>
      <c r="N191" s="49">
        <v>1.0892567361302472E-5</v>
      </c>
      <c r="O191" s="27">
        <v>-9.3428551516760057E-3</v>
      </c>
      <c r="Q191" s="2"/>
      <c r="R191" s="24"/>
      <c r="S191" s="24"/>
      <c r="T191" s="24"/>
    </row>
    <row r="192" spans="1:20" x14ac:dyDescent="0.25">
      <c r="A192" s="2">
        <v>45127</v>
      </c>
      <c r="B192" s="20">
        <v>2870</v>
      </c>
      <c r="C192" s="20">
        <v>412</v>
      </c>
      <c r="D192" s="20">
        <v>12650</v>
      </c>
      <c r="E192" s="17">
        <f t="shared" si="10"/>
        <v>-0.10031347962382442</v>
      </c>
      <c r="F192" s="17">
        <f t="shared" si="10"/>
        <v>-8.4235860409145324E-3</v>
      </c>
      <c r="G192" s="17">
        <f t="shared" si="10"/>
        <v>1.2000000000000011E-2</v>
      </c>
      <c r="H192" s="14">
        <f t="shared" si="11"/>
        <v>-5.0590010384367855E-3</v>
      </c>
      <c r="I192" s="39"/>
      <c r="J192" s="47">
        <f t="shared" si="13"/>
        <v>579</v>
      </c>
      <c r="K192" s="49">
        <f t="shared" si="12"/>
        <v>5.5981624172222815E-4</v>
      </c>
      <c r="L192" s="17">
        <v>1.1960786472530596E-2</v>
      </c>
      <c r="M192" s="27"/>
      <c r="N192" s="49">
        <v>1.0062749701784529E-2</v>
      </c>
      <c r="O192" s="27">
        <v>-9.3365222329906197E-3</v>
      </c>
      <c r="Q192" s="2"/>
      <c r="R192" s="24"/>
      <c r="S192" s="24"/>
      <c r="T192" s="24"/>
    </row>
    <row r="193" spans="1:20" x14ac:dyDescent="0.25">
      <c r="A193" s="2">
        <v>45126</v>
      </c>
      <c r="B193" s="20">
        <v>3190</v>
      </c>
      <c r="C193" s="29">
        <v>415.5</v>
      </c>
      <c r="D193" s="20">
        <v>12500</v>
      </c>
      <c r="E193" s="17">
        <f t="shared" si="10"/>
        <v>1.5923566878980999E-2</v>
      </c>
      <c r="F193" s="17">
        <f t="shared" si="10"/>
        <v>-4.7904191616766623E-3</v>
      </c>
      <c r="G193" s="17">
        <f t="shared" si="10"/>
        <v>-4.3807248108322927E-3</v>
      </c>
      <c r="H193" s="14">
        <f t="shared" si="11"/>
        <v>-1.4769642585019151E-3</v>
      </c>
      <c r="I193" s="39"/>
      <c r="J193" s="47">
        <f t="shared" si="13"/>
        <v>578</v>
      </c>
      <c r="K193" s="49">
        <f t="shared" si="12"/>
        <v>5.4861991688778355E-4</v>
      </c>
      <c r="L193" s="17">
        <v>-3.9632594814597273E-3</v>
      </c>
      <c r="M193" s="27"/>
      <c r="N193" s="49">
        <v>6.5801665900260963E-4</v>
      </c>
      <c r="O193" s="27">
        <v>-9.1793062426295102E-3</v>
      </c>
      <c r="Q193" s="2"/>
      <c r="R193" s="24"/>
      <c r="S193" s="24"/>
      <c r="T193" s="24"/>
    </row>
    <row r="194" spans="1:20" x14ac:dyDescent="0.25">
      <c r="A194" s="2">
        <v>45125</v>
      </c>
      <c r="B194" s="20">
        <v>3140</v>
      </c>
      <c r="C194" s="29">
        <v>417.5</v>
      </c>
      <c r="D194" s="20">
        <v>12555</v>
      </c>
      <c r="E194" s="17">
        <f t="shared" si="10"/>
        <v>6.4102564102563875E-3</v>
      </c>
      <c r="F194" s="17">
        <f t="shared" si="10"/>
        <v>-8.3135391923990776E-3</v>
      </c>
      <c r="G194" s="17">
        <f t="shared" si="10"/>
        <v>2.0731707317073189E-2</v>
      </c>
      <c r="H194" s="14">
        <f t="shared" si="11"/>
        <v>1.7394855979563296E-2</v>
      </c>
      <c r="I194" s="39"/>
      <c r="J194" s="47">
        <f t="shared" si="13"/>
        <v>577</v>
      </c>
      <c r="K194" s="49">
        <f t="shared" si="12"/>
        <v>5.3764751855002782E-4</v>
      </c>
      <c r="L194" s="17">
        <v>1.3139760678892578E-2</v>
      </c>
      <c r="M194" s="27"/>
      <c r="N194" s="49">
        <v>1.3610396985182685E-4</v>
      </c>
      <c r="O194" s="27">
        <v>-9.1650827133656233E-3</v>
      </c>
      <c r="Q194" s="2"/>
      <c r="R194" s="24"/>
      <c r="S194" s="24"/>
      <c r="T194" s="24"/>
    </row>
    <row r="195" spans="1:20" x14ac:dyDescent="0.25">
      <c r="A195" s="2">
        <v>45124</v>
      </c>
      <c r="B195" s="20">
        <v>3120</v>
      </c>
      <c r="C195" s="20">
        <v>421</v>
      </c>
      <c r="D195" s="20">
        <v>12300</v>
      </c>
      <c r="E195" s="17">
        <f t="shared" si="10"/>
        <v>7.7519379844961378E-3</v>
      </c>
      <c r="F195" s="17">
        <f t="shared" si="10"/>
        <v>2.3809523809523725E-3</v>
      </c>
      <c r="G195" s="17">
        <f t="shared" si="10"/>
        <v>8.1366965012197312E-4</v>
      </c>
      <c r="H195" s="14">
        <f t="shared" si="11"/>
        <v>1.8809305758205296E-3</v>
      </c>
      <c r="I195" s="39"/>
      <c r="J195" s="47">
        <f t="shared" si="13"/>
        <v>576</v>
      </c>
      <c r="K195" s="49">
        <f t="shared" si="12"/>
        <v>5.2689456817902735E-4</v>
      </c>
      <c r="L195" s="17">
        <v>-5.8753826735274016E-3</v>
      </c>
      <c r="M195" s="27"/>
      <c r="N195" s="49">
        <v>1.536435519364956E-4</v>
      </c>
      <c r="O195" s="27">
        <v>-9.1392721909575262E-3</v>
      </c>
      <c r="Q195" s="2"/>
      <c r="R195" s="24"/>
      <c r="S195" s="24"/>
      <c r="T195" s="24"/>
    </row>
    <row r="196" spans="1:20" x14ac:dyDescent="0.25">
      <c r="A196" s="2">
        <v>45121</v>
      </c>
      <c r="B196" s="20">
        <v>3096</v>
      </c>
      <c r="C196" s="20">
        <v>420</v>
      </c>
      <c r="D196" s="20">
        <v>12290</v>
      </c>
      <c r="E196" s="17">
        <f t="shared" si="10"/>
        <v>5.1948051948051965E-3</v>
      </c>
      <c r="F196" s="17">
        <f t="shared" si="10"/>
        <v>1.2048192771084265E-2</v>
      </c>
      <c r="G196" s="17">
        <f t="shared" si="10"/>
        <v>5.7283142389525921E-3</v>
      </c>
      <c r="H196" s="14">
        <f t="shared" si="11"/>
        <v>5.9291876698050376E-3</v>
      </c>
      <c r="I196" s="39"/>
      <c r="J196" s="47">
        <f t="shared" si="13"/>
        <v>575</v>
      </c>
      <c r="K196" s="49">
        <f t="shared" si="12"/>
        <v>5.1635667681544672E-4</v>
      </c>
      <c r="L196" s="17">
        <v>4.9994641115148298E-3</v>
      </c>
      <c r="M196" s="27"/>
      <c r="N196" s="49">
        <v>2.4464816844626757E-3</v>
      </c>
      <c r="O196" s="27">
        <v>-9.0793180233468464E-3</v>
      </c>
      <c r="Q196" s="2"/>
      <c r="R196" s="24"/>
      <c r="S196" s="24"/>
      <c r="T196" s="24"/>
    </row>
    <row r="197" spans="1:20" x14ac:dyDescent="0.25">
      <c r="A197" s="2">
        <v>45120</v>
      </c>
      <c r="B197" s="20">
        <v>3080</v>
      </c>
      <c r="C197" s="20">
        <v>415</v>
      </c>
      <c r="D197" s="20">
        <v>12220</v>
      </c>
      <c r="E197" s="17">
        <f t="shared" si="10"/>
        <v>2.6041666666667407E-3</v>
      </c>
      <c r="F197" s="17">
        <f t="shared" si="10"/>
        <v>0</v>
      </c>
      <c r="G197" s="17">
        <f t="shared" si="10"/>
        <v>1.0752688172043001E-2</v>
      </c>
      <c r="H197" s="14">
        <f t="shared" si="11"/>
        <v>9.1077406597325251E-3</v>
      </c>
      <c r="I197" s="39"/>
      <c r="J197" s="47">
        <f t="shared" si="13"/>
        <v>574</v>
      </c>
      <c r="K197" s="49">
        <f t="shared" si="12"/>
        <v>5.0602954327913778E-4</v>
      </c>
      <c r="L197" s="17">
        <v>-5.5592824783730968E-3</v>
      </c>
      <c r="M197" s="27"/>
      <c r="N197" s="49">
        <v>2.1660628400534178E-4</v>
      </c>
      <c r="O197" s="27">
        <v>-9.0660192048999163E-3</v>
      </c>
      <c r="Q197" s="2"/>
      <c r="R197" s="24"/>
      <c r="S197" s="24"/>
      <c r="T197" s="24"/>
    </row>
    <row r="198" spans="1:20" x14ac:dyDescent="0.25">
      <c r="A198" s="2">
        <v>45119</v>
      </c>
      <c r="B198" s="20">
        <v>3072</v>
      </c>
      <c r="C198" s="20">
        <v>415</v>
      </c>
      <c r="D198" s="20">
        <v>12090</v>
      </c>
      <c r="E198" s="17">
        <f t="shared" ref="E198:G261" si="14">+B198/B199-1</f>
        <v>1.5201586252478583E-2</v>
      </c>
      <c r="F198" s="17">
        <f t="shared" si="14"/>
        <v>-3.6014405762304635E-3</v>
      </c>
      <c r="G198" s="17">
        <f t="shared" si="14"/>
        <v>1.1715481171548081E-2</v>
      </c>
      <c r="H198" s="14">
        <f t="shared" ref="H198:H261" si="15">+SUMPRODUCT(E198:G198,$K$9:$M$9)</f>
        <v>1.1544224464679939E-2</v>
      </c>
      <c r="I198" s="39"/>
      <c r="J198" s="47">
        <f t="shared" si="13"/>
        <v>573</v>
      </c>
      <c r="K198" s="49">
        <f t="shared" si="12"/>
        <v>4.9590895241355491E-4</v>
      </c>
      <c r="L198" s="17">
        <v>-5.6985559939567556E-3</v>
      </c>
      <c r="M198" s="27"/>
      <c r="N198" s="49">
        <v>1.6324358041344976E-4</v>
      </c>
      <c r="O198" s="27">
        <v>-8.9387193045603417E-3</v>
      </c>
      <c r="Q198" s="2"/>
      <c r="R198" s="24"/>
      <c r="S198" s="24"/>
      <c r="T198" s="24"/>
    </row>
    <row r="199" spans="1:20" x14ac:dyDescent="0.25">
      <c r="A199" s="2">
        <v>45118</v>
      </c>
      <c r="B199" s="20">
        <v>3026</v>
      </c>
      <c r="C199" s="29">
        <v>416.5</v>
      </c>
      <c r="D199" s="20">
        <v>11950</v>
      </c>
      <c r="E199" s="17">
        <f t="shared" si="14"/>
        <v>7.3235685752330859E-3</v>
      </c>
      <c r="F199" s="17">
        <f t="shared" si="14"/>
        <v>6.0386473429951959E-3</v>
      </c>
      <c r="G199" s="17">
        <f t="shared" si="14"/>
        <v>7.5885328836424737E-3</v>
      </c>
      <c r="H199" s="14">
        <f t="shared" si="15"/>
        <v>7.4823153832911547E-3</v>
      </c>
      <c r="I199" s="39"/>
      <c r="J199" s="47">
        <f t="shared" si="13"/>
        <v>572</v>
      </c>
      <c r="K199" s="49">
        <f t="shared" si="12"/>
        <v>4.8599077336528387E-4</v>
      </c>
      <c r="L199" s="17">
        <v>8.4537428093187147E-3</v>
      </c>
      <c r="M199" s="27"/>
      <c r="N199" s="49">
        <v>5.7064323955484877E-6</v>
      </c>
      <c r="O199" s="27">
        <v>-8.9260424288915806E-3</v>
      </c>
      <c r="Q199" s="2"/>
      <c r="R199" s="24"/>
      <c r="S199" s="24"/>
      <c r="T199" s="24"/>
    </row>
    <row r="200" spans="1:20" x14ac:dyDescent="0.25">
      <c r="A200" s="2">
        <v>45117</v>
      </c>
      <c r="B200" s="20">
        <v>3004</v>
      </c>
      <c r="C200" s="20">
        <v>414</v>
      </c>
      <c r="D200" s="20">
        <v>11860</v>
      </c>
      <c r="E200" s="17">
        <f t="shared" si="14"/>
        <v>0</v>
      </c>
      <c r="F200" s="17">
        <f t="shared" si="14"/>
        <v>1.2091898428052694E-3</v>
      </c>
      <c r="G200" s="17">
        <f t="shared" si="14"/>
        <v>5.0847457627118953E-3</v>
      </c>
      <c r="H200" s="14">
        <f t="shared" si="15"/>
        <v>4.1827971868533247E-3</v>
      </c>
      <c r="I200" s="39"/>
      <c r="J200" s="47">
        <f t="shared" si="13"/>
        <v>571</v>
      </c>
      <c r="K200" s="49">
        <f t="shared" si="12"/>
        <v>4.7627095789797816E-4</v>
      </c>
      <c r="L200" s="17">
        <v>3.2264678122759173E-3</v>
      </c>
      <c r="M200" s="27"/>
      <c r="N200" s="49">
        <v>3.9625914384996009E-8</v>
      </c>
      <c r="O200" s="27">
        <v>-8.7979177365342109E-3</v>
      </c>
      <c r="Q200" s="2"/>
      <c r="R200" s="24"/>
      <c r="S200" s="24"/>
      <c r="T200" s="24"/>
    </row>
    <row r="201" spans="1:20" x14ac:dyDescent="0.25">
      <c r="A201" s="2">
        <v>45114</v>
      </c>
      <c r="B201" s="20">
        <v>3004</v>
      </c>
      <c r="C201" s="29">
        <v>413.5</v>
      </c>
      <c r="D201" s="20">
        <v>11800</v>
      </c>
      <c r="E201" s="17">
        <f t="shared" si="14"/>
        <v>-6.6533599467732962E-4</v>
      </c>
      <c r="F201" s="17">
        <f t="shared" si="14"/>
        <v>-1.2077294685990392E-3</v>
      </c>
      <c r="G201" s="17">
        <f t="shared" si="14"/>
        <v>1.6803102111158985E-2</v>
      </c>
      <c r="H201" s="14">
        <f t="shared" si="15"/>
        <v>1.3498167161134562E-2</v>
      </c>
      <c r="I201" s="39"/>
      <c r="J201" s="47">
        <f t="shared" si="13"/>
        <v>570</v>
      </c>
      <c r="K201" s="49">
        <f t="shared" si="12"/>
        <v>4.667455387400186E-4</v>
      </c>
      <c r="L201" s="17">
        <v>6.9750161112312522E-3</v>
      </c>
      <c r="M201" s="27"/>
      <c r="N201" s="49">
        <v>1.958974583784434E-3</v>
      </c>
      <c r="O201" s="27">
        <v>-8.7497282041435875E-3</v>
      </c>
      <c r="Q201" s="2"/>
      <c r="R201" s="24"/>
      <c r="S201" s="24"/>
      <c r="T201" s="24"/>
    </row>
    <row r="202" spans="1:20" x14ac:dyDescent="0.25">
      <c r="A202" s="2">
        <v>45113</v>
      </c>
      <c r="B202" s="20">
        <v>3006</v>
      </c>
      <c r="C202" s="20">
        <v>414</v>
      </c>
      <c r="D202" s="20">
        <v>11605</v>
      </c>
      <c r="E202" s="17">
        <f t="shared" si="14"/>
        <v>-1.1184210526315796E-2</v>
      </c>
      <c r="F202" s="17">
        <f t="shared" si="14"/>
        <v>2.0961775585696563E-2</v>
      </c>
      <c r="G202" s="17">
        <f t="shared" si="14"/>
        <v>-1.6108520559559136E-2</v>
      </c>
      <c r="H202" s="14">
        <f t="shared" si="15"/>
        <v>-1.3771348531812406E-2</v>
      </c>
      <c r="I202" s="39"/>
      <c r="J202" s="47">
        <f t="shared" si="13"/>
        <v>569</v>
      </c>
      <c r="K202" s="49">
        <f t="shared" si="12"/>
        <v>4.5741062796521818E-4</v>
      </c>
      <c r="L202" s="17">
        <v>-5.0590010384367855E-3</v>
      </c>
      <c r="M202" s="27"/>
      <c r="N202" s="49">
        <v>2.7545373106526655E-8</v>
      </c>
      <c r="O202" s="27">
        <v>-8.6247520847312544E-3</v>
      </c>
      <c r="Q202" s="2"/>
      <c r="R202" s="24"/>
      <c r="S202" s="24"/>
      <c r="T202" s="24"/>
    </row>
    <row r="203" spans="1:20" x14ac:dyDescent="0.25">
      <c r="A203" s="2">
        <v>45112</v>
      </c>
      <c r="B203" s="20">
        <v>3040</v>
      </c>
      <c r="C203" s="29">
        <v>405.5</v>
      </c>
      <c r="D203" s="20">
        <v>11795</v>
      </c>
      <c r="E203" s="17">
        <f t="shared" si="14"/>
        <v>1.1984021304926706E-2</v>
      </c>
      <c r="F203" s="17">
        <f t="shared" si="14"/>
        <v>-3.6855036855036882E-3</v>
      </c>
      <c r="G203" s="17">
        <f t="shared" si="14"/>
        <v>-1.626355296080062E-2</v>
      </c>
      <c r="H203" s="14">
        <f t="shared" si="15"/>
        <v>-1.1646188129508853E-2</v>
      </c>
      <c r="I203" s="39"/>
      <c r="J203" s="47">
        <f t="shared" si="13"/>
        <v>568</v>
      </c>
      <c r="K203" s="49">
        <f t="shared" si="12"/>
        <v>4.4826241540591371E-4</v>
      </c>
      <c r="L203" s="17">
        <v>-1.4769642585019151E-3</v>
      </c>
      <c r="M203" s="27"/>
      <c r="N203" s="49">
        <v>2.7617573253568184E-3</v>
      </c>
      <c r="O203" s="27">
        <v>-8.6106530624584735E-3</v>
      </c>
      <c r="Q203" s="2"/>
      <c r="R203" s="24"/>
      <c r="S203" s="24"/>
      <c r="T203" s="24"/>
    </row>
    <row r="204" spans="1:20" x14ac:dyDescent="0.25">
      <c r="A204" s="2">
        <v>45111</v>
      </c>
      <c r="B204" s="20">
        <v>3004</v>
      </c>
      <c r="C204" s="20">
        <v>407</v>
      </c>
      <c r="D204" s="20">
        <v>11990</v>
      </c>
      <c r="E204" s="17">
        <f t="shared" si="14"/>
        <v>2.001334222815121E-3</v>
      </c>
      <c r="F204" s="17">
        <f t="shared" si="14"/>
        <v>3.6991368680641123E-3</v>
      </c>
      <c r="G204" s="17">
        <f t="shared" si="14"/>
        <v>-3.3250207813798616E-3</v>
      </c>
      <c r="H204" s="14">
        <f t="shared" si="15"/>
        <v>-2.2499807344243082E-3</v>
      </c>
      <c r="I204" s="39"/>
      <c r="J204" s="47">
        <f t="shared" si="13"/>
        <v>567</v>
      </c>
      <c r="K204" s="49">
        <f t="shared" si="12"/>
        <v>4.3929716709779546E-4</v>
      </c>
      <c r="L204" s="17">
        <v>1.7394855979563296E-2</v>
      </c>
      <c r="M204" s="27"/>
      <c r="N204" s="49">
        <v>2.0781096599256504E-6</v>
      </c>
      <c r="O204" s="27">
        <v>-8.5583075659204505E-3</v>
      </c>
      <c r="Q204" s="2"/>
      <c r="R204" s="24"/>
      <c r="S204" s="24"/>
      <c r="T204" s="24"/>
    </row>
    <row r="205" spans="1:20" x14ac:dyDescent="0.25">
      <c r="A205" s="2">
        <v>45110</v>
      </c>
      <c r="B205" s="20">
        <v>2998</v>
      </c>
      <c r="C205" s="29">
        <v>405.5</v>
      </c>
      <c r="D205" s="20">
        <v>12030</v>
      </c>
      <c r="E205" s="17">
        <f t="shared" si="14"/>
        <v>3.3467202141901353E-3</v>
      </c>
      <c r="F205" s="17">
        <f t="shared" si="14"/>
        <v>2.4721878862794533E-3</v>
      </c>
      <c r="G205" s="17">
        <f t="shared" si="14"/>
        <v>-8.2440230832646622E-3</v>
      </c>
      <c r="H205" s="14">
        <f t="shared" si="15"/>
        <v>-6.1053471756917291E-3</v>
      </c>
      <c r="I205" s="39"/>
      <c r="J205" s="47">
        <f t="shared" si="13"/>
        <v>566</v>
      </c>
      <c r="K205" s="49">
        <f t="shared" si="12"/>
        <v>4.3051122375583961E-4</v>
      </c>
      <c r="L205" s="17">
        <v>1.8809305758205296E-3</v>
      </c>
      <c r="M205" s="27"/>
      <c r="N205" s="49">
        <v>1.7670534880126869E-7</v>
      </c>
      <c r="O205" s="27">
        <v>-8.3815390895545343E-3</v>
      </c>
      <c r="Q205" s="2"/>
      <c r="R205" s="24"/>
      <c r="S205" s="24"/>
      <c r="T205" s="24"/>
    </row>
    <row r="206" spans="1:20" x14ac:dyDescent="0.25">
      <c r="A206" s="2">
        <v>45107</v>
      </c>
      <c r="B206" s="20">
        <v>2988</v>
      </c>
      <c r="C206" s="29">
        <v>404.5</v>
      </c>
      <c r="D206" s="20">
        <v>12130</v>
      </c>
      <c r="E206" s="17">
        <f t="shared" si="14"/>
        <v>-3.3355570380253496E-3</v>
      </c>
      <c r="F206" s="17">
        <f t="shared" si="14"/>
        <v>-1.3414634146341475E-2</v>
      </c>
      <c r="G206" s="17">
        <f t="shared" si="14"/>
        <v>4.1390728476822236E-3</v>
      </c>
      <c r="H206" s="14">
        <f t="shared" si="15"/>
        <v>2.2923153262009864E-3</v>
      </c>
      <c r="I206" s="39"/>
      <c r="J206" s="47">
        <f t="shared" si="13"/>
        <v>565</v>
      </c>
      <c r="K206" s="49">
        <f t="shared" si="12"/>
        <v>4.2190099928072279E-4</v>
      </c>
      <c r="L206" s="17">
        <v>5.9291876698050376E-3</v>
      </c>
      <c r="M206" s="27"/>
      <c r="N206" s="49">
        <v>1.7353427093516659E-3</v>
      </c>
      <c r="O206" s="27">
        <v>-8.3424645419471581E-3</v>
      </c>
      <c r="Q206" s="2"/>
      <c r="R206" s="24"/>
      <c r="S206" s="24"/>
      <c r="T206" s="24"/>
    </row>
    <row r="207" spans="1:20" x14ac:dyDescent="0.25">
      <c r="A207" s="2">
        <v>45106</v>
      </c>
      <c r="B207" s="20">
        <v>2998</v>
      </c>
      <c r="C207" s="20">
        <v>410</v>
      </c>
      <c r="D207" s="20">
        <v>12080</v>
      </c>
      <c r="E207" s="17">
        <f t="shared" si="14"/>
        <v>4.0187541862022336E-3</v>
      </c>
      <c r="F207" s="17">
        <f t="shared" si="14"/>
        <v>1.2345679012345734E-2</v>
      </c>
      <c r="G207" s="17">
        <f t="shared" si="14"/>
        <v>3.3222591362125353E-3</v>
      </c>
      <c r="H207" s="14">
        <f t="shared" si="15"/>
        <v>3.8189003034476664E-3</v>
      </c>
      <c r="I207" s="39"/>
      <c r="J207" s="47">
        <f t="shared" si="13"/>
        <v>564</v>
      </c>
      <c r="K207" s="49">
        <f t="shared" si="12"/>
        <v>4.134629792951083E-4</v>
      </c>
      <c r="L207" s="17">
        <v>9.1077406597325251E-3</v>
      </c>
      <c r="M207" s="27"/>
      <c r="N207" s="49">
        <v>1.5645115682162609E-8</v>
      </c>
      <c r="O207" s="27">
        <v>-8.2777681167002602E-3</v>
      </c>
      <c r="Q207" s="2"/>
      <c r="R207" s="24"/>
      <c r="S207" s="24"/>
      <c r="T207" s="24"/>
    </row>
    <row r="208" spans="1:20" x14ac:dyDescent="0.25">
      <c r="A208" s="2">
        <v>45105</v>
      </c>
      <c r="B208" s="20">
        <v>2986</v>
      </c>
      <c r="C208" s="20">
        <v>405</v>
      </c>
      <c r="D208" s="20">
        <v>12040</v>
      </c>
      <c r="E208" s="17">
        <f t="shared" si="14"/>
        <v>1.1517615176151796E-2</v>
      </c>
      <c r="F208" s="17">
        <f t="shared" si="14"/>
        <v>-7.3529411764705621E-3</v>
      </c>
      <c r="G208" s="17">
        <f t="shared" si="14"/>
        <v>-3.7236243276789205E-3</v>
      </c>
      <c r="H208" s="14">
        <f t="shared" si="15"/>
        <v>-1.6898742363374768E-3</v>
      </c>
      <c r="I208" s="39"/>
      <c r="J208" s="47">
        <f t="shared" si="13"/>
        <v>563</v>
      </c>
      <c r="K208" s="49">
        <f t="shared" ref="K208:K271" si="16">+($K$13^($K$1-J208)*(1-$K$13))/(1-$K$13^$K$1)</f>
        <v>4.0519371970920611E-4</v>
      </c>
      <c r="L208" s="17">
        <v>1.1544224464679939E-2</v>
      </c>
      <c r="M208" s="27"/>
      <c r="N208" s="49">
        <v>2.0000004655253357E-2</v>
      </c>
      <c r="O208" s="27">
        <v>-8.2144396181302246E-3</v>
      </c>
      <c r="Q208" s="2"/>
      <c r="R208" s="24"/>
      <c r="S208" s="24"/>
      <c r="T208" s="24"/>
    </row>
    <row r="209" spans="1:20" x14ac:dyDescent="0.25">
      <c r="A209" s="2">
        <v>45104</v>
      </c>
      <c r="B209" s="20">
        <v>2952</v>
      </c>
      <c r="C209" s="20">
        <v>408</v>
      </c>
      <c r="D209" s="20">
        <v>12085</v>
      </c>
      <c r="E209" s="17">
        <f t="shared" si="14"/>
        <v>-1.1386470194239773E-2</v>
      </c>
      <c r="F209" s="17">
        <f t="shared" si="14"/>
        <v>-4.8780487804878092E-3</v>
      </c>
      <c r="G209" s="17">
        <f t="shared" si="14"/>
        <v>9.1858037578287366E-3</v>
      </c>
      <c r="H209" s="14">
        <f t="shared" si="15"/>
        <v>5.6076296798006839E-3</v>
      </c>
      <c r="I209" s="39"/>
      <c r="J209" s="47">
        <f t="shared" ref="J209:J272" si="17">+J208-1</f>
        <v>562</v>
      </c>
      <c r="K209" s="49">
        <f t="shared" si="16"/>
        <v>3.9708984531502202E-4</v>
      </c>
      <c r="L209" s="17">
        <v>7.4823153832911547E-3</v>
      </c>
      <c r="M209" s="27"/>
      <c r="N209" s="49">
        <v>7.5599252899181015E-9</v>
      </c>
      <c r="O209" s="27">
        <v>-8.1799298518411574E-3</v>
      </c>
      <c r="Q209" s="2"/>
      <c r="R209" s="24"/>
      <c r="S209" s="24"/>
      <c r="T209" s="24"/>
    </row>
    <row r="210" spans="1:20" x14ac:dyDescent="0.25">
      <c r="A210" s="2">
        <v>45103</v>
      </c>
      <c r="B210" s="20">
        <v>2986</v>
      </c>
      <c r="C210" s="20">
        <v>410</v>
      </c>
      <c r="D210" s="20">
        <v>11975</v>
      </c>
      <c r="E210" s="17">
        <f t="shared" si="14"/>
        <v>-1.0603048376408242E-2</v>
      </c>
      <c r="F210" s="17">
        <f t="shared" si="14"/>
        <v>1.1097410604192337E-2</v>
      </c>
      <c r="G210" s="17">
        <f t="shared" si="14"/>
        <v>-4.1580041580041582E-3</v>
      </c>
      <c r="H210" s="14">
        <f t="shared" si="15"/>
        <v>-4.4152367843364199E-3</v>
      </c>
      <c r="I210" s="39"/>
      <c r="J210" s="47">
        <f t="shared" si="17"/>
        <v>561</v>
      </c>
      <c r="K210" s="49">
        <f t="shared" si="16"/>
        <v>3.8914804840872161E-4</v>
      </c>
      <c r="L210" s="17">
        <v>4.1827971868533247E-3</v>
      </c>
      <c r="M210" s="27"/>
      <c r="N210" s="49">
        <v>1.504918715740897E-5</v>
      </c>
      <c r="O210" s="27">
        <v>-8.1610613728950541E-3</v>
      </c>
      <c r="Q210" s="2"/>
      <c r="R210" s="24"/>
      <c r="S210" s="24"/>
      <c r="T210" s="24"/>
    </row>
    <row r="211" spans="1:20" x14ac:dyDescent="0.25">
      <c r="A211" s="2">
        <v>45100</v>
      </c>
      <c r="B211" s="20">
        <v>3018</v>
      </c>
      <c r="C211" s="29">
        <v>405.5</v>
      </c>
      <c r="D211" s="20">
        <v>12025</v>
      </c>
      <c r="E211" s="17">
        <f t="shared" si="14"/>
        <v>7.3431241655541601E-3</v>
      </c>
      <c r="F211" s="17">
        <f t="shared" si="14"/>
        <v>1.2345679012346622E-3</v>
      </c>
      <c r="G211" s="17">
        <f t="shared" si="14"/>
        <v>1.2489592006661443E-3</v>
      </c>
      <c r="H211" s="14">
        <f t="shared" si="15"/>
        <v>2.1252687930750636E-3</v>
      </c>
      <c r="I211" s="39"/>
      <c r="J211" s="47">
        <f t="shared" si="17"/>
        <v>560</v>
      </c>
      <c r="K211" s="49">
        <f t="shared" si="16"/>
        <v>3.8136508744054714E-4</v>
      </c>
      <c r="L211" s="17">
        <v>1.3498167161134562E-2</v>
      </c>
      <c r="M211" s="27"/>
      <c r="N211" s="49">
        <v>6.7004092401749658E-8</v>
      </c>
      <c r="O211" s="27">
        <v>-8.0895326107210223E-3</v>
      </c>
      <c r="Q211" s="2"/>
      <c r="R211" s="24"/>
      <c r="S211" s="24"/>
      <c r="T211" s="24"/>
    </row>
    <row r="212" spans="1:20" x14ac:dyDescent="0.25">
      <c r="A212" s="2">
        <v>45099</v>
      </c>
      <c r="B212" s="20">
        <v>2996</v>
      </c>
      <c r="C212" s="20">
        <v>405</v>
      </c>
      <c r="D212" s="20">
        <v>12010</v>
      </c>
      <c r="E212" s="17">
        <f t="shared" si="14"/>
        <v>-1.9986675549633626E-3</v>
      </c>
      <c r="F212" s="17">
        <f t="shared" si="14"/>
        <v>-1.098901098901095E-2</v>
      </c>
      <c r="G212" s="17">
        <f t="shared" si="14"/>
        <v>1.6680567139282232E-3</v>
      </c>
      <c r="H212" s="14">
        <f t="shared" si="15"/>
        <v>5.8437044556387829E-4</v>
      </c>
      <c r="I212" s="39"/>
      <c r="J212" s="47">
        <f t="shared" si="17"/>
        <v>559</v>
      </c>
      <c r="K212" s="49">
        <f t="shared" si="16"/>
        <v>3.7373778569173613E-4</v>
      </c>
      <c r="L212" s="17">
        <v>-1.3771348531812406E-2</v>
      </c>
      <c r="M212" s="27"/>
      <c r="N212" s="49">
        <v>2.7036897102666103E-5</v>
      </c>
      <c r="O212" s="27">
        <v>-8.0217544128372981E-3</v>
      </c>
      <c r="Q212" s="2"/>
      <c r="R212" s="24"/>
      <c r="S212" s="24"/>
      <c r="T212" s="24"/>
    </row>
    <row r="213" spans="1:20" x14ac:dyDescent="0.25">
      <c r="A213" s="2">
        <v>45098</v>
      </c>
      <c r="B213" s="20">
        <v>3002</v>
      </c>
      <c r="C213" s="29">
        <v>409.5</v>
      </c>
      <c r="D213" s="20">
        <v>11990</v>
      </c>
      <c r="E213" s="17">
        <f t="shared" si="14"/>
        <v>3.3422459893048817E-3</v>
      </c>
      <c r="F213" s="17">
        <f t="shared" si="14"/>
        <v>-2.4360535931789995E-3</v>
      </c>
      <c r="G213" s="17">
        <f t="shared" si="14"/>
        <v>7.5630252100840067E-3</v>
      </c>
      <c r="H213" s="14">
        <f t="shared" si="15"/>
        <v>6.5163818640430558E-3</v>
      </c>
      <c r="I213" s="39"/>
      <c r="J213" s="47">
        <f t="shared" si="17"/>
        <v>558</v>
      </c>
      <c r="K213" s="49">
        <f t="shared" si="16"/>
        <v>3.6626302997790137E-4</v>
      </c>
      <c r="L213" s="17">
        <v>-1.1646188129508853E-2</v>
      </c>
      <c r="M213" s="27"/>
      <c r="N213" s="49">
        <v>1.4475957781311678E-2</v>
      </c>
      <c r="O213" s="27">
        <v>-7.7545785346679625E-3</v>
      </c>
      <c r="Q213" s="2"/>
      <c r="R213" s="24"/>
      <c r="S213" s="24"/>
      <c r="T213" s="24"/>
    </row>
    <row r="214" spans="1:20" x14ac:dyDescent="0.25">
      <c r="A214" s="2">
        <v>45097</v>
      </c>
      <c r="B214" s="20">
        <v>2992</v>
      </c>
      <c r="C214" s="29">
        <v>410.5</v>
      </c>
      <c r="D214" s="20">
        <v>11900</v>
      </c>
      <c r="E214" s="17">
        <f t="shared" si="14"/>
        <v>1.2178619756427533E-2</v>
      </c>
      <c r="F214" s="17">
        <f t="shared" si="14"/>
        <v>-6.0532687651331241E-3</v>
      </c>
      <c r="G214" s="17">
        <f t="shared" si="14"/>
        <v>5.9171597633136397E-3</v>
      </c>
      <c r="H214" s="14">
        <f t="shared" si="15"/>
        <v>6.2922907527821698E-3</v>
      </c>
      <c r="I214" s="39"/>
      <c r="J214" s="47">
        <f t="shared" si="17"/>
        <v>557</v>
      </c>
      <c r="K214" s="49">
        <f t="shared" si="16"/>
        <v>3.5893776937834335E-4</v>
      </c>
      <c r="L214" s="17">
        <v>-2.2499807344243082E-3</v>
      </c>
      <c r="M214" s="27"/>
      <c r="N214" s="49">
        <v>7.2757729732674022E-5</v>
      </c>
      <c r="O214" s="27">
        <v>-7.7345079530959622E-3</v>
      </c>
      <c r="Q214" s="2"/>
      <c r="R214" s="24"/>
      <c r="S214" s="24"/>
      <c r="T214" s="24"/>
    </row>
    <row r="215" spans="1:20" x14ac:dyDescent="0.25">
      <c r="A215" s="2">
        <v>45096</v>
      </c>
      <c r="B215" s="20">
        <v>2956</v>
      </c>
      <c r="C215" s="20">
        <v>413</v>
      </c>
      <c r="D215" s="20">
        <v>11830</v>
      </c>
      <c r="E215" s="17">
        <f t="shared" si="14"/>
        <v>-1.3513513513513375E-3</v>
      </c>
      <c r="F215" s="17">
        <f t="shared" si="14"/>
        <v>7.3170731707317138E-3</v>
      </c>
      <c r="G215" s="17">
        <f t="shared" si="14"/>
        <v>-2.0695364238410563E-2</v>
      </c>
      <c r="H215" s="14">
        <f t="shared" si="15"/>
        <v>-1.6681146569846785E-2</v>
      </c>
      <c r="I215" s="39"/>
      <c r="J215" s="47">
        <f t="shared" si="17"/>
        <v>556</v>
      </c>
      <c r="K215" s="49">
        <f t="shared" si="16"/>
        <v>3.5175901399077652E-4</v>
      </c>
      <c r="L215" s="17">
        <v>-6.1053471756917291E-3</v>
      </c>
      <c r="M215" s="27"/>
      <c r="N215" s="49">
        <v>6.0693361501358426E-4</v>
      </c>
      <c r="O215" s="27">
        <v>-7.694918894183069E-3</v>
      </c>
      <c r="Q215" s="2"/>
      <c r="R215" s="24"/>
      <c r="S215" s="24"/>
      <c r="T215" s="24"/>
    </row>
    <row r="216" spans="1:20" x14ac:dyDescent="0.25">
      <c r="A216" s="2">
        <v>45093</v>
      </c>
      <c r="B216" s="20">
        <v>2960</v>
      </c>
      <c r="C216" s="20">
        <v>410</v>
      </c>
      <c r="D216" s="20">
        <v>12080</v>
      </c>
      <c r="E216" s="17">
        <f t="shared" si="14"/>
        <v>-5.3763440860215006E-3</v>
      </c>
      <c r="F216" s="17">
        <f t="shared" si="14"/>
        <v>1.4851485148514865E-2</v>
      </c>
      <c r="G216" s="17">
        <f t="shared" si="14"/>
        <v>-7.8028747433265266E-3</v>
      </c>
      <c r="H216" s="14">
        <f t="shared" si="15"/>
        <v>-6.4584499848884969E-3</v>
      </c>
      <c r="I216" s="39"/>
      <c r="J216" s="47">
        <f t="shared" si="17"/>
        <v>555</v>
      </c>
      <c r="K216" s="49">
        <f t="shared" si="16"/>
        <v>3.447238337109609E-4</v>
      </c>
      <c r="L216" s="17">
        <v>2.2923153262009864E-3</v>
      </c>
      <c r="M216" s="27"/>
      <c r="N216" s="49">
        <v>5.4890721721937508E-3</v>
      </c>
      <c r="O216" s="27">
        <v>-7.6819363666162637E-3</v>
      </c>
      <c r="Q216" s="2"/>
      <c r="R216" s="24"/>
      <c r="S216" s="24"/>
      <c r="T216" s="24"/>
    </row>
    <row r="217" spans="1:20" x14ac:dyDescent="0.25">
      <c r="A217" s="2">
        <v>45092</v>
      </c>
      <c r="B217" s="20">
        <v>2976</v>
      </c>
      <c r="C217" s="20">
        <v>404</v>
      </c>
      <c r="D217" s="20">
        <v>12175</v>
      </c>
      <c r="E217" s="17">
        <f t="shared" si="14"/>
        <v>-8.0000000000000071E-3</v>
      </c>
      <c r="F217" s="17">
        <f t="shared" si="14"/>
        <v>-1.2224938875305624E-2</v>
      </c>
      <c r="G217" s="17">
        <f t="shared" si="14"/>
        <v>1.9681742043551109E-2</v>
      </c>
      <c r="H217" s="14">
        <f t="shared" si="15"/>
        <v>1.4296655047853282E-2</v>
      </c>
      <c r="I217" s="39"/>
      <c r="J217" s="47">
        <f t="shared" si="17"/>
        <v>554</v>
      </c>
      <c r="K217" s="49">
        <f t="shared" si="16"/>
        <v>3.3782935703674175E-4</v>
      </c>
      <c r="L217" s="17">
        <v>3.8189003034476664E-3</v>
      </c>
      <c r="M217" s="27"/>
      <c r="N217" s="49">
        <v>2.8681146508253492E-8</v>
      </c>
      <c r="O217" s="27">
        <v>-7.5862227358476876E-3</v>
      </c>
      <c r="Q217" s="2"/>
      <c r="R217" s="24"/>
      <c r="S217" s="24"/>
      <c r="T217" s="24"/>
    </row>
    <row r="218" spans="1:20" x14ac:dyDescent="0.25">
      <c r="A218" s="2">
        <v>45091</v>
      </c>
      <c r="B218" s="20">
        <v>3000</v>
      </c>
      <c r="C218" s="20">
        <v>409</v>
      </c>
      <c r="D218" s="20">
        <v>11940</v>
      </c>
      <c r="E218" s="17">
        <f t="shared" si="14"/>
        <v>-1.3157894736842146E-2</v>
      </c>
      <c r="F218" s="17">
        <f t="shared" si="14"/>
        <v>3.6809815950920033E-3</v>
      </c>
      <c r="G218" s="17">
        <f t="shared" si="14"/>
        <v>7.5949367088608E-3</v>
      </c>
      <c r="H218" s="14">
        <f t="shared" si="15"/>
        <v>4.436685525703715E-3</v>
      </c>
      <c r="I218" s="39"/>
      <c r="J218" s="47">
        <f t="shared" si="17"/>
        <v>553</v>
      </c>
      <c r="K218" s="49">
        <f t="shared" si="16"/>
        <v>3.3107276989600688E-4</v>
      </c>
      <c r="L218" s="17">
        <v>-1.6898742363374768E-3</v>
      </c>
      <c r="M218" s="27"/>
      <c r="N218" s="49">
        <v>5.1581629178695209E-6</v>
      </c>
      <c r="O218" s="27">
        <v>-7.564830941476094E-3</v>
      </c>
      <c r="Q218" s="2"/>
      <c r="R218" s="24"/>
      <c r="S218" s="24"/>
      <c r="T218" s="24"/>
    </row>
    <row r="219" spans="1:20" x14ac:dyDescent="0.25">
      <c r="A219" s="2">
        <v>45090</v>
      </c>
      <c r="B219" s="20">
        <v>3040</v>
      </c>
      <c r="C219" s="29">
        <v>407.5</v>
      </c>
      <c r="D219" s="20">
        <v>11850</v>
      </c>
      <c r="E219" s="17">
        <f t="shared" si="14"/>
        <v>0</v>
      </c>
      <c r="F219" s="17">
        <f t="shared" si="14"/>
        <v>-3.6674816625916762E-3</v>
      </c>
      <c r="G219" s="17">
        <f t="shared" si="14"/>
        <v>-4.2016806722688926E-3</v>
      </c>
      <c r="H219" s="14">
        <f t="shared" si="15"/>
        <v>-3.5735962811136797E-3</v>
      </c>
      <c r="I219" s="39"/>
      <c r="J219" s="47">
        <f t="shared" si="17"/>
        <v>552</v>
      </c>
      <c r="K219" s="49">
        <f t="shared" si="16"/>
        <v>3.2445131449808671E-4</v>
      </c>
      <c r="L219" s="17">
        <v>5.6076296798006839E-3</v>
      </c>
      <c r="M219" s="27"/>
      <c r="N219" s="49">
        <v>1.957949248299956E-4</v>
      </c>
      <c r="O219" s="27">
        <v>-7.5387473508369916E-3</v>
      </c>
      <c r="Q219" s="2"/>
      <c r="R219" s="24"/>
      <c r="S219" s="24"/>
      <c r="T219" s="24"/>
    </row>
    <row r="220" spans="1:20" x14ac:dyDescent="0.25">
      <c r="A220" s="2">
        <v>45089</v>
      </c>
      <c r="B220" s="20">
        <v>3040</v>
      </c>
      <c r="C220" s="20">
        <v>409</v>
      </c>
      <c r="D220" s="20">
        <v>11900</v>
      </c>
      <c r="E220" s="17">
        <f t="shared" si="14"/>
        <v>1.3333333333333419E-2</v>
      </c>
      <c r="F220" s="17">
        <f t="shared" si="14"/>
        <v>-1.2210012210012167E-3</v>
      </c>
      <c r="G220" s="17">
        <f t="shared" si="14"/>
        <v>2.7633851468048309E-2</v>
      </c>
      <c r="H220" s="14">
        <f t="shared" si="15"/>
        <v>2.4308376700518761E-2</v>
      </c>
      <c r="I220" s="39"/>
      <c r="J220" s="47">
        <f t="shared" si="17"/>
        <v>551</v>
      </c>
      <c r="K220" s="49">
        <f t="shared" si="16"/>
        <v>3.1796228820812493E-4</v>
      </c>
      <c r="L220" s="17">
        <v>-4.4152367843364199E-3</v>
      </c>
      <c r="M220" s="27"/>
      <c r="N220" s="49">
        <v>1.1827911456761955E-2</v>
      </c>
      <c r="O220" s="27">
        <v>-7.5166111220629243E-3</v>
      </c>
      <c r="Q220" s="2"/>
      <c r="R220" s="24"/>
      <c r="S220" s="24"/>
      <c r="T220" s="24"/>
    </row>
    <row r="221" spans="1:20" x14ac:dyDescent="0.25">
      <c r="A221" s="2">
        <v>45086</v>
      </c>
      <c r="B221" s="20">
        <v>3000</v>
      </c>
      <c r="C221" s="29">
        <v>409.5</v>
      </c>
      <c r="D221" s="20">
        <v>11580</v>
      </c>
      <c r="E221" s="17">
        <f t="shared" si="14"/>
        <v>-3.3222591362126463E-3</v>
      </c>
      <c r="F221" s="17">
        <f t="shared" si="14"/>
        <v>-1.2195121951219523E-3</v>
      </c>
      <c r="G221" s="17">
        <f t="shared" si="14"/>
        <v>5.2083333333332593E-3</v>
      </c>
      <c r="H221" s="14">
        <f t="shared" si="15"/>
        <v>3.6984051475389889E-3</v>
      </c>
      <c r="I221" s="39"/>
      <c r="J221" s="47">
        <f t="shared" si="17"/>
        <v>550</v>
      </c>
      <c r="K221" s="49">
        <f t="shared" si="16"/>
        <v>3.1160304244396244E-4</v>
      </c>
      <c r="L221" s="17">
        <v>2.1252687930750636E-3</v>
      </c>
      <c r="M221" s="27"/>
      <c r="N221" s="49">
        <v>5.6010940532589286E-3</v>
      </c>
      <c r="O221" s="27">
        <v>-7.4702228013487056E-3</v>
      </c>
      <c r="Q221" s="2"/>
      <c r="R221" s="24"/>
      <c r="S221" s="24"/>
      <c r="T221" s="24"/>
    </row>
    <row r="222" spans="1:20" x14ac:dyDescent="0.25">
      <c r="A222" s="2">
        <v>45085</v>
      </c>
      <c r="B222" s="20">
        <v>3010</v>
      </c>
      <c r="C222" s="20">
        <v>410</v>
      </c>
      <c r="D222" s="20">
        <v>11520</v>
      </c>
      <c r="E222" s="17">
        <f t="shared" si="14"/>
        <v>8.0375083724044671E-3</v>
      </c>
      <c r="F222" s="17">
        <f t="shared" si="14"/>
        <v>-1.2180267965895553E-3</v>
      </c>
      <c r="G222" s="17">
        <f t="shared" si="14"/>
        <v>3.3183856502242204E-2</v>
      </c>
      <c r="H222" s="14">
        <f t="shared" si="15"/>
        <v>2.8053990025202473E-2</v>
      </c>
      <c r="I222" s="39"/>
      <c r="J222" s="47">
        <f t="shared" si="17"/>
        <v>549</v>
      </c>
      <c r="K222" s="49">
        <f t="shared" si="16"/>
        <v>3.0537098159508322E-4</v>
      </c>
      <c r="L222" s="17">
        <v>5.8437044556387829E-4</v>
      </c>
      <c r="M222" s="27"/>
      <c r="N222" s="49">
        <v>5.9355064740797359E-8</v>
      </c>
      <c r="O222" s="27">
        <v>-7.2934893695526821E-3</v>
      </c>
      <c r="Q222" s="2"/>
      <c r="R222" s="24"/>
      <c r="S222" s="24"/>
      <c r="T222" s="24"/>
    </row>
    <row r="223" spans="1:20" x14ac:dyDescent="0.25">
      <c r="A223" s="2">
        <v>45084</v>
      </c>
      <c r="B223" s="20">
        <v>2986</v>
      </c>
      <c r="C223" s="29">
        <v>410.5</v>
      </c>
      <c r="D223" s="20">
        <v>11150</v>
      </c>
      <c r="E223" s="17">
        <f t="shared" si="14"/>
        <v>4.710632570659401E-3</v>
      </c>
      <c r="F223" s="17">
        <f t="shared" si="14"/>
        <v>-6.0532687651331241E-3</v>
      </c>
      <c r="G223" s="17">
        <f t="shared" si="14"/>
        <v>1.3636363636363669E-2</v>
      </c>
      <c r="H223" s="14">
        <f t="shared" si="15"/>
        <v>1.1486959295933548E-2</v>
      </c>
      <c r="I223" s="39"/>
      <c r="J223" s="47">
        <f t="shared" si="17"/>
        <v>548</v>
      </c>
      <c r="K223" s="49">
        <f t="shared" si="16"/>
        <v>2.9926356196318153E-4</v>
      </c>
      <c r="L223" s="17">
        <v>6.5163818640430558E-3</v>
      </c>
      <c r="M223" s="27"/>
      <c r="N223" s="49">
        <v>4.5765016397374195E-3</v>
      </c>
      <c r="O223" s="27">
        <v>-7.263281667384415E-3</v>
      </c>
      <c r="Q223" s="2"/>
      <c r="R223" s="24"/>
      <c r="S223" s="24"/>
      <c r="T223" s="24"/>
    </row>
    <row r="224" spans="1:20" x14ac:dyDescent="0.25">
      <c r="A224" s="2">
        <v>45083</v>
      </c>
      <c r="B224" s="20">
        <v>2972</v>
      </c>
      <c r="C224" s="20">
        <v>413</v>
      </c>
      <c r="D224" s="20">
        <v>11000</v>
      </c>
      <c r="E224" s="17">
        <f t="shared" si="14"/>
        <v>5.412719891745521E-3</v>
      </c>
      <c r="F224" s="17">
        <f t="shared" si="14"/>
        <v>4.8661800486617945E-3</v>
      </c>
      <c r="G224" s="17">
        <f t="shared" si="14"/>
        <v>-2.7198549410698547E-3</v>
      </c>
      <c r="H224" s="14">
        <f t="shared" si="15"/>
        <v>-1.216319406899415E-3</v>
      </c>
      <c r="I224" s="39"/>
      <c r="J224" s="47">
        <f t="shared" si="17"/>
        <v>547</v>
      </c>
      <c r="K224" s="49">
        <f t="shared" si="16"/>
        <v>2.9327829072391793E-4</v>
      </c>
      <c r="L224" s="17">
        <v>6.2922907527821698E-3</v>
      </c>
      <c r="M224" s="27"/>
      <c r="N224" s="49">
        <v>4.9487152398729941E-8</v>
      </c>
      <c r="O224" s="27">
        <v>-7.2303436516743926E-3</v>
      </c>
      <c r="Q224" s="2"/>
      <c r="R224" s="24"/>
      <c r="S224" s="24"/>
      <c r="T224" s="24"/>
    </row>
    <row r="225" spans="1:20" x14ac:dyDescent="0.25">
      <c r="A225" s="2">
        <v>45082</v>
      </c>
      <c r="B225" s="20">
        <v>2956</v>
      </c>
      <c r="C225" s="20">
        <v>411</v>
      </c>
      <c r="D225" s="20">
        <v>11030</v>
      </c>
      <c r="E225" s="17">
        <f t="shared" si="14"/>
        <v>1.7205781142463961E-2</v>
      </c>
      <c r="F225" s="17">
        <f t="shared" si="14"/>
        <v>-4.8426150121065881E-3</v>
      </c>
      <c r="G225" s="17">
        <f t="shared" si="14"/>
        <v>5.4694621695532408E-3</v>
      </c>
      <c r="H225" s="14">
        <f t="shared" si="15"/>
        <v>6.705272344266159E-3</v>
      </c>
      <c r="I225" s="39"/>
      <c r="J225" s="47">
        <f t="shared" si="17"/>
        <v>546</v>
      </c>
      <c r="K225" s="49">
        <f t="shared" si="16"/>
        <v>2.8741272490943957E-4</v>
      </c>
      <c r="L225" s="17">
        <v>-1.6681146569846785E-2</v>
      </c>
      <c r="M225" s="27"/>
      <c r="N225" s="49">
        <v>1.6622661138388988E-8</v>
      </c>
      <c r="O225" s="27">
        <v>-7.1415296360555578E-3</v>
      </c>
      <c r="Q225" s="2"/>
      <c r="R225" s="24"/>
      <c r="S225" s="24"/>
      <c r="T225" s="24"/>
    </row>
    <row r="226" spans="1:20" x14ac:dyDescent="0.25">
      <c r="A226" s="2">
        <v>45079</v>
      </c>
      <c r="B226" s="20">
        <v>2906</v>
      </c>
      <c r="C226" s="20">
        <v>413</v>
      </c>
      <c r="D226" s="20">
        <v>10970</v>
      </c>
      <c r="E226" s="17">
        <f t="shared" si="14"/>
        <v>2.6855123674911718E-2</v>
      </c>
      <c r="F226" s="17">
        <f t="shared" si="14"/>
        <v>-1.6666666666666718E-2</v>
      </c>
      <c r="G226" s="17">
        <f t="shared" si="14"/>
        <v>3.2956685499058391E-2</v>
      </c>
      <c r="H226" s="14">
        <f t="shared" si="15"/>
        <v>2.9898628253824604E-2</v>
      </c>
      <c r="I226" s="39"/>
      <c r="J226" s="47">
        <f t="shared" si="17"/>
        <v>545</v>
      </c>
      <c r="K226" s="49">
        <f t="shared" si="16"/>
        <v>2.8166447041125069E-4</v>
      </c>
      <c r="L226" s="17">
        <v>-6.4584499848884969E-3</v>
      </c>
      <c r="M226" s="27"/>
      <c r="N226" s="49">
        <v>9.257295304398112E-8</v>
      </c>
      <c r="O226" s="27">
        <v>-7.1127916544531603E-3</v>
      </c>
      <c r="Q226" s="2"/>
      <c r="R226" s="24"/>
      <c r="S226" s="24"/>
      <c r="T226" s="24"/>
    </row>
    <row r="227" spans="1:20" x14ac:dyDescent="0.25">
      <c r="A227" s="2">
        <v>45078</v>
      </c>
      <c r="B227" s="20">
        <v>2830</v>
      </c>
      <c r="C227" s="20">
        <v>420</v>
      </c>
      <c r="D227" s="20">
        <v>10620</v>
      </c>
      <c r="E227" s="17">
        <f t="shared" si="14"/>
        <v>3.5460992907800915E-3</v>
      </c>
      <c r="F227" s="17">
        <f t="shared" si="14"/>
        <v>4.7846889952152249E-3</v>
      </c>
      <c r="G227" s="17">
        <f t="shared" si="14"/>
        <v>-1.6211208893005979E-2</v>
      </c>
      <c r="H227" s="14">
        <f t="shared" si="15"/>
        <v>-1.2445768926932988E-2</v>
      </c>
      <c r="I227" s="39"/>
      <c r="J227" s="47">
        <f t="shared" si="17"/>
        <v>544</v>
      </c>
      <c r="K227" s="49">
        <f t="shared" si="16"/>
        <v>2.7603118100302576E-4</v>
      </c>
      <c r="L227" s="17">
        <v>1.4296655047853282E-2</v>
      </c>
      <c r="M227" s="27"/>
      <c r="N227" s="49">
        <v>6.7179719186875476E-3</v>
      </c>
      <c r="O227" s="27">
        <v>-7.0792899333453141E-3</v>
      </c>
      <c r="Q227" s="2"/>
      <c r="R227" s="24"/>
      <c r="S227" s="24"/>
      <c r="T227" s="24"/>
    </row>
    <row r="228" spans="1:20" x14ac:dyDescent="0.25">
      <c r="A228" s="2">
        <v>45077</v>
      </c>
      <c r="B228" s="20">
        <v>2820</v>
      </c>
      <c r="C228" s="20">
        <v>418</v>
      </c>
      <c r="D228" s="20">
        <v>10795</v>
      </c>
      <c r="E228" s="17">
        <f t="shared" si="14"/>
        <v>-5.6417489421720646E-3</v>
      </c>
      <c r="F228" s="17">
        <f t="shared" si="14"/>
        <v>1.4563106796116498E-2</v>
      </c>
      <c r="G228" s="17">
        <f t="shared" si="14"/>
        <v>-2.2192028985507206E-2</v>
      </c>
      <c r="H228" s="14">
        <f t="shared" si="15"/>
        <v>-1.8195741716172418E-2</v>
      </c>
      <c r="I228" s="39"/>
      <c r="J228" s="47">
        <f t="shared" si="17"/>
        <v>543</v>
      </c>
      <c r="K228" s="49">
        <f t="shared" si="16"/>
        <v>2.7051055738296515E-4</v>
      </c>
      <c r="L228" s="17">
        <v>4.436685525703715E-3</v>
      </c>
      <c r="M228" s="27"/>
      <c r="N228" s="49">
        <v>3.0489173517811411E-7</v>
      </c>
      <c r="O228" s="27">
        <v>-7.0704026221918423E-3</v>
      </c>
      <c r="Q228" s="2"/>
      <c r="R228" s="24"/>
      <c r="S228" s="24"/>
      <c r="T228" s="24"/>
    </row>
    <row r="229" spans="1:20" x14ac:dyDescent="0.25">
      <c r="A229" s="2">
        <v>45076</v>
      </c>
      <c r="B229" s="20">
        <v>2836</v>
      </c>
      <c r="C229" s="20">
        <v>412</v>
      </c>
      <c r="D229" s="20">
        <v>11040</v>
      </c>
      <c r="E229" s="17">
        <f t="shared" si="14"/>
        <v>-1.0467550593161179E-2</v>
      </c>
      <c r="F229" s="17">
        <f t="shared" si="14"/>
        <v>-1.4354066985645897E-2</v>
      </c>
      <c r="G229" s="17">
        <f t="shared" si="14"/>
        <v>-8.5316569375841755E-3</v>
      </c>
      <c r="H229" s="14">
        <f t="shared" si="15"/>
        <v>-9.0660192048999163E-3</v>
      </c>
      <c r="I229" s="39"/>
      <c r="J229" s="47">
        <f t="shared" si="17"/>
        <v>542</v>
      </c>
      <c r="K229" s="49">
        <f t="shared" si="16"/>
        <v>2.6510034623530588E-4</v>
      </c>
      <c r="L229" s="17">
        <v>-3.5735962811136797E-3</v>
      </c>
      <c r="M229" s="27"/>
      <c r="N229" s="49">
        <v>9.8614947077488389E-3</v>
      </c>
      <c r="O229" s="27">
        <v>-7.0672450769925926E-3</v>
      </c>
      <c r="Q229" s="2"/>
      <c r="R229" s="24"/>
      <c r="S229" s="24"/>
      <c r="T229" s="24"/>
    </row>
    <row r="230" spans="1:20" x14ac:dyDescent="0.25">
      <c r="A230" s="2">
        <v>45072</v>
      </c>
      <c r="B230" s="20">
        <v>2866</v>
      </c>
      <c r="C230" s="20">
        <v>418</v>
      </c>
      <c r="D230" s="20">
        <v>11135</v>
      </c>
      <c r="E230" s="17">
        <f t="shared" si="14"/>
        <v>1.272084805653706E-2</v>
      </c>
      <c r="F230" s="17">
        <f t="shared" si="14"/>
        <v>-1.0650887573964485E-2</v>
      </c>
      <c r="G230" s="17">
        <f t="shared" si="14"/>
        <v>1.3489208633092886E-3</v>
      </c>
      <c r="H230" s="14">
        <f t="shared" si="15"/>
        <v>2.4581502312218751E-3</v>
      </c>
      <c r="I230" s="39"/>
      <c r="J230" s="47">
        <f t="shared" si="17"/>
        <v>541</v>
      </c>
      <c r="K230" s="49">
        <f t="shared" si="16"/>
        <v>2.5979833931059974E-4</v>
      </c>
      <c r="L230" s="17">
        <v>2.4308376700518761E-2</v>
      </c>
      <c r="M230" s="27"/>
      <c r="N230" s="49">
        <v>8.0575591609670285E-3</v>
      </c>
      <c r="O230" s="27">
        <v>-7.0228659145870715E-3</v>
      </c>
      <c r="Q230" s="2"/>
      <c r="R230" s="24"/>
      <c r="S230" s="24"/>
      <c r="T230" s="24"/>
    </row>
    <row r="231" spans="1:20" x14ac:dyDescent="0.25">
      <c r="A231" s="2">
        <v>45071</v>
      </c>
      <c r="B231" s="20">
        <v>2830</v>
      </c>
      <c r="C231" s="29">
        <v>422.5</v>
      </c>
      <c r="D231" s="20">
        <v>11120</v>
      </c>
      <c r="E231" s="17">
        <f t="shared" si="14"/>
        <v>2.0923520923521011E-2</v>
      </c>
      <c r="F231" s="17">
        <f t="shared" si="14"/>
        <v>-2.0857473928157622E-2</v>
      </c>
      <c r="G231" s="17">
        <f t="shared" si="14"/>
        <v>9.0744101633393193E-3</v>
      </c>
      <c r="H231" s="14">
        <f t="shared" si="15"/>
        <v>9.46451438802072E-3</v>
      </c>
      <c r="I231" s="39"/>
      <c r="J231" s="47">
        <f t="shared" si="17"/>
        <v>540</v>
      </c>
      <c r="K231" s="49">
        <f t="shared" si="16"/>
        <v>2.5460237252438779E-4</v>
      </c>
      <c r="L231" s="17">
        <v>3.6984051475389889E-3</v>
      </c>
      <c r="M231" s="27"/>
      <c r="N231" s="49">
        <v>5.4833276693038614E-5</v>
      </c>
      <c r="O231" s="27">
        <v>-6.991748977593094E-3</v>
      </c>
      <c r="Q231" s="2"/>
      <c r="R231" s="24"/>
      <c r="S231" s="24"/>
      <c r="T231" s="24"/>
    </row>
    <row r="232" spans="1:20" x14ac:dyDescent="0.25">
      <c r="A232" s="2">
        <v>45070</v>
      </c>
      <c r="B232" s="20">
        <v>2772</v>
      </c>
      <c r="C232" s="29">
        <v>431.5</v>
      </c>
      <c r="D232" s="20">
        <v>11020</v>
      </c>
      <c r="E232" s="17">
        <f t="shared" si="14"/>
        <v>-2.1598272138229069E-3</v>
      </c>
      <c r="F232" s="17">
        <f t="shared" si="14"/>
        <v>5.8275058275059077E-3</v>
      </c>
      <c r="G232" s="17">
        <f t="shared" si="14"/>
        <v>-1.1659192825112075E-2</v>
      </c>
      <c r="H232" s="14">
        <f t="shared" si="15"/>
        <v>-9.5240224670901062E-3</v>
      </c>
      <c r="I232" s="39"/>
      <c r="J232" s="47">
        <f t="shared" si="17"/>
        <v>539</v>
      </c>
      <c r="K232" s="49">
        <f t="shared" si="16"/>
        <v>2.4951032507390002E-4</v>
      </c>
      <c r="L232" s="17">
        <v>2.8053990025202473E-2</v>
      </c>
      <c r="M232" s="27"/>
      <c r="N232" s="49">
        <v>2.7588670512924596E-5</v>
      </c>
      <c r="O232" s="27">
        <v>-6.9866862878224627E-3</v>
      </c>
      <c r="Q232" s="2"/>
      <c r="R232" s="24"/>
      <c r="S232" s="24"/>
      <c r="T232" s="24"/>
    </row>
    <row r="233" spans="1:20" x14ac:dyDescent="0.25">
      <c r="A233" s="2">
        <v>45069</v>
      </c>
      <c r="B233" s="20">
        <v>2778</v>
      </c>
      <c r="C233" s="20">
        <v>429</v>
      </c>
      <c r="D233" s="20">
        <v>11150</v>
      </c>
      <c r="E233" s="17">
        <f t="shared" si="14"/>
        <v>-8.565310492505307E-3</v>
      </c>
      <c r="F233" s="17">
        <f t="shared" si="14"/>
        <v>5.8616647127784915E-3</v>
      </c>
      <c r="G233" s="17">
        <f t="shared" si="14"/>
        <v>-2.6833631484793896E-3</v>
      </c>
      <c r="H233" s="14">
        <f t="shared" si="15"/>
        <v>-3.154367355411229E-3</v>
      </c>
      <c r="I233" s="39"/>
      <c r="J233" s="47">
        <f t="shared" si="17"/>
        <v>538</v>
      </c>
      <c r="K233" s="49">
        <f t="shared" si="16"/>
        <v>2.4452011857242198E-4</v>
      </c>
      <c r="L233" s="17">
        <v>1.1486959295933548E-2</v>
      </c>
      <c r="M233" s="27"/>
      <c r="N233" s="49">
        <v>4.1259802566634757E-8</v>
      </c>
      <c r="O233" s="27">
        <v>-6.8147333420410638E-3</v>
      </c>
      <c r="Q233" s="2"/>
      <c r="R233" s="24"/>
      <c r="S233" s="24"/>
      <c r="T233" s="24"/>
    </row>
    <row r="234" spans="1:20" x14ac:dyDescent="0.25">
      <c r="A234" s="2">
        <v>45068</v>
      </c>
      <c r="B234" s="20">
        <v>2802</v>
      </c>
      <c r="C234" s="29">
        <v>426.5</v>
      </c>
      <c r="D234" s="20">
        <v>11180</v>
      </c>
      <c r="E234" s="17">
        <f t="shared" si="14"/>
        <v>7.1890726096333069E-3</v>
      </c>
      <c r="F234" s="17">
        <f t="shared" si="14"/>
        <v>1.1737089201877549E-3</v>
      </c>
      <c r="G234" s="17">
        <f t="shared" si="14"/>
        <v>-1.0619469026548645E-2</v>
      </c>
      <c r="H234" s="14">
        <f t="shared" si="15"/>
        <v>-7.5387473508369916E-3</v>
      </c>
      <c r="I234" s="39"/>
      <c r="J234" s="47">
        <f t="shared" si="17"/>
        <v>537</v>
      </c>
      <c r="K234" s="49">
        <f t="shared" si="16"/>
        <v>2.3962971620097349E-4</v>
      </c>
      <c r="L234" s="17">
        <v>-1.216319406899415E-3</v>
      </c>
      <c r="M234" s="27"/>
      <c r="N234" s="49">
        <v>1.4771385491134364E-2</v>
      </c>
      <c r="O234" s="27">
        <v>-6.7916125898599541E-3</v>
      </c>
      <c r="Q234" s="2"/>
      <c r="R234" s="24"/>
      <c r="S234" s="24"/>
      <c r="T234" s="24"/>
    </row>
    <row r="235" spans="1:20" x14ac:dyDescent="0.25">
      <c r="A235" s="2">
        <v>45065</v>
      </c>
      <c r="B235" s="20">
        <v>2782</v>
      </c>
      <c r="C235" s="20">
        <v>426</v>
      </c>
      <c r="D235" s="20">
        <v>11300</v>
      </c>
      <c r="E235" s="17">
        <f t="shared" si="14"/>
        <v>-9.2592592592593004E-3</v>
      </c>
      <c r="F235" s="17">
        <f t="shared" si="14"/>
        <v>2.3529411764706687E-3</v>
      </c>
      <c r="G235" s="17">
        <f t="shared" si="14"/>
        <v>1.8018018018018056E-2</v>
      </c>
      <c r="H235" s="14">
        <f t="shared" si="15"/>
        <v>1.3404658403719474E-2</v>
      </c>
      <c r="I235" s="39"/>
      <c r="J235" s="47">
        <f t="shared" si="17"/>
        <v>536</v>
      </c>
      <c r="K235" s="49">
        <f t="shared" si="16"/>
        <v>2.3483712187695406E-4</v>
      </c>
      <c r="L235" s="17">
        <v>6.705272344266159E-3</v>
      </c>
      <c r="M235" s="27"/>
      <c r="N235" s="49">
        <v>5.4775891782338973E-7</v>
      </c>
      <c r="O235" s="27">
        <v>-6.7500770346219253E-3</v>
      </c>
      <c r="Q235" s="2"/>
      <c r="R235" s="24"/>
      <c r="S235" s="24"/>
      <c r="T235" s="24"/>
    </row>
    <row r="236" spans="1:20" x14ac:dyDescent="0.25">
      <c r="A236" s="2">
        <v>45064</v>
      </c>
      <c r="B236" s="20">
        <v>2808</v>
      </c>
      <c r="C236" s="20">
        <v>425</v>
      </c>
      <c r="D236" s="20">
        <v>11100</v>
      </c>
      <c r="E236" s="17">
        <f t="shared" si="14"/>
        <v>8.6206896551723755E-3</v>
      </c>
      <c r="F236" s="17">
        <f t="shared" si="14"/>
        <v>1.1778563015312216E-3</v>
      </c>
      <c r="G236" s="17">
        <f t="shared" si="14"/>
        <v>2.1159153633854677E-2</v>
      </c>
      <c r="H236" s="14">
        <f t="shared" si="15"/>
        <v>1.8477068659536158E-2</v>
      </c>
      <c r="I236" s="39"/>
      <c r="J236" s="47">
        <f t="shared" si="17"/>
        <v>535</v>
      </c>
      <c r="K236" s="49">
        <f t="shared" si="16"/>
        <v>2.3014037943941496E-4</v>
      </c>
      <c r="L236" s="17">
        <v>2.9898628253824604E-2</v>
      </c>
      <c r="M236" s="27"/>
      <c r="N236" s="49">
        <v>1.13238990691552E-8</v>
      </c>
      <c r="O236" s="27">
        <v>-6.7175817176280414E-3</v>
      </c>
      <c r="Q236" s="2"/>
      <c r="R236" s="24"/>
      <c r="S236" s="24"/>
      <c r="T236" s="24"/>
    </row>
    <row r="237" spans="1:20" x14ac:dyDescent="0.25">
      <c r="A237" s="2">
        <v>45063</v>
      </c>
      <c r="B237" s="20">
        <v>2784</v>
      </c>
      <c r="C237" s="29">
        <v>424.5</v>
      </c>
      <c r="D237" s="20">
        <v>10870</v>
      </c>
      <c r="E237" s="17">
        <f t="shared" si="14"/>
        <v>1.0159651669085612E-2</v>
      </c>
      <c r="F237" s="17">
        <f t="shared" si="14"/>
        <v>1.4336917562723928E-2</v>
      </c>
      <c r="G237" s="17">
        <f t="shared" si="14"/>
        <v>-2.7522935779816793E-3</v>
      </c>
      <c r="H237" s="14">
        <f t="shared" si="15"/>
        <v>-1.4352017931232265E-4</v>
      </c>
      <c r="I237" s="39"/>
      <c r="J237" s="47">
        <f t="shared" si="17"/>
        <v>534</v>
      </c>
      <c r="K237" s="49">
        <f t="shared" si="16"/>
        <v>2.2553757185062666E-4</v>
      </c>
      <c r="L237" s="17">
        <v>-1.2445768926932988E-2</v>
      </c>
      <c r="M237" s="27"/>
      <c r="N237" s="49">
        <v>2.392536435227879E-7</v>
      </c>
      <c r="O237" s="27">
        <v>-6.6998304463049352E-3</v>
      </c>
      <c r="Q237" s="2"/>
      <c r="R237" s="24"/>
      <c r="S237" s="24"/>
      <c r="T237" s="24"/>
    </row>
    <row r="238" spans="1:20" x14ac:dyDescent="0.25">
      <c r="A238" s="2">
        <v>45062</v>
      </c>
      <c r="B238" s="20">
        <v>2756</v>
      </c>
      <c r="C238" s="29">
        <v>418.5</v>
      </c>
      <c r="D238" s="20">
        <v>10900</v>
      </c>
      <c r="E238" s="17">
        <f t="shared" si="14"/>
        <v>5.1057622173595885E-3</v>
      </c>
      <c r="F238" s="17">
        <f t="shared" si="14"/>
        <v>-1.1933174224343368E-3</v>
      </c>
      <c r="G238" s="17">
        <f t="shared" si="14"/>
        <v>1.3780431786862835E-3</v>
      </c>
      <c r="H238" s="14">
        <f t="shared" si="15"/>
        <v>1.8014918384547196E-3</v>
      </c>
      <c r="I238" s="39"/>
      <c r="J238" s="47">
        <f t="shared" si="17"/>
        <v>533</v>
      </c>
      <c r="K238" s="49">
        <f t="shared" si="16"/>
        <v>2.2102682041361411E-4</v>
      </c>
      <c r="L238" s="17">
        <v>-1.8195741716172418E-2</v>
      </c>
      <c r="M238" s="27"/>
      <c r="N238" s="49">
        <v>1.3581924394284031E-8</v>
      </c>
      <c r="O238" s="27">
        <v>-6.5792757172528664E-3</v>
      </c>
      <c r="Q238" s="2"/>
      <c r="R238" s="24"/>
      <c r="S238" s="24"/>
      <c r="T238" s="24"/>
    </row>
    <row r="239" spans="1:20" x14ac:dyDescent="0.25">
      <c r="A239" s="2">
        <v>45061</v>
      </c>
      <c r="B239" s="20">
        <v>2742</v>
      </c>
      <c r="C239" s="20">
        <v>419</v>
      </c>
      <c r="D239" s="20">
        <v>10885</v>
      </c>
      <c r="E239" s="17">
        <f t="shared" si="14"/>
        <v>-2.1834061135370675E-3</v>
      </c>
      <c r="F239" s="17">
        <f t="shared" si="14"/>
        <v>-4.7505938242280443E-3</v>
      </c>
      <c r="G239" s="17">
        <f t="shared" si="14"/>
        <v>2.302025782688677E-3</v>
      </c>
      <c r="H239" s="14">
        <f t="shared" si="15"/>
        <v>1.3467430074383332E-3</v>
      </c>
      <c r="I239" s="39"/>
      <c r="J239" s="47">
        <f t="shared" si="17"/>
        <v>532</v>
      </c>
      <c r="K239" s="49">
        <f t="shared" si="16"/>
        <v>2.1660628400534178E-4</v>
      </c>
      <c r="L239" s="17">
        <v>-9.0660192048999163E-3</v>
      </c>
      <c r="M239" s="27"/>
      <c r="N239" s="49">
        <v>5.3736611159177847E-5</v>
      </c>
      <c r="O239" s="27">
        <v>-6.4804127734343717E-3</v>
      </c>
      <c r="Q239" s="2"/>
      <c r="R239" s="24"/>
      <c r="S239" s="24"/>
      <c r="T239" s="24"/>
    </row>
    <row r="240" spans="1:20" x14ac:dyDescent="0.25">
      <c r="A240" s="2">
        <v>45058</v>
      </c>
      <c r="B240" s="20">
        <v>2748</v>
      </c>
      <c r="C240" s="20">
        <v>421</v>
      </c>
      <c r="D240" s="20">
        <v>10860</v>
      </c>
      <c r="E240" s="17">
        <f t="shared" si="14"/>
        <v>-6.5075921908893664E-3</v>
      </c>
      <c r="F240" s="17">
        <f t="shared" si="14"/>
        <v>1.2019230769230838E-2</v>
      </c>
      <c r="G240" s="17">
        <f t="shared" si="14"/>
        <v>1.3831258644536604E-3</v>
      </c>
      <c r="H240" s="14">
        <f t="shared" si="15"/>
        <v>7.149274652097767E-4</v>
      </c>
      <c r="I240" s="39"/>
      <c r="J240" s="47">
        <f t="shared" si="17"/>
        <v>531</v>
      </c>
      <c r="K240" s="49">
        <f t="shared" si="16"/>
        <v>2.1227415832523498E-4</v>
      </c>
      <c r="L240" s="17">
        <v>2.4581502312218751E-3</v>
      </c>
      <c r="M240" s="27"/>
      <c r="N240" s="49">
        <v>2.8166447041125069E-4</v>
      </c>
      <c r="O240" s="27">
        <v>-6.4584499848884969E-3</v>
      </c>
      <c r="Q240" s="2"/>
      <c r="R240" s="24"/>
      <c r="S240" s="24"/>
      <c r="T240" s="24"/>
    </row>
    <row r="241" spans="1:20" x14ac:dyDescent="0.25">
      <c r="A241" s="2">
        <v>45057</v>
      </c>
      <c r="B241" s="20">
        <v>2766</v>
      </c>
      <c r="C241" s="20">
        <v>416</v>
      </c>
      <c r="D241" s="20">
        <v>10845</v>
      </c>
      <c r="E241" s="17">
        <f t="shared" si="14"/>
        <v>-1.3552068473609125E-2</v>
      </c>
      <c r="F241" s="17">
        <f t="shared" si="14"/>
        <v>2.4096385542169418E-3</v>
      </c>
      <c r="G241" s="17">
        <f t="shared" si="14"/>
        <v>7.8996282527881156E-3</v>
      </c>
      <c r="H241" s="14">
        <f t="shared" si="15"/>
        <v>4.5715730464316907E-3</v>
      </c>
      <c r="I241" s="39"/>
      <c r="J241" s="47">
        <f t="shared" si="17"/>
        <v>530</v>
      </c>
      <c r="K241" s="49">
        <f t="shared" si="16"/>
        <v>2.080286751587303E-4</v>
      </c>
      <c r="L241" s="17">
        <v>9.46451438802072E-3</v>
      </c>
      <c r="M241" s="27"/>
      <c r="N241" s="49">
        <v>3.2462122260271671E-3</v>
      </c>
      <c r="O241" s="27">
        <v>-6.4406235037365121E-3</v>
      </c>
      <c r="Q241" s="2"/>
      <c r="R241" s="24"/>
      <c r="S241" s="24"/>
      <c r="T241" s="24"/>
    </row>
    <row r="242" spans="1:20" x14ac:dyDescent="0.25">
      <c r="A242" s="2">
        <v>45056</v>
      </c>
      <c r="B242" s="20">
        <v>2804</v>
      </c>
      <c r="C242" s="20">
        <v>415</v>
      </c>
      <c r="D242" s="20">
        <v>10760</v>
      </c>
      <c r="E242" s="17">
        <f t="shared" si="14"/>
        <v>2.8612303290413976E-3</v>
      </c>
      <c r="F242" s="17">
        <f t="shared" si="14"/>
        <v>-3.6014405762304635E-3</v>
      </c>
      <c r="G242" s="17">
        <f t="shared" si="14"/>
        <v>-2.8880866425992746E-2</v>
      </c>
      <c r="H242" s="14">
        <f t="shared" si="15"/>
        <v>-2.3202648346530033E-2</v>
      </c>
      <c r="I242" s="39"/>
      <c r="J242" s="47">
        <f t="shared" si="17"/>
        <v>529</v>
      </c>
      <c r="K242" s="49">
        <f t="shared" si="16"/>
        <v>2.0386810165555567E-4</v>
      </c>
      <c r="L242" s="17">
        <v>-9.5240224670901062E-3</v>
      </c>
      <c r="M242" s="27"/>
      <c r="N242" s="49">
        <v>6.71445570410826E-4</v>
      </c>
      <c r="O242" s="27">
        <v>-6.3238191891496062E-3</v>
      </c>
      <c r="Q242" s="2"/>
      <c r="R242" s="24"/>
      <c r="S242" s="24"/>
      <c r="T242" s="24"/>
    </row>
    <row r="243" spans="1:20" x14ac:dyDescent="0.25">
      <c r="A243" s="2">
        <v>45055</v>
      </c>
      <c r="B243" s="20">
        <v>2796</v>
      </c>
      <c r="C243" s="29">
        <v>416.5</v>
      </c>
      <c r="D243" s="20">
        <v>11080</v>
      </c>
      <c r="E243" s="17">
        <f t="shared" si="14"/>
        <v>1.0845986984815648E-2</v>
      </c>
      <c r="F243" s="17">
        <f t="shared" si="14"/>
        <v>-4.9086757990867591E-2</v>
      </c>
      <c r="G243" s="17">
        <f t="shared" si="14"/>
        <v>-1.0272443054935243E-2</v>
      </c>
      <c r="H243" s="14">
        <f t="shared" si="15"/>
        <v>-8.9387193045603417E-3</v>
      </c>
      <c r="I243" s="39"/>
      <c r="J243" s="47">
        <f t="shared" si="17"/>
        <v>528</v>
      </c>
      <c r="K243" s="49">
        <f t="shared" si="16"/>
        <v>1.9979073962244452E-4</v>
      </c>
      <c r="L243" s="17">
        <v>-3.154367355411229E-3</v>
      </c>
      <c r="M243" s="27"/>
      <c r="N243" s="49">
        <v>2.7065221788496814E-3</v>
      </c>
      <c r="O243" s="27">
        <v>-6.192320774689614E-3</v>
      </c>
      <c r="Q243" s="2"/>
      <c r="R243" s="24"/>
      <c r="S243" s="24"/>
      <c r="T243" s="24"/>
    </row>
    <row r="244" spans="1:20" x14ac:dyDescent="0.25">
      <c r="A244" s="2">
        <v>45054</v>
      </c>
      <c r="B244" s="20">
        <v>2766</v>
      </c>
      <c r="C244" s="20">
        <v>438</v>
      </c>
      <c r="D244" s="20">
        <v>11195</v>
      </c>
      <c r="E244" s="17">
        <f t="shared" si="14"/>
        <v>-5.0359712230215736E-3</v>
      </c>
      <c r="F244" s="17">
        <f t="shared" si="14"/>
        <v>1.8604651162790642E-2</v>
      </c>
      <c r="G244" s="17">
        <f t="shared" si="14"/>
        <v>2.2841480127912206E-2</v>
      </c>
      <c r="H244" s="14">
        <f t="shared" si="15"/>
        <v>1.8643821606653233E-2</v>
      </c>
      <c r="I244" s="39"/>
      <c r="J244" s="47">
        <f t="shared" si="17"/>
        <v>527</v>
      </c>
      <c r="K244" s="49">
        <f t="shared" si="16"/>
        <v>1.957949248299956E-4</v>
      </c>
      <c r="L244" s="17">
        <v>-7.5387473508369916E-3</v>
      </c>
      <c r="M244" s="27"/>
      <c r="N244" s="49">
        <v>1.6674959123910062E-2</v>
      </c>
      <c r="O244" s="27">
        <v>-6.1385425414452032E-3</v>
      </c>
      <c r="Q244" s="2"/>
      <c r="R244" s="24"/>
      <c r="S244" s="24"/>
      <c r="T244" s="24"/>
    </row>
    <row r="245" spans="1:20" x14ac:dyDescent="0.25">
      <c r="A245" s="2">
        <v>45051</v>
      </c>
      <c r="B245" s="20">
        <v>2780</v>
      </c>
      <c r="C245" s="20">
        <v>430</v>
      </c>
      <c r="D245" s="20">
        <v>10945</v>
      </c>
      <c r="E245" s="17">
        <f t="shared" si="14"/>
        <v>-7.1428571428571175E-3</v>
      </c>
      <c r="F245" s="17">
        <f t="shared" si="14"/>
        <v>1.1764705882352899E-2</v>
      </c>
      <c r="G245" s="17">
        <f t="shared" si="14"/>
        <v>-2.7334851936218207E-3</v>
      </c>
      <c r="H245" s="14">
        <f t="shared" si="15"/>
        <v>-2.7310537415153697E-3</v>
      </c>
      <c r="I245" s="39"/>
      <c r="J245" s="47">
        <f t="shared" si="17"/>
        <v>526</v>
      </c>
      <c r="K245" s="49">
        <f t="shared" si="16"/>
        <v>1.9187902633339569E-4</v>
      </c>
      <c r="L245" s="17">
        <v>1.3404658403719474E-2</v>
      </c>
      <c r="M245" s="27"/>
      <c r="N245" s="49">
        <v>3.5175901399077652E-4</v>
      </c>
      <c r="O245" s="27">
        <v>-6.1053471756917291E-3</v>
      </c>
      <c r="Q245" s="2"/>
      <c r="R245" s="24"/>
      <c r="S245" s="24"/>
      <c r="T245" s="24"/>
    </row>
    <row r="246" spans="1:20" x14ac:dyDescent="0.25">
      <c r="A246" s="2">
        <v>45050</v>
      </c>
      <c r="B246" s="20">
        <v>2800</v>
      </c>
      <c r="C246" s="20">
        <v>425</v>
      </c>
      <c r="D246" s="20">
        <v>10975</v>
      </c>
      <c r="E246" s="17">
        <f t="shared" si="14"/>
        <v>-2.1382751247327469E-3</v>
      </c>
      <c r="F246" s="17">
        <f t="shared" si="14"/>
        <v>-9.3240093240093413E-3</v>
      </c>
      <c r="G246" s="17">
        <f t="shared" si="14"/>
        <v>-1.036970243462576E-2</v>
      </c>
      <c r="H246" s="14">
        <f t="shared" si="15"/>
        <v>-9.1392721909575262E-3</v>
      </c>
      <c r="I246" s="39"/>
      <c r="J246" s="47">
        <f t="shared" si="17"/>
        <v>525</v>
      </c>
      <c r="K246" s="49">
        <f t="shared" si="16"/>
        <v>1.8804144580672781E-4</v>
      </c>
      <c r="L246" s="17">
        <v>1.8477068659536158E-2</v>
      </c>
      <c r="M246" s="27"/>
      <c r="N246" s="49">
        <v>1.282341690628388E-2</v>
      </c>
      <c r="O246" s="27">
        <v>-6.0419813511680444E-3</v>
      </c>
      <c r="Q246" s="2"/>
      <c r="R246" s="24"/>
      <c r="S246" s="24"/>
      <c r="T246" s="24"/>
    </row>
    <row r="247" spans="1:20" x14ac:dyDescent="0.25">
      <c r="A247" s="2">
        <v>45049</v>
      </c>
      <c r="B247" s="20">
        <v>2806</v>
      </c>
      <c r="C247" s="20">
        <v>429</v>
      </c>
      <c r="D247" s="20">
        <v>11090</v>
      </c>
      <c r="E247" s="17">
        <f t="shared" si="14"/>
        <v>2.0363636363636362E-2</v>
      </c>
      <c r="F247" s="17">
        <f t="shared" si="14"/>
        <v>0</v>
      </c>
      <c r="G247" s="17">
        <f t="shared" si="14"/>
        <v>3.9849976558837374E-2</v>
      </c>
      <c r="H247" s="14">
        <f t="shared" si="15"/>
        <v>3.5295231918023771E-2</v>
      </c>
      <c r="I247" s="39"/>
      <c r="J247" s="47">
        <f t="shared" si="17"/>
        <v>524</v>
      </c>
      <c r="K247" s="49">
        <f t="shared" si="16"/>
        <v>1.8428061689059323E-4</v>
      </c>
      <c r="L247" s="17">
        <v>-1.4352017931232265E-4</v>
      </c>
      <c r="M247" s="27"/>
      <c r="N247" s="49">
        <v>1.3859106524779624E-8</v>
      </c>
      <c r="O247" s="27">
        <v>-6.0134294143530838E-3</v>
      </c>
      <c r="Q247" s="2"/>
      <c r="R247" s="24"/>
      <c r="S247" s="24"/>
      <c r="T247" s="24"/>
    </row>
    <row r="248" spans="1:20" x14ac:dyDescent="0.25">
      <c r="A248" s="2">
        <v>45048</v>
      </c>
      <c r="B248" s="20">
        <v>2750</v>
      </c>
      <c r="C248" s="20">
        <v>429</v>
      </c>
      <c r="D248" s="20">
        <v>10665</v>
      </c>
      <c r="E248" s="17">
        <f t="shared" si="14"/>
        <v>2.9175784099197966E-3</v>
      </c>
      <c r="F248" s="17">
        <f t="shared" si="14"/>
        <v>7.0422535211267512E-3</v>
      </c>
      <c r="G248" s="17">
        <f t="shared" si="14"/>
        <v>3.5436893203883546E-2</v>
      </c>
      <c r="H248" s="14">
        <f t="shared" si="15"/>
        <v>2.9509977090800575E-2</v>
      </c>
      <c r="I248" s="39"/>
      <c r="J248" s="47">
        <f t="shared" si="17"/>
        <v>523</v>
      </c>
      <c r="K248" s="49">
        <f t="shared" si="16"/>
        <v>1.8059500455278138E-4</v>
      </c>
      <c r="L248" s="17">
        <v>1.8014918384547196E-3</v>
      </c>
      <c r="M248" s="27"/>
      <c r="N248" s="49">
        <v>5.2689456817902735E-4</v>
      </c>
      <c r="O248" s="27">
        <v>-5.8753826735274016E-3</v>
      </c>
      <c r="Q248" s="2"/>
      <c r="R248" s="24"/>
      <c r="S248" s="24"/>
      <c r="T248" s="24"/>
    </row>
    <row r="249" spans="1:20" x14ac:dyDescent="0.25">
      <c r="A249" s="2">
        <v>45044</v>
      </c>
      <c r="B249" s="20">
        <v>2742</v>
      </c>
      <c r="C249" s="20">
        <v>426</v>
      </c>
      <c r="D249" s="20">
        <v>10300</v>
      </c>
      <c r="E249" s="17">
        <f t="shared" si="14"/>
        <v>2.9261155815654138E-3</v>
      </c>
      <c r="F249" s="17">
        <f t="shared" si="14"/>
        <v>7.0921985815601829E-3</v>
      </c>
      <c r="G249" s="17">
        <f t="shared" si="14"/>
        <v>1.2782694198623323E-2</v>
      </c>
      <c r="H249" s="14">
        <f t="shared" si="15"/>
        <v>1.1114351682663582E-2</v>
      </c>
      <c r="I249" s="39"/>
      <c r="J249" s="47">
        <f t="shared" si="17"/>
        <v>522</v>
      </c>
      <c r="K249" s="49">
        <f t="shared" si="16"/>
        <v>1.7698310446172572E-4</v>
      </c>
      <c r="L249" s="17">
        <v>1.3467430074383332E-3</v>
      </c>
      <c r="M249" s="27"/>
      <c r="N249" s="49">
        <v>2.7022745877724752E-6</v>
      </c>
      <c r="O249" s="27">
        <v>-5.824589212665183E-3</v>
      </c>
      <c r="Q249" s="2"/>
      <c r="R249" s="24"/>
      <c r="S249" s="24"/>
      <c r="T249" s="24"/>
    </row>
    <row r="250" spans="1:20" x14ac:dyDescent="0.25">
      <c r="A250" s="2">
        <v>45043</v>
      </c>
      <c r="B250" s="20">
        <v>2734</v>
      </c>
      <c r="C250" s="20">
        <v>423</v>
      </c>
      <c r="D250" s="20">
        <v>10170</v>
      </c>
      <c r="E250" s="17">
        <f t="shared" si="14"/>
        <v>4.0334855403348469E-2</v>
      </c>
      <c r="F250" s="17">
        <f t="shared" si="14"/>
        <v>2.3696682464455776E-3</v>
      </c>
      <c r="G250" s="17">
        <f t="shared" si="14"/>
        <v>5.2359271523178874E-2</v>
      </c>
      <c r="H250" s="14">
        <f t="shared" si="15"/>
        <v>4.8432833685325159E-2</v>
      </c>
      <c r="I250" s="39"/>
      <c r="J250" s="47">
        <f t="shared" si="17"/>
        <v>521</v>
      </c>
      <c r="K250" s="49">
        <f t="shared" si="16"/>
        <v>1.7344344237249122E-4</v>
      </c>
      <c r="L250" s="17">
        <v>7.149274652097767E-4</v>
      </c>
      <c r="M250" s="27"/>
      <c r="N250" s="49">
        <v>2.3471420714588702E-5</v>
      </c>
      <c r="O250" s="27">
        <v>-5.7412042524424833E-3</v>
      </c>
      <c r="Q250" s="2"/>
      <c r="R250" s="24"/>
      <c r="S250" s="24"/>
      <c r="T250" s="24"/>
    </row>
    <row r="251" spans="1:20" x14ac:dyDescent="0.25">
      <c r="A251" s="2">
        <v>45042</v>
      </c>
      <c r="B251" s="20">
        <v>2628</v>
      </c>
      <c r="C251" s="20">
        <v>422</v>
      </c>
      <c r="D251" s="20">
        <v>9664</v>
      </c>
      <c r="E251" s="17">
        <f t="shared" si="14"/>
        <v>4.5871559633028358E-3</v>
      </c>
      <c r="F251" s="17">
        <f t="shared" si="14"/>
        <v>4.761904761904745E-3</v>
      </c>
      <c r="G251" s="17">
        <f t="shared" si="14"/>
        <v>-1.2870275791624142E-2</v>
      </c>
      <c r="H251" s="14">
        <f t="shared" si="15"/>
        <v>-9.5835595210645996E-3</v>
      </c>
      <c r="I251" s="39"/>
      <c r="J251" s="47">
        <f t="shared" si="17"/>
        <v>520</v>
      </c>
      <c r="K251" s="49">
        <f t="shared" si="16"/>
        <v>1.6997457352504138E-4</v>
      </c>
      <c r="L251" s="17">
        <v>4.5715730464316907E-3</v>
      </c>
      <c r="M251" s="27"/>
      <c r="N251" s="49">
        <v>1.7362514706278698E-2</v>
      </c>
      <c r="O251" s="37">
        <v>-5.722956844287635E-3</v>
      </c>
      <c r="Q251" s="2"/>
      <c r="R251" s="24"/>
      <c r="S251" s="24"/>
      <c r="T251" s="24"/>
    </row>
    <row r="252" spans="1:20" x14ac:dyDescent="0.25">
      <c r="A252" s="2">
        <v>45041</v>
      </c>
      <c r="B252" s="20">
        <v>2616</v>
      </c>
      <c r="C252" s="20">
        <v>420</v>
      </c>
      <c r="D252" s="20">
        <v>9790</v>
      </c>
      <c r="E252" s="17">
        <f t="shared" si="14"/>
        <v>-1.2084592145015116E-2</v>
      </c>
      <c r="F252" s="17">
        <f t="shared" si="14"/>
        <v>-1.1764705882352899E-2</v>
      </c>
      <c r="G252" s="17">
        <f t="shared" si="14"/>
        <v>-8.5071906015798948E-3</v>
      </c>
      <c r="H252" s="14">
        <f t="shared" si="15"/>
        <v>-9.1650827133656233E-3</v>
      </c>
      <c r="I252" s="39"/>
      <c r="J252" s="47">
        <f t="shared" si="17"/>
        <v>519</v>
      </c>
      <c r="K252" s="49">
        <f t="shared" si="16"/>
        <v>1.6657508205454054E-4</v>
      </c>
      <c r="L252" s="17">
        <v>-2.3202648346530033E-2</v>
      </c>
      <c r="M252" s="27"/>
      <c r="N252" s="49">
        <v>4.9590895241355491E-4</v>
      </c>
      <c r="O252" s="27">
        <v>-5.6985559939567556E-3</v>
      </c>
      <c r="Q252" s="2"/>
      <c r="R252" s="24"/>
      <c r="S252" s="24"/>
      <c r="T252" s="24"/>
    </row>
    <row r="253" spans="1:20" x14ac:dyDescent="0.25">
      <c r="A253" s="2">
        <v>45040</v>
      </c>
      <c r="B253" s="20">
        <v>2648</v>
      </c>
      <c r="C253" s="20">
        <v>425</v>
      </c>
      <c r="D253" s="20">
        <v>9874</v>
      </c>
      <c r="E253" s="17">
        <f t="shared" si="14"/>
        <v>-2.215657311669128E-2</v>
      </c>
      <c r="F253" s="17">
        <f t="shared" si="14"/>
        <v>4.7281323877068626E-3</v>
      </c>
      <c r="G253" s="17">
        <f t="shared" si="14"/>
        <v>-1.555333998005981E-2</v>
      </c>
      <c r="H253" s="14">
        <f t="shared" si="15"/>
        <v>-1.561253121985331E-2</v>
      </c>
      <c r="I253" s="39"/>
      <c r="J253" s="47">
        <f t="shared" si="17"/>
        <v>518</v>
      </c>
      <c r="K253" s="49">
        <f t="shared" si="16"/>
        <v>1.6324358041344976E-4</v>
      </c>
      <c r="L253" s="17">
        <v>-8.9387193045603417E-3</v>
      </c>
      <c r="M253" s="27"/>
      <c r="N253" s="49">
        <v>3.3765253573934704E-5</v>
      </c>
      <c r="O253" s="27">
        <v>-5.6017740692145945E-3</v>
      </c>
      <c r="Q253" s="2"/>
      <c r="R253" s="24"/>
      <c r="S253" s="24"/>
      <c r="T253" s="24"/>
    </row>
    <row r="254" spans="1:20" x14ac:dyDescent="0.25">
      <c r="A254" s="2">
        <v>45037</v>
      </c>
      <c r="B254" s="20">
        <v>2708</v>
      </c>
      <c r="C254" s="20">
        <v>423</v>
      </c>
      <c r="D254" s="20">
        <v>10030</v>
      </c>
      <c r="E254" s="17">
        <f t="shared" si="14"/>
        <v>1.0447761194029903E-2</v>
      </c>
      <c r="F254" s="17">
        <f t="shared" si="14"/>
        <v>1.6826923076923128E-2</v>
      </c>
      <c r="G254" s="17">
        <f t="shared" si="14"/>
        <v>4.4061686360905572E-3</v>
      </c>
      <c r="H254" s="14">
        <f t="shared" si="15"/>
        <v>5.8212134314126352E-3</v>
      </c>
      <c r="I254" s="39"/>
      <c r="J254" s="47">
        <f t="shared" si="17"/>
        <v>517</v>
      </c>
      <c r="K254" s="49">
        <f t="shared" si="16"/>
        <v>1.5997870880518072E-4</v>
      </c>
      <c r="L254" s="17">
        <v>1.8643821606653233E-2</v>
      </c>
      <c r="M254" s="27"/>
      <c r="N254" s="49">
        <v>2.2541952454290987E-5</v>
      </c>
      <c r="O254" s="27">
        <v>-5.5597302514438307E-3</v>
      </c>
      <c r="Q254" s="2"/>
      <c r="R254" s="24"/>
      <c r="S254" s="24"/>
      <c r="T254" s="24"/>
    </row>
    <row r="255" spans="1:20" x14ac:dyDescent="0.25">
      <c r="A255" s="2">
        <v>45036</v>
      </c>
      <c r="B255" s="20">
        <v>2680</v>
      </c>
      <c r="C255" s="20">
        <v>416</v>
      </c>
      <c r="D255" s="20">
        <v>9986</v>
      </c>
      <c r="E255" s="17">
        <f t="shared" si="14"/>
        <v>3.7453183520599342E-3</v>
      </c>
      <c r="F255" s="17">
        <f t="shared" si="14"/>
        <v>-2.3980815347721673E-3</v>
      </c>
      <c r="G255" s="17">
        <f t="shared" si="14"/>
        <v>1.1342920802106526E-2</v>
      </c>
      <c r="H255" s="14">
        <f t="shared" si="15"/>
        <v>9.6459672807007579E-3</v>
      </c>
      <c r="I255" s="39"/>
      <c r="J255" s="47">
        <f t="shared" si="17"/>
        <v>516</v>
      </c>
      <c r="K255" s="49">
        <f t="shared" si="16"/>
        <v>1.5677913462907713E-4</v>
      </c>
      <c r="L255" s="17">
        <v>-2.7310537415153697E-3</v>
      </c>
      <c r="M255" s="27"/>
      <c r="N255" s="49">
        <v>5.0602954327913778E-4</v>
      </c>
      <c r="O255" s="27">
        <v>-5.5592824783730968E-3</v>
      </c>
      <c r="Q255" s="2"/>
      <c r="R255" s="24"/>
      <c r="S255" s="24"/>
      <c r="T255" s="24"/>
    </row>
    <row r="256" spans="1:20" x14ac:dyDescent="0.25">
      <c r="A256" s="2">
        <v>45035</v>
      </c>
      <c r="B256" s="20">
        <v>2670</v>
      </c>
      <c r="C256" s="20">
        <v>417</v>
      </c>
      <c r="D256" s="20">
        <v>9874</v>
      </c>
      <c r="E256" s="17">
        <f t="shared" si="14"/>
        <v>-1.6212232866617549E-2</v>
      </c>
      <c r="F256" s="17">
        <f t="shared" si="14"/>
        <v>-2.3923444976076125E-3</v>
      </c>
      <c r="G256" s="17">
        <f t="shared" si="14"/>
        <v>-2.6262626262626432E-3</v>
      </c>
      <c r="H256" s="14">
        <f t="shared" si="15"/>
        <v>-4.5709882950696135E-3</v>
      </c>
      <c r="I256" s="39"/>
      <c r="J256" s="47">
        <f t="shared" si="17"/>
        <v>515</v>
      </c>
      <c r="K256" s="49">
        <f t="shared" si="16"/>
        <v>1.536435519364956E-4</v>
      </c>
      <c r="L256" s="17">
        <v>-9.1392721909575262E-3</v>
      </c>
      <c r="M256" s="27"/>
      <c r="N256" s="49">
        <v>1.8813991902665703E-3</v>
      </c>
      <c r="O256" s="27">
        <v>-5.4275345412666872E-3</v>
      </c>
      <c r="Q256" s="2"/>
      <c r="R256" s="24"/>
      <c r="S256" s="24"/>
      <c r="T256" s="24"/>
    </row>
    <row r="257" spans="1:20" x14ac:dyDescent="0.25">
      <c r="A257" s="2">
        <v>45034</v>
      </c>
      <c r="B257" s="20">
        <v>2714</v>
      </c>
      <c r="C257" s="20">
        <v>418</v>
      </c>
      <c r="D257" s="20">
        <v>9900</v>
      </c>
      <c r="E257" s="17">
        <f t="shared" si="14"/>
        <v>0</v>
      </c>
      <c r="F257" s="17">
        <f t="shared" si="14"/>
        <v>7.2289156626506035E-3</v>
      </c>
      <c r="G257" s="17">
        <f t="shared" si="14"/>
        <v>-2.4183796856106499E-3</v>
      </c>
      <c r="H257" s="14">
        <f t="shared" si="15"/>
        <v>-1.6465536522737726E-3</v>
      </c>
      <c r="I257" s="39"/>
      <c r="J257" s="47">
        <f t="shared" si="17"/>
        <v>514</v>
      </c>
      <c r="K257" s="49">
        <f t="shared" si="16"/>
        <v>1.5057068089776565E-4</v>
      </c>
      <c r="L257" s="17">
        <v>3.5295231918023771E-2</v>
      </c>
      <c r="M257" s="27"/>
      <c r="N257" s="49">
        <v>5.4718566926922811E-9</v>
      </c>
      <c r="O257" s="27">
        <v>-5.3718723771471666E-3</v>
      </c>
      <c r="Q257" s="2"/>
      <c r="R257" s="24"/>
      <c r="S257" s="24"/>
      <c r="T257" s="24"/>
    </row>
    <row r="258" spans="1:20" x14ac:dyDescent="0.25">
      <c r="A258" s="2">
        <v>45033</v>
      </c>
      <c r="B258" s="20">
        <v>2714</v>
      </c>
      <c r="C258" s="20">
        <v>415</v>
      </c>
      <c r="D258" s="20">
        <v>9924</v>
      </c>
      <c r="E258" s="17">
        <f t="shared" si="14"/>
        <v>5.9303187546331237E-3</v>
      </c>
      <c r="F258" s="17">
        <f t="shared" si="14"/>
        <v>1.7156862745097978E-2</v>
      </c>
      <c r="G258" s="17">
        <f t="shared" si="14"/>
        <v>9.5625635808749276E-3</v>
      </c>
      <c r="H258" s="14">
        <f t="shared" si="15"/>
        <v>9.3735210523650594E-3</v>
      </c>
      <c r="I258" s="39"/>
      <c r="J258" s="47">
        <f t="shared" si="17"/>
        <v>513</v>
      </c>
      <c r="K258" s="49">
        <f t="shared" si="16"/>
        <v>1.4755926727981036E-4</v>
      </c>
      <c r="L258" s="17">
        <v>2.9509977090800575E-2</v>
      </c>
      <c r="M258" s="27"/>
      <c r="N258" s="49">
        <v>1.7689047076516852E-5</v>
      </c>
      <c r="O258" s="27">
        <v>-5.3262535319566293E-3</v>
      </c>
      <c r="Q258" s="2"/>
      <c r="R258" s="24"/>
      <c r="S258" s="24"/>
      <c r="T258" s="24"/>
    </row>
    <row r="259" spans="1:20" x14ac:dyDescent="0.25">
      <c r="A259" s="2">
        <v>45030</v>
      </c>
      <c r="B259" s="20">
        <v>2698</v>
      </c>
      <c r="C259" s="20">
        <v>408</v>
      </c>
      <c r="D259" s="20">
        <v>9830</v>
      </c>
      <c r="E259" s="17">
        <f t="shared" si="14"/>
        <v>3.2924961715160794E-2</v>
      </c>
      <c r="F259" s="17">
        <f t="shared" si="14"/>
        <v>7.4074074074073071E-3</v>
      </c>
      <c r="G259" s="17">
        <f t="shared" si="14"/>
        <v>1.3402061855670055E-2</v>
      </c>
      <c r="H259" s="14">
        <f t="shared" si="15"/>
        <v>1.5948022982766059E-2</v>
      </c>
      <c r="I259" s="39"/>
      <c r="J259" s="47">
        <f t="shared" si="17"/>
        <v>512</v>
      </c>
      <c r="K259" s="49">
        <f t="shared" si="16"/>
        <v>1.4460808193421417E-4</v>
      </c>
      <c r="L259" s="17">
        <v>1.1114351682663582E-2</v>
      </c>
      <c r="M259" s="27"/>
      <c r="N259" s="49">
        <v>1.5072842337892208E-2</v>
      </c>
      <c r="O259" s="27">
        <v>-5.3017778460266946E-3</v>
      </c>
      <c r="Q259" s="2"/>
      <c r="R259" s="24"/>
      <c r="S259" s="24"/>
      <c r="T259" s="24"/>
    </row>
    <row r="260" spans="1:20" x14ac:dyDescent="0.25">
      <c r="A260" s="2">
        <v>45029</v>
      </c>
      <c r="B260" s="20">
        <v>2612</v>
      </c>
      <c r="C260" s="20">
        <v>405</v>
      </c>
      <c r="D260" s="20">
        <v>9700</v>
      </c>
      <c r="E260" s="17">
        <f t="shared" si="14"/>
        <v>-1.7306245297215916E-2</v>
      </c>
      <c r="F260" s="17">
        <f t="shared" si="14"/>
        <v>1.2499999999999956E-2</v>
      </c>
      <c r="G260" s="17">
        <f t="shared" si="14"/>
        <v>-1.7024726388325861E-2</v>
      </c>
      <c r="H260" s="14">
        <f t="shared" si="15"/>
        <v>-1.5768157530214249E-2</v>
      </c>
      <c r="I260" s="39"/>
      <c r="J260" s="47">
        <f t="shared" si="17"/>
        <v>511</v>
      </c>
      <c r="K260" s="49">
        <f t="shared" si="16"/>
        <v>1.4171592029552988E-4</v>
      </c>
      <c r="L260" s="17">
        <v>4.8432833685325159E-2</v>
      </c>
      <c r="M260" s="27"/>
      <c r="N260" s="49">
        <v>6.4519402307075197E-3</v>
      </c>
      <c r="O260" s="27">
        <v>-5.2137283861726389E-3</v>
      </c>
      <c r="Q260" s="2"/>
      <c r="R260" s="24"/>
      <c r="S260" s="24"/>
      <c r="T260" s="24"/>
    </row>
    <row r="261" spans="1:20" x14ac:dyDescent="0.25">
      <c r="A261" s="2">
        <v>45028</v>
      </c>
      <c r="B261" s="20">
        <v>2658</v>
      </c>
      <c r="C261" s="20">
        <v>400</v>
      </c>
      <c r="D261" s="20">
        <v>9868</v>
      </c>
      <c r="E261" s="17">
        <f t="shared" si="14"/>
        <v>-1.9188191881918781E-2</v>
      </c>
      <c r="F261" s="17">
        <f t="shared" si="14"/>
        <v>-9.9009900990099098E-3</v>
      </c>
      <c r="G261" s="17">
        <f t="shared" si="14"/>
        <v>-3.4914425427872819E-2</v>
      </c>
      <c r="H261" s="14">
        <f t="shared" si="15"/>
        <v>-3.1552553188772765E-2</v>
      </c>
      <c r="I261" s="39"/>
      <c r="J261" s="47">
        <f t="shared" si="17"/>
        <v>510</v>
      </c>
      <c r="K261" s="49">
        <f t="shared" si="16"/>
        <v>1.3888160188961927E-4</v>
      </c>
      <c r="L261" s="17">
        <v>-9.5835595210645996E-3</v>
      </c>
      <c r="M261" s="27"/>
      <c r="N261" s="49">
        <v>7.2833952970444548E-3</v>
      </c>
      <c r="O261" s="27">
        <v>-5.2078391184434865E-3</v>
      </c>
      <c r="Q261" s="2"/>
      <c r="R261" s="24"/>
      <c r="S261" s="24"/>
      <c r="T261" s="24"/>
    </row>
    <row r="262" spans="1:20" x14ac:dyDescent="0.25">
      <c r="A262" s="2">
        <v>45027</v>
      </c>
      <c r="B262" s="20">
        <v>2710</v>
      </c>
      <c r="C262" s="20">
        <v>404</v>
      </c>
      <c r="D262" s="20">
        <v>10225</v>
      </c>
      <c r="E262" s="17">
        <f t="shared" ref="E262:G325" si="18">+B262/B263-1</f>
        <v>-1.4738393515106862E-3</v>
      </c>
      <c r="F262" s="17">
        <f t="shared" si="18"/>
        <v>8.7390761548065132E-3</v>
      </c>
      <c r="G262" s="17">
        <f t="shared" si="18"/>
        <v>1.4691478942212566E-3</v>
      </c>
      <c r="H262" s="14">
        <f t="shared" ref="H262:H325" si="19">+SUMPRODUCT(E262:G262,$K$9:$M$9)</f>
        <v>1.3650383203969432E-3</v>
      </c>
      <c r="I262" s="39"/>
      <c r="J262" s="47">
        <f t="shared" si="17"/>
        <v>509</v>
      </c>
      <c r="K262" s="49">
        <f t="shared" si="16"/>
        <v>1.3610396985182685E-4</v>
      </c>
      <c r="L262" s="17">
        <v>-9.1650827133656233E-3</v>
      </c>
      <c r="M262" s="27"/>
      <c r="N262" s="49">
        <v>1.8437712064612391E-3</v>
      </c>
      <c r="O262" s="27">
        <v>-5.1718874455888011E-3</v>
      </c>
      <c r="Q262" s="2"/>
      <c r="R262" s="24"/>
      <c r="S262" s="24"/>
      <c r="T262" s="24"/>
    </row>
    <row r="263" spans="1:20" x14ac:dyDescent="0.25">
      <c r="A263" s="2">
        <v>45022</v>
      </c>
      <c r="B263" s="20">
        <v>2714</v>
      </c>
      <c r="C263" s="29">
        <v>400.5</v>
      </c>
      <c r="D263" s="20">
        <v>10210</v>
      </c>
      <c r="E263" s="17">
        <f t="shared" si="18"/>
        <v>3.6982248520709415E-3</v>
      </c>
      <c r="F263" s="17">
        <f t="shared" si="18"/>
        <v>1.2499999999999734E-3</v>
      </c>
      <c r="G263" s="17">
        <f t="shared" si="18"/>
        <v>1.9627085377822429E-3</v>
      </c>
      <c r="H263" s="14">
        <f t="shared" si="19"/>
        <v>2.1811362309883523E-3</v>
      </c>
      <c r="I263" s="39"/>
      <c r="J263" s="47">
        <f t="shared" si="17"/>
        <v>508</v>
      </c>
      <c r="K263" s="49">
        <f t="shared" si="16"/>
        <v>1.3338189045479032E-4</v>
      </c>
      <c r="L263" s="17">
        <v>-1.561253121985331E-2</v>
      </c>
      <c r="M263" s="27"/>
      <c r="N263" s="49">
        <v>8.7357299507899652E-3</v>
      </c>
      <c r="O263" s="27">
        <v>-5.0888471233831436E-3</v>
      </c>
      <c r="Q263" s="2"/>
      <c r="R263" s="24"/>
      <c r="S263" s="24"/>
      <c r="T263" s="24"/>
    </row>
    <row r="264" spans="1:20" x14ac:dyDescent="0.25">
      <c r="A264" s="2">
        <v>45021</v>
      </c>
      <c r="B264" s="20">
        <v>2704</v>
      </c>
      <c r="C264" s="20">
        <v>400</v>
      </c>
      <c r="D264" s="20">
        <v>10190</v>
      </c>
      <c r="E264" s="17">
        <f t="shared" si="18"/>
        <v>9.7087378640776656E-3</v>
      </c>
      <c r="F264" s="17">
        <f t="shared" si="18"/>
        <v>0</v>
      </c>
      <c r="G264" s="17">
        <f t="shared" si="18"/>
        <v>-2.4473813020068347E-3</v>
      </c>
      <c r="H264" s="14">
        <f t="shared" si="19"/>
        <v>-5.9061447292094844E-4</v>
      </c>
      <c r="I264" s="39"/>
      <c r="J264" s="47">
        <f t="shared" si="17"/>
        <v>507</v>
      </c>
      <c r="K264" s="49">
        <f t="shared" si="16"/>
        <v>1.3071425264569449E-4</v>
      </c>
      <c r="L264" s="17">
        <v>5.8212134314126352E-3</v>
      </c>
      <c r="M264" s="27"/>
      <c r="N264" s="49">
        <v>4.5741062796521818E-4</v>
      </c>
      <c r="O264" s="27">
        <v>-5.0590010384367855E-3</v>
      </c>
      <c r="Q264" s="2"/>
      <c r="R264" s="24"/>
      <c r="S264" s="24"/>
      <c r="T264" s="24"/>
    </row>
    <row r="265" spans="1:20" x14ac:dyDescent="0.25">
      <c r="A265" s="2">
        <v>45020</v>
      </c>
      <c r="B265" s="20">
        <v>2678</v>
      </c>
      <c r="C265" s="20">
        <v>400</v>
      </c>
      <c r="D265" s="20">
        <v>10215</v>
      </c>
      <c r="E265" s="17">
        <f t="shared" si="18"/>
        <v>2.9208301306687057E-2</v>
      </c>
      <c r="F265" s="17">
        <f t="shared" si="18"/>
        <v>-9.9009900990099098E-3</v>
      </c>
      <c r="G265" s="17">
        <f t="shared" si="18"/>
        <v>9.3873517786560168E-3</v>
      </c>
      <c r="H265" s="14">
        <f t="shared" si="19"/>
        <v>1.1392184120746156E-2</v>
      </c>
      <c r="I265" s="39"/>
      <c r="J265" s="47">
        <f t="shared" si="17"/>
        <v>506</v>
      </c>
      <c r="K265" s="49">
        <f t="shared" si="16"/>
        <v>1.2809996759278062E-4</v>
      </c>
      <c r="L265" s="17">
        <v>9.6459672807007579E-3</v>
      </c>
      <c r="M265" s="27"/>
      <c r="N265" s="49">
        <v>4.3006067894764365E-6</v>
      </c>
      <c r="O265" s="27">
        <v>-5.0322394078531688E-3</v>
      </c>
      <c r="Q265" s="2"/>
      <c r="R265" s="24"/>
      <c r="S265" s="24"/>
      <c r="T265" s="24"/>
    </row>
    <row r="266" spans="1:20" x14ac:dyDescent="0.25">
      <c r="A266" s="2">
        <v>45019</v>
      </c>
      <c r="B266" s="20">
        <v>2602</v>
      </c>
      <c r="C266" s="20">
        <v>404</v>
      </c>
      <c r="D266" s="20">
        <v>10120</v>
      </c>
      <c r="E266" s="17">
        <f t="shared" si="18"/>
        <v>1.4820592823712841E-2</v>
      </c>
      <c r="F266" s="17">
        <f t="shared" si="18"/>
        <v>8.7390761548065132E-3</v>
      </c>
      <c r="G266" s="17">
        <f t="shared" si="18"/>
        <v>1.3824884792626779E-2</v>
      </c>
      <c r="H266" s="14">
        <f t="shared" si="19"/>
        <v>1.374473625733396E-2</v>
      </c>
      <c r="I266" s="39"/>
      <c r="J266" s="47">
        <f t="shared" si="17"/>
        <v>505</v>
      </c>
      <c r="K266" s="49">
        <f t="shared" si="16"/>
        <v>1.2553796824092502E-4</v>
      </c>
      <c r="L266" s="17">
        <v>-4.5709882950696135E-3</v>
      </c>
      <c r="M266" s="27"/>
      <c r="N266" s="49">
        <v>4.7577252395355408E-6</v>
      </c>
      <c r="O266" s="27">
        <v>-4.9826699697245458E-3</v>
      </c>
      <c r="Q266" s="2"/>
      <c r="R266" s="24"/>
      <c r="S266" s="24"/>
      <c r="T266" s="24"/>
    </row>
    <row r="267" spans="1:20" x14ac:dyDescent="0.25">
      <c r="A267" s="2">
        <v>45016</v>
      </c>
      <c r="B267" s="20">
        <v>2564</v>
      </c>
      <c r="C267" s="29">
        <v>400.5</v>
      </c>
      <c r="D267" s="20">
        <v>9982</v>
      </c>
      <c r="E267" s="17">
        <f t="shared" si="18"/>
        <v>2.5600000000000067E-2</v>
      </c>
      <c r="F267" s="17">
        <f t="shared" si="18"/>
        <v>-8.6633663366336711E-3</v>
      </c>
      <c r="G267" s="17">
        <f t="shared" si="18"/>
        <v>1.8987341772152E-2</v>
      </c>
      <c r="H267" s="14">
        <f t="shared" si="19"/>
        <v>1.8724144315240616E-2</v>
      </c>
      <c r="I267" s="39"/>
      <c r="J267" s="47">
        <f t="shared" si="17"/>
        <v>504</v>
      </c>
      <c r="K267" s="49">
        <f t="shared" si="16"/>
        <v>1.2302720887610649E-4</v>
      </c>
      <c r="L267" s="17">
        <v>-1.6465536522737726E-3</v>
      </c>
      <c r="M267" s="27"/>
      <c r="N267" s="49">
        <v>3.7393350405057128E-3</v>
      </c>
      <c r="O267" s="27">
        <v>-4.9422451642527499E-3</v>
      </c>
      <c r="Q267" s="2"/>
      <c r="R267" s="24"/>
      <c r="S267" s="24"/>
      <c r="T267" s="24"/>
    </row>
    <row r="268" spans="1:20" x14ac:dyDescent="0.25">
      <c r="A268" s="2">
        <v>45015</v>
      </c>
      <c r="B268" s="20">
        <v>2500</v>
      </c>
      <c r="C268" s="20">
        <v>404</v>
      </c>
      <c r="D268" s="20">
        <v>9796</v>
      </c>
      <c r="E268" s="17">
        <f t="shared" si="18"/>
        <v>-2.114330462020364E-2</v>
      </c>
      <c r="F268" s="17">
        <f t="shared" si="18"/>
        <v>2.020202020202011E-2</v>
      </c>
      <c r="G268" s="17">
        <f t="shared" si="18"/>
        <v>-1.2101653892698683E-2</v>
      </c>
      <c r="H268" s="14">
        <f t="shared" si="19"/>
        <v>-1.1983571159660814E-2</v>
      </c>
      <c r="I268" s="39"/>
      <c r="J268" s="47">
        <f t="shared" si="17"/>
        <v>503</v>
      </c>
      <c r="K268" s="49">
        <f t="shared" si="16"/>
        <v>1.2056666469858434E-4</v>
      </c>
      <c r="L268" s="17">
        <v>9.3735210523650594E-3</v>
      </c>
      <c r="M268" s="27"/>
      <c r="N268" s="49">
        <v>4.5717121733084235E-5</v>
      </c>
      <c r="O268" s="27">
        <v>-4.7758980262839123E-3</v>
      </c>
      <c r="Q268" s="2"/>
      <c r="R268" s="24"/>
      <c r="S268" s="24"/>
      <c r="T268" s="24"/>
    </row>
    <row r="269" spans="1:20" x14ac:dyDescent="0.25">
      <c r="A269" s="2">
        <v>45014</v>
      </c>
      <c r="B269" s="20">
        <v>2554</v>
      </c>
      <c r="C269" s="20">
        <v>396</v>
      </c>
      <c r="D269" s="20">
        <v>9916</v>
      </c>
      <c r="E269" s="17">
        <f t="shared" si="18"/>
        <v>4.7206923682139301E-3</v>
      </c>
      <c r="F269" s="17">
        <f t="shared" si="18"/>
        <v>7.6335877862594437E-3</v>
      </c>
      <c r="G269" s="17">
        <f t="shared" si="18"/>
        <v>1.1836734693877471E-2</v>
      </c>
      <c r="H269" s="14">
        <f t="shared" si="19"/>
        <v>1.0628093665034487E-2</v>
      </c>
      <c r="I269" s="39"/>
      <c r="J269" s="47">
        <f t="shared" si="17"/>
        <v>502</v>
      </c>
      <c r="K269" s="49">
        <f t="shared" si="16"/>
        <v>1.1815533140461267E-4</v>
      </c>
      <c r="L269" s="17">
        <v>1.5948022982766059E-2</v>
      </c>
      <c r="M269" s="27"/>
      <c r="N269" s="49">
        <v>1.4179013384418057E-3</v>
      </c>
      <c r="O269" s="27">
        <v>-4.7524365597188777E-3</v>
      </c>
      <c r="Q269" s="2"/>
      <c r="R269" s="24"/>
      <c r="S269" s="24"/>
      <c r="T269" s="24"/>
    </row>
    <row r="270" spans="1:20" x14ac:dyDescent="0.25">
      <c r="A270" s="2">
        <v>45013</v>
      </c>
      <c r="B270" s="20">
        <v>2542</v>
      </c>
      <c r="C270" s="20">
        <v>393</v>
      </c>
      <c r="D270" s="20">
        <v>9800</v>
      </c>
      <c r="E270" s="17">
        <f t="shared" si="18"/>
        <v>2.0064205457463791E-2</v>
      </c>
      <c r="F270" s="17">
        <f t="shared" si="18"/>
        <v>1.5503875968992276E-2</v>
      </c>
      <c r="G270" s="17">
        <f t="shared" si="18"/>
        <v>-1.9411646988192865E-2</v>
      </c>
      <c r="H270" s="14">
        <f t="shared" si="19"/>
        <v>-1.2197219649725824E-2</v>
      </c>
      <c r="I270" s="39"/>
      <c r="J270" s="47">
        <f t="shared" si="17"/>
        <v>501</v>
      </c>
      <c r="K270" s="49">
        <f t="shared" si="16"/>
        <v>1.1579222477652039E-4</v>
      </c>
      <c r="L270" s="17">
        <v>-1.5768157530214249E-2</v>
      </c>
      <c r="M270" s="27"/>
      <c r="N270" s="49">
        <v>6.3063715735787557E-8</v>
      </c>
      <c r="O270" s="27">
        <v>-4.6710841032324485E-3</v>
      </c>
      <c r="Q270" s="2"/>
      <c r="R270" s="24"/>
      <c r="S270" s="24"/>
      <c r="T270" s="24"/>
    </row>
    <row r="271" spans="1:20" x14ac:dyDescent="0.25">
      <c r="A271" s="2">
        <v>45012</v>
      </c>
      <c r="B271" s="20">
        <v>2492</v>
      </c>
      <c r="C271" s="20">
        <v>387</v>
      </c>
      <c r="D271" s="20">
        <v>9994</v>
      </c>
      <c r="E271" s="17">
        <f t="shared" si="18"/>
        <v>7.275666936135794E-3</v>
      </c>
      <c r="F271" s="17">
        <f t="shared" si="18"/>
        <v>1.0443864229765065E-2</v>
      </c>
      <c r="G271" s="17">
        <f t="shared" si="18"/>
        <v>1.5237708248679427E-2</v>
      </c>
      <c r="H271" s="14">
        <f t="shared" si="19"/>
        <v>1.3881378666113038E-2</v>
      </c>
      <c r="I271" s="39"/>
      <c r="J271" s="47">
        <f t="shared" si="17"/>
        <v>500</v>
      </c>
      <c r="K271" s="49">
        <f t="shared" si="16"/>
        <v>1.1347638028098999E-4</v>
      </c>
      <c r="L271" s="17">
        <v>-3.1552553188772765E-2</v>
      </c>
      <c r="M271" s="27"/>
      <c r="N271" s="49">
        <v>1.6341459941431859E-2</v>
      </c>
      <c r="O271" s="27">
        <v>-4.667978383198588E-3</v>
      </c>
      <c r="Q271" s="2"/>
      <c r="R271" s="24"/>
      <c r="S271" s="24"/>
      <c r="T271" s="24"/>
    </row>
    <row r="272" spans="1:20" x14ac:dyDescent="0.25">
      <c r="A272" s="2">
        <v>45009</v>
      </c>
      <c r="B272" s="20">
        <v>2474</v>
      </c>
      <c r="C272" s="20">
        <v>383</v>
      </c>
      <c r="D272" s="20">
        <v>9844</v>
      </c>
      <c r="E272" s="17">
        <f t="shared" si="18"/>
        <v>-2.8279654359780082E-2</v>
      </c>
      <c r="F272" s="17">
        <f t="shared" si="18"/>
        <v>-1.2886597938144284E-2</v>
      </c>
      <c r="G272" s="17">
        <f t="shared" si="18"/>
        <v>-5.3461538461538449E-2</v>
      </c>
      <c r="H272" s="14">
        <f t="shared" si="19"/>
        <v>-4.8055363917778995E-2</v>
      </c>
      <c r="I272" s="39"/>
      <c r="J272" s="47">
        <f t="shared" si="17"/>
        <v>499</v>
      </c>
      <c r="K272" s="49">
        <f t="shared" ref="K272:K335" si="20">+($K$13^($K$1-J272)*(1-$K$13))/(1-$K$13^$K$1)</f>
        <v>1.112068526753702E-4</v>
      </c>
      <c r="L272" s="17">
        <v>1.3650383203969432E-3</v>
      </c>
      <c r="M272" s="27"/>
      <c r="N272" s="49">
        <v>2.4964098821047714E-3</v>
      </c>
      <c r="O272" s="27">
        <v>-4.6239110775136297E-3</v>
      </c>
      <c r="Q272" s="2"/>
      <c r="R272" s="24"/>
      <c r="S272" s="24"/>
      <c r="T272" s="24"/>
    </row>
    <row r="273" spans="1:20" x14ac:dyDescent="0.25">
      <c r="A273" s="2">
        <v>45008</v>
      </c>
      <c r="B273" s="20">
        <v>2546</v>
      </c>
      <c r="C273" s="20">
        <v>388</v>
      </c>
      <c r="D273" s="20">
        <v>10400</v>
      </c>
      <c r="E273" s="17">
        <f t="shared" si="18"/>
        <v>3.4959349593495892E-2</v>
      </c>
      <c r="F273" s="17">
        <f t="shared" si="18"/>
        <v>3.8809831824062613E-3</v>
      </c>
      <c r="G273" s="17">
        <f t="shared" si="18"/>
        <v>3.3797216699801291E-2</v>
      </c>
      <c r="H273" s="14">
        <f t="shared" si="19"/>
        <v>3.2650167289972325E-2</v>
      </c>
      <c r="I273" s="39"/>
      <c r="J273" s="47">
        <f t="shared" ref="J273:J336" si="21">+J272-1</f>
        <v>498</v>
      </c>
      <c r="K273" s="49">
        <f t="shared" si="20"/>
        <v>1.0898271562186277E-4</v>
      </c>
      <c r="L273" s="17">
        <v>2.1811362309883523E-3</v>
      </c>
      <c r="M273" s="27"/>
      <c r="N273" s="49">
        <v>1.2553796824092502E-4</v>
      </c>
      <c r="O273" s="27">
        <v>-4.5709882950696135E-3</v>
      </c>
      <c r="Q273" s="2"/>
      <c r="R273" s="24"/>
      <c r="S273" s="24"/>
      <c r="T273" s="24"/>
    </row>
    <row r="274" spans="1:20" x14ac:dyDescent="0.25">
      <c r="A274" s="2">
        <v>45007</v>
      </c>
      <c r="B274" s="20">
        <v>2460</v>
      </c>
      <c r="C274" s="29">
        <v>386.5</v>
      </c>
      <c r="D274" s="20">
        <v>10060</v>
      </c>
      <c r="E274" s="17">
        <f t="shared" si="18"/>
        <v>-1.6000000000000014E-2</v>
      </c>
      <c r="F274" s="17">
        <f t="shared" si="18"/>
        <v>9.1383812010443766E-3</v>
      </c>
      <c r="G274" s="17">
        <f t="shared" si="18"/>
        <v>1.5341138473960347E-2</v>
      </c>
      <c r="H274" s="14">
        <f t="shared" si="19"/>
        <v>1.0558693131749034E-2</v>
      </c>
      <c r="I274" s="39"/>
      <c r="J274" s="47">
        <f t="shared" si="21"/>
        <v>497</v>
      </c>
      <c r="K274" s="49">
        <f t="shared" si="20"/>
        <v>1.0680306130942551E-4</v>
      </c>
      <c r="L274" s="17">
        <v>-5.9061447292094844E-4</v>
      </c>
      <c r="M274" s="27"/>
      <c r="N274" s="49">
        <v>1.5686123645582285E-3</v>
      </c>
      <c r="O274" s="27">
        <v>-4.5247452094262751E-3</v>
      </c>
      <c r="Q274" s="2"/>
      <c r="R274" s="24"/>
      <c r="S274" s="24"/>
      <c r="T274" s="24"/>
    </row>
    <row r="275" spans="1:20" x14ac:dyDescent="0.25">
      <c r="A275" s="2">
        <v>45006</v>
      </c>
      <c r="B275" s="20">
        <v>2500</v>
      </c>
      <c r="C275" s="20">
        <v>383</v>
      </c>
      <c r="D275" s="20">
        <v>9908</v>
      </c>
      <c r="E275" s="17">
        <f t="shared" si="18"/>
        <v>0</v>
      </c>
      <c r="F275" s="17">
        <f t="shared" si="18"/>
        <v>2.6178010471205049E-3</v>
      </c>
      <c r="G275" s="17">
        <f t="shared" si="18"/>
        <v>4.492723054207981E-2</v>
      </c>
      <c r="H275" s="14">
        <f t="shared" si="19"/>
        <v>3.6603528715642805E-2</v>
      </c>
      <c r="I275" s="39"/>
      <c r="J275" s="47">
        <f t="shared" si="21"/>
        <v>496</v>
      </c>
      <c r="K275" s="49">
        <f t="shared" si="20"/>
        <v>1.04667000083237E-4</v>
      </c>
      <c r="L275" s="17">
        <v>1.1392184120746156E-2</v>
      </c>
      <c r="M275" s="27"/>
      <c r="N275" s="49">
        <v>3.3072629085113921E-6</v>
      </c>
      <c r="O275" s="27">
        <v>-4.5234491162897197E-3</v>
      </c>
      <c r="Q275" s="2"/>
      <c r="R275" s="24"/>
      <c r="S275" s="24"/>
      <c r="T275" s="24"/>
    </row>
    <row r="276" spans="1:20" x14ac:dyDescent="0.25">
      <c r="A276" s="2">
        <v>45005</v>
      </c>
      <c r="B276" s="20">
        <v>2500</v>
      </c>
      <c r="C276" s="20">
        <v>382</v>
      </c>
      <c r="D276" s="20">
        <v>9482</v>
      </c>
      <c r="E276" s="17">
        <f t="shared" si="18"/>
        <v>3.3912324234904867E-2</v>
      </c>
      <c r="F276" s="17">
        <f t="shared" si="18"/>
        <v>-7.7922077922077948E-3</v>
      </c>
      <c r="G276" s="17">
        <f t="shared" si="18"/>
        <v>-8.4299262381448692E-4</v>
      </c>
      <c r="H276" s="14">
        <f t="shared" si="19"/>
        <v>3.8529563221079335E-3</v>
      </c>
      <c r="I276" s="39"/>
      <c r="J276" s="47">
        <f t="shared" si="21"/>
        <v>495</v>
      </c>
      <c r="K276" s="49">
        <f t="shared" si="20"/>
        <v>1.0257366008157226E-4</v>
      </c>
      <c r="L276" s="17">
        <v>1.374473625733396E-2</v>
      </c>
      <c r="M276" s="27"/>
      <c r="N276" s="49">
        <v>6.8478993162554927E-5</v>
      </c>
      <c r="O276" s="27">
        <v>-4.4718864695510608E-3</v>
      </c>
      <c r="Q276" s="2"/>
      <c r="R276" s="24"/>
      <c r="S276" s="24"/>
      <c r="T276" s="24"/>
    </row>
    <row r="277" spans="1:20" x14ac:dyDescent="0.25">
      <c r="A277" s="2">
        <v>45002</v>
      </c>
      <c r="B277" s="20">
        <v>2418</v>
      </c>
      <c r="C277" s="20">
        <v>385</v>
      </c>
      <c r="D277" s="20">
        <v>9490</v>
      </c>
      <c r="E277" s="17">
        <f t="shared" si="18"/>
        <v>8.340283569641338E-3</v>
      </c>
      <c r="F277" s="17">
        <f t="shared" si="18"/>
        <v>7.8534031413612926E-3</v>
      </c>
      <c r="G277" s="17">
        <f t="shared" si="18"/>
        <v>-6.3184498736312822E-4</v>
      </c>
      <c r="H277" s="14">
        <f t="shared" si="19"/>
        <v>1.0320053493613874E-3</v>
      </c>
      <c r="I277" s="39"/>
      <c r="J277" s="47">
        <f t="shared" si="21"/>
        <v>494</v>
      </c>
      <c r="K277" s="49">
        <f t="shared" si="20"/>
        <v>1.0052218687994081E-4</v>
      </c>
      <c r="L277" s="17">
        <v>1.8724144315240616E-2</v>
      </c>
      <c r="M277" s="27"/>
      <c r="N277" s="49">
        <v>2.5473570225558891E-3</v>
      </c>
      <c r="O277" s="27">
        <v>-4.4221554055817259E-3</v>
      </c>
      <c r="Q277" s="2"/>
      <c r="R277" s="24"/>
      <c r="S277" s="24"/>
      <c r="T277" s="24"/>
    </row>
    <row r="278" spans="1:20" x14ac:dyDescent="0.25">
      <c r="A278" s="2">
        <v>45001</v>
      </c>
      <c r="B278" s="20">
        <v>2398</v>
      </c>
      <c r="C278" s="20">
        <v>382</v>
      </c>
      <c r="D278" s="20">
        <v>9496</v>
      </c>
      <c r="E278" s="17">
        <f t="shared" si="18"/>
        <v>-2.5203252032520274E-2</v>
      </c>
      <c r="F278" s="17">
        <f t="shared" si="18"/>
        <v>-1.2919896640826822E-2</v>
      </c>
      <c r="G278" s="17">
        <f t="shared" si="18"/>
        <v>-4.0808080808080849E-2</v>
      </c>
      <c r="H278" s="14">
        <f t="shared" si="19"/>
        <v>-3.7337385201066928E-2</v>
      </c>
      <c r="I278" s="39"/>
      <c r="J278" s="47">
        <f t="shared" si="21"/>
        <v>493</v>
      </c>
      <c r="K278" s="49">
        <f t="shared" si="20"/>
        <v>9.8511743142341995E-5</v>
      </c>
      <c r="L278" s="17">
        <v>-1.1983571159660814E-2</v>
      </c>
      <c r="M278" s="27"/>
      <c r="N278" s="49">
        <v>3.1796228820812493E-4</v>
      </c>
      <c r="O278" s="27">
        <v>-4.4152367843364199E-3</v>
      </c>
      <c r="Q278" s="2"/>
      <c r="R278" s="24"/>
      <c r="S278" s="24"/>
      <c r="T278" s="24"/>
    </row>
    <row r="279" spans="1:20" x14ac:dyDescent="0.25">
      <c r="A279" s="2">
        <v>44999</v>
      </c>
      <c r="B279" s="20">
        <v>2460</v>
      </c>
      <c r="C279" s="20">
        <v>387</v>
      </c>
      <c r="D279" s="20">
        <v>9900</v>
      </c>
      <c r="E279" s="17">
        <f t="shared" si="18"/>
        <v>-3.0732860520094607E-2</v>
      </c>
      <c r="F279" s="17">
        <f t="shared" si="18"/>
        <v>-2.5773195876288568E-3</v>
      </c>
      <c r="G279" s="17">
        <f t="shared" si="18"/>
        <v>2.0618556701030855E-2</v>
      </c>
      <c r="H279" s="14">
        <f t="shared" si="19"/>
        <v>1.2210119194672481E-2</v>
      </c>
      <c r="I279" s="39"/>
      <c r="J279" s="47">
        <f t="shared" si="21"/>
        <v>492</v>
      </c>
      <c r="K279" s="49">
        <f t="shared" si="20"/>
        <v>9.6541508279495149E-5</v>
      </c>
      <c r="L279" s="17">
        <v>1.0628093665034487E-2</v>
      </c>
      <c r="M279" s="27"/>
      <c r="N279" s="49">
        <v>4.3952721748038168E-3</v>
      </c>
      <c r="O279" s="27">
        <v>-4.1444879562959093E-3</v>
      </c>
      <c r="Q279" s="2"/>
      <c r="R279" s="24"/>
      <c r="S279" s="24"/>
      <c r="T279" s="24"/>
    </row>
    <row r="280" spans="1:20" x14ac:dyDescent="0.25">
      <c r="A280" s="2">
        <v>44998</v>
      </c>
      <c r="B280" s="20">
        <v>2538</v>
      </c>
      <c r="C280" s="20">
        <v>388</v>
      </c>
      <c r="D280" s="20">
        <v>9700</v>
      </c>
      <c r="E280" s="17">
        <f t="shared" si="18"/>
        <v>-1.0140405616224646E-2</v>
      </c>
      <c r="F280" s="17">
        <f t="shared" si="18"/>
        <v>-1.0204081632653073E-2</v>
      </c>
      <c r="G280" s="17">
        <f t="shared" si="18"/>
        <v>-5.3658536585365901E-2</v>
      </c>
      <c r="H280" s="14">
        <f t="shared" si="19"/>
        <v>-4.5487299010047472E-2</v>
      </c>
      <c r="I280" s="39"/>
      <c r="J280" s="47">
        <f t="shared" si="21"/>
        <v>491</v>
      </c>
      <c r="K280" s="49">
        <f t="shared" si="20"/>
        <v>9.4610678113905255E-5</v>
      </c>
      <c r="L280" s="17">
        <v>-1.2197219649725824E-2</v>
      </c>
      <c r="M280" s="27"/>
      <c r="N280" s="49">
        <v>1.7326192784240575E-6</v>
      </c>
      <c r="O280" s="27">
        <v>-4.1418373264464547E-3</v>
      </c>
      <c r="Q280" s="2"/>
      <c r="R280" s="24"/>
      <c r="S280" s="24"/>
      <c r="T280" s="24"/>
    </row>
    <row r="281" spans="1:20" x14ac:dyDescent="0.25">
      <c r="A281" s="2">
        <v>44995</v>
      </c>
      <c r="B281" s="20">
        <v>2564</v>
      </c>
      <c r="C281" s="20">
        <v>392</v>
      </c>
      <c r="D281" s="20">
        <v>10250</v>
      </c>
      <c r="E281" s="17">
        <f t="shared" si="18"/>
        <v>-6.2015503875969546E-3</v>
      </c>
      <c r="F281" s="17">
        <f t="shared" si="18"/>
        <v>2.5575447570331811E-3</v>
      </c>
      <c r="G281" s="17">
        <f t="shared" si="18"/>
        <v>1.8886679920477212E-2</v>
      </c>
      <c r="H281" s="14">
        <f t="shared" si="19"/>
        <v>1.4559147726686799E-2</v>
      </c>
      <c r="I281" s="39"/>
      <c r="J281" s="47">
        <f t="shared" si="21"/>
        <v>490</v>
      </c>
      <c r="K281" s="49">
        <f t="shared" si="20"/>
        <v>9.2718464551627135E-5</v>
      </c>
      <c r="L281" s="17">
        <v>1.3881378666113038E-2</v>
      </c>
      <c r="M281" s="27"/>
      <c r="N281" s="49">
        <v>5.0576468530128904E-5</v>
      </c>
      <c r="O281" s="27">
        <v>-4.1281871055131999E-3</v>
      </c>
      <c r="Q281" s="2"/>
      <c r="R281" s="24"/>
      <c r="S281" s="24"/>
      <c r="T281" s="24"/>
    </row>
    <row r="282" spans="1:20" x14ac:dyDescent="0.25">
      <c r="A282" s="2">
        <v>44994</v>
      </c>
      <c r="B282" s="20">
        <v>2580</v>
      </c>
      <c r="C282" s="20">
        <v>391</v>
      </c>
      <c r="D282" s="20">
        <v>10060</v>
      </c>
      <c r="E282" s="17">
        <f t="shared" si="18"/>
        <v>-1.5267175572519109E-2</v>
      </c>
      <c r="F282" s="17">
        <f t="shared" si="18"/>
        <v>-3.8216560509554132E-3</v>
      </c>
      <c r="G282" s="17">
        <f t="shared" si="18"/>
        <v>-8.8669950738916592E-3</v>
      </c>
      <c r="H282" s="14">
        <f t="shared" si="19"/>
        <v>-9.5663204908977909E-3</v>
      </c>
      <c r="I282" s="39"/>
      <c r="J282" s="47">
        <f t="shared" si="21"/>
        <v>489</v>
      </c>
      <c r="K282" s="49">
        <f t="shared" si="20"/>
        <v>9.0864095260594581E-5</v>
      </c>
      <c r="L282" s="17">
        <v>-4.8055363917778995E-2</v>
      </c>
      <c r="M282" s="27"/>
      <c r="N282" s="49">
        <v>1.5041310349954315E-6</v>
      </c>
      <c r="O282" s="27">
        <v>-4.0423134655141954E-3</v>
      </c>
      <c r="Q282" s="2"/>
      <c r="R282" s="24"/>
      <c r="S282" s="24"/>
      <c r="T282" s="24"/>
    </row>
    <row r="283" spans="1:20" x14ac:dyDescent="0.25">
      <c r="A283" s="2">
        <v>44993</v>
      </c>
      <c r="B283" s="20">
        <v>2620</v>
      </c>
      <c r="C283" s="29">
        <v>392.5</v>
      </c>
      <c r="D283" s="20">
        <v>10150</v>
      </c>
      <c r="E283" s="17">
        <f t="shared" si="18"/>
        <v>-5.3151100987092192E-3</v>
      </c>
      <c r="F283" s="17">
        <f t="shared" si="18"/>
        <v>3.8363171355497716E-3</v>
      </c>
      <c r="G283" s="17">
        <f t="shared" si="18"/>
        <v>-8.7890625E-3</v>
      </c>
      <c r="H283" s="14">
        <f t="shared" si="19"/>
        <v>-7.7345079530959622E-3</v>
      </c>
      <c r="I283" s="39"/>
      <c r="J283" s="47">
        <f t="shared" si="21"/>
        <v>488</v>
      </c>
      <c r="K283" s="49">
        <f t="shared" si="20"/>
        <v>8.9046813355382693E-5</v>
      </c>
      <c r="L283" s="17">
        <v>3.2650167289972325E-2</v>
      </c>
      <c r="M283" s="27"/>
      <c r="N283" s="49">
        <v>5.4861991688778355E-4</v>
      </c>
      <c r="O283" s="27">
        <v>-3.9632594814597273E-3</v>
      </c>
      <c r="Q283" s="2"/>
      <c r="R283" s="24"/>
      <c r="S283" s="24"/>
      <c r="T283" s="24"/>
    </row>
    <row r="284" spans="1:20" x14ac:dyDescent="0.25">
      <c r="A284" s="2">
        <v>44992</v>
      </c>
      <c r="B284" s="20">
        <v>2634</v>
      </c>
      <c r="C284" s="20">
        <v>391</v>
      </c>
      <c r="D284" s="20">
        <v>10240</v>
      </c>
      <c r="E284" s="17">
        <f t="shared" si="18"/>
        <v>-2.0817843866171026E-2</v>
      </c>
      <c r="F284" s="17">
        <f t="shared" si="18"/>
        <v>-1.5113350125944613E-2</v>
      </c>
      <c r="G284" s="17">
        <f t="shared" si="18"/>
        <v>-2.9383886255924141E-2</v>
      </c>
      <c r="H284" s="14">
        <f t="shared" si="19"/>
        <v>-2.7524312122942034E-2</v>
      </c>
      <c r="I284" s="39"/>
      <c r="J284" s="47">
        <f t="shared" si="21"/>
        <v>487</v>
      </c>
      <c r="K284" s="49">
        <f t="shared" si="20"/>
        <v>8.7265877088275054E-5</v>
      </c>
      <c r="L284" s="17">
        <v>1.0558693131749034E-2</v>
      </c>
      <c r="M284" s="27"/>
      <c r="N284" s="49">
        <v>8.5341652795439544E-9</v>
      </c>
      <c r="O284" s="27">
        <v>-3.952471347024842E-3</v>
      </c>
      <c r="Q284" s="2"/>
      <c r="R284" s="24"/>
      <c r="S284" s="24"/>
      <c r="T284" s="24"/>
    </row>
    <row r="285" spans="1:20" x14ac:dyDescent="0.25">
      <c r="A285" s="2">
        <v>44991</v>
      </c>
      <c r="B285" s="20">
        <v>2690</v>
      </c>
      <c r="C285" s="20">
        <v>397</v>
      </c>
      <c r="D285" s="20">
        <v>10550</v>
      </c>
      <c r="E285" s="17">
        <f t="shared" si="18"/>
        <v>1.0518407212622094E-2</v>
      </c>
      <c r="F285" s="17">
        <f t="shared" si="18"/>
        <v>1.2610340479193294E-3</v>
      </c>
      <c r="G285" s="17">
        <f t="shared" si="18"/>
        <v>0</v>
      </c>
      <c r="H285" s="14">
        <f t="shared" si="19"/>
        <v>1.5689838078000833E-3</v>
      </c>
      <c r="I285" s="39"/>
      <c r="J285" s="47">
        <f t="shared" si="21"/>
        <v>486</v>
      </c>
      <c r="K285" s="49">
        <f t="shared" si="20"/>
        <v>8.552055954650953E-5</v>
      </c>
      <c r="L285" s="17">
        <v>3.6603528715642805E-2</v>
      </c>
      <c r="M285" s="27"/>
      <c r="N285" s="49">
        <v>2.2091113405205171E-5</v>
      </c>
      <c r="O285" s="27">
        <v>-3.7386629053223026E-3</v>
      </c>
      <c r="Q285" s="2"/>
      <c r="R285" s="24"/>
      <c r="S285" s="24"/>
      <c r="T285" s="24"/>
    </row>
    <row r="286" spans="1:20" x14ac:dyDescent="0.25">
      <c r="A286" s="2">
        <v>44988</v>
      </c>
      <c r="B286" s="20">
        <v>2662</v>
      </c>
      <c r="C286" s="29">
        <v>396.5</v>
      </c>
      <c r="D286" s="20">
        <v>10550</v>
      </c>
      <c r="E286" s="17">
        <f t="shared" si="18"/>
        <v>-3.7425149700598404E-3</v>
      </c>
      <c r="F286" s="17">
        <f t="shared" si="18"/>
        <v>6.345177664974555E-3</v>
      </c>
      <c r="G286" s="17">
        <f t="shared" si="18"/>
        <v>-5.1862329090052173E-3</v>
      </c>
      <c r="H286" s="14">
        <f t="shared" si="19"/>
        <v>-4.4718864695510608E-3</v>
      </c>
      <c r="I286" s="39"/>
      <c r="J286" s="47">
        <f t="shared" si="21"/>
        <v>485</v>
      </c>
      <c r="K286" s="49">
        <f t="shared" si="20"/>
        <v>8.3810148355579353E-5</v>
      </c>
      <c r="L286" s="17">
        <v>3.8529563221079335E-3</v>
      </c>
      <c r="M286" s="27"/>
      <c r="N286" s="49">
        <v>2.075934846665329E-8</v>
      </c>
      <c r="O286" s="27">
        <v>-3.6598038526927446E-3</v>
      </c>
      <c r="Q286" s="2"/>
      <c r="R286" s="24"/>
      <c r="S286" s="24"/>
      <c r="T286" s="24"/>
    </row>
    <row r="287" spans="1:20" x14ac:dyDescent="0.25">
      <c r="A287" s="2">
        <v>44987</v>
      </c>
      <c r="B287" s="20">
        <v>2672</v>
      </c>
      <c r="C287" s="20">
        <v>394</v>
      </c>
      <c r="D287" s="20">
        <v>10605</v>
      </c>
      <c r="E287" s="17">
        <f t="shared" si="18"/>
        <v>-1.547531319086215E-2</v>
      </c>
      <c r="F287" s="17">
        <f t="shared" si="18"/>
        <v>5.1020408163264808E-3</v>
      </c>
      <c r="G287" s="17">
        <f t="shared" si="18"/>
        <v>-1.2569832402234637E-2</v>
      </c>
      <c r="H287" s="14">
        <f t="shared" si="19"/>
        <v>-1.2211567041494261E-2</v>
      </c>
      <c r="I287" s="39"/>
      <c r="J287" s="47">
        <f t="shared" si="21"/>
        <v>484</v>
      </c>
      <c r="K287" s="49">
        <f t="shared" si="20"/>
        <v>8.2133945388467768E-5</v>
      </c>
      <c r="L287" s="17">
        <v>1.0320053493613874E-3</v>
      </c>
      <c r="M287" s="27"/>
      <c r="N287" s="49">
        <v>1.2037744848111374E-7</v>
      </c>
      <c r="O287" s="27">
        <v>-3.6430410402093268E-3</v>
      </c>
      <c r="Q287" s="2"/>
      <c r="R287" s="24"/>
      <c r="S287" s="24"/>
      <c r="T287" s="24"/>
    </row>
    <row r="288" spans="1:20" x14ac:dyDescent="0.25">
      <c r="A288" s="2">
        <v>44986</v>
      </c>
      <c r="B288" s="20">
        <v>2714</v>
      </c>
      <c r="C288" s="20">
        <v>392</v>
      </c>
      <c r="D288" s="20">
        <v>10740</v>
      </c>
      <c r="E288" s="17">
        <f t="shared" si="18"/>
        <v>-2.9390154298309934E-3</v>
      </c>
      <c r="F288" s="17">
        <f t="shared" si="18"/>
        <v>2.5575447570331811E-3</v>
      </c>
      <c r="G288" s="17">
        <f t="shared" si="18"/>
        <v>-1.1504832029452405E-2</v>
      </c>
      <c r="H288" s="14">
        <f t="shared" si="19"/>
        <v>-9.6544352348654529E-3</v>
      </c>
      <c r="I288" s="39"/>
      <c r="J288" s="47">
        <f t="shared" si="21"/>
        <v>483</v>
      </c>
      <c r="K288" s="49">
        <f t="shared" si="20"/>
        <v>8.0491266480698401E-5</v>
      </c>
      <c r="L288" s="17">
        <v>-3.7337385201066928E-2</v>
      </c>
      <c r="M288" s="27"/>
      <c r="N288" s="49">
        <v>7.4320360173923024E-3</v>
      </c>
      <c r="O288" s="27">
        <v>-3.6182695848043407E-3</v>
      </c>
      <c r="Q288" s="2"/>
      <c r="R288" s="24"/>
      <c r="S288" s="24"/>
      <c r="T288" s="24"/>
    </row>
    <row r="289" spans="1:20" x14ac:dyDescent="0.25">
      <c r="A289" s="2">
        <v>44985</v>
      </c>
      <c r="B289" s="20">
        <v>2722</v>
      </c>
      <c r="C289" s="20">
        <v>391</v>
      </c>
      <c r="D289" s="20">
        <v>10865</v>
      </c>
      <c r="E289" s="17">
        <f t="shared" si="18"/>
        <v>-2.3672883787661414E-2</v>
      </c>
      <c r="F289" s="17">
        <f t="shared" si="18"/>
        <v>-1.2626262626262652E-2</v>
      </c>
      <c r="G289" s="17">
        <f t="shared" si="18"/>
        <v>2.0187793427230094E-2</v>
      </c>
      <c r="H289" s="14">
        <f t="shared" si="19"/>
        <v>1.2434717481630789E-2</v>
      </c>
      <c r="I289" s="39"/>
      <c r="J289" s="47">
        <f t="shared" si="21"/>
        <v>482</v>
      </c>
      <c r="K289" s="49">
        <f t="shared" si="20"/>
        <v>7.8881441151084419E-5</v>
      </c>
      <c r="L289" s="17">
        <v>1.2210119194672481E-2</v>
      </c>
      <c r="M289" s="27"/>
      <c r="N289" s="50">
        <v>2.6510034623530588E-4</v>
      </c>
      <c r="O289" s="51">
        <v>-3.5735962811136797E-3</v>
      </c>
      <c r="Q289" s="2"/>
      <c r="R289" s="24"/>
      <c r="S289" s="24"/>
      <c r="T289" s="24"/>
    </row>
    <row r="290" spans="1:20" x14ac:dyDescent="0.25">
      <c r="A290" s="2">
        <v>44984</v>
      </c>
      <c r="B290" s="20">
        <v>2788</v>
      </c>
      <c r="C290" s="20">
        <v>396</v>
      </c>
      <c r="D290" s="20">
        <v>10650</v>
      </c>
      <c r="E290" s="17">
        <f t="shared" si="18"/>
        <v>3.5997120230382151E-3</v>
      </c>
      <c r="F290" s="17">
        <f t="shared" si="18"/>
        <v>-1.7369727047146455E-2</v>
      </c>
      <c r="G290" s="17">
        <f t="shared" si="18"/>
        <v>-1.388888888888884E-2</v>
      </c>
      <c r="H290" s="14">
        <f t="shared" si="19"/>
        <v>-1.1525223668890451E-2</v>
      </c>
      <c r="I290" s="39"/>
      <c r="J290" s="47">
        <f t="shared" si="21"/>
        <v>481</v>
      </c>
      <c r="K290" s="49">
        <f t="shared" si="20"/>
        <v>7.7303812328062741E-5</v>
      </c>
      <c r="L290" s="17">
        <v>-4.5487299010047472E-2</v>
      </c>
      <c r="M290" s="27"/>
      <c r="N290" s="49">
        <v>9.6642648135938595E-3</v>
      </c>
      <c r="O290" s="27">
        <v>-3.5422701388312453E-3</v>
      </c>
      <c r="Q290" s="2"/>
      <c r="R290" s="24"/>
      <c r="S290" s="24"/>
      <c r="T290" s="24"/>
    </row>
    <row r="291" spans="1:20" x14ac:dyDescent="0.25">
      <c r="A291" s="2">
        <v>44981</v>
      </c>
      <c r="B291" s="20">
        <v>2778</v>
      </c>
      <c r="C291" s="20">
        <v>403</v>
      </c>
      <c r="D291" s="20">
        <v>10800</v>
      </c>
      <c r="E291" s="17">
        <f t="shared" si="18"/>
        <v>0</v>
      </c>
      <c r="F291" s="17">
        <f t="shared" si="18"/>
        <v>2.2842639593908531E-2</v>
      </c>
      <c r="G291" s="17">
        <f t="shared" si="18"/>
        <v>-5.066789497927271E-3</v>
      </c>
      <c r="H291" s="14">
        <f t="shared" si="19"/>
        <v>-3.1115696996515309E-3</v>
      </c>
      <c r="I291" s="39"/>
      <c r="J291" s="47">
        <f t="shared" si="21"/>
        <v>480</v>
      </c>
      <c r="K291" s="49">
        <f t="shared" si="20"/>
        <v>7.5757736081501483E-5</v>
      </c>
      <c r="L291" s="17">
        <v>1.4559147726686799E-2</v>
      </c>
      <c r="M291" s="27"/>
      <c r="N291" s="49">
        <v>1.386636423777466E-7</v>
      </c>
      <c r="O291" s="27">
        <v>-3.4826851708573449E-3</v>
      </c>
      <c r="Q291" s="2"/>
      <c r="R291" s="24"/>
      <c r="S291" s="24"/>
      <c r="T291" s="24"/>
    </row>
    <row r="292" spans="1:20" x14ac:dyDescent="0.25">
      <c r="A292" s="2">
        <v>44980</v>
      </c>
      <c r="B292" s="20">
        <v>2778</v>
      </c>
      <c r="C292" s="20">
        <v>394</v>
      </c>
      <c r="D292" s="20">
        <v>10855</v>
      </c>
      <c r="E292" s="17">
        <f t="shared" si="18"/>
        <v>2.73668639053255E-2</v>
      </c>
      <c r="F292" s="17">
        <f t="shared" si="18"/>
        <v>4.5092838196286511E-2</v>
      </c>
      <c r="G292" s="17">
        <f t="shared" si="18"/>
        <v>-1.379944802207933E-3</v>
      </c>
      <c r="H292" s="14">
        <f t="shared" si="19"/>
        <v>4.7983211825141734E-3</v>
      </c>
      <c r="I292" s="39"/>
      <c r="J292" s="47">
        <f t="shared" si="21"/>
        <v>479</v>
      </c>
      <c r="K292" s="49">
        <f t="shared" si="20"/>
        <v>7.4242581359871442E-5</v>
      </c>
      <c r="L292" s="17">
        <v>-9.5663204908977909E-3</v>
      </c>
      <c r="M292" s="27"/>
      <c r="N292" s="49">
        <v>1.0674716014076422E-5</v>
      </c>
      <c r="O292" s="27">
        <v>-3.4729181124482887E-3</v>
      </c>
      <c r="Q292" s="2"/>
      <c r="R292" s="24"/>
      <c r="S292" s="24"/>
      <c r="T292" s="24"/>
    </row>
    <row r="293" spans="1:20" x14ac:dyDescent="0.25">
      <c r="A293" s="2">
        <v>44979</v>
      </c>
      <c r="B293" s="20">
        <v>2704</v>
      </c>
      <c r="C293" s="20">
        <v>377</v>
      </c>
      <c r="D293" s="20">
        <v>10870</v>
      </c>
      <c r="E293" s="17">
        <f t="shared" si="18"/>
        <v>-6.6127847171197907E-3</v>
      </c>
      <c r="F293" s="17">
        <f t="shared" si="18"/>
        <v>0</v>
      </c>
      <c r="G293" s="17">
        <f t="shared" si="18"/>
        <v>2.7675276752767708E-3</v>
      </c>
      <c r="H293" s="14">
        <f t="shared" si="19"/>
        <v>1.2961309086287126E-3</v>
      </c>
      <c r="I293" s="39"/>
      <c r="J293" s="47">
        <f t="shared" si="21"/>
        <v>478</v>
      </c>
      <c r="K293" s="49">
        <f t="shared" si="20"/>
        <v>7.2757729732674022E-5</v>
      </c>
      <c r="L293" s="17">
        <v>-7.7345079530959622E-3</v>
      </c>
      <c r="M293" s="27"/>
      <c r="N293" s="49">
        <v>7.2681586265144416E-7</v>
      </c>
      <c r="O293" s="27">
        <v>-3.4268691776880153E-3</v>
      </c>
      <c r="Q293" s="2"/>
      <c r="R293" s="24"/>
      <c r="S293" s="24"/>
      <c r="T293" s="24"/>
    </row>
    <row r="294" spans="1:20" x14ac:dyDescent="0.25">
      <c r="A294" s="2">
        <v>44978</v>
      </c>
      <c r="B294" s="20">
        <v>2722</v>
      </c>
      <c r="C294" s="20">
        <v>377</v>
      </c>
      <c r="D294" s="20">
        <v>10840</v>
      </c>
      <c r="E294" s="17">
        <f t="shared" si="18"/>
        <v>8.1481481481482376E-3</v>
      </c>
      <c r="F294" s="17">
        <f t="shared" si="18"/>
        <v>2.6595744680850686E-3</v>
      </c>
      <c r="G294" s="17">
        <f t="shared" si="18"/>
        <v>2.7752081406104967E-3</v>
      </c>
      <c r="H294" s="14">
        <f t="shared" si="19"/>
        <v>3.5432866928902665E-3</v>
      </c>
      <c r="I294" s="39"/>
      <c r="J294" s="47">
        <f t="shared" si="21"/>
        <v>477</v>
      </c>
      <c r="K294" s="49">
        <f t="shared" si="20"/>
        <v>7.1302575138020531E-5</v>
      </c>
      <c r="L294" s="17">
        <v>-2.7524312122942034E-2</v>
      </c>
      <c r="M294" s="27"/>
      <c r="N294" s="49">
        <v>2.9297136490189294E-6</v>
      </c>
      <c r="O294" s="27">
        <v>-3.3380376426145383E-3</v>
      </c>
      <c r="Q294" s="2"/>
      <c r="R294" s="24"/>
      <c r="S294" s="24"/>
      <c r="T294" s="24"/>
    </row>
    <row r="295" spans="1:20" x14ac:dyDescent="0.25">
      <c r="A295" s="2">
        <v>44977</v>
      </c>
      <c r="B295" s="20">
        <v>2700</v>
      </c>
      <c r="C295" s="20">
        <v>376</v>
      </c>
      <c r="D295" s="20">
        <v>10810</v>
      </c>
      <c r="E295" s="17">
        <f t="shared" si="18"/>
        <v>-1.7467248908296984E-2</v>
      </c>
      <c r="F295" s="17">
        <f t="shared" si="18"/>
        <v>4.0110650069156373E-2</v>
      </c>
      <c r="G295" s="17">
        <f t="shared" si="18"/>
        <v>-1.4135886912904683E-2</v>
      </c>
      <c r="H295" s="14">
        <f t="shared" si="19"/>
        <v>-1.2232108675358795E-2</v>
      </c>
      <c r="I295" s="39"/>
      <c r="J295" s="47">
        <f t="shared" si="21"/>
        <v>476</v>
      </c>
      <c r="K295" s="49">
        <f t="shared" si="20"/>
        <v>6.9876523635260118E-5</v>
      </c>
      <c r="L295" s="17">
        <v>1.5689838078000833E-3</v>
      </c>
      <c r="M295" s="27"/>
      <c r="N295" s="49">
        <v>1.3902709853171734E-2</v>
      </c>
      <c r="O295" s="27">
        <v>-3.3152546146767779E-3</v>
      </c>
      <c r="Q295" s="2"/>
      <c r="R295" s="24"/>
      <c r="S295" s="24"/>
      <c r="T295" s="24"/>
    </row>
    <row r="296" spans="1:20" x14ac:dyDescent="0.25">
      <c r="A296" s="2">
        <v>44974</v>
      </c>
      <c r="B296" s="20">
        <v>2748</v>
      </c>
      <c r="C296" s="29">
        <v>361.5</v>
      </c>
      <c r="D296" s="20">
        <v>10965</v>
      </c>
      <c r="E296" s="17">
        <f t="shared" si="18"/>
        <v>-1.5759312320916874E-2</v>
      </c>
      <c r="F296" s="17">
        <f t="shared" si="18"/>
        <v>-9.5890410958904271E-3</v>
      </c>
      <c r="G296" s="17">
        <f t="shared" si="18"/>
        <v>-1.8791946308724827E-2</v>
      </c>
      <c r="H296" s="14">
        <f t="shared" si="19"/>
        <v>-1.7951252867574909E-2</v>
      </c>
      <c r="I296" s="39"/>
      <c r="J296" s="47">
        <f t="shared" si="21"/>
        <v>475</v>
      </c>
      <c r="K296" s="49">
        <f t="shared" si="20"/>
        <v>6.8478993162554927E-5</v>
      </c>
      <c r="L296" s="17">
        <v>-4.4718864695510608E-3</v>
      </c>
      <c r="M296" s="27"/>
      <c r="N296" s="49">
        <v>8.1962123344740152E-9</v>
      </c>
      <c r="O296" s="27">
        <v>-3.3103748139945693E-3</v>
      </c>
      <c r="Q296" s="2"/>
      <c r="R296" s="24"/>
      <c r="S296" s="24"/>
      <c r="T296" s="24"/>
    </row>
    <row r="297" spans="1:20" x14ac:dyDescent="0.25">
      <c r="A297" s="2">
        <v>44973</v>
      </c>
      <c r="B297" s="20">
        <v>2792</v>
      </c>
      <c r="C297" s="20">
        <v>365</v>
      </c>
      <c r="D297" s="20">
        <v>11175</v>
      </c>
      <c r="E297" s="17">
        <f t="shared" si="18"/>
        <v>-1.4306151645206988E-3</v>
      </c>
      <c r="F297" s="17">
        <f t="shared" si="18"/>
        <v>1.37174211248281E-3</v>
      </c>
      <c r="G297" s="17">
        <f t="shared" si="18"/>
        <v>-8.4294587400177701E-3</v>
      </c>
      <c r="H297" s="14">
        <f t="shared" si="19"/>
        <v>-6.991748977593094E-3</v>
      </c>
      <c r="I297" s="39"/>
      <c r="J297" s="47">
        <f t="shared" si="21"/>
        <v>474</v>
      </c>
      <c r="K297" s="49">
        <f t="shared" si="20"/>
        <v>6.7109413299303809E-5</v>
      </c>
      <c r="L297" s="17">
        <v>-1.2211567041494261E-2</v>
      </c>
      <c r="M297" s="27"/>
      <c r="N297" s="49">
        <v>1.4141945433448594E-8</v>
      </c>
      <c r="O297" s="27">
        <v>-3.2525119771305401E-3</v>
      </c>
      <c r="Q297" s="2"/>
      <c r="R297" s="24"/>
      <c r="S297" s="24"/>
      <c r="T297" s="24"/>
    </row>
    <row r="298" spans="1:20" x14ac:dyDescent="0.25">
      <c r="A298" s="2">
        <v>44972</v>
      </c>
      <c r="B298" s="20">
        <v>2796</v>
      </c>
      <c r="C298" s="29">
        <v>364.5</v>
      </c>
      <c r="D298" s="20">
        <v>11270</v>
      </c>
      <c r="E298" s="17">
        <f t="shared" si="18"/>
        <v>-2.8530670470755526E-3</v>
      </c>
      <c r="F298" s="17">
        <f t="shared" si="18"/>
        <v>8.2987551867219622E-3</v>
      </c>
      <c r="G298" s="17">
        <f t="shared" si="18"/>
        <v>-7.9225352112676228E-3</v>
      </c>
      <c r="H298" s="14">
        <f t="shared" si="19"/>
        <v>-6.4804127734343717E-3</v>
      </c>
      <c r="I298" s="39"/>
      <c r="J298" s="47">
        <f t="shared" si="21"/>
        <v>473</v>
      </c>
      <c r="K298" s="49">
        <f t="shared" si="20"/>
        <v>6.5767225033317741E-5</v>
      </c>
      <c r="L298" s="17">
        <v>-9.6544352348654529E-3</v>
      </c>
      <c r="M298" s="27"/>
      <c r="N298" s="49">
        <v>1.2789892867886014E-7</v>
      </c>
      <c r="O298" s="27">
        <v>-3.1702491938418211E-3</v>
      </c>
      <c r="Q298" s="2"/>
      <c r="R298" s="24"/>
      <c r="S298" s="24"/>
      <c r="T298" s="24"/>
    </row>
    <row r="299" spans="1:20" x14ac:dyDescent="0.25">
      <c r="A299" s="2">
        <v>44971</v>
      </c>
      <c r="B299" s="20">
        <v>2804</v>
      </c>
      <c r="C299" s="29">
        <v>361.5</v>
      </c>
      <c r="D299" s="20">
        <v>11360</v>
      </c>
      <c r="E299" s="17">
        <f t="shared" si="18"/>
        <v>-5.6737588652482351E-3</v>
      </c>
      <c r="F299" s="17">
        <f t="shared" si="18"/>
        <v>-1.2295081967213073E-2</v>
      </c>
      <c r="G299" s="17">
        <f t="shared" si="18"/>
        <v>1.4285714285714235E-2</v>
      </c>
      <c r="H299" s="14">
        <f t="shared" si="19"/>
        <v>1.024582754339253E-2</v>
      </c>
      <c r="I299" s="39"/>
      <c r="J299" s="47">
        <f t="shared" si="21"/>
        <v>472</v>
      </c>
      <c r="K299" s="49">
        <f t="shared" si="20"/>
        <v>6.4451880532651374E-5</v>
      </c>
      <c r="L299" s="17">
        <v>1.2434717481630789E-2</v>
      </c>
      <c r="M299" s="27"/>
      <c r="N299" s="49">
        <v>7.4126065733804411E-8</v>
      </c>
      <c r="O299" s="27">
        <v>-3.1591369660044083E-3</v>
      </c>
      <c r="Q299" s="2"/>
      <c r="R299" s="24"/>
      <c r="S299" s="24"/>
      <c r="T299" s="24"/>
    </row>
    <row r="300" spans="1:20" x14ac:dyDescent="0.25">
      <c r="A300" s="2">
        <v>44970</v>
      </c>
      <c r="B300" s="20">
        <v>2820</v>
      </c>
      <c r="C300" s="20">
        <v>366</v>
      </c>
      <c r="D300" s="20">
        <v>11200</v>
      </c>
      <c r="E300" s="17">
        <f t="shared" si="18"/>
        <v>8.5836909871244149E-3</v>
      </c>
      <c r="F300" s="17">
        <f t="shared" si="18"/>
        <v>0</v>
      </c>
      <c r="G300" s="17">
        <f t="shared" si="18"/>
        <v>8.1008100810080474E-3</v>
      </c>
      <c r="H300" s="14">
        <f t="shared" si="19"/>
        <v>7.8144115219849382E-3</v>
      </c>
      <c r="I300" s="39"/>
      <c r="J300" s="47">
        <f t="shared" si="21"/>
        <v>471</v>
      </c>
      <c r="K300" s="49">
        <f t="shared" si="20"/>
        <v>6.3162842921998344E-5</v>
      </c>
      <c r="L300" s="17">
        <v>-1.1525223668890451E-2</v>
      </c>
      <c r="M300" s="27"/>
      <c r="N300" s="49">
        <v>1.9979073962244452E-4</v>
      </c>
      <c r="O300" s="27">
        <v>-3.154367355411229E-3</v>
      </c>
      <c r="Q300" s="2"/>
      <c r="R300" s="24"/>
      <c r="S300" s="24"/>
      <c r="T300" s="24"/>
    </row>
    <row r="301" spans="1:20" x14ac:dyDescent="0.25">
      <c r="A301" s="2">
        <v>44967</v>
      </c>
      <c r="B301" s="20">
        <v>2796</v>
      </c>
      <c r="C301" s="20">
        <v>366</v>
      </c>
      <c r="D301" s="20">
        <v>11110</v>
      </c>
      <c r="E301" s="17">
        <f t="shared" si="18"/>
        <v>1.1577424023154759E-2</v>
      </c>
      <c r="F301" s="17">
        <f t="shared" si="18"/>
        <v>1.6666666666666607E-2</v>
      </c>
      <c r="G301" s="17">
        <f t="shared" si="18"/>
        <v>-8.0357142857142572E-3</v>
      </c>
      <c r="H301" s="14">
        <f t="shared" si="19"/>
        <v>-4.1281871055131999E-3</v>
      </c>
      <c r="I301" s="39"/>
      <c r="J301" s="47">
        <f t="shared" si="21"/>
        <v>470</v>
      </c>
      <c r="K301" s="49">
        <f t="shared" si="20"/>
        <v>6.1899586063558385E-5</v>
      </c>
      <c r="L301" s="17">
        <v>-3.1115696996515309E-3</v>
      </c>
      <c r="M301" s="27"/>
      <c r="N301" s="49">
        <v>4.4849716069426705E-3</v>
      </c>
      <c r="O301" s="27">
        <v>-3.1333390979061257E-3</v>
      </c>
      <c r="Q301" s="2"/>
      <c r="R301" s="24"/>
      <c r="S301" s="24"/>
      <c r="T301" s="24"/>
    </row>
    <row r="302" spans="1:20" x14ac:dyDescent="0.25">
      <c r="A302" s="2">
        <v>44966</v>
      </c>
      <c r="B302" s="20">
        <v>2764</v>
      </c>
      <c r="C302" s="20">
        <v>360</v>
      </c>
      <c r="D302" s="20">
        <v>11200</v>
      </c>
      <c r="E302" s="17">
        <f t="shared" si="18"/>
        <v>7.2411296162200323E-4</v>
      </c>
      <c r="F302" s="17">
        <f t="shared" si="18"/>
        <v>-2.9649595687331498E-2</v>
      </c>
      <c r="G302" s="17">
        <f t="shared" si="18"/>
        <v>2.4234110653863716E-2</v>
      </c>
      <c r="H302" s="14">
        <f t="shared" si="19"/>
        <v>1.8483838090984223E-2</v>
      </c>
      <c r="I302" s="39"/>
      <c r="J302" s="47">
        <f t="shared" si="21"/>
        <v>469</v>
      </c>
      <c r="K302" s="49">
        <f t="shared" si="20"/>
        <v>6.0661594342287212E-5</v>
      </c>
      <c r="L302" s="17">
        <v>4.7983211825141734E-3</v>
      </c>
      <c r="M302" s="27"/>
      <c r="N302" s="49">
        <v>3.7354216977270801E-5</v>
      </c>
      <c r="O302" s="27">
        <v>-3.1219614693509812E-3</v>
      </c>
      <c r="Q302" s="2"/>
      <c r="R302" s="24"/>
      <c r="S302" s="24"/>
      <c r="T302" s="24"/>
    </row>
    <row r="303" spans="1:20" x14ac:dyDescent="0.25">
      <c r="A303" s="2">
        <v>44965</v>
      </c>
      <c r="B303" s="20">
        <v>2762</v>
      </c>
      <c r="C303" s="20">
        <v>371</v>
      </c>
      <c r="D303" s="20">
        <v>10935</v>
      </c>
      <c r="E303" s="17">
        <f t="shared" si="18"/>
        <v>9.5029239766082352E-3</v>
      </c>
      <c r="F303" s="17">
        <f t="shared" si="18"/>
        <v>1.0899182561307841E-2</v>
      </c>
      <c r="G303" s="17">
        <f t="shared" si="18"/>
        <v>2.0055970149253755E-2</v>
      </c>
      <c r="H303" s="14">
        <f t="shared" si="19"/>
        <v>1.8135125931524894E-2</v>
      </c>
      <c r="I303" s="39"/>
      <c r="J303" s="47">
        <f t="shared" si="21"/>
        <v>468</v>
      </c>
      <c r="K303" s="49">
        <f t="shared" si="20"/>
        <v>5.9448362455441465E-5</v>
      </c>
      <c r="L303" s="17">
        <v>1.2961309086287126E-3</v>
      </c>
      <c r="M303" s="27"/>
      <c r="N303" s="49">
        <v>6.1899586063558385E-5</v>
      </c>
      <c r="O303" s="27">
        <v>-3.1115696996515309E-3</v>
      </c>
      <c r="Q303" s="2"/>
      <c r="R303" s="24"/>
      <c r="S303" s="24"/>
      <c r="T303" s="24"/>
    </row>
    <row r="304" spans="1:20" x14ac:dyDescent="0.25">
      <c r="A304" s="2">
        <v>44964</v>
      </c>
      <c r="B304" s="20">
        <v>2736</v>
      </c>
      <c r="C304" s="20">
        <v>367</v>
      </c>
      <c r="D304" s="20">
        <v>10720</v>
      </c>
      <c r="E304" s="17">
        <f t="shared" si="18"/>
        <v>2.0134228187919545E-2</v>
      </c>
      <c r="F304" s="17">
        <f t="shared" si="18"/>
        <v>-9.4466936572199511E-3</v>
      </c>
      <c r="G304" s="17">
        <f t="shared" si="18"/>
        <v>1.4671083767155757E-2</v>
      </c>
      <c r="H304" s="14">
        <f t="shared" si="19"/>
        <v>1.4397681440259691E-2</v>
      </c>
      <c r="I304" s="39"/>
      <c r="J304" s="47">
        <f t="shared" si="21"/>
        <v>467</v>
      </c>
      <c r="K304" s="49">
        <f t="shared" si="20"/>
        <v>5.8259395206332638E-5</v>
      </c>
      <c r="L304" s="17">
        <v>3.5432866928902665E-3</v>
      </c>
      <c r="M304" s="27"/>
      <c r="N304" s="49">
        <v>3.5157490185271465E-5</v>
      </c>
      <c r="O304" s="27">
        <v>-3.1091775691607141E-3</v>
      </c>
      <c r="Q304" s="2"/>
      <c r="R304" s="24"/>
      <c r="S304" s="24"/>
      <c r="T304" s="24"/>
    </row>
    <row r="305" spans="1:20" x14ac:dyDescent="0.25">
      <c r="A305" s="2">
        <v>44963</v>
      </c>
      <c r="B305" s="20">
        <v>2682</v>
      </c>
      <c r="C305" s="29">
        <v>370.5</v>
      </c>
      <c r="D305" s="20">
        <v>10565</v>
      </c>
      <c r="E305" s="17">
        <f t="shared" si="18"/>
        <v>-2.116788321167884E-2</v>
      </c>
      <c r="F305" s="17">
        <f t="shared" si="18"/>
        <v>-1.4627659574468099E-2</v>
      </c>
      <c r="G305" s="17">
        <f t="shared" si="18"/>
        <v>-1.4918414918414946E-2</v>
      </c>
      <c r="H305" s="14">
        <f t="shared" si="19"/>
        <v>-1.580493122939498E-2</v>
      </c>
      <c r="I305" s="39"/>
      <c r="J305" s="47">
        <f t="shared" si="21"/>
        <v>466</v>
      </c>
      <c r="K305" s="49">
        <f t="shared" si="20"/>
        <v>5.7094207302205986E-5</v>
      </c>
      <c r="L305" s="17">
        <v>-1.2232108675358795E-2</v>
      </c>
      <c r="M305" s="27"/>
      <c r="N305" s="49">
        <v>2.120520061148623E-6</v>
      </c>
      <c r="O305" s="27">
        <v>-3.1072066887021547E-3</v>
      </c>
      <c r="Q305" s="2"/>
      <c r="R305" s="24"/>
      <c r="S305" s="24"/>
      <c r="T305" s="24"/>
    </row>
    <row r="306" spans="1:20" x14ac:dyDescent="0.25">
      <c r="A306" s="2">
        <v>44960</v>
      </c>
      <c r="B306" s="20">
        <v>2740</v>
      </c>
      <c r="C306" s="20">
        <v>376</v>
      </c>
      <c r="D306" s="20">
        <v>10725</v>
      </c>
      <c r="E306" s="17">
        <f t="shared" si="18"/>
        <v>-3.6363636363636598E-3</v>
      </c>
      <c r="F306" s="17">
        <f t="shared" si="18"/>
        <v>-1.9556714471968717E-2</v>
      </c>
      <c r="G306" s="17">
        <f t="shared" si="18"/>
        <v>-4.1782729805014407E-3</v>
      </c>
      <c r="H306" s="14">
        <f t="shared" si="19"/>
        <v>-4.7758980262839123E-3</v>
      </c>
      <c r="I306" s="39"/>
      <c r="J306" s="47">
        <f t="shared" si="21"/>
        <v>465</v>
      </c>
      <c r="K306" s="49">
        <f t="shared" si="20"/>
        <v>5.595232315616186E-5</v>
      </c>
      <c r="L306" s="17">
        <v>-1.7951252867574909E-2</v>
      </c>
      <c r="M306" s="27"/>
      <c r="N306" s="49">
        <v>4.7502585091931191E-9</v>
      </c>
      <c r="O306" s="27">
        <v>-3.0557209022366084E-3</v>
      </c>
      <c r="Q306" s="2"/>
      <c r="R306" s="24"/>
      <c r="S306" s="24"/>
      <c r="T306" s="24"/>
    </row>
    <row r="307" spans="1:20" x14ac:dyDescent="0.25">
      <c r="A307" s="2">
        <v>44959</v>
      </c>
      <c r="B307" s="20">
        <v>2750</v>
      </c>
      <c r="C307" s="29">
        <v>383.5</v>
      </c>
      <c r="D307" s="20">
        <v>10770</v>
      </c>
      <c r="E307" s="17">
        <f t="shared" si="18"/>
        <v>1.4760147601476037E-2</v>
      </c>
      <c r="F307" s="17">
        <f t="shared" si="18"/>
        <v>0</v>
      </c>
      <c r="G307" s="17">
        <f t="shared" si="18"/>
        <v>1.3170272812794037E-2</v>
      </c>
      <c r="H307" s="14">
        <f t="shared" si="19"/>
        <v>1.2820457704794969E-2</v>
      </c>
      <c r="I307" s="39"/>
      <c r="J307" s="47">
        <f t="shared" si="21"/>
        <v>464</v>
      </c>
      <c r="K307" s="49">
        <f t="shared" si="20"/>
        <v>5.4833276693038614E-5</v>
      </c>
      <c r="L307" s="17">
        <v>-6.991748977593094E-3</v>
      </c>
      <c r="M307" s="27"/>
      <c r="N307" s="49">
        <v>1.8078420143980322E-2</v>
      </c>
      <c r="O307" s="27">
        <v>-3.0415120463704059E-3</v>
      </c>
      <c r="Q307" s="2"/>
      <c r="R307" s="24"/>
      <c r="S307" s="24"/>
      <c r="T307" s="24"/>
    </row>
    <row r="308" spans="1:20" x14ac:dyDescent="0.25">
      <c r="A308" s="2">
        <v>44958</v>
      </c>
      <c r="B308" s="20">
        <v>2710</v>
      </c>
      <c r="C308" s="29">
        <v>383.5</v>
      </c>
      <c r="D308" s="20">
        <v>10630</v>
      </c>
      <c r="E308" s="17">
        <f t="shared" si="18"/>
        <v>1.0439970171513879E-2</v>
      </c>
      <c r="F308" s="17">
        <f t="shared" si="18"/>
        <v>3.9267015706805353E-3</v>
      </c>
      <c r="G308" s="17">
        <f t="shared" si="18"/>
        <v>-1.8013856812932993E-2</v>
      </c>
      <c r="H308" s="14">
        <f t="shared" si="19"/>
        <v>-1.2955499147582003E-2</v>
      </c>
      <c r="I308" s="39"/>
      <c r="J308" s="47">
        <f t="shared" si="21"/>
        <v>463</v>
      </c>
      <c r="K308" s="49">
        <f t="shared" si="20"/>
        <v>5.3736611159177847E-5</v>
      </c>
      <c r="L308" s="17">
        <v>-6.4804127734343717E-3</v>
      </c>
      <c r="M308" s="27"/>
      <c r="N308" s="49">
        <v>3.6607132637725385E-5</v>
      </c>
      <c r="O308" s="27">
        <v>-2.8876458126273815E-3</v>
      </c>
      <c r="Q308" s="2"/>
      <c r="R308" s="24"/>
      <c r="S308" s="24"/>
      <c r="T308" s="24"/>
    </row>
    <row r="309" spans="1:20" x14ac:dyDescent="0.25">
      <c r="A309" s="2">
        <v>44957</v>
      </c>
      <c r="B309" s="20">
        <v>2682</v>
      </c>
      <c r="C309" s="20">
        <v>382</v>
      </c>
      <c r="D309" s="20">
        <v>10825</v>
      </c>
      <c r="E309" s="17">
        <f t="shared" si="18"/>
        <v>-7.4019245003701384E-3</v>
      </c>
      <c r="F309" s="17">
        <f t="shared" si="18"/>
        <v>2.826379542395685E-2</v>
      </c>
      <c r="G309" s="17">
        <f t="shared" si="18"/>
        <v>-1.5909090909090873E-2</v>
      </c>
      <c r="H309" s="14">
        <f t="shared" si="19"/>
        <v>-1.2744320157987493E-2</v>
      </c>
      <c r="I309" s="39"/>
      <c r="J309" s="47">
        <f t="shared" si="21"/>
        <v>462</v>
      </c>
      <c r="K309" s="49">
        <f t="shared" si="20"/>
        <v>5.2661878935994281E-5</v>
      </c>
      <c r="L309" s="17">
        <v>1.024582754339253E-2</v>
      </c>
      <c r="M309" s="27"/>
      <c r="N309" s="49">
        <v>9.8305659178423911E-9</v>
      </c>
      <c r="O309" s="27">
        <v>-2.8819222840411034E-3</v>
      </c>
      <c r="Q309" s="2"/>
      <c r="R309" s="24"/>
      <c r="S309" s="24"/>
      <c r="T309" s="24"/>
    </row>
    <row r="310" spans="1:20" x14ac:dyDescent="0.25">
      <c r="A310" s="2">
        <v>44956</v>
      </c>
      <c r="B310" s="20">
        <v>2702</v>
      </c>
      <c r="C310" s="29">
        <v>371.5</v>
      </c>
      <c r="D310" s="20">
        <v>11000</v>
      </c>
      <c r="E310" s="17">
        <f t="shared" si="18"/>
        <v>-3.0846484935437624E-2</v>
      </c>
      <c r="F310" s="17">
        <f t="shared" si="18"/>
        <v>4.0540540540541237E-3</v>
      </c>
      <c r="G310" s="17">
        <f t="shared" si="18"/>
        <v>-2.2222222222222254E-2</v>
      </c>
      <c r="H310" s="14">
        <f t="shared" si="19"/>
        <v>-2.2308873323722403E-2</v>
      </c>
      <c r="I310" s="39"/>
      <c r="J310" s="47">
        <f t="shared" si="21"/>
        <v>461</v>
      </c>
      <c r="K310" s="49">
        <f t="shared" si="20"/>
        <v>5.1608641357274402E-5</v>
      </c>
      <c r="L310" s="17">
        <v>7.8144115219849382E-3</v>
      </c>
      <c r="M310" s="27"/>
      <c r="N310" s="49">
        <v>1.5677913462907713E-4</v>
      </c>
      <c r="O310" s="27">
        <v>-2.7310537415153697E-3</v>
      </c>
      <c r="Q310" s="2"/>
      <c r="R310" s="24"/>
      <c r="S310" s="24"/>
      <c r="T310" s="24"/>
    </row>
    <row r="311" spans="1:20" x14ac:dyDescent="0.25">
      <c r="A311" s="2">
        <v>44953</v>
      </c>
      <c r="B311" s="20">
        <v>2788</v>
      </c>
      <c r="C311" s="20">
        <v>370</v>
      </c>
      <c r="D311" s="20">
        <v>11250</v>
      </c>
      <c r="E311" s="17">
        <f t="shared" si="18"/>
        <v>1.4556040756914079E-2</v>
      </c>
      <c r="F311" s="17">
        <f t="shared" si="18"/>
        <v>-2.1164021164021163E-2</v>
      </c>
      <c r="G311" s="17">
        <f t="shared" si="18"/>
        <v>-1.3157894736842146E-2</v>
      </c>
      <c r="H311" s="14">
        <f t="shared" si="19"/>
        <v>-9.5216229197513397E-3</v>
      </c>
      <c r="I311" s="39"/>
      <c r="J311" s="47">
        <f t="shared" si="21"/>
        <v>460</v>
      </c>
      <c r="K311" s="49">
        <f t="shared" si="20"/>
        <v>5.0576468530128904E-5</v>
      </c>
      <c r="L311" s="17">
        <v>-4.1281871055131999E-3</v>
      </c>
      <c r="M311" s="27"/>
      <c r="N311" s="49">
        <v>8.9093445236976244E-4</v>
      </c>
      <c r="O311" s="27">
        <v>-2.7106155593501473E-3</v>
      </c>
      <c r="Q311" s="2"/>
      <c r="R311" s="24"/>
      <c r="S311" s="24"/>
      <c r="T311" s="24"/>
    </row>
    <row r="312" spans="1:20" x14ac:dyDescent="0.25">
      <c r="A312" s="2">
        <v>44952</v>
      </c>
      <c r="B312" s="20">
        <v>2748</v>
      </c>
      <c r="C312" s="20">
        <v>378</v>
      </c>
      <c r="D312" s="20">
        <v>11400</v>
      </c>
      <c r="E312" s="17">
        <f t="shared" si="18"/>
        <v>2.9213483146067309E-2</v>
      </c>
      <c r="F312" s="17">
        <f t="shared" si="18"/>
        <v>-5.2631578947368585E-3</v>
      </c>
      <c r="G312" s="17">
        <f t="shared" si="18"/>
        <v>1.3333333333333419E-2</v>
      </c>
      <c r="H312" s="14">
        <f t="shared" si="19"/>
        <v>1.4801484451748417E-2</v>
      </c>
      <c r="I312" s="39"/>
      <c r="J312" s="47">
        <f t="shared" si="21"/>
        <v>459</v>
      </c>
      <c r="K312" s="49">
        <f t="shared" si="20"/>
        <v>4.9564939159526327E-5</v>
      </c>
      <c r="L312" s="17">
        <v>1.8483838090984223E-2</v>
      </c>
      <c r="M312" s="27"/>
      <c r="N312" s="49">
        <v>2.2965893184606607E-8</v>
      </c>
      <c r="O312" s="27">
        <v>-2.5980899874794255E-3</v>
      </c>
      <c r="Q312" s="2"/>
      <c r="R312" s="24"/>
      <c r="S312" s="24"/>
      <c r="T312" s="24"/>
    </row>
    <row r="313" spans="1:20" x14ac:dyDescent="0.25">
      <c r="A313" s="2">
        <v>44951</v>
      </c>
      <c r="B313" s="20">
        <v>2670</v>
      </c>
      <c r="C313" s="20">
        <v>380</v>
      </c>
      <c r="D313" s="20">
        <v>11250</v>
      </c>
      <c r="E313" s="17">
        <f t="shared" si="18"/>
        <v>4.5146726862301811E-3</v>
      </c>
      <c r="F313" s="17">
        <f t="shared" si="18"/>
        <v>-7.8328981723237989E-3</v>
      </c>
      <c r="G313" s="17">
        <f t="shared" si="18"/>
        <v>-2.5974025974025983E-2</v>
      </c>
      <c r="H313" s="14">
        <f t="shared" si="19"/>
        <v>-2.0789769539702685E-2</v>
      </c>
      <c r="I313" s="39"/>
      <c r="J313" s="47">
        <f t="shared" si="21"/>
        <v>458</v>
      </c>
      <c r="K313" s="49">
        <f t="shared" si="20"/>
        <v>4.8573640376335798E-5</v>
      </c>
      <c r="L313" s="17">
        <v>1.8135125931524894E-2</v>
      </c>
      <c r="M313" s="27"/>
      <c r="N313" s="49">
        <v>2.4898835606604863E-8</v>
      </c>
      <c r="O313" s="27">
        <v>-2.5702240412895519E-3</v>
      </c>
      <c r="Q313" s="2"/>
      <c r="R313" s="24"/>
      <c r="S313" s="24"/>
      <c r="T313" s="24"/>
    </row>
    <row r="314" spans="1:20" x14ac:dyDescent="0.25">
      <c r="A314" s="2">
        <v>44950</v>
      </c>
      <c r="B314" s="20">
        <v>2658</v>
      </c>
      <c r="C314" s="20">
        <v>383</v>
      </c>
      <c r="D314" s="20">
        <v>11550</v>
      </c>
      <c r="E314" s="17">
        <f t="shared" si="18"/>
        <v>-6.7264573991031584E-3</v>
      </c>
      <c r="F314" s="17">
        <f t="shared" si="18"/>
        <v>2.1333333333333426E-2</v>
      </c>
      <c r="G314" s="17">
        <f t="shared" si="18"/>
        <v>4.3478260869564966E-3</v>
      </c>
      <c r="H314" s="14">
        <f t="shared" si="19"/>
        <v>3.5004587430416626E-3</v>
      </c>
      <c r="I314" s="39"/>
      <c r="J314" s="47">
        <f t="shared" si="21"/>
        <v>457</v>
      </c>
      <c r="K314" s="49">
        <f t="shared" si="20"/>
        <v>4.7602167568809085E-5</v>
      </c>
      <c r="L314" s="17">
        <v>1.4397681440259691E-2</v>
      </c>
      <c r="M314" s="27"/>
      <c r="N314" s="49">
        <v>2.1216305314359042E-5</v>
      </c>
      <c r="O314" s="27">
        <v>-2.5281759080567475E-3</v>
      </c>
      <c r="Q314" s="2"/>
      <c r="R314" s="24"/>
      <c r="S314" s="24"/>
      <c r="T314" s="24"/>
    </row>
    <row r="315" spans="1:20" x14ac:dyDescent="0.25">
      <c r="A315" s="2">
        <v>44949</v>
      </c>
      <c r="B315" s="20">
        <v>2676</v>
      </c>
      <c r="C315" s="20">
        <v>375</v>
      </c>
      <c r="D315" s="20">
        <v>11500</v>
      </c>
      <c r="E315" s="17">
        <f t="shared" si="18"/>
        <v>-5.2044609665427011E-3</v>
      </c>
      <c r="F315" s="17">
        <f t="shared" si="18"/>
        <v>2.673796791443861E-3</v>
      </c>
      <c r="G315" s="17">
        <f t="shared" si="18"/>
        <v>1.1433597185576128E-2</v>
      </c>
      <c r="H315" s="14">
        <f t="shared" si="19"/>
        <v>8.6545686639775757E-3</v>
      </c>
      <c r="I315" s="39"/>
      <c r="J315" s="47">
        <f t="shared" si="21"/>
        <v>456</v>
      </c>
      <c r="K315" s="49">
        <f t="shared" si="20"/>
        <v>4.6650124217432905E-5</v>
      </c>
      <c r="L315" s="17">
        <v>-1.580493122939498E-2</v>
      </c>
      <c r="M315" s="27"/>
      <c r="N315" s="49">
        <v>3.4490435809347796E-3</v>
      </c>
      <c r="O315" s="27">
        <v>-2.5135927568678898E-3</v>
      </c>
      <c r="Q315" s="2"/>
      <c r="R315" s="24"/>
      <c r="S315" s="24"/>
      <c r="T315" s="24"/>
    </row>
    <row r="316" spans="1:20" x14ac:dyDescent="0.25">
      <c r="A316" s="2">
        <v>44946</v>
      </c>
      <c r="B316" s="20">
        <v>2690</v>
      </c>
      <c r="C316" s="20">
        <v>374</v>
      </c>
      <c r="D316" s="20">
        <v>11370</v>
      </c>
      <c r="E316" s="17">
        <f t="shared" si="18"/>
        <v>-3.7037037037036535E-3</v>
      </c>
      <c r="F316" s="17">
        <f t="shared" si="18"/>
        <v>-1.8372703412073532E-2</v>
      </c>
      <c r="G316" s="17">
        <f t="shared" si="18"/>
        <v>-2.1939447125932654E-3</v>
      </c>
      <c r="H316" s="14">
        <f t="shared" si="19"/>
        <v>-3.1219614693509812E-3</v>
      </c>
      <c r="I316" s="39"/>
      <c r="J316" s="47">
        <f t="shared" si="21"/>
        <v>455</v>
      </c>
      <c r="K316" s="49">
        <f t="shared" si="20"/>
        <v>4.5717121733084235E-5</v>
      </c>
      <c r="L316" s="17">
        <v>-4.7758980262839123E-3</v>
      </c>
      <c r="M316" s="27"/>
      <c r="N316" s="49">
        <v>1.0057482816534429E-3</v>
      </c>
      <c r="O316" s="27">
        <v>-2.3867222233969051E-3</v>
      </c>
      <c r="Q316" s="2"/>
      <c r="R316" s="24"/>
      <c r="S316" s="24"/>
      <c r="T316" s="24"/>
    </row>
    <row r="317" spans="1:20" x14ac:dyDescent="0.25">
      <c r="A317" s="2">
        <v>44945</v>
      </c>
      <c r="B317" s="20">
        <v>2700</v>
      </c>
      <c r="C317" s="20">
        <v>381</v>
      </c>
      <c r="D317" s="20">
        <v>11395</v>
      </c>
      <c r="E317" s="17">
        <f t="shared" si="18"/>
        <v>4.4642857142858094E-3</v>
      </c>
      <c r="F317" s="17">
        <f t="shared" si="18"/>
        <v>3.2520325203251987E-2</v>
      </c>
      <c r="G317" s="17">
        <f t="shared" si="18"/>
        <v>-6.1055385957261565E-3</v>
      </c>
      <c r="H317" s="14">
        <f t="shared" si="19"/>
        <v>-2.8876458126273815E-3</v>
      </c>
      <c r="I317" s="39"/>
      <c r="J317" s="47">
        <f t="shared" si="21"/>
        <v>454</v>
      </c>
      <c r="K317" s="49">
        <f t="shared" si="20"/>
        <v>4.4802779298422555E-5</v>
      </c>
      <c r="L317" s="17">
        <v>1.2820457704794969E-2</v>
      </c>
      <c r="M317" s="27"/>
      <c r="N317" s="49">
        <v>3.5818688104814171E-8</v>
      </c>
      <c r="O317" s="27">
        <v>-2.3673079111592469E-3</v>
      </c>
      <c r="Q317" s="2"/>
      <c r="R317" s="24"/>
      <c r="S317" s="24"/>
      <c r="T317" s="24"/>
    </row>
    <row r="318" spans="1:20" x14ac:dyDescent="0.25">
      <c r="A318" s="2">
        <v>44944</v>
      </c>
      <c r="B318" s="20">
        <v>2688</v>
      </c>
      <c r="C318" s="20">
        <v>369</v>
      </c>
      <c r="D318" s="20">
        <v>11465</v>
      </c>
      <c r="E318" s="17">
        <f t="shared" si="18"/>
        <v>7.446016381236209E-4</v>
      </c>
      <c r="F318" s="17">
        <f t="shared" si="18"/>
        <v>-5.3908355795148077E-3</v>
      </c>
      <c r="G318" s="17">
        <f t="shared" si="18"/>
        <v>2.7790228597041722E-2</v>
      </c>
      <c r="H318" s="14">
        <f t="shared" si="19"/>
        <v>2.2440691522342252E-2</v>
      </c>
      <c r="I318" s="39"/>
      <c r="J318" s="47">
        <f t="shared" si="21"/>
        <v>453</v>
      </c>
      <c r="K318" s="49">
        <f t="shared" si="20"/>
        <v>4.3906723712454097E-5</v>
      </c>
      <c r="L318" s="17">
        <v>-1.2955499147582003E-2</v>
      </c>
      <c r="M318" s="27"/>
      <c r="N318" s="49">
        <v>3.5893776937834335E-4</v>
      </c>
      <c r="O318" s="27">
        <v>-2.2499807344243082E-3</v>
      </c>
      <c r="Q318" s="2"/>
      <c r="R318" s="24"/>
      <c r="S318" s="24"/>
      <c r="T318" s="24"/>
    </row>
    <row r="319" spans="1:20" x14ac:dyDescent="0.25">
      <c r="A319" s="2">
        <v>44943</v>
      </c>
      <c r="B319" s="20">
        <v>2686</v>
      </c>
      <c r="C319" s="20">
        <v>371</v>
      </c>
      <c r="D319" s="20">
        <v>11155</v>
      </c>
      <c r="E319" s="17">
        <f t="shared" si="18"/>
        <v>-8.1240768094534843E-3</v>
      </c>
      <c r="F319" s="17">
        <f t="shared" si="18"/>
        <v>1.3661202185792254E-2</v>
      </c>
      <c r="G319" s="17">
        <f t="shared" si="18"/>
        <v>-3.127792672028562E-3</v>
      </c>
      <c r="H319" s="14">
        <f t="shared" si="19"/>
        <v>-3.1091775691607141E-3</v>
      </c>
      <c r="I319" s="39"/>
      <c r="J319" s="47">
        <f t="shared" si="21"/>
        <v>452</v>
      </c>
      <c r="K319" s="49">
        <f t="shared" si="20"/>
        <v>4.3028589238205024E-5</v>
      </c>
      <c r="L319" s="17">
        <v>-1.2744320157987493E-2</v>
      </c>
      <c r="M319" s="27"/>
      <c r="N319" s="49">
        <v>6.99131164526058E-4</v>
      </c>
      <c r="O319" s="27">
        <v>-2.1982131777978061E-3</v>
      </c>
      <c r="Q319" s="2"/>
      <c r="R319" s="24"/>
      <c r="S319" s="24"/>
      <c r="T319" s="24"/>
    </row>
    <row r="320" spans="1:20" x14ac:dyDescent="0.25">
      <c r="A320" s="2">
        <v>44942</v>
      </c>
      <c r="B320" s="20">
        <v>2708</v>
      </c>
      <c r="C320" s="20">
        <v>366</v>
      </c>
      <c r="D320" s="20">
        <v>11190</v>
      </c>
      <c r="E320" s="17">
        <f t="shared" si="18"/>
        <v>7.4404761904762751E-3</v>
      </c>
      <c r="F320" s="17">
        <f t="shared" si="18"/>
        <v>5.494505494505475E-3</v>
      </c>
      <c r="G320" s="17">
        <f t="shared" si="18"/>
        <v>1.7272727272727328E-2</v>
      </c>
      <c r="H320" s="14">
        <f t="shared" si="19"/>
        <v>1.5340439725773562E-2</v>
      </c>
      <c r="I320" s="39"/>
      <c r="J320" s="47">
        <f t="shared" si="21"/>
        <v>451</v>
      </c>
      <c r="K320" s="49">
        <f t="shared" si="20"/>
        <v>4.2168017453440921E-5</v>
      </c>
      <c r="L320" s="17">
        <v>-2.2308873323722403E-2</v>
      </c>
      <c r="M320" s="27"/>
      <c r="N320" s="49">
        <v>6.3129783226030623E-6</v>
      </c>
      <c r="O320" s="27">
        <v>-2.1413000438156634E-3</v>
      </c>
      <c r="Q320" s="2"/>
      <c r="R320" s="24"/>
      <c r="S320" s="24"/>
      <c r="T320" s="24"/>
    </row>
    <row r="321" spans="1:20" x14ac:dyDescent="0.25">
      <c r="A321" s="2">
        <v>44939</v>
      </c>
      <c r="B321" s="20">
        <v>2688</v>
      </c>
      <c r="C321" s="20">
        <v>364</v>
      </c>
      <c r="D321" s="20">
        <v>11000</v>
      </c>
      <c r="E321" s="17">
        <f t="shared" si="18"/>
        <v>-7.4349442379184616E-4</v>
      </c>
      <c r="F321" s="17">
        <f t="shared" si="18"/>
        <v>-8.1743869209809361E-3</v>
      </c>
      <c r="G321" s="17">
        <f t="shared" si="18"/>
        <v>-6.3233965672989667E-3</v>
      </c>
      <c r="H321" s="14">
        <f t="shared" si="19"/>
        <v>-5.6017740692145945E-3</v>
      </c>
      <c r="I321" s="39"/>
      <c r="J321" s="47">
        <f t="shared" si="21"/>
        <v>450</v>
      </c>
      <c r="K321" s="49">
        <f t="shared" si="20"/>
        <v>4.1324657104372101E-5</v>
      </c>
      <c r="L321" s="17">
        <v>-9.5216229197513397E-3</v>
      </c>
      <c r="M321" s="27"/>
      <c r="N321" s="49">
        <v>3.2394212358170723E-7</v>
      </c>
      <c r="O321" s="27">
        <v>-2.1295254092044877E-3</v>
      </c>
      <c r="Q321" s="2"/>
      <c r="R321" s="24"/>
      <c r="S321" s="24"/>
      <c r="T321" s="24"/>
    </row>
    <row r="322" spans="1:20" x14ac:dyDescent="0.25">
      <c r="A322" s="2">
        <v>44938</v>
      </c>
      <c r="B322" s="20">
        <v>2690</v>
      </c>
      <c r="C322" s="20">
        <v>367</v>
      </c>
      <c r="D322" s="20">
        <v>11070</v>
      </c>
      <c r="E322" s="17">
        <f t="shared" si="18"/>
        <v>-4.4411547002221052E-3</v>
      </c>
      <c r="F322" s="17">
        <f t="shared" si="18"/>
        <v>1.3812154696132506E-2</v>
      </c>
      <c r="G322" s="17">
        <f t="shared" si="18"/>
        <v>4.5372050816696596E-3</v>
      </c>
      <c r="H322" s="14">
        <f t="shared" si="19"/>
        <v>3.6526983395541411E-3</v>
      </c>
      <c r="I322" s="39"/>
      <c r="J322" s="47">
        <f t="shared" si="21"/>
        <v>449</v>
      </c>
      <c r="K322" s="49">
        <f t="shared" si="20"/>
        <v>4.0498163962284658E-5</v>
      </c>
      <c r="L322" s="17">
        <v>1.4801484451748417E-2</v>
      </c>
      <c r="M322" s="27"/>
      <c r="N322" s="49">
        <v>2.6496159160612778E-5</v>
      </c>
      <c r="O322" s="27">
        <v>-2.0581090156157351E-3</v>
      </c>
      <c r="Q322" s="2"/>
      <c r="R322" s="24"/>
      <c r="S322" s="24"/>
      <c r="T322" s="24"/>
    </row>
    <row r="323" spans="1:20" x14ac:dyDescent="0.25">
      <c r="A323" s="2">
        <v>44937</v>
      </c>
      <c r="B323" s="20">
        <v>2702</v>
      </c>
      <c r="C323" s="20">
        <v>362</v>
      </c>
      <c r="D323" s="20">
        <v>11020</v>
      </c>
      <c r="E323" s="17">
        <f t="shared" si="18"/>
        <v>8.208955223880654E-3</v>
      </c>
      <c r="F323" s="17">
        <f t="shared" si="18"/>
        <v>0</v>
      </c>
      <c r="G323" s="17">
        <f t="shared" si="18"/>
        <v>9.157509157509125E-3</v>
      </c>
      <c r="H323" s="14">
        <f t="shared" si="19"/>
        <v>8.618706264156983E-3</v>
      </c>
      <c r="I323" s="39"/>
      <c r="J323" s="47">
        <f t="shared" si="21"/>
        <v>448</v>
      </c>
      <c r="K323" s="49">
        <f t="shared" si="20"/>
        <v>3.9688200683038957E-5</v>
      </c>
      <c r="L323" s="17">
        <v>-2.0789769539702685E-2</v>
      </c>
      <c r="M323" s="27"/>
      <c r="N323" s="49">
        <v>1.7661286048318505E-8</v>
      </c>
      <c r="O323" s="27">
        <v>-2.0136594169812877E-3</v>
      </c>
      <c r="Q323" s="2"/>
      <c r="R323" s="24"/>
      <c r="S323" s="24"/>
      <c r="T323" s="24"/>
    </row>
    <row r="324" spans="1:20" x14ac:dyDescent="0.25">
      <c r="A324" s="2">
        <v>44936</v>
      </c>
      <c r="B324" s="20">
        <v>2680</v>
      </c>
      <c r="C324" s="20">
        <v>362</v>
      </c>
      <c r="D324" s="20">
        <v>10920</v>
      </c>
      <c r="E324" s="17">
        <f t="shared" si="18"/>
        <v>7.468259895444529E-4</v>
      </c>
      <c r="F324" s="17">
        <f t="shared" si="18"/>
        <v>5.5555555555555358E-3</v>
      </c>
      <c r="G324" s="17">
        <f t="shared" si="18"/>
        <v>2.2946305644790943E-3</v>
      </c>
      <c r="H324" s="14">
        <f t="shared" si="19"/>
        <v>2.2151624663931295E-3</v>
      </c>
      <c r="I324" s="39"/>
      <c r="J324" s="47">
        <f t="shared" si="21"/>
        <v>447</v>
      </c>
      <c r="K324" s="49">
        <f t="shared" si="20"/>
        <v>3.8894436669378185E-5</v>
      </c>
      <c r="L324" s="17">
        <v>3.5004587430416626E-3</v>
      </c>
      <c r="M324" s="27"/>
      <c r="N324" s="49">
        <v>2.6482290960170258E-6</v>
      </c>
      <c r="O324" s="27">
        <v>-1.9148671766722764E-3</v>
      </c>
      <c r="Q324" s="2"/>
      <c r="R324" s="24"/>
      <c r="S324" s="24"/>
      <c r="T324" s="24"/>
    </row>
    <row r="325" spans="1:20" x14ac:dyDescent="0.25">
      <c r="A325" s="2">
        <v>44935</v>
      </c>
      <c r="B325" s="20">
        <v>2678</v>
      </c>
      <c r="C325" s="20">
        <v>360</v>
      </c>
      <c r="D325" s="20">
        <v>10895</v>
      </c>
      <c r="E325" s="17">
        <f t="shared" si="18"/>
        <v>1.1329305135951762E-2</v>
      </c>
      <c r="F325" s="17">
        <f t="shared" si="18"/>
        <v>1.4084507042253502E-2</v>
      </c>
      <c r="G325" s="17">
        <f t="shared" si="18"/>
        <v>1.1136890951276124E-2</v>
      </c>
      <c r="H325" s="14">
        <f t="shared" si="19"/>
        <v>1.129407362977241E-2</v>
      </c>
      <c r="I325" s="39"/>
      <c r="J325" s="47">
        <f t="shared" si="21"/>
        <v>446</v>
      </c>
      <c r="K325" s="49">
        <f t="shared" si="20"/>
        <v>3.8116547935990619E-5</v>
      </c>
      <c r="L325" s="17">
        <v>8.6545686639775757E-3</v>
      </c>
      <c r="M325" s="27"/>
      <c r="N325" s="49">
        <v>8.9000205881110867E-6</v>
      </c>
      <c r="O325" s="27">
        <v>-1.8699886897702916E-3</v>
      </c>
      <c r="Q325" s="2"/>
      <c r="R325" s="24"/>
      <c r="S325" s="24"/>
      <c r="T325" s="24"/>
    </row>
    <row r="326" spans="1:20" x14ac:dyDescent="0.25">
      <c r="A326" s="2">
        <v>44932</v>
      </c>
      <c r="B326" s="20">
        <v>2648</v>
      </c>
      <c r="C326" s="20">
        <v>355</v>
      </c>
      <c r="D326" s="20">
        <v>10775</v>
      </c>
      <c r="E326" s="17">
        <f t="shared" ref="E326:G389" si="22">+B326/B327-1</f>
        <v>1.1459129106187849E-2</v>
      </c>
      <c r="F326" s="17">
        <f t="shared" si="22"/>
        <v>2.0114942528735691E-2</v>
      </c>
      <c r="G326" s="17">
        <f t="shared" si="22"/>
        <v>-9.2721372276305392E-4</v>
      </c>
      <c r="H326" s="14">
        <f t="shared" ref="H326:H389" si="23">+SUMPRODUCT(E326:G326,$K$9:$M$9)</f>
        <v>1.7795868398382503E-3</v>
      </c>
      <c r="I326" s="39"/>
      <c r="J326" s="47">
        <f t="shared" si="21"/>
        <v>445</v>
      </c>
      <c r="K326" s="49">
        <f t="shared" si="20"/>
        <v>3.7354216977270801E-5</v>
      </c>
      <c r="L326" s="17">
        <v>-3.1219614693509812E-3</v>
      </c>
      <c r="M326" s="27"/>
      <c r="N326" s="49">
        <v>1.3050911089679608E-7</v>
      </c>
      <c r="O326" s="27">
        <v>-1.8343076397080815E-3</v>
      </c>
      <c r="Q326" s="2"/>
      <c r="R326" s="24"/>
      <c r="S326" s="24"/>
      <c r="T326" s="24"/>
    </row>
    <row r="327" spans="1:20" x14ac:dyDescent="0.25">
      <c r="A327" s="2">
        <v>44931</v>
      </c>
      <c r="B327" s="20">
        <v>2618</v>
      </c>
      <c r="C327" s="20">
        <v>348</v>
      </c>
      <c r="D327" s="20">
        <v>10785</v>
      </c>
      <c r="E327" s="17">
        <f t="shared" si="22"/>
        <v>2.2970903522205877E-3</v>
      </c>
      <c r="F327" s="17">
        <f t="shared" si="22"/>
        <v>1.3100436681222627E-2</v>
      </c>
      <c r="G327" s="17">
        <f t="shared" si="22"/>
        <v>9.8314606741574107E-3</v>
      </c>
      <c r="H327" s="14">
        <f t="shared" si="23"/>
        <v>8.890887819831635E-3</v>
      </c>
      <c r="I327" s="39"/>
      <c r="J327" s="47">
        <f t="shared" si="21"/>
        <v>444</v>
      </c>
      <c r="K327" s="49">
        <f t="shared" si="20"/>
        <v>3.6607132637725385E-5</v>
      </c>
      <c r="L327" s="17">
        <v>-2.8876458126273815E-3</v>
      </c>
      <c r="M327" s="27"/>
      <c r="N327" s="49">
        <v>2.123853216902494E-3</v>
      </c>
      <c r="O327" s="27">
        <v>-1.8020838060488998E-3</v>
      </c>
      <c r="Q327" s="2"/>
      <c r="R327" s="24"/>
      <c r="S327" s="24"/>
      <c r="T327" s="24"/>
    </row>
    <row r="328" spans="1:20" x14ac:dyDescent="0.25">
      <c r="A328" s="2">
        <v>44930</v>
      </c>
      <c r="B328" s="20">
        <v>2612</v>
      </c>
      <c r="C328" s="29">
        <v>343.5</v>
      </c>
      <c r="D328" s="20">
        <v>10680</v>
      </c>
      <c r="E328" s="17">
        <f t="shared" si="22"/>
        <v>-1.4339622641509453E-2</v>
      </c>
      <c r="F328" s="17">
        <f t="shared" si="22"/>
        <v>-4.3478260869564966E-3</v>
      </c>
      <c r="G328" s="17">
        <f t="shared" si="22"/>
        <v>2.3969319271332612E-2</v>
      </c>
      <c r="H328" s="14">
        <f t="shared" si="23"/>
        <v>1.7212688376153425E-2</v>
      </c>
      <c r="I328" s="39"/>
      <c r="J328" s="47">
        <f t="shared" si="21"/>
        <v>443</v>
      </c>
      <c r="K328" s="49">
        <f t="shared" si="20"/>
        <v>3.5874989984970882E-5</v>
      </c>
      <c r="L328" s="17">
        <v>2.2440691522342252E-2</v>
      </c>
      <c r="M328" s="27"/>
      <c r="N328" s="49">
        <v>1.8021720457467861E-8</v>
      </c>
      <c r="O328" s="27">
        <v>-1.8013940779749442E-3</v>
      </c>
      <c r="Q328" s="2"/>
      <c r="R328" s="24"/>
      <c r="S328" s="24"/>
      <c r="T328" s="24"/>
    </row>
    <row r="329" spans="1:20" x14ac:dyDescent="0.25">
      <c r="A329" s="2">
        <v>44929</v>
      </c>
      <c r="B329" s="20">
        <v>2650</v>
      </c>
      <c r="C329" s="20">
        <v>345</v>
      </c>
      <c r="D329" s="20">
        <v>10430</v>
      </c>
      <c r="E329" s="17">
        <f t="shared" si="22"/>
        <v>1.6104294478527681E-2</v>
      </c>
      <c r="F329" s="17">
        <f t="shared" si="22"/>
        <v>2.3738872403560762E-2</v>
      </c>
      <c r="G329" s="17">
        <f t="shared" si="22"/>
        <v>3.3696729435084283E-2</v>
      </c>
      <c r="H329" s="14">
        <f t="shared" si="23"/>
        <v>3.0727734450004679E-2</v>
      </c>
      <c r="I329" s="39"/>
      <c r="J329" s="47">
        <f t="shared" si="21"/>
        <v>442</v>
      </c>
      <c r="K329" s="49">
        <f t="shared" si="20"/>
        <v>3.5157490185271465E-5</v>
      </c>
      <c r="L329" s="17">
        <v>-3.1091775691607141E-3</v>
      </c>
      <c r="M329" s="27"/>
      <c r="N329" s="49">
        <v>4.1367950087479542E-3</v>
      </c>
      <c r="O329" s="27">
        <v>-1.7511381497292478E-3</v>
      </c>
      <c r="Q329" s="2"/>
      <c r="R329" s="24"/>
      <c r="S329" s="24"/>
      <c r="T329" s="24"/>
    </row>
    <row r="330" spans="1:20" x14ac:dyDescent="0.25">
      <c r="A330" s="2">
        <v>44928</v>
      </c>
      <c r="B330" s="20">
        <v>2608</v>
      </c>
      <c r="C330" s="20">
        <v>337</v>
      </c>
      <c r="D330" s="20">
        <v>10090</v>
      </c>
      <c r="E330" s="17">
        <f t="shared" si="22"/>
        <v>2.3059185242122471E-3</v>
      </c>
      <c r="F330" s="17">
        <f t="shared" si="22"/>
        <v>-5.8997050147492347E-3</v>
      </c>
      <c r="G330" s="17">
        <f t="shared" si="22"/>
        <v>-1.9782393669633969E-3</v>
      </c>
      <c r="H330" s="14">
        <f t="shared" si="23"/>
        <v>-1.534032691207362E-3</v>
      </c>
      <c r="I330" s="39"/>
      <c r="J330" s="47">
        <f t="shared" si="21"/>
        <v>441</v>
      </c>
      <c r="K330" s="49">
        <f t="shared" si="20"/>
        <v>3.4454340381566031E-5</v>
      </c>
      <c r="L330" s="17">
        <v>1.5340439725773562E-2</v>
      </c>
      <c r="M330" s="27"/>
      <c r="N330" s="49">
        <v>6.4418146149010853E-6</v>
      </c>
      <c r="O330" s="27">
        <v>-1.7239714497743752E-3</v>
      </c>
      <c r="Q330" s="2"/>
      <c r="R330" s="24"/>
      <c r="S330" s="24"/>
      <c r="T330" s="24"/>
    </row>
    <row r="331" spans="1:20" x14ac:dyDescent="0.25">
      <c r="A331" s="2">
        <v>44925</v>
      </c>
      <c r="B331" s="20">
        <v>2602</v>
      </c>
      <c r="C331" s="20">
        <v>339</v>
      </c>
      <c r="D331" s="20">
        <v>10110</v>
      </c>
      <c r="E331" s="17">
        <f t="shared" si="22"/>
        <v>-1.0646387832699666E-2</v>
      </c>
      <c r="F331" s="17">
        <f t="shared" si="22"/>
        <v>2.9585798816567088E-3</v>
      </c>
      <c r="G331" s="17">
        <f t="shared" si="22"/>
        <v>-6.8762278978389269E-3</v>
      </c>
      <c r="H331" s="14">
        <f t="shared" si="23"/>
        <v>-6.9866862878224627E-3</v>
      </c>
      <c r="I331" s="39"/>
      <c r="J331" s="47">
        <f t="shared" si="21"/>
        <v>440</v>
      </c>
      <c r="K331" s="49">
        <f t="shared" si="20"/>
        <v>3.3765253573934704E-5</v>
      </c>
      <c r="L331" s="17">
        <v>-5.6017740692145945E-3</v>
      </c>
      <c r="M331" s="27"/>
      <c r="N331" s="49">
        <v>3.3107276989600688E-4</v>
      </c>
      <c r="O331" s="27">
        <v>-1.6898742363374768E-3</v>
      </c>
      <c r="Q331" s="2"/>
      <c r="R331" s="24"/>
      <c r="S331" s="24"/>
      <c r="T331" s="24"/>
    </row>
    <row r="332" spans="1:20" x14ac:dyDescent="0.25">
      <c r="A332" s="2">
        <v>44924</v>
      </c>
      <c r="B332" s="20">
        <v>2630</v>
      </c>
      <c r="C332" s="20">
        <v>338</v>
      </c>
      <c r="D332" s="20">
        <v>10180</v>
      </c>
      <c r="E332" s="17">
        <f t="shared" si="22"/>
        <v>5.3516819571866048E-3</v>
      </c>
      <c r="F332" s="17">
        <f t="shared" si="22"/>
        <v>-2.0289855072463725E-2</v>
      </c>
      <c r="G332" s="17">
        <f t="shared" si="22"/>
        <v>-9.7276264591439343E-3</v>
      </c>
      <c r="H332" s="14">
        <f t="shared" si="23"/>
        <v>-8.0217544128372981E-3</v>
      </c>
      <c r="I332" s="39"/>
      <c r="J332" s="47">
        <f t="shared" si="21"/>
        <v>439</v>
      </c>
      <c r="K332" s="49">
        <f t="shared" si="20"/>
        <v>3.3089948502456015E-5</v>
      </c>
      <c r="L332" s="17">
        <v>3.6526983395541411E-3</v>
      </c>
      <c r="M332" s="27"/>
      <c r="N332" s="49">
        <v>7.7384798181927335E-3</v>
      </c>
      <c r="O332" s="27">
        <v>-1.661488627992239E-3</v>
      </c>
      <c r="Q332" s="2"/>
      <c r="R332" s="24"/>
      <c r="S332" s="24"/>
      <c r="T332" s="24"/>
    </row>
    <row r="333" spans="1:20" x14ac:dyDescent="0.25">
      <c r="A333" s="2">
        <v>44923</v>
      </c>
      <c r="B333" s="20">
        <v>2616</v>
      </c>
      <c r="C333" s="20">
        <v>345</v>
      </c>
      <c r="D333" s="20">
        <v>10280</v>
      </c>
      <c r="E333" s="17">
        <f t="shared" si="22"/>
        <v>-6.0790273556230456E-3</v>
      </c>
      <c r="F333" s="17">
        <f t="shared" si="22"/>
        <v>0</v>
      </c>
      <c r="G333" s="17">
        <f t="shared" si="22"/>
        <v>-1.4570179698882857E-3</v>
      </c>
      <c r="H333" s="14">
        <f t="shared" si="23"/>
        <v>-2.0581090156157351E-3</v>
      </c>
      <c r="I333" s="39"/>
      <c r="J333" s="47">
        <f t="shared" si="21"/>
        <v>438</v>
      </c>
      <c r="K333" s="49">
        <f t="shared" si="20"/>
        <v>3.2428149532406892E-5</v>
      </c>
      <c r="L333" s="17">
        <v>8.618706264156983E-3</v>
      </c>
      <c r="M333" s="27"/>
      <c r="N333" s="49">
        <v>1.2302720887610649E-4</v>
      </c>
      <c r="O333" s="27">
        <v>-1.6465536522737726E-3</v>
      </c>
      <c r="Q333" s="2"/>
      <c r="R333" s="24"/>
      <c r="S333" s="24"/>
      <c r="T333" s="24"/>
    </row>
    <row r="334" spans="1:20" x14ac:dyDescent="0.25">
      <c r="A334" s="2">
        <v>44922</v>
      </c>
      <c r="B334" s="20">
        <v>2632</v>
      </c>
      <c r="C334" s="20">
        <v>345</v>
      </c>
      <c r="D334" s="20">
        <v>10295</v>
      </c>
      <c r="E334" s="17">
        <f t="shared" si="22"/>
        <v>-3.0303030303030498E-3</v>
      </c>
      <c r="F334" s="17">
        <f t="shared" si="22"/>
        <v>-7.194244604316502E-3</v>
      </c>
      <c r="G334" s="17">
        <f t="shared" si="22"/>
        <v>-4.8543689320390548E-4</v>
      </c>
      <c r="H334" s="14">
        <f t="shared" si="23"/>
        <v>-1.1463706352196883E-3</v>
      </c>
      <c r="I334" s="39"/>
      <c r="J334" s="47">
        <f t="shared" si="21"/>
        <v>437</v>
      </c>
      <c r="K334" s="49">
        <f t="shared" si="20"/>
        <v>3.1779586541758748E-5</v>
      </c>
      <c r="L334" s="17">
        <v>2.2151624663931295E-3</v>
      </c>
      <c r="M334" s="27"/>
      <c r="N334" s="49">
        <v>3.8056728175350174E-8</v>
      </c>
      <c r="O334" s="27">
        <v>-1.565806678427659E-3</v>
      </c>
      <c r="Q334" s="2"/>
      <c r="R334" s="24"/>
      <c r="S334" s="24"/>
      <c r="T334" s="24"/>
    </row>
    <row r="335" spans="1:20" x14ac:dyDescent="0.25">
      <c r="A335" s="2">
        <v>44918</v>
      </c>
      <c r="B335" s="20">
        <v>2640</v>
      </c>
      <c r="C335" s="29">
        <v>347.5</v>
      </c>
      <c r="D335" s="20">
        <v>10300</v>
      </c>
      <c r="E335" s="17">
        <f t="shared" si="22"/>
        <v>0</v>
      </c>
      <c r="F335" s="17">
        <f t="shared" si="22"/>
        <v>-1.2784090909090939E-2</v>
      </c>
      <c r="G335" s="17">
        <f t="shared" si="22"/>
        <v>-1.3409961685823757E-2</v>
      </c>
      <c r="H335" s="14">
        <f t="shared" si="23"/>
        <v>-1.1452791192311802E-2</v>
      </c>
      <c r="I335" s="39"/>
      <c r="J335" s="47">
        <f t="shared" si="21"/>
        <v>436</v>
      </c>
      <c r="K335" s="49">
        <f t="shared" si="20"/>
        <v>3.1143994810923569E-5</v>
      </c>
      <c r="L335" s="17">
        <v>1.129407362977241E-2</v>
      </c>
      <c r="M335" s="27"/>
      <c r="N335" s="49">
        <v>2.2530153902164737E-6</v>
      </c>
      <c r="O335" s="27">
        <v>-1.550466337572026E-3</v>
      </c>
      <c r="Q335" s="2"/>
      <c r="R335" s="24"/>
      <c r="S335" s="24"/>
      <c r="T335" s="24"/>
    </row>
    <row r="336" spans="1:20" x14ac:dyDescent="0.25">
      <c r="A336" s="2">
        <v>44917</v>
      </c>
      <c r="B336" s="20">
        <v>2640</v>
      </c>
      <c r="C336" s="20">
        <v>352</v>
      </c>
      <c r="D336" s="20">
        <v>10440</v>
      </c>
      <c r="E336" s="17">
        <f t="shared" si="22"/>
        <v>3.0395136778116338E-3</v>
      </c>
      <c r="F336" s="17">
        <f t="shared" si="22"/>
        <v>1.1494252873563315E-2</v>
      </c>
      <c r="G336" s="17">
        <f t="shared" si="22"/>
        <v>1.4388489208632116E-3</v>
      </c>
      <c r="H336" s="14">
        <f t="shared" si="23"/>
        <v>2.1109359275994638E-3</v>
      </c>
      <c r="I336" s="39"/>
      <c r="J336" s="47">
        <f t="shared" si="21"/>
        <v>435</v>
      </c>
      <c r="K336" s="49">
        <f t="shared" ref="K336:K399" si="24">+($K$13^($K$1-J336)*(1-$K$13))/(1-$K$13^$K$1)</f>
        <v>3.0521114914705106E-5</v>
      </c>
      <c r="L336" s="17">
        <v>1.7795868398382503E-3</v>
      </c>
      <c r="M336" s="27"/>
      <c r="N336" s="49">
        <v>2.8151704605025095E-5</v>
      </c>
      <c r="O336" s="27">
        <v>-1.534032691207362E-3</v>
      </c>
      <c r="Q336" s="2"/>
      <c r="R336" s="24"/>
      <c r="S336" s="24"/>
      <c r="T336" s="24"/>
    </row>
    <row r="337" spans="1:20" x14ac:dyDescent="0.25">
      <c r="A337" s="2">
        <v>44916</v>
      </c>
      <c r="B337" s="20">
        <v>2632</v>
      </c>
      <c r="C337" s="20">
        <v>348</v>
      </c>
      <c r="D337" s="20">
        <v>10425</v>
      </c>
      <c r="E337" s="17">
        <f t="shared" si="22"/>
        <v>-6.0422960725075026E-3</v>
      </c>
      <c r="F337" s="17">
        <f t="shared" si="22"/>
        <v>2.3529411764705799E-2</v>
      </c>
      <c r="G337" s="17">
        <f t="shared" si="22"/>
        <v>7.2463768115942351E-3</v>
      </c>
      <c r="H337" s="14">
        <f t="shared" si="23"/>
        <v>6.0495009416167075E-3</v>
      </c>
      <c r="I337" s="39"/>
      <c r="J337" s="47">
        <f t="shared" ref="J337:J400" si="25">+J336-1</f>
        <v>434</v>
      </c>
      <c r="K337" s="49">
        <f t="shared" si="24"/>
        <v>2.9910692616410995E-5</v>
      </c>
      <c r="L337" s="17">
        <v>8.890887819831635E-3</v>
      </c>
      <c r="M337" s="27"/>
      <c r="N337" s="49">
        <v>5.1527647228998269E-8</v>
      </c>
      <c r="O337" s="27">
        <v>-1.5318962598645904E-3</v>
      </c>
      <c r="Q337" s="2"/>
      <c r="R337" s="24"/>
      <c r="S337" s="24"/>
      <c r="T337" s="24"/>
    </row>
    <row r="338" spans="1:20" x14ac:dyDescent="0.25">
      <c r="A338" s="2">
        <v>44915</v>
      </c>
      <c r="B338" s="20">
        <v>2648</v>
      </c>
      <c r="C338" s="20">
        <v>340</v>
      </c>
      <c r="D338" s="20">
        <v>10350</v>
      </c>
      <c r="E338" s="17">
        <f t="shared" si="22"/>
        <v>1.5128593040847349E-3</v>
      </c>
      <c r="F338" s="17">
        <f t="shared" si="22"/>
        <v>2.9498525073745618E-3</v>
      </c>
      <c r="G338" s="17">
        <f t="shared" si="22"/>
        <v>6.3198833252309239E-3</v>
      </c>
      <c r="H338" s="14">
        <f t="shared" si="23"/>
        <v>5.480107227745573E-3</v>
      </c>
      <c r="I338" s="39"/>
      <c r="J338" s="47">
        <f t="shared" si="25"/>
        <v>433</v>
      </c>
      <c r="K338" s="49">
        <f t="shared" si="24"/>
        <v>2.9312478764082781E-5</v>
      </c>
      <c r="L338" s="17">
        <v>1.7212688376153425E-2</v>
      </c>
      <c r="M338" s="27"/>
      <c r="N338" s="49">
        <v>1.2534095010528293E-7</v>
      </c>
      <c r="O338" s="27">
        <v>-1.5031359462689348E-3</v>
      </c>
      <c r="Q338" s="2"/>
      <c r="R338" s="24"/>
      <c r="S338" s="24"/>
      <c r="T338" s="24"/>
    </row>
    <row r="339" spans="1:20" x14ac:dyDescent="0.25">
      <c r="A339" s="2">
        <v>44914</v>
      </c>
      <c r="B339" s="20">
        <v>2644</v>
      </c>
      <c r="C339" s="20">
        <v>339</v>
      </c>
      <c r="D339" s="20">
        <v>10285</v>
      </c>
      <c r="E339" s="17">
        <f t="shared" si="22"/>
        <v>1.0703363914372988E-2</v>
      </c>
      <c r="F339" s="17">
        <f t="shared" si="22"/>
        <v>2.108433734939763E-2</v>
      </c>
      <c r="G339" s="17">
        <f t="shared" si="22"/>
        <v>-1.01058710298364E-2</v>
      </c>
      <c r="H339" s="14">
        <f t="shared" si="23"/>
        <v>-5.7412042524424833E-3</v>
      </c>
      <c r="I339" s="39"/>
      <c r="J339" s="47">
        <f t="shared" si="25"/>
        <v>432</v>
      </c>
      <c r="K339" s="49">
        <f t="shared" si="24"/>
        <v>2.8726229188801125E-5</v>
      </c>
      <c r="L339" s="17">
        <v>3.0727734450004679E-2</v>
      </c>
      <c r="M339" s="27"/>
      <c r="N339" s="49">
        <v>4.4826241540591371E-4</v>
      </c>
      <c r="O339" s="27">
        <v>-1.4769642585019151E-3</v>
      </c>
      <c r="Q339" s="2"/>
      <c r="R339" s="24"/>
      <c r="S339" s="24"/>
      <c r="T339" s="24"/>
    </row>
    <row r="340" spans="1:20" x14ac:dyDescent="0.25">
      <c r="A340" s="2">
        <v>44911</v>
      </c>
      <c r="B340" s="20">
        <v>2616</v>
      </c>
      <c r="C340" s="20">
        <v>332</v>
      </c>
      <c r="D340" s="20">
        <v>10390</v>
      </c>
      <c r="E340" s="17">
        <f t="shared" si="22"/>
        <v>3.0674846625766694E-3</v>
      </c>
      <c r="F340" s="17">
        <f t="shared" si="22"/>
        <v>-3.4883720930232509E-2</v>
      </c>
      <c r="G340" s="17">
        <f t="shared" si="22"/>
        <v>1.8627450980392091E-2</v>
      </c>
      <c r="H340" s="14">
        <f t="shared" si="23"/>
        <v>1.4037543000147252E-2</v>
      </c>
      <c r="I340" s="39"/>
      <c r="J340" s="47">
        <f t="shared" si="25"/>
        <v>431</v>
      </c>
      <c r="K340" s="49">
        <f t="shared" si="24"/>
        <v>2.8151704605025095E-5</v>
      </c>
      <c r="L340" s="17">
        <v>-1.534032691207362E-3</v>
      </c>
      <c r="M340" s="27"/>
      <c r="N340" s="49">
        <v>1.6979668928555762E-6</v>
      </c>
      <c r="O340" s="27">
        <v>-1.472076499955564E-3</v>
      </c>
      <c r="Q340" s="2"/>
      <c r="R340" s="24"/>
      <c r="S340" s="24"/>
      <c r="T340" s="24"/>
    </row>
    <row r="341" spans="1:20" x14ac:dyDescent="0.25">
      <c r="A341" s="2">
        <v>44910</v>
      </c>
      <c r="B341" s="20">
        <v>2608</v>
      </c>
      <c r="C341" s="20">
        <v>344</v>
      </c>
      <c r="D341" s="20">
        <v>10200</v>
      </c>
      <c r="E341" s="17">
        <f t="shared" si="22"/>
        <v>-1.2869038607115857E-2</v>
      </c>
      <c r="F341" s="17">
        <f t="shared" si="22"/>
        <v>1.4749262536873253E-2</v>
      </c>
      <c r="G341" s="17">
        <f t="shared" si="22"/>
        <v>-5.3632374451486609E-3</v>
      </c>
      <c r="H341" s="14">
        <f t="shared" si="23"/>
        <v>-5.5597302514438307E-3</v>
      </c>
      <c r="I341" s="39"/>
      <c r="J341" s="47">
        <f t="shared" si="25"/>
        <v>430</v>
      </c>
      <c r="K341" s="49">
        <f t="shared" si="24"/>
        <v>2.7588670512924596E-5</v>
      </c>
      <c r="L341" s="17">
        <v>-6.9866862878224627E-3</v>
      </c>
      <c r="M341" s="27"/>
      <c r="N341" s="49">
        <v>2.7008602059593672E-7</v>
      </c>
      <c r="O341" s="27">
        <v>-1.4701005123963706E-3</v>
      </c>
      <c r="Q341" s="2"/>
      <c r="R341" s="24"/>
      <c r="S341" s="24"/>
      <c r="T341" s="24"/>
    </row>
    <row r="342" spans="1:20" x14ac:dyDescent="0.25">
      <c r="A342" s="2">
        <v>44909</v>
      </c>
      <c r="B342" s="20">
        <v>2642</v>
      </c>
      <c r="C342" s="20">
        <v>339</v>
      </c>
      <c r="D342" s="20">
        <v>10255</v>
      </c>
      <c r="E342" s="17">
        <f t="shared" si="22"/>
        <v>1.3036809815951012E-2</v>
      </c>
      <c r="F342" s="17">
        <f t="shared" si="22"/>
        <v>2.4169184290030232E-2</v>
      </c>
      <c r="G342" s="17">
        <f t="shared" si="22"/>
        <v>-8.2205029013540099E-3</v>
      </c>
      <c r="H342" s="14">
        <f t="shared" si="23"/>
        <v>-3.7386629053223026E-3</v>
      </c>
      <c r="I342" s="39"/>
      <c r="J342" s="47">
        <f t="shared" si="25"/>
        <v>429</v>
      </c>
      <c r="K342" s="49">
        <f t="shared" si="24"/>
        <v>2.7036897102666103E-5</v>
      </c>
      <c r="L342" s="17">
        <v>-8.0217544128372981E-3</v>
      </c>
      <c r="M342" s="27"/>
      <c r="N342" s="49">
        <v>5.951064239027669E-3</v>
      </c>
      <c r="O342" s="27">
        <v>-1.3958180824464711E-3</v>
      </c>
      <c r="Q342" s="2"/>
      <c r="R342" s="24"/>
      <c r="S342" s="24"/>
      <c r="T342" s="24"/>
    </row>
    <row r="343" spans="1:20" x14ac:dyDescent="0.25">
      <c r="A343" s="2">
        <v>44908</v>
      </c>
      <c r="B343" s="20">
        <v>2608</v>
      </c>
      <c r="C343" s="20">
        <v>331</v>
      </c>
      <c r="D343" s="20">
        <v>10340</v>
      </c>
      <c r="E343" s="17">
        <f t="shared" si="22"/>
        <v>1.0852713178294504E-2</v>
      </c>
      <c r="F343" s="17">
        <f t="shared" si="22"/>
        <v>1.5337423312883347E-2</v>
      </c>
      <c r="G343" s="17">
        <f t="shared" si="22"/>
        <v>3.607214428857719E-2</v>
      </c>
      <c r="H343" s="14">
        <f t="shared" si="23"/>
        <v>3.1532186472184025E-2</v>
      </c>
      <c r="I343" s="39"/>
      <c r="J343" s="47">
        <f t="shared" si="25"/>
        <v>428</v>
      </c>
      <c r="K343" s="49">
        <f t="shared" si="24"/>
        <v>2.6496159160612778E-5</v>
      </c>
      <c r="L343" s="17">
        <v>-2.0581090156157351E-3</v>
      </c>
      <c r="M343" s="27"/>
      <c r="N343" s="49">
        <v>6.1964433975715012E-3</v>
      </c>
      <c r="O343" s="27">
        <v>-1.3176691700738517E-3</v>
      </c>
      <c r="Q343" s="2"/>
      <c r="R343" s="24"/>
      <c r="S343" s="24"/>
      <c r="T343" s="24"/>
    </row>
    <row r="344" spans="1:20" x14ac:dyDescent="0.25">
      <c r="A344" s="2">
        <v>44907</v>
      </c>
      <c r="B344" s="20">
        <v>2580</v>
      </c>
      <c r="C344" s="20">
        <v>326</v>
      </c>
      <c r="D344" s="20">
        <v>9980</v>
      </c>
      <c r="E344" s="17">
        <f t="shared" si="22"/>
        <v>-7.692307692307665E-3</v>
      </c>
      <c r="F344" s="17">
        <f t="shared" si="22"/>
        <v>4.6224961479199855E-3</v>
      </c>
      <c r="G344" s="17">
        <f t="shared" si="22"/>
        <v>-2.0000000000000018E-3</v>
      </c>
      <c r="H344" s="14">
        <f t="shared" si="23"/>
        <v>-2.5281759080567475E-3</v>
      </c>
      <c r="I344" s="39"/>
      <c r="J344" s="47">
        <f t="shared" si="25"/>
        <v>427</v>
      </c>
      <c r="K344" s="49">
        <f t="shared" si="24"/>
        <v>2.5966235977400521E-5</v>
      </c>
      <c r="L344" s="17">
        <v>-1.1463706352196883E-3</v>
      </c>
      <c r="M344" s="27"/>
      <c r="N344" s="49">
        <v>3.5912573729016861E-3</v>
      </c>
      <c r="O344" s="27">
        <v>-1.2863536084572347E-3</v>
      </c>
      <c r="Q344" s="2"/>
      <c r="R344" s="24"/>
      <c r="S344" s="24"/>
      <c r="T344" s="24"/>
    </row>
    <row r="345" spans="1:20" x14ac:dyDescent="0.25">
      <c r="A345" s="2">
        <v>44904</v>
      </c>
      <c r="B345" s="20">
        <v>2600</v>
      </c>
      <c r="C345" s="29">
        <v>324.5</v>
      </c>
      <c r="D345" s="20">
        <v>10000</v>
      </c>
      <c r="E345" s="17">
        <f t="shared" si="22"/>
        <v>7.698229407235857E-4</v>
      </c>
      <c r="F345" s="17">
        <f t="shared" si="22"/>
        <v>-4.6012269938650041E-3</v>
      </c>
      <c r="G345" s="17">
        <f t="shared" si="22"/>
        <v>6.0362173038228661E-3</v>
      </c>
      <c r="H345" s="14">
        <f t="shared" si="23"/>
        <v>4.8110667525755203E-3</v>
      </c>
      <c r="I345" s="39"/>
      <c r="J345" s="47">
        <f t="shared" si="25"/>
        <v>426</v>
      </c>
      <c r="K345" s="49">
        <f t="shared" si="24"/>
        <v>2.5446911257852508E-5</v>
      </c>
      <c r="L345" s="17">
        <v>-1.1452791192311802E-2</v>
      </c>
      <c r="M345" s="27"/>
      <c r="N345" s="49">
        <v>2.3962971620097349E-4</v>
      </c>
      <c r="O345" s="27">
        <v>-1.216319406899415E-3</v>
      </c>
      <c r="Q345" s="2"/>
      <c r="R345" s="24"/>
      <c r="S345" s="24"/>
      <c r="T345" s="24"/>
    </row>
    <row r="346" spans="1:20" x14ac:dyDescent="0.25">
      <c r="A346" s="2">
        <v>44903</v>
      </c>
      <c r="B346" s="20">
        <v>2598</v>
      </c>
      <c r="C346" s="20">
        <v>326</v>
      </c>
      <c r="D346" s="20">
        <v>9940</v>
      </c>
      <c r="E346" s="17">
        <f t="shared" si="22"/>
        <v>-5.389657683903859E-2</v>
      </c>
      <c r="F346" s="17">
        <f t="shared" si="22"/>
        <v>-1.2121212121212088E-2</v>
      </c>
      <c r="G346" s="17">
        <f t="shared" si="22"/>
        <v>-6.0000000000000053E-3</v>
      </c>
      <c r="H346" s="14">
        <f t="shared" si="23"/>
        <v>-1.3161167371689816E-2</v>
      </c>
      <c r="I346" s="39"/>
      <c r="J346" s="47">
        <f t="shared" si="25"/>
        <v>425</v>
      </c>
      <c r="K346" s="49">
        <f t="shared" si="24"/>
        <v>2.4937973032695462E-5</v>
      </c>
      <c r="L346" s="17">
        <v>2.1109359275994638E-3</v>
      </c>
      <c r="M346" s="27"/>
      <c r="N346" s="49">
        <v>2.5966235977400521E-5</v>
      </c>
      <c r="O346" s="27">
        <v>-1.1463706352196883E-3</v>
      </c>
      <c r="Q346" s="2"/>
      <c r="R346" s="24"/>
      <c r="S346" s="24"/>
      <c r="T346" s="24"/>
    </row>
    <row r="347" spans="1:20" x14ac:dyDescent="0.25">
      <c r="A347" s="2">
        <v>44902</v>
      </c>
      <c r="B347" s="20">
        <v>2746</v>
      </c>
      <c r="C347" s="20">
        <v>330</v>
      </c>
      <c r="D347" s="20">
        <v>10000</v>
      </c>
      <c r="E347" s="17">
        <f t="shared" si="22"/>
        <v>-2.5550035486160416E-2</v>
      </c>
      <c r="F347" s="17">
        <f t="shared" si="22"/>
        <v>1.2269938650306678E-2</v>
      </c>
      <c r="G347" s="17">
        <f t="shared" si="22"/>
        <v>-1.9607843137254943E-2</v>
      </c>
      <c r="H347" s="14">
        <f t="shared" si="23"/>
        <v>-1.9062462953596617E-2</v>
      </c>
      <c r="I347" s="39"/>
      <c r="J347" s="47">
        <f t="shared" si="25"/>
        <v>424</v>
      </c>
      <c r="K347" s="49">
        <f t="shared" si="24"/>
        <v>2.4439213572041546E-5</v>
      </c>
      <c r="L347" s="17">
        <v>6.0495009416167075E-3</v>
      </c>
      <c r="M347" s="27"/>
      <c r="N347" s="49">
        <v>3.109511771118975E-8</v>
      </c>
      <c r="O347" s="27">
        <v>-1.0591997623698654E-3</v>
      </c>
      <c r="Q347" s="2"/>
      <c r="R347" s="24"/>
      <c r="S347" s="24"/>
      <c r="T347" s="24"/>
    </row>
    <row r="348" spans="1:20" x14ac:dyDescent="0.25">
      <c r="A348" s="2">
        <v>44901</v>
      </c>
      <c r="B348" s="20">
        <v>2818</v>
      </c>
      <c r="C348" s="20">
        <v>326</v>
      </c>
      <c r="D348" s="20">
        <v>10200</v>
      </c>
      <c r="E348" s="17">
        <f t="shared" si="22"/>
        <v>2.1014492753623104E-2</v>
      </c>
      <c r="F348" s="17">
        <f t="shared" si="22"/>
        <v>-1.5313935681470214E-3</v>
      </c>
      <c r="G348" s="17">
        <f t="shared" si="22"/>
        <v>1.090188305252715E-2</v>
      </c>
      <c r="H348" s="14">
        <f t="shared" si="23"/>
        <v>1.1810855285483181E-2</v>
      </c>
      <c r="I348" s="39"/>
      <c r="J348" s="47">
        <f t="shared" si="25"/>
        <v>423</v>
      </c>
      <c r="K348" s="49">
        <f t="shared" si="24"/>
        <v>2.3950429300600713E-5</v>
      </c>
      <c r="L348" s="17">
        <v>5.480107227745573E-3</v>
      </c>
      <c r="M348" s="27"/>
      <c r="N348" s="49">
        <v>1.4468381004508223E-3</v>
      </c>
      <c r="O348" s="27">
        <v>-1.0437622286166076E-3</v>
      </c>
      <c r="Q348" s="2"/>
      <c r="R348" s="24"/>
      <c r="S348" s="24"/>
      <c r="T348" s="24"/>
    </row>
    <row r="349" spans="1:20" x14ac:dyDescent="0.25">
      <c r="A349" s="2">
        <v>44900</v>
      </c>
      <c r="B349" s="20">
        <v>2760</v>
      </c>
      <c r="C349" s="29">
        <v>326.5</v>
      </c>
      <c r="D349" s="20">
        <v>10090</v>
      </c>
      <c r="E349" s="17">
        <f t="shared" si="22"/>
        <v>-2.9535864978902926E-2</v>
      </c>
      <c r="F349" s="17">
        <f t="shared" si="22"/>
        <v>4.6153846153846878E-3</v>
      </c>
      <c r="G349" s="17">
        <f t="shared" si="22"/>
        <v>-4.7663992449268555E-2</v>
      </c>
      <c r="H349" s="14">
        <f t="shared" si="23"/>
        <v>-4.2758644823875959E-2</v>
      </c>
      <c r="I349" s="39"/>
      <c r="J349" s="47">
        <f t="shared" si="25"/>
        <v>422</v>
      </c>
      <c r="K349" s="49">
        <f t="shared" si="24"/>
        <v>2.3471420714588702E-5</v>
      </c>
      <c r="L349" s="17">
        <v>-5.7412042524424833E-3</v>
      </c>
      <c r="M349" s="27"/>
      <c r="N349" s="49">
        <v>5.4804576726847686E-6</v>
      </c>
      <c r="O349" s="27">
        <v>-1.0251193014690493E-3</v>
      </c>
      <c r="Q349" s="2"/>
      <c r="R349" s="24"/>
      <c r="S349" s="24"/>
      <c r="T349" s="24"/>
    </row>
    <row r="350" spans="1:20" x14ac:dyDescent="0.25">
      <c r="A350" s="2">
        <v>44897</v>
      </c>
      <c r="B350" s="20">
        <v>2844</v>
      </c>
      <c r="C350" s="20">
        <v>325</v>
      </c>
      <c r="D350" s="20">
        <v>10595</v>
      </c>
      <c r="E350" s="17">
        <f t="shared" si="22"/>
        <v>2.8208744710860323E-3</v>
      </c>
      <c r="F350" s="17">
        <f t="shared" si="22"/>
        <v>-2.2556390977443663E-2</v>
      </c>
      <c r="G350" s="17">
        <f t="shared" si="22"/>
        <v>-2.7089072543618031E-2</v>
      </c>
      <c r="H350" s="14">
        <f t="shared" si="23"/>
        <v>-2.2585943349906733E-2</v>
      </c>
      <c r="I350" s="39"/>
      <c r="J350" s="47">
        <f t="shared" si="25"/>
        <v>421</v>
      </c>
      <c r="K350" s="49">
        <f t="shared" si="24"/>
        <v>2.300199230029693E-5</v>
      </c>
      <c r="L350" s="17">
        <v>1.4037543000147252E-2</v>
      </c>
      <c r="M350" s="27"/>
      <c r="N350" s="49">
        <v>1.4748203414260791E-5</v>
      </c>
      <c r="O350" s="27">
        <v>-9.0792605887166002E-4</v>
      </c>
      <c r="Q350" s="2"/>
      <c r="R350" s="24"/>
      <c r="S350" s="24"/>
      <c r="T350" s="24"/>
    </row>
    <row r="351" spans="1:20" x14ac:dyDescent="0.25">
      <c r="A351" s="2">
        <v>44896</v>
      </c>
      <c r="B351" s="20">
        <v>2836</v>
      </c>
      <c r="C351" s="29">
        <v>332.5</v>
      </c>
      <c r="D351" s="20">
        <v>10890</v>
      </c>
      <c r="E351" s="17">
        <f t="shared" si="22"/>
        <v>5.6737588652482351E-3</v>
      </c>
      <c r="F351" s="17">
        <f t="shared" si="22"/>
        <v>4.5317220543805714E-3</v>
      </c>
      <c r="G351" s="17">
        <f t="shared" si="22"/>
        <v>1.3023255813953583E-2</v>
      </c>
      <c r="H351" s="14">
        <f t="shared" si="23"/>
        <v>1.1592623760233829E-2</v>
      </c>
      <c r="I351" s="39"/>
      <c r="J351" s="47">
        <f t="shared" si="25"/>
        <v>420</v>
      </c>
      <c r="K351" s="49">
        <f t="shared" si="24"/>
        <v>2.2541952454290987E-5</v>
      </c>
      <c r="L351" s="17">
        <v>-5.5597302514438307E-3</v>
      </c>
      <c r="M351" s="27"/>
      <c r="N351" s="49">
        <v>2.1671971601045859E-3</v>
      </c>
      <c r="O351" s="27">
        <v>-8.9823202833015127E-4</v>
      </c>
      <c r="Q351" s="2"/>
      <c r="R351" s="24"/>
      <c r="S351" s="24"/>
      <c r="T351" s="24"/>
    </row>
    <row r="352" spans="1:20" x14ac:dyDescent="0.25">
      <c r="A352" s="2">
        <v>44895</v>
      </c>
      <c r="B352" s="20">
        <v>2820</v>
      </c>
      <c r="C352" s="20">
        <v>331</v>
      </c>
      <c r="D352" s="20">
        <v>10750</v>
      </c>
      <c r="E352" s="17">
        <f t="shared" si="22"/>
        <v>1.0752688172043001E-2</v>
      </c>
      <c r="F352" s="17">
        <f t="shared" si="22"/>
        <v>-3.0120481927711218E-3</v>
      </c>
      <c r="G352" s="17">
        <f t="shared" si="22"/>
        <v>4.6728971962617383E-3</v>
      </c>
      <c r="H352" s="14">
        <f t="shared" si="23"/>
        <v>5.2101559325351994E-3</v>
      </c>
      <c r="I352" s="39"/>
      <c r="J352" s="47">
        <f t="shared" si="25"/>
        <v>419</v>
      </c>
      <c r="K352" s="49">
        <f t="shared" si="24"/>
        <v>2.2091113405205171E-5</v>
      </c>
      <c r="L352" s="17">
        <v>-3.7386629053223026E-3</v>
      </c>
      <c r="M352" s="27"/>
      <c r="N352" s="49">
        <v>8.2005045128091489E-8</v>
      </c>
      <c r="O352" s="27">
        <v>-8.6409672886186666E-4</v>
      </c>
      <c r="Q352" s="2"/>
      <c r="R352" s="24"/>
      <c r="S352" s="24"/>
      <c r="T352" s="24"/>
    </row>
    <row r="353" spans="1:20" x14ac:dyDescent="0.25">
      <c r="A353" s="2">
        <v>44894</v>
      </c>
      <c r="B353" s="20">
        <v>2790</v>
      </c>
      <c r="C353" s="20">
        <v>332</v>
      </c>
      <c r="D353" s="20">
        <v>10700</v>
      </c>
      <c r="E353" s="17">
        <f t="shared" si="22"/>
        <v>2.5735294117646967E-2</v>
      </c>
      <c r="F353" s="17">
        <f t="shared" si="22"/>
        <v>-8.9552238805969964E-3</v>
      </c>
      <c r="G353" s="17">
        <f t="shared" si="22"/>
        <v>-1.0633379565418433E-2</v>
      </c>
      <c r="H353" s="14">
        <f t="shared" si="23"/>
        <v>-5.3262535319566293E-3</v>
      </c>
      <c r="I353" s="39"/>
      <c r="J353" s="47">
        <f t="shared" si="25"/>
        <v>418</v>
      </c>
      <c r="K353" s="49">
        <f t="shared" si="24"/>
        <v>2.1649291137101066E-5</v>
      </c>
      <c r="L353" s="17">
        <v>3.1532186472184025E-2</v>
      </c>
      <c r="M353" s="27"/>
      <c r="N353" s="49">
        <v>4.6698996323851216E-3</v>
      </c>
      <c r="O353" s="27">
        <v>-8.625486437322707E-4</v>
      </c>
      <c r="Q353" s="2"/>
      <c r="R353" s="24"/>
      <c r="S353" s="24"/>
      <c r="T353" s="24"/>
    </row>
    <row r="354" spans="1:20" x14ac:dyDescent="0.25">
      <c r="A354" s="2">
        <v>44893</v>
      </c>
      <c r="B354" s="20">
        <v>2720</v>
      </c>
      <c r="C354" s="20">
        <v>335</v>
      </c>
      <c r="D354" s="20">
        <v>10815</v>
      </c>
      <c r="E354" s="17">
        <f t="shared" si="22"/>
        <v>-1.7341040462427793E-2</v>
      </c>
      <c r="F354" s="17">
        <f t="shared" si="22"/>
        <v>1.6691957511380862E-2</v>
      </c>
      <c r="G354" s="17">
        <f t="shared" si="22"/>
        <v>1.388888888888884E-3</v>
      </c>
      <c r="H354" s="14">
        <f t="shared" si="23"/>
        <v>-6.3402802972924947E-4</v>
      </c>
      <c r="I354" s="39"/>
      <c r="J354" s="47">
        <f t="shared" si="25"/>
        <v>417</v>
      </c>
      <c r="K354" s="49">
        <f t="shared" si="24"/>
        <v>2.1216305314359042E-5</v>
      </c>
      <c r="L354" s="17">
        <v>-2.5281759080567475E-3</v>
      </c>
      <c r="M354" s="27"/>
      <c r="N354" s="49">
        <v>1.3624655656108299E-2</v>
      </c>
      <c r="O354" s="27">
        <v>-8.3503956246285536E-4</v>
      </c>
      <c r="Q354" s="2"/>
      <c r="R354" s="24"/>
      <c r="S354" s="24"/>
      <c r="T354" s="24"/>
    </row>
    <row r="355" spans="1:20" x14ac:dyDescent="0.25">
      <c r="A355" s="2">
        <v>44890</v>
      </c>
      <c r="B355" s="20">
        <v>2768</v>
      </c>
      <c r="C355" s="29">
        <v>329.5</v>
      </c>
      <c r="D355" s="20">
        <v>10800</v>
      </c>
      <c r="E355" s="17">
        <f t="shared" si="22"/>
        <v>2.1723388848660097E-3</v>
      </c>
      <c r="F355" s="17">
        <f t="shared" si="22"/>
        <v>9.1883614088821286E-3</v>
      </c>
      <c r="G355" s="17">
        <f t="shared" si="22"/>
        <v>4.6511627906977715E-3</v>
      </c>
      <c r="H355" s="14">
        <f t="shared" si="23"/>
        <v>4.4937915099217702E-3</v>
      </c>
      <c r="I355" s="39"/>
      <c r="J355" s="47">
        <f t="shared" si="25"/>
        <v>416</v>
      </c>
      <c r="K355" s="49">
        <f t="shared" si="24"/>
        <v>2.0791979208071864E-5</v>
      </c>
      <c r="L355" s="17">
        <v>4.8110667525755203E-3</v>
      </c>
      <c r="M355" s="27"/>
      <c r="N355" s="49">
        <v>2.492492039338456E-6</v>
      </c>
      <c r="O355" s="27">
        <v>-8.20253469757397E-4</v>
      </c>
      <c r="Q355" s="2"/>
      <c r="R355" s="24"/>
      <c r="S355" s="24"/>
      <c r="T355" s="24"/>
    </row>
    <row r="356" spans="1:20" x14ac:dyDescent="0.25">
      <c r="A356" s="2">
        <v>44889</v>
      </c>
      <c r="B356" s="20">
        <v>2762</v>
      </c>
      <c r="C356" s="29">
        <v>326.5</v>
      </c>
      <c r="D356" s="20">
        <v>10750</v>
      </c>
      <c r="E356" s="17">
        <f t="shared" si="22"/>
        <v>8.0291970802919277E-3</v>
      </c>
      <c r="F356" s="17">
        <f t="shared" si="22"/>
        <v>4.6153846153846878E-3</v>
      </c>
      <c r="G356" s="17">
        <f t="shared" si="22"/>
        <v>3.7348272642390157E-3</v>
      </c>
      <c r="H356" s="14">
        <f t="shared" si="23"/>
        <v>4.391465693849541E-3</v>
      </c>
      <c r="I356" s="39"/>
      <c r="J356" s="47">
        <f t="shared" si="25"/>
        <v>415</v>
      </c>
      <c r="K356" s="49">
        <f t="shared" si="24"/>
        <v>2.0376139623910425E-5</v>
      </c>
      <c r="L356" s="17">
        <v>-1.3161167371689816E-2</v>
      </c>
      <c r="M356" s="27"/>
      <c r="N356" s="49">
        <v>1.045027366535464E-7</v>
      </c>
      <c r="O356" s="27">
        <v>-6.7943016762847877E-4</v>
      </c>
      <c r="Q356" s="2"/>
      <c r="R356" s="24"/>
      <c r="S356" s="24"/>
      <c r="T356" s="24"/>
    </row>
    <row r="357" spans="1:20" x14ac:dyDescent="0.25">
      <c r="A357" s="2">
        <v>44888</v>
      </c>
      <c r="B357" s="20">
        <v>2740</v>
      </c>
      <c r="C357" s="20">
        <v>325</v>
      </c>
      <c r="D357" s="20">
        <v>10710</v>
      </c>
      <c r="E357" s="17">
        <f t="shared" si="22"/>
        <v>-1.0830324909747335E-2</v>
      </c>
      <c r="F357" s="17">
        <f t="shared" si="22"/>
        <v>-6.1162079510703737E-3</v>
      </c>
      <c r="G357" s="17">
        <f t="shared" si="22"/>
        <v>-1.1992619926199266E-2</v>
      </c>
      <c r="H357" s="14">
        <f t="shared" si="23"/>
        <v>-1.1567205012645463E-2</v>
      </c>
      <c r="I357" s="39"/>
      <c r="J357" s="47">
        <f t="shared" si="25"/>
        <v>414</v>
      </c>
      <c r="K357" s="49">
        <f t="shared" si="24"/>
        <v>1.9968616831432211E-5</v>
      </c>
      <c r="L357" s="17">
        <v>-1.9062462953596617E-2</v>
      </c>
      <c r="M357" s="27"/>
      <c r="N357" s="49">
        <v>1.7335266134986515E-5</v>
      </c>
      <c r="O357" s="27">
        <v>-6.3402802972924947E-4</v>
      </c>
      <c r="Q357" s="2"/>
      <c r="R357" s="24"/>
      <c r="S357" s="24"/>
      <c r="T357" s="24"/>
    </row>
    <row r="358" spans="1:20" x14ac:dyDescent="0.25">
      <c r="A358" s="2">
        <v>44887</v>
      </c>
      <c r="B358" s="20">
        <v>2770</v>
      </c>
      <c r="C358" s="20">
        <v>327</v>
      </c>
      <c r="D358" s="20">
        <v>10840</v>
      </c>
      <c r="E358" s="17">
        <f t="shared" si="22"/>
        <v>2.6686434395848835E-2</v>
      </c>
      <c r="F358" s="17">
        <f t="shared" si="22"/>
        <v>1.7107309486780631E-2</v>
      </c>
      <c r="G358" s="17">
        <f t="shared" si="22"/>
        <v>2.0715630885122405E-2</v>
      </c>
      <c r="H358" s="14">
        <f t="shared" si="23"/>
        <v>2.1416300550778415E-2</v>
      </c>
      <c r="I358" s="39"/>
      <c r="J358" s="47">
        <f t="shared" si="25"/>
        <v>413</v>
      </c>
      <c r="K358" s="49">
        <f t="shared" si="24"/>
        <v>1.9569244494803569E-5</v>
      </c>
      <c r="L358" s="17">
        <v>1.1810855285483181E-2</v>
      </c>
      <c r="M358" s="27"/>
      <c r="N358" s="49">
        <v>7.8922749648099432E-4</v>
      </c>
      <c r="O358" s="27">
        <v>-6.339904322015177E-4</v>
      </c>
      <c r="Q358" s="2"/>
      <c r="R358" s="24"/>
      <c r="S358" s="24"/>
      <c r="T358" s="24"/>
    </row>
    <row r="359" spans="1:20" x14ac:dyDescent="0.25">
      <c r="A359" s="2">
        <v>44886</v>
      </c>
      <c r="B359" s="20">
        <v>2698</v>
      </c>
      <c r="C359" s="29">
        <v>321.5</v>
      </c>
      <c r="D359" s="20">
        <v>10620</v>
      </c>
      <c r="E359" s="17">
        <f t="shared" si="22"/>
        <v>6.7164179104477473E-3</v>
      </c>
      <c r="F359" s="17">
        <f t="shared" si="22"/>
        <v>3.1201248049921304E-3</v>
      </c>
      <c r="G359" s="17">
        <f t="shared" si="22"/>
        <v>3.780718336483968E-3</v>
      </c>
      <c r="H359" s="14">
        <f t="shared" si="23"/>
        <v>4.1741402394398523E-3</v>
      </c>
      <c r="I359" s="39"/>
      <c r="J359" s="47">
        <f t="shared" si="25"/>
        <v>412</v>
      </c>
      <c r="K359" s="49">
        <f t="shared" si="24"/>
        <v>1.9177859604907498E-5</v>
      </c>
      <c r="L359" s="17">
        <v>-4.2758644823875959E-2</v>
      </c>
      <c r="M359" s="27"/>
      <c r="N359" s="49">
        <v>1.0903978750236164E-3</v>
      </c>
      <c r="O359" s="27">
        <v>-6.1897112267765239E-4</v>
      </c>
      <c r="Q359" s="2"/>
      <c r="R359" s="24"/>
      <c r="S359" s="24"/>
      <c r="T359" s="24"/>
    </row>
    <row r="360" spans="1:20" x14ac:dyDescent="0.25">
      <c r="A360" s="2">
        <v>44883</v>
      </c>
      <c r="B360" s="20">
        <v>2680</v>
      </c>
      <c r="C360" s="29">
        <v>320.5</v>
      </c>
      <c r="D360" s="20">
        <v>10580</v>
      </c>
      <c r="E360" s="17">
        <f t="shared" si="22"/>
        <v>1.0558069381598756E-2</v>
      </c>
      <c r="F360" s="17">
        <f t="shared" si="22"/>
        <v>4.7021943573668512E-3</v>
      </c>
      <c r="G360" s="17">
        <f t="shared" si="22"/>
        <v>2.2222222222222143E-2</v>
      </c>
      <c r="H360" s="14">
        <f t="shared" si="23"/>
        <v>1.9774077786615378E-2</v>
      </c>
      <c r="I360" s="39"/>
      <c r="J360" s="47">
        <f t="shared" si="25"/>
        <v>411</v>
      </c>
      <c r="K360" s="49">
        <f t="shared" si="24"/>
        <v>1.8794302412809343E-5</v>
      </c>
      <c r="L360" s="17">
        <v>-2.2585943349906733E-2</v>
      </c>
      <c r="M360" s="27"/>
      <c r="N360" s="49">
        <v>1.0680306130942551E-4</v>
      </c>
      <c r="O360" s="27">
        <v>-5.9061447292094844E-4</v>
      </c>
      <c r="Q360" s="2"/>
      <c r="R360" s="24"/>
      <c r="S360" s="24"/>
      <c r="T360" s="24"/>
    </row>
    <row r="361" spans="1:20" x14ac:dyDescent="0.25">
      <c r="A361" s="2">
        <v>44882</v>
      </c>
      <c r="B361" s="20">
        <v>2652</v>
      </c>
      <c r="C361" s="20">
        <v>319</v>
      </c>
      <c r="D361" s="20">
        <v>10350</v>
      </c>
      <c r="E361" s="17">
        <f t="shared" si="22"/>
        <v>1.7651573292402079E-2</v>
      </c>
      <c r="F361" s="17">
        <f t="shared" si="22"/>
        <v>3.1446540880504248E-3</v>
      </c>
      <c r="G361" s="17">
        <f t="shared" si="22"/>
        <v>-1.3346043851286904E-2</v>
      </c>
      <c r="H361" s="14">
        <f t="shared" si="23"/>
        <v>-8.1610613728950541E-3</v>
      </c>
      <c r="I361" s="39"/>
      <c r="J361" s="47">
        <f t="shared" si="25"/>
        <v>410</v>
      </c>
      <c r="K361" s="49">
        <f t="shared" si="24"/>
        <v>1.8418416364553162E-5</v>
      </c>
      <c r="L361" s="17">
        <v>1.1592623760233829E-2</v>
      </c>
      <c r="M361" s="27"/>
      <c r="N361" s="49">
        <v>4.2212193966815852E-3</v>
      </c>
      <c r="O361" s="27">
        <v>-5.8710521312375376E-4</v>
      </c>
      <c r="Q361" s="2"/>
      <c r="R361" s="24"/>
      <c r="S361" s="24"/>
      <c r="T361" s="24"/>
    </row>
    <row r="362" spans="1:20" x14ac:dyDescent="0.25">
      <c r="A362" s="2">
        <v>44881</v>
      </c>
      <c r="B362" s="20">
        <v>2606</v>
      </c>
      <c r="C362" s="20">
        <v>318</v>
      </c>
      <c r="D362" s="20">
        <v>10490</v>
      </c>
      <c r="E362" s="17">
        <f t="shared" si="22"/>
        <v>-4.5836516424752061E-3</v>
      </c>
      <c r="F362" s="17">
        <f t="shared" si="22"/>
        <v>3.154574132492094E-3</v>
      </c>
      <c r="G362" s="17">
        <f t="shared" si="22"/>
        <v>-4.7641734159120652E-4</v>
      </c>
      <c r="H362" s="14">
        <f t="shared" si="23"/>
        <v>-9.0792605887166002E-4</v>
      </c>
      <c r="I362" s="39"/>
      <c r="J362" s="47">
        <f t="shared" si="25"/>
        <v>409</v>
      </c>
      <c r="K362" s="49">
        <f t="shared" si="24"/>
        <v>1.8050048037262094E-5</v>
      </c>
      <c r="L362" s="17">
        <v>5.2101559325351994E-3</v>
      </c>
      <c r="M362" s="27"/>
      <c r="N362" s="49">
        <v>3.8833396097296089E-8</v>
      </c>
      <c r="O362" s="27">
        <v>-5.7529543852989748E-4</v>
      </c>
      <c r="Q362" s="2"/>
      <c r="R362" s="24"/>
      <c r="S362" s="24"/>
      <c r="T362" s="24"/>
    </row>
    <row r="363" spans="1:20" x14ac:dyDescent="0.25">
      <c r="A363" s="2">
        <v>44880</v>
      </c>
      <c r="B363" s="20">
        <v>2618</v>
      </c>
      <c r="C363" s="20">
        <v>317</v>
      </c>
      <c r="D363" s="20">
        <v>10495</v>
      </c>
      <c r="E363" s="17">
        <f t="shared" si="22"/>
        <v>-9.8335854765506658E-3</v>
      </c>
      <c r="F363" s="17">
        <f t="shared" si="22"/>
        <v>-9.3750000000000222E-3</v>
      </c>
      <c r="G363" s="17">
        <f t="shared" si="22"/>
        <v>2.490234375E-2</v>
      </c>
      <c r="H363" s="14">
        <f t="shared" si="23"/>
        <v>1.8398021207393481E-2</v>
      </c>
      <c r="I363" s="39"/>
      <c r="J363" s="47">
        <f t="shared" si="25"/>
        <v>408</v>
      </c>
      <c r="K363" s="49">
        <f t="shared" si="24"/>
        <v>1.7689047076516852E-5</v>
      </c>
      <c r="L363" s="17">
        <v>-5.3262535319566293E-3</v>
      </c>
      <c r="M363" s="27"/>
      <c r="N363" s="49">
        <v>1.0461221693794894E-5</v>
      </c>
      <c r="O363" s="27">
        <v>-4.290807871838592E-4</v>
      </c>
      <c r="Q363" s="2"/>
      <c r="R363" s="24"/>
      <c r="S363" s="24"/>
      <c r="T363" s="24"/>
    </row>
    <row r="364" spans="1:20" x14ac:dyDescent="0.25">
      <c r="A364" s="2">
        <v>44879</v>
      </c>
      <c r="B364" s="20">
        <v>2644</v>
      </c>
      <c r="C364" s="20">
        <v>320</v>
      </c>
      <c r="D364" s="20">
        <v>10240</v>
      </c>
      <c r="E364" s="17">
        <f t="shared" si="22"/>
        <v>8.3905415713196874E-3</v>
      </c>
      <c r="F364" s="17">
        <f t="shared" si="22"/>
        <v>-1.3867488443759624E-2</v>
      </c>
      <c r="G364" s="17">
        <f t="shared" si="22"/>
        <v>2.3488255872063935E-2</v>
      </c>
      <c r="H364" s="14">
        <f t="shared" si="23"/>
        <v>1.9674604876331485E-2</v>
      </c>
      <c r="I364" s="39"/>
      <c r="J364" s="47">
        <f t="shared" si="25"/>
        <v>407</v>
      </c>
      <c r="K364" s="49">
        <f t="shared" si="24"/>
        <v>1.7335266134986515E-5</v>
      </c>
      <c r="L364" s="17">
        <v>-6.3402802972924947E-4</v>
      </c>
      <c r="M364" s="27"/>
      <c r="N364" s="49">
        <v>5.0497094284418314E-8</v>
      </c>
      <c r="O364" s="27">
        <v>-4.0306123152973952E-4</v>
      </c>
      <c r="Q364" s="2"/>
      <c r="R364" s="24"/>
      <c r="S364" s="24"/>
      <c r="T364" s="24"/>
    </row>
    <row r="365" spans="1:20" x14ac:dyDescent="0.25">
      <c r="A365" s="2">
        <v>44876</v>
      </c>
      <c r="B365" s="20">
        <v>2622</v>
      </c>
      <c r="C365" s="29">
        <v>324.5</v>
      </c>
      <c r="D365" s="20">
        <v>10005</v>
      </c>
      <c r="E365" s="17">
        <f t="shared" si="22"/>
        <v>-7.6219512195119243E-4</v>
      </c>
      <c r="F365" s="17">
        <f t="shared" si="22"/>
        <v>2.0440251572326984E-2</v>
      </c>
      <c r="G365" s="17">
        <f t="shared" si="22"/>
        <v>3.5714285714285809E-2</v>
      </c>
      <c r="H365" s="14">
        <f t="shared" si="23"/>
        <v>2.9794352822289726E-2</v>
      </c>
      <c r="I365" s="39"/>
      <c r="J365" s="47">
        <f t="shared" si="25"/>
        <v>406</v>
      </c>
      <c r="K365" s="49">
        <f t="shared" si="24"/>
        <v>1.6988560812286784E-5</v>
      </c>
      <c r="L365" s="17">
        <v>4.4937915099217702E-3</v>
      </c>
      <c r="M365" s="27"/>
      <c r="N365" s="49">
        <v>9.6339545994855425E-9</v>
      </c>
      <c r="O365" s="27">
        <v>-3.9236392576252335E-4</v>
      </c>
      <c r="Q365" s="2"/>
      <c r="R365" s="24"/>
      <c r="S365" s="24"/>
      <c r="T365" s="24"/>
    </row>
    <row r="366" spans="1:20" x14ac:dyDescent="0.25">
      <c r="A366" s="2">
        <v>44875</v>
      </c>
      <c r="B366" s="20">
        <v>2624</v>
      </c>
      <c r="C366" s="20">
        <v>318</v>
      </c>
      <c r="D366" s="20">
        <v>9660</v>
      </c>
      <c r="E366" s="17">
        <f t="shared" si="22"/>
        <v>-1.0558069381598756E-2</v>
      </c>
      <c r="F366" s="17">
        <f t="shared" si="22"/>
        <v>1.5974440894568787E-2</v>
      </c>
      <c r="G366" s="17">
        <f t="shared" si="22"/>
        <v>-3.2258064516129004E-2</v>
      </c>
      <c r="H366" s="14">
        <f t="shared" si="23"/>
        <v>-2.7016517115597976E-2</v>
      </c>
      <c r="I366" s="39"/>
      <c r="J366" s="47">
        <f t="shared" si="25"/>
        <v>405</v>
      </c>
      <c r="K366" s="49">
        <f t="shared" si="24"/>
        <v>1.6648789596041048E-5</v>
      </c>
      <c r="L366" s="17">
        <v>4.391465693849541E-3</v>
      </c>
      <c r="M366" s="27"/>
      <c r="N366" s="49">
        <v>1.8428061689059323E-4</v>
      </c>
      <c r="O366" s="27">
        <v>-1.4352017931232265E-4</v>
      </c>
      <c r="Q366" s="2"/>
      <c r="R366" s="24"/>
      <c r="S366" s="24"/>
      <c r="T366" s="24"/>
    </row>
    <row r="367" spans="1:20" x14ac:dyDescent="0.25">
      <c r="A367" s="2">
        <v>44874</v>
      </c>
      <c r="B367" s="20">
        <v>2652</v>
      </c>
      <c r="C367" s="20">
        <v>313</v>
      </c>
      <c r="D367" s="20">
        <v>9982</v>
      </c>
      <c r="E367" s="17">
        <f t="shared" si="22"/>
        <v>9.1324200913243114E-3</v>
      </c>
      <c r="F367" s="17">
        <f t="shared" si="22"/>
        <v>2.6229508196721207E-2</v>
      </c>
      <c r="G367" s="17">
        <f t="shared" si="22"/>
        <v>2.0040080160321772E-4</v>
      </c>
      <c r="H367" s="14">
        <f t="shared" si="23"/>
        <v>2.6292155570831095E-3</v>
      </c>
      <c r="I367" s="39"/>
      <c r="J367" s="47">
        <f t="shared" si="25"/>
        <v>404</v>
      </c>
      <c r="K367" s="49">
        <f t="shared" si="24"/>
        <v>1.6315813804120225E-5</v>
      </c>
      <c r="L367" s="17">
        <v>-1.1567205012645463E-2</v>
      </c>
      <c r="M367" s="27"/>
      <c r="N367" s="49">
        <v>1.4430556564743464E-8</v>
      </c>
      <c r="O367" s="27">
        <v>-1.2867588025842081E-4</v>
      </c>
      <c r="Q367" s="2"/>
      <c r="R367" s="24"/>
      <c r="S367" s="24"/>
      <c r="T367" s="24"/>
    </row>
    <row r="368" spans="1:20" x14ac:dyDescent="0.25">
      <c r="A368" s="2">
        <v>44873</v>
      </c>
      <c r="B368" s="20">
        <v>2628</v>
      </c>
      <c r="C368" s="20">
        <v>305</v>
      </c>
      <c r="D368" s="20">
        <v>9980</v>
      </c>
      <c r="E368" s="17">
        <f t="shared" si="22"/>
        <v>-2.3048327137546454E-2</v>
      </c>
      <c r="F368" s="17">
        <f t="shared" si="22"/>
        <v>9.9337748344370258E-3</v>
      </c>
      <c r="G368" s="17">
        <f t="shared" si="22"/>
        <v>7.0635721493441661E-3</v>
      </c>
      <c r="H368" s="14">
        <f t="shared" si="23"/>
        <v>2.8566055047187285E-3</v>
      </c>
      <c r="I368" s="39"/>
      <c r="J368" s="47">
        <f t="shared" si="25"/>
        <v>403</v>
      </c>
      <c r="K368" s="49">
        <f t="shared" si="24"/>
        <v>1.598949752803782E-5</v>
      </c>
      <c r="L368" s="17">
        <v>2.1416300550778415E-2</v>
      </c>
      <c r="M368" s="27"/>
      <c r="N368" s="49">
        <v>5.3652277414617124E-8</v>
      </c>
      <c r="O368" s="27">
        <v>-1.0697910011847645E-4</v>
      </c>
      <c r="Q368" s="2"/>
      <c r="R368" s="24"/>
      <c r="S368" s="24"/>
      <c r="T368" s="24"/>
    </row>
    <row r="369" spans="1:20" x14ac:dyDescent="0.25">
      <c r="A369" s="2">
        <v>44872</v>
      </c>
      <c r="B369" s="20">
        <v>2690</v>
      </c>
      <c r="C369" s="20">
        <v>302</v>
      </c>
      <c r="D369" s="20">
        <v>9910</v>
      </c>
      <c r="E369" s="17">
        <f t="shared" si="22"/>
        <v>2.1260440394836655E-2</v>
      </c>
      <c r="F369" s="17">
        <f t="shared" si="22"/>
        <v>1.6835016835016869E-2</v>
      </c>
      <c r="G369" s="17">
        <f t="shared" si="22"/>
        <v>3.7696335078533982E-2</v>
      </c>
      <c r="H369" s="14">
        <f t="shared" si="23"/>
        <v>3.4414754225373038E-2</v>
      </c>
      <c r="I369" s="39"/>
      <c r="J369" s="47">
        <f t="shared" si="25"/>
        <v>402</v>
      </c>
      <c r="K369" s="49">
        <f t="shared" si="24"/>
        <v>1.5669707577477064E-5</v>
      </c>
      <c r="L369" s="17">
        <v>4.1741402394398523E-3</v>
      </c>
      <c r="M369" s="27"/>
      <c r="N369" s="49">
        <v>1.7707578666853736E-3</v>
      </c>
      <c r="O369" s="27">
        <v>-5.30939682872576E-5</v>
      </c>
      <c r="Q369" s="2"/>
      <c r="R369" s="24"/>
      <c r="S369" s="24"/>
      <c r="T369" s="24"/>
    </row>
    <row r="370" spans="1:20" x14ac:dyDescent="0.25">
      <c r="A370" s="2">
        <v>44869</v>
      </c>
      <c r="B370" s="20">
        <v>2634</v>
      </c>
      <c r="C370" s="20">
        <v>297</v>
      </c>
      <c r="D370" s="20">
        <v>9550</v>
      </c>
      <c r="E370" s="17">
        <f t="shared" si="22"/>
        <v>2.0139426800929616E-2</v>
      </c>
      <c r="F370" s="17">
        <f t="shared" si="22"/>
        <v>2.4137931034482696E-2</v>
      </c>
      <c r="G370" s="17">
        <f t="shared" si="22"/>
        <v>3.8043478260869623E-2</v>
      </c>
      <c r="H370" s="14">
        <f t="shared" si="23"/>
        <v>3.4856212336642836E-2</v>
      </c>
      <c r="I370" s="39"/>
      <c r="J370" s="47">
        <f t="shared" si="25"/>
        <v>401</v>
      </c>
      <c r="K370" s="49">
        <f t="shared" si="24"/>
        <v>1.5356313425927522E-5</v>
      </c>
      <c r="L370" s="17">
        <v>1.9774077786615378E-2</v>
      </c>
      <c r="M370" s="27"/>
      <c r="N370" s="49">
        <v>2.1615314938206256E-8</v>
      </c>
      <c r="O370" s="27">
        <v>-5.1929028225395752E-5</v>
      </c>
      <c r="Q370" s="2"/>
      <c r="R370" s="24"/>
      <c r="S370" s="24"/>
      <c r="T370" s="24"/>
    </row>
    <row r="371" spans="1:20" x14ac:dyDescent="0.25">
      <c r="A371" s="2">
        <v>44868</v>
      </c>
      <c r="B371" s="20">
        <v>2582</v>
      </c>
      <c r="C371" s="20">
        <v>290</v>
      </c>
      <c r="D371" s="20">
        <v>9200</v>
      </c>
      <c r="E371" s="17">
        <f t="shared" si="22"/>
        <v>3.9452495974235058E-2</v>
      </c>
      <c r="F371" s="17">
        <f t="shared" si="22"/>
        <v>-1.1925042589437829E-2</v>
      </c>
      <c r="G371" s="17">
        <f t="shared" si="22"/>
        <v>1.0101010101010166E-2</v>
      </c>
      <c r="H371" s="14">
        <f t="shared" si="23"/>
        <v>1.3357000321458356E-2</v>
      </c>
      <c r="I371" s="39"/>
      <c r="J371" s="47">
        <f t="shared" si="25"/>
        <v>400</v>
      </c>
      <c r="K371" s="49">
        <f t="shared" si="24"/>
        <v>1.504918715740897E-5</v>
      </c>
      <c r="L371" s="17">
        <v>-8.1610613728950541E-3</v>
      </c>
      <c r="M371" s="27"/>
      <c r="N371" s="49">
        <v>1.7015264412153123E-2</v>
      </c>
      <c r="O371" s="27">
        <v>4.5564810436244481E-5</v>
      </c>
      <c r="Q371" s="2"/>
      <c r="R371" s="24"/>
      <c r="S371" s="24"/>
      <c r="T371" s="24"/>
    </row>
    <row r="372" spans="1:20" x14ac:dyDescent="0.25">
      <c r="A372" s="2">
        <v>44867</v>
      </c>
      <c r="B372" s="20">
        <v>2484</v>
      </c>
      <c r="C372" s="29">
        <v>293.5</v>
      </c>
      <c r="D372" s="20">
        <v>9108</v>
      </c>
      <c r="E372" s="17">
        <f t="shared" si="22"/>
        <v>0</v>
      </c>
      <c r="F372" s="17">
        <f t="shared" si="22"/>
        <v>-1.1784511784511786E-2</v>
      </c>
      <c r="G372" s="17">
        <f t="shared" si="22"/>
        <v>8.6378737541528139E-3</v>
      </c>
      <c r="H372" s="14">
        <f t="shared" si="23"/>
        <v>6.4977003990191471E-3</v>
      </c>
      <c r="I372" s="39"/>
      <c r="J372" s="47">
        <f t="shared" si="25"/>
        <v>399</v>
      </c>
      <c r="K372" s="49">
        <f t="shared" si="24"/>
        <v>1.4748203414260791E-5</v>
      </c>
      <c r="L372" s="17">
        <v>-9.0792605887166002E-4</v>
      </c>
      <c r="M372" s="27"/>
      <c r="N372" s="49">
        <v>3.65496817396063E-8</v>
      </c>
      <c r="O372" s="27">
        <v>6.1335430863419631E-5</v>
      </c>
      <c r="Q372" s="2"/>
      <c r="R372" s="24"/>
      <c r="S372" s="24"/>
      <c r="T372" s="24"/>
    </row>
    <row r="373" spans="1:20" x14ac:dyDescent="0.25">
      <c r="A373" s="2">
        <v>44862</v>
      </c>
      <c r="B373" s="20">
        <v>2484</v>
      </c>
      <c r="C373" s="20">
        <v>297</v>
      </c>
      <c r="D373" s="20">
        <v>9030</v>
      </c>
      <c r="E373" s="17">
        <f t="shared" si="22"/>
        <v>1.612903225806539E-3</v>
      </c>
      <c r="F373" s="17">
        <f t="shared" si="22"/>
        <v>-8.3472454090149917E-3</v>
      </c>
      <c r="G373" s="17">
        <f t="shared" si="22"/>
        <v>8.0375083724044671E-3</v>
      </c>
      <c r="H373" s="14">
        <f t="shared" si="23"/>
        <v>6.3932023482373883E-3</v>
      </c>
      <c r="I373" s="39"/>
      <c r="J373" s="47">
        <f t="shared" si="25"/>
        <v>398</v>
      </c>
      <c r="K373" s="49">
        <f t="shared" si="24"/>
        <v>1.4453239345975575E-5</v>
      </c>
      <c r="L373" s="17">
        <v>1.8398021207393481E-2</v>
      </c>
      <c r="M373" s="27"/>
      <c r="N373" s="49">
        <v>2.5993439005672337E-3</v>
      </c>
      <c r="O373" s="27">
        <v>9.3563146740964932E-5</v>
      </c>
      <c r="Q373" s="2"/>
      <c r="R373" s="24"/>
      <c r="S373" s="24"/>
      <c r="T373" s="24"/>
    </row>
    <row r="374" spans="1:20" x14ac:dyDescent="0.25">
      <c r="A374" s="2">
        <v>44861</v>
      </c>
      <c r="B374" s="20">
        <v>2480</v>
      </c>
      <c r="C374" s="29">
        <v>299.5</v>
      </c>
      <c r="D374" s="20">
        <v>8958</v>
      </c>
      <c r="E374" s="17">
        <f t="shared" si="22"/>
        <v>6.4935064935065512E-3</v>
      </c>
      <c r="F374" s="17">
        <f t="shared" si="22"/>
        <v>1.5254237288135686E-2</v>
      </c>
      <c r="G374" s="17">
        <f t="shared" si="22"/>
        <v>6.5168539325841657E-3</v>
      </c>
      <c r="H374" s="14">
        <f t="shared" si="23"/>
        <v>6.8973446262423407E-3</v>
      </c>
      <c r="I374" s="39"/>
      <c r="J374" s="47">
        <f t="shared" si="25"/>
        <v>397</v>
      </c>
      <c r="K374" s="49">
        <f t="shared" si="24"/>
        <v>1.4164174559056065E-5</v>
      </c>
      <c r="L374" s="17">
        <v>1.9674604876331485E-2</v>
      </c>
      <c r="M374" s="27"/>
      <c r="N374" s="49">
        <v>4.5645373701656113E-8</v>
      </c>
      <c r="O374" s="27">
        <v>9.9278567972295396E-5</v>
      </c>
      <c r="Q374" s="2"/>
      <c r="R374" s="24"/>
      <c r="S374" s="24"/>
      <c r="T374" s="24"/>
    </row>
    <row r="375" spans="1:20" x14ac:dyDescent="0.25">
      <c r="A375" s="2">
        <v>44860</v>
      </c>
      <c r="B375" s="20">
        <v>2464</v>
      </c>
      <c r="C375" s="20">
        <v>295</v>
      </c>
      <c r="D375" s="20">
        <v>8900</v>
      </c>
      <c r="E375" s="17">
        <f t="shared" si="22"/>
        <v>-2.4291497975708065E-3</v>
      </c>
      <c r="F375" s="17">
        <f t="shared" si="22"/>
        <v>3.327495621716281E-2</v>
      </c>
      <c r="G375" s="17">
        <f t="shared" si="22"/>
        <v>5.6497175141243527E-3</v>
      </c>
      <c r="H375" s="14">
        <f t="shared" si="23"/>
        <v>5.7008106099876053E-3</v>
      </c>
      <c r="I375" s="39"/>
      <c r="J375" s="47">
        <f t="shared" si="25"/>
        <v>396</v>
      </c>
      <c r="K375" s="49">
        <f t="shared" si="24"/>
        <v>1.3880891067874942E-5</v>
      </c>
      <c r="L375" s="17">
        <v>2.9794352822289726E-2</v>
      </c>
      <c r="M375" s="27"/>
      <c r="N375" s="49">
        <v>1.7308060327352136E-8</v>
      </c>
      <c r="O375" s="27">
        <v>2.0053201506509046E-4</v>
      </c>
      <c r="Q375" s="2"/>
      <c r="R375" s="24"/>
      <c r="S375" s="24"/>
      <c r="T375" s="24"/>
    </row>
    <row r="376" spans="1:20" x14ac:dyDescent="0.25">
      <c r="A376" s="2">
        <v>44859</v>
      </c>
      <c r="B376" s="20">
        <v>2470</v>
      </c>
      <c r="C376" s="29">
        <v>285.5</v>
      </c>
      <c r="D376" s="20">
        <v>8850</v>
      </c>
      <c r="E376" s="17">
        <f t="shared" si="22"/>
        <v>8.1632653061225469E-3</v>
      </c>
      <c r="F376" s="17">
        <f t="shared" si="22"/>
        <v>5.2816901408450079E-3</v>
      </c>
      <c r="G376" s="17">
        <f t="shared" si="22"/>
        <v>2.0380434782609758E-3</v>
      </c>
      <c r="H376" s="14">
        <f t="shared" si="23"/>
        <v>3.0619540964076583E-3</v>
      </c>
      <c r="I376" s="39"/>
      <c r="J376" s="47">
        <f t="shared" si="25"/>
        <v>395</v>
      </c>
      <c r="K376" s="49">
        <f t="shared" si="24"/>
        <v>1.3603273246517444E-5</v>
      </c>
      <c r="L376" s="17">
        <v>-2.7016517115597976E-2</v>
      </c>
      <c r="M376" s="27"/>
      <c r="N376" s="49">
        <v>1.1103232566101965E-7</v>
      </c>
      <c r="O376" s="27">
        <v>2.1842833364865959E-4</v>
      </c>
      <c r="Q376" s="2"/>
      <c r="R376" s="24"/>
      <c r="S376" s="24"/>
      <c r="T376" s="24"/>
    </row>
    <row r="377" spans="1:20" x14ac:dyDescent="0.25">
      <c r="A377" s="2">
        <v>44858</v>
      </c>
      <c r="B377" s="20">
        <v>2450</v>
      </c>
      <c r="C377" s="20">
        <v>284</v>
      </c>
      <c r="D377" s="20">
        <v>8832</v>
      </c>
      <c r="E377" s="17">
        <f t="shared" si="22"/>
        <v>1.6353229762877675E-3</v>
      </c>
      <c r="F377" s="17">
        <f t="shared" si="22"/>
        <v>5.3097345132744334E-3</v>
      </c>
      <c r="G377" s="17">
        <f t="shared" si="22"/>
        <v>-1.2080536912751683E-2</v>
      </c>
      <c r="H377" s="14">
        <f t="shared" si="23"/>
        <v>-9.3428551516760057E-3</v>
      </c>
      <c r="I377" s="39"/>
      <c r="J377" s="47">
        <f t="shared" si="25"/>
        <v>394</v>
      </c>
      <c r="K377" s="49">
        <f t="shared" si="24"/>
        <v>1.3331207781587093E-5</v>
      </c>
      <c r="L377" s="17">
        <v>2.6292155570831095E-3</v>
      </c>
      <c r="M377" s="27"/>
      <c r="N377" s="49">
        <v>2.3912841716583305E-8</v>
      </c>
      <c r="O377" s="27">
        <v>2.49620477644238E-4</v>
      </c>
      <c r="Q377" s="2"/>
      <c r="R377" s="24"/>
      <c r="S377" s="24"/>
      <c r="T377" s="24"/>
    </row>
    <row r="378" spans="1:20" x14ac:dyDescent="0.25">
      <c r="A378" s="2">
        <v>44855</v>
      </c>
      <c r="B378" s="20">
        <v>2446</v>
      </c>
      <c r="C378" s="29">
        <v>282.5</v>
      </c>
      <c r="D378" s="20">
        <v>8940</v>
      </c>
      <c r="E378" s="17">
        <f t="shared" si="22"/>
        <v>3.2813781788350038E-3</v>
      </c>
      <c r="F378" s="17">
        <f t="shared" si="22"/>
        <v>8.9285714285713969E-3</v>
      </c>
      <c r="G378" s="17">
        <f t="shared" si="22"/>
        <v>-5.3404539385847327E-3</v>
      </c>
      <c r="H378" s="14">
        <f t="shared" si="23"/>
        <v>-3.4729181124482887E-3</v>
      </c>
      <c r="I378" s="39"/>
      <c r="J378" s="47">
        <f t="shared" si="25"/>
        <v>393</v>
      </c>
      <c r="K378" s="49">
        <f t="shared" si="24"/>
        <v>1.3064583625955351E-5</v>
      </c>
      <c r="L378" s="17">
        <v>2.8566055047187285E-3</v>
      </c>
      <c r="M378" s="27"/>
      <c r="N378" s="49">
        <v>4.8472025604011423E-9</v>
      </c>
      <c r="O378" s="27">
        <v>3.0951579200604805E-4</v>
      </c>
      <c r="Q378" s="2"/>
      <c r="R378" s="24"/>
      <c r="S378" s="24"/>
      <c r="T378" s="24"/>
    </row>
    <row r="379" spans="1:20" x14ac:dyDescent="0.25">
      <c r="A379" s="2">
        <v>44854</v>
      </c>
      <c r="B379" s="20">
        <v>2438</v>
      </c>
      <c r="C379" s="20">
        <v>280</v>
      </c>
      <c r="D379" s="20">
        <v>8988</v>
      </c>
      <c r="E379" s="17">
        <f t="shared" si="22"/>
        <v>1.6433853738702098E-3</v>
      </c>
      <c r="F379" s="17">
        <f t="shared" si="22"/>
        <v>-1.9264448336252182E-2</v>
      </c>
      <c r="G379" s="17">
        <f t="shared" si="22"/>
        <v>2.2256843979517882E-4</v>
      </c>
      <c r="H379" s="14">
        <f t="shared" si="23"/>
        <v>-4.290807871838592E-4</v>
      </c>
      <c r="I379" s="39"/>
      <c r="J379" s="47">
        <f t="shared" si="25"/>
        <v>392</v>
      </c>
      <c r="K379" s="49">
        <f t="shared" si="24"/>
        <v>1.2803291953436245E-5</v>
      </c>
      <c r="L379" s="17">
        <v>3.4414754225373038E-2</v>
      </c>
      <c r="M379" s="27"/>
      <c r="N379" s="49">
        <v>1.696189912080509E-8</v>
      </c>
      <c r="O379" s="27">
        <v>3.2397784993591736E-4</v>
      </c>
      <c r="Q379" s="2"/>
      <c r="R379" s="24"/>
      <c r="S379" s="24"/>
      <c r="T379" s="24"/>
    </row>
    <row r="380" spans="1:20" x14ac:dyDescent="0.25">
      <c r="A380" s="2">
        <v>44853</v>
      </c>
      <c r="B380" s="20">
        <v>2434</v>
      </c>
      <c r="C380" s="29">
        <v>285.5</v>
      </c>
      <c r="D380" s="20">
        <v>8986</v>
      </c>
      <c r="E380" s="17">
        <f t="shared" si="22"/>
        <v>-1.3776337115072979E-2</v>
      </c>
      <c r="F380" s="17">
        <f t="shared" si="22"/>
        <v>-1.8900343642611728E-2</v>
      </c>
      <c r="G380" s="17">
        <f t="shared" si="22"/>
        <v>-8.8241782484006492E-3</v>
      </c>
      <c r="H380" s="14">
        <f t="shared" si="23"/>
        <v>-9.9794526692713343E-3</v>
      </c>
      <c r="I380" s="39"/>
      <c r="J380" s="47">
        <f t="shared" si="25"/>
        <v>391</v>
      </c>
      <c r="K380" s="49">
        <f t="shared" si="24"/>
        <v>1.2547226114367517E-5</v>
      </c>
      <c r="L380" s="17">
        <v>3.4856212336642836E-2</v>
      </c>
      <c r="M380" s="27"/>
      <c r="N380" s="49">
        <v>3.181287981506623E-3</v>
      </c>
      <c r="O380" s="27">
        <v>3.4385414386201994E-4</v>
      </c>
      <c r="Q380" s="2"/>
      <c r="R380" s="24"/>
      <c r="S380" s="24"/>
      <c r="T380" s="24"/>
    </row>
    <row r="381" spans="1:20" x14ac:dyDescent="0.25">
      <c r="A381" s="2">
        <v>44852</v>
      </c>
      <c r="B381" s="20">
        <v>2468</v>
      </c>
      <c r="C381" s="20">
        <v>291</v>
      </c>
      <c r="D381" s="20">
        <v>9066</v>
      </c>
      <c r="E381" s="17">
        <f t="shared" si="22"/>
        <v>4.0683482506103097E-3</v>
      </c>
      <c r="F381" s="17">
        <f t="shared" si="22"/>
        <v>3.3747779751332141E-2</v>
      </c>
      <c r="G381" s="17">
        <f t="shared" si="22"/>
        <v>5.418604651162795E-2</v>
      </c>
      <c r="H381" s="14">
        <f t="shared" si="23"/>
        <v>4.6076286626877107E-2</v>
      </c>
      <c r="I381" s="39"/>
      <c r="J381" s="47">
        <f t="shared" si="25"/>
        <v>390</v>
      </c>
      <c r="K381" s="49">
        <f t="shared" si="24"/>
        <v>1.2296281592080166E-5</v>
      </c>
      <c r="L381" s="17">
        <v>1.3357000321458356E-2</v>
      </c>
      <c r="M381" s="27"/>
      <c r="N381" s="49">
        <v>5.1554631138403176E-7</v>
      </c>
      <c r="O381" s="27">
        <v>3.6076588829636277E-4</v>
      </c>
      <c r="Q381" s="2"/>
      <c r="R381" s="24"/>
      <c r="S381" s="24"/>
      <c r="T381" s="24"/>
    </row>
    <row r="382" spans="1:20" x14ac:dyDescent="0.25">
      <c r="A382" s="2">
        <v>44851</v>
      </c>
      <c r="B382" s="20">
        <v>2458</v>
      </c>
      <c r="C382" s="29">
        <v>281.5</v>
      </c>
      <c r="D382" s="20">
        <v>8600</v>
      </c>
      <c r="E382" s="17">
        <f t="shared" si="22"/>
        <v>3.2653061224490187E-3</v>
      </c>
      <c r="F382" s="17">
        <f t="shared" si="22"/>
        <v>-5.300353356890497E-3</v>
      </c>
      <c r="G382" s="17">
        <f t="shared" si="22"/>
        <v>1.678883896902339E-2</v>
      </c>
      <c r="H382" s="14">
        <f t="shared" si="23"/>
        <v>1.3872400005801051E-2</v>
      </c>
      <c r="I382" s="39"/>
      <c r="J382" s="47">
        <f t="shared" si="25"/>
        <v>389</v>
      </c>
      <c r="K382" s="49">
        <f t="shared" si="24"/>
        <v>1.2050355960238564E-5</v>
      </c>
      <c r="L382" s="17">
        <v>6.4977003990191471E-3</v>
      </c>
      <c r="M382" s="27"/>
      <c r="N382" s="49">
        <v>1.5372401172670637E-3</v>
      </c>
      <c r="O382" s="27">
        <v>4.0186111693695837E-4</v>
      </c>
      <c r="Q382" s="2"/>
      <c r="R382" s="24"/>
      <c r="S382" s="24"/>
      <c r="T382" s="24"/>
    </row>
    <row r="383" spans="1:20" x14ac:dyDescent="0.25">
      <c r="A383" s="2">
        <v>44848</v>
      </c>
      <c r="B383" s="20">
        <v>2450</v>
      </c>
      <c r="C383" s="20">
        <v>283</v>
      </c>
      <c r="D383" s="20">
        <v>8458</v>
      </c>
      <c r="E383" s="17">
        <f t="shared" si="22"/>
        <v>1.9983347210657865E-2</v>
      </c>
      <c r="F383" s="17">
        <f t="shared" si="22"/>
        <v>3.5460992907800915E-3</v>
      </c>
      <c r="G383" s="17">
        <f t="shared" si="22"/>
        <v>4.0600393700787496E-2</v>
      </c>
      <c r="H383" s="14">
        <f t="shared" si="23"/>
        <v>3.600576179311997E-2</v>
      </c>
      <c r="I383" s="39"/>
      <c r="J383" s="47">
        <f t="shared" si="25"/>
        <v>388</v>
      </c>
      <c r="K383" s="49">
        <f t="shared" si="24"/>
        <v>1.1809348841033794E-5</v>
      </c>
      <c r="L383" s="17">
        <v>6.3932023482373883E-3</v>
      </c>
      <c r="M383" s="27"/>
      <c r="N383" s="49">
        <v>3.0537098159508322E-4</v>
      </c>
      <c r="O383" s="27">
        <v>5.8437044556387829E-4</v>
      </c>
      <c r="Q383" s="2"/>
      <c r="R383" s="24"/>
      <c r="S383" s="24"/>
      <c r="T383" s="24"/>
    </row>
    <row r="384" spans="1:20" x14ac:dyDescent="0.25">
      <c r="A384" s="2">
        <v>44847</v>
      </c>
      <c r="B384" s="20">
        <v>2402</v>
      </c>
      <c r="C384" s="20">
        <v>282</v>
      </c>
      <c r="D384" s="20">
        <v>8128</v>
      </c>
      <c r="E384" s="17">
        <f t="shared" si="22"/>
        <v>-1.4766201804757961E-2</v>
      </c>
      <c r="F384" s="17">
        <f t="shared" si="22"/>
        <v>3.558718861210064E-3</v>
      </c>
      <c r="G384" s="17">
        <f t="shared" si="22"/>
        <v>3.4567901234567877E-3</v>
      </c>
      <c r="H384" s="14">
        <f t="shared" si="23"/>
        <v>8.3900495516212818E-4</v>
      </c>
      <c r="I384" s="39"/>
      <c r="J384" s="47">
        <f t="shared" si="25"/>
        <v>387</v>
      </c>
      <c r="K384" s="49">
        <f t="shared" si="24"/>
        <v>1.1573161864213118E-5</v>
      </c>
      <c r="L384" s="17">
        <v>6.8973446262423407E-3</v>
      </c>
      <c r="M384" s="27"/>
      <c r="N384" s="49">
        <v>1.9559001870447421E-6</v>
      </c>
      <c r="O384" s="27">
        <v>5.880163560593231E-4</v>
      </c>
      <c r="Q384" s="2"/>
      <c r="R384" s="24"/>
      <c r="S384" s="24"/>
      <c r="T384" s="24"/>
    </row>
    <row r="385" spans="1:20" x14ac:dyDescent="0.25">
      <c r="A385" s="2">
        <v>44846</v>
      </c>
      <c r="B385" s="20">
        <v>2438</v>
      </c>
      <c r="C385" s="20">
        <v>281</v>
      </c>
      <c r="D385" s="20">
        <v>8100</v>
      </c>
      <c r="E385" s="17">
        <f t="shared" si="22"/>
        <v>-6.5199674001630292E-3</v>
      </c>
      <c r="F385" s="17">
        <f t="shared" si="22"/>
        <v>-1.7761989342806039E-3</v>
      </c>
      <c r="G385" s="17">
        <f t="shared" si="22"/>
        <v>6.2111801242235032E-3</v>
      </c>
      <c r="H385" s="14">
        <f t="shared" si="23"/>
        <v>4.0282845690899393E-3</v>
      </c>
      <c r="I385" s="39"/>
      <c r="J385" s="47">
        <f t="shared" si="25"/>
        <v>386</v>
      </c>
      <c r="K385" s="49">
        <f t="shared" si="24"/>
        <v>1.1341698626928854E-5</v>
      </c>
      <c r="L385" s="17">
        <v>5.7008106099876053E-3</v>
      </c>
      <c r="M385" s="27"/>
      <c r="N385" s="49">
        <v>6.7039180989262514E-7</v>
      </c>
      <c r="O385" s="27">
        <v>6.0420021535805349E-4</v>
      </c>
      <c r="Q385" s="2"/>
      <c r="R385" s="24"/>
      <c r="S385" s="24"/>
      <c r="T385" s="24"/>
    </row>
    <row r="386" spans="1:20" x14ac:dyDescent="0.25">
      <c r="A386" s="2">
        <v>44845</v>
      </c>
      <c r="B386" s="20">
        <v>2454</v>
      </c>
      <c r="C386" s="29">
        <v>281.5</v>
      </c>
      <c r="D386" s="20">
        <v>8050</v>
      </c>
      <c r="E386" s="17">
        <f t="shared" si="22"/>
        <v>-6.4777327935222617E-3</v>
      </c>
      <c r="F386" s="17">
        <f t="shared" si="22"/>
        <v>-2.4263431542461023E-2</v>
      </c>
      <c r="G386" s="17">
        <f t="shared" si="22"/>
        <v>-1.8292682926829285E-2</v>
      </c>
      <c r="H386" s="14">
        <f t="shared" si="23"/>
        <v>-1.68548347742122E-2</v>
      </c>
      <c r="I386" s="39"/>
      <c r="J386" s="47">
        <f t="shared" si="25"/>
        <v>385</v>
      </c>
      <c r="K386" s="49">
        <f t="shared" si="24"/>
        <v>1.1114864654390278E-5</v>
      </c>
      <c r="L386" s="17">
        <v>3.0619540964076583E-3</v>
      </c>
      <c r="M386" s="27"/>
      <c r="N386" s="49">
        <v>2.081376152564444E-3</v>
      </c>
      <c r="O386" s="27">
        <v>7.0803071510449635E-4</v>
      </c>
      <c r="Q386" s="2"/>
      <c r="R386" s="24"/>
      <c r="S386" s="24"/>
      <c r="T386" s="24"/>
    </row>
    <row r="387" spans="1:20" x14ac:dyDescent="0.25">
      <c r="A387" s="2">
        <v>44844</v>
      </c>
      <c r="B387" s="20">
        <v>2470</v>
      </c>
      <c r="C387" s="29">
        <v>288.5</v>
      </c>
      <c r="D387" s="20">
        <v>8200</v>
      </c>
      <c r="E387" s="17">
        <f t="shared" si="22"/>
        <v>-3.8910505836575848E-2</v>
      </c>
      <c r="F387" s="17">
        <f t="shared" si="22"/>
        <v>-1.0291595197255532E-2</v>
      </c>
      <c r="G387" s="17">
        <f t="shared" si="22"/>
        <v>5.1483206668301307E-3</v>
      </c>
      <c r="H387" s="14">
        <f t="shared" si="23"/>
        <v>-1.8699886897702916E-3</v>
      </c>
      <c r="I387" s="39"/>
      <c r="J387" s="47">
        <f t="shared" si="25"/>
        <v>384</v>
      </c>
      <c r="K387" s="49">
        <f t="shared" si="24"/>
        <v>1.0892567361302472E-5</v>
      </c>
      <c r="L387" s="17">
        <v>-9.3428551516760057E-3</v>
      </c>
      <c r="M387" s="27"/>
      <c r="N387" s="49">
        <v>1.7344344237249122E-4</v>
      </c>
      <c r="O387" s="27">
        <v>7.149274652097767E-4</v>
      </c>
      <c r="Q387" s="2"/>
      <c r="R387" s="24"/>
      <c r="S387" s="24"/>
      <c r="T387" s="24"/>
    </row>
    <row r="388" spans="1:20" x14ac:dyDescent="0.25">
      <c r="A388" s="2">
        <v>44841</v>
      </c>
      <c r="B388" s="20">
        <v>2570</v>
      </c>
      <c r="C388" s="29">
        <v>291.5</v>
      </c>
      <c r="D388" s="20">
        <v>8158</v>
      </c>
      <c r="E388" s="17">
        <f t="shared" si="22"/>
        <v>-2.7252081756245272E-2</v>
      </c>
      <c r="F388" s="17">
        <f t="shared" si="22"/>
        <v>-1.5202702702702742E-2</v>
      </c>
      <c r="G388" s="17">
        <f t="shared" si="22"/>
        <v>2.6938569989929606E-2</v>
      </c>
      <c r="H388" s="14">
        <f t="shared" si="23"/>
        <v>1.7289262242464264E-2</v>
      </c>
      <c r="I388" s="39"/>
      <c r="J388" s="47">
        <f t="shared" si="25"/>
        <v>383</v>
      </c>
      <c r="K388" s="49">
        <f t="shared" si="24"/>
        <v>1.0674716014076422E-5</v>
      </c>
      <c r="L388" s="17">
        <v>-3.4729181124482887E-3</v>
      </c>
      <c r="M388" s="27"/>
      <c r="N388" s="49">
        <v>5.1500677443084331E-9</v>
      </c>
      <c r="O388" s="27">
        <v>7.3627900641032979E-4</v>
      </c>
      <c r="Q388" s="2"/>
      <c r="R388" s="24"/>
      <c r="S388" s="24"/>
      <c r="T388" s="24"/>
    </row>
    <row r="389" spans="1:20" x14ac:dyDescent="0.25">
      <c r="A389" s="2">
        <v>44840</v>
      </c>
      <c r="B389" s="20">
        <v>2642</v>
      </c>
      <c r="C389" s="20">
        <v>296</v>
      </c>
      <c r="D389" s="20">
        <v>7944</v>
      </c>
      <c r="E389" s="17">
        <f t="shared" si="22"/>
        <v>-2.2658610271902857E-3</v>
      </c>
      <c r="F389" s="17">
        <f t="shared" si="22"/>
        <v>1.0238907849829282E-2</v>
      </c>
      <c r="G389" s="17">
        <f t="shared" si="22"/>
        <v>-1.6588264421886656E-2</v>
      </c>
      <c r="H389" s="14">
        <f t="shared" si="23"/>
        <v>-1.3348720366685574E-2</v>
      </c>
      <c r="I389" s="39"/>
      <c r="J389" s="47">
        <f t="shared" si="25"/>
        <v>382</v>
      </c>
      <c r="K389" s="49">
        <f t="shared" si="24"/>
        <v>1.0461221693794894E-5</v>
      </c>
      <c r="L389" s="17">
        <v>-4.290807871838592E-4</v>
      </c>
      <c r="M389" s="27"/>
      <c r="N389" s="49">
        <v>6.0566392592650365E-8</v>
      </c>
      <c r="O389" s="27">
        <v>7.7177908748887205E-4</v>
      </c>
      <c r="Q389" s="2"/>
      <c r="R389" s="24"/>
      <c r="S389" s="24"/>
      <c r="T389" s="24"/>
    </row>
    <row r="390" spans="1:20" x14ac:dyDescent="0.25">
      <c r="A390" s="2">
        <v>44839</v>
      </c>
      <c r="B390" s="20">
        <v>2648</v>
      </c>
      <c r="C390" s="20">
        <v>293</v>
      </c>
      <c r="D390" s="20">
        <v>8078</v>
      </c>
      <c r="E390" s="17">
        <f t="shared" ref="E390:G453" si="26">+B390/B391-1</f>
        <v>9.1463414634145312E-3</v>
      </c>
      <c r="F390" s="17">
        <f t="shared" si="26"/>
        <v>-2.3333333333333317E-2</v>
      </c>
      <c r="G390" s="17">
        <f t="shared" si="26"/>
        <v>-2.0848484848484894E-2</v>
      </c>
      <c r="H390" s="14">
        <f t="shared" ref="H390:H453" si="27">+SUMPRODUCT(E390:G390,$K$9:$M$9)</f>
        <v>-1.6641435477021321E-2</v>
      </c>
      <c r="I390" s="39"/>
      <c r="J390" s="47">
        <f t="shared" si="25"/>
        <v>381</v>
      </c>
      <c r="K390" s="49">
        <f t="shared" si="24"/>
        <v>1.0251997259918995E-5</v>
      </c>
      <c r="L390" s="17">
        <v>-9.9794526692713343E-3</v>
      </c>
      <c r="M390" s="27"/>
      <c r="N390" s="49">
        <v>2.2114256735761076E-3</v>
      </c>
      <c r="O390" s="27">
        <v>7.8844314963355782E-4</v>
      </c>
      <c r="Q390" s="2"/>
      <c r="R390" s="24"/>
      <c r="S390" s="24"/>
      <c r="T390" s="24"/>
    </row>
    <row r="391" spans="1:20" x14ac:dyDescent="0.25">
      <c r="A391" s="2">
        <v>44838</v>
      </c>
      <c r="B391" s="20">
        <v>2624</v>
      </c>
      <c r="C391" s="20">
        <v>300</v>
      </c>
      <c r="D391" s="20">
        <v>8250</v>
      </c>
      <c r="E391" s="17">
        <f t="shared" si="26"/>
        <v>6.4071370640713665E-2</v>
      </c>
      <c r="F391" s="17">
        <f t="shared" si="26"/>
        <v>1.3513513513513598E-2</v>
      </c>
      <c r="G391" s="17">
        <f t="shared" si="26"/>
        <v>3.279919879819726E-2</v>
      </c>
      <c r="H391" s="14">
        <f t="shared" si="27"/>
        <v>3.6451962753594469E-2</v>
      </c>
      <c r="I391" s="39"/>
      <c r="J391" s="47">
        <f t="shared" si="25"/>
        <v>380</v>
      </c>
      <c r="K391" s="49">
        <f t="shared" si="24"/>
        <v>1.0046957314720615E-5</v>
      </c>
      <c r="L391" s="17">
        <v>4.6076286626877107E-2</v>
      </c>
      <c r="M391" s="27"/>
      <c r="N391" s="49">
        <v>2.4400858894472767E-8</v>
      </c>
      <c r="O391" s="27">
        <v>8.32018603578595E-4</v>
      </c>
      <c r="Q391" s="2"/>
      <c r="R391" s="24"/>
      <c r="S391" s="24"/>
      <c r="T391" s="24"/>
    </row>
    <row r="392" spans="1:20" x14ac:dyDescent="0.25">
      <c r="A392" s="2">
        <v>44837</v>
      </c>
      <c r="B392" s="20">
        <v>2466</v>
      </c>
      <c r="C392" s="20">
        <v>296</v>
      </c>
      <c r="D392" s="20">
        <v>7988</v>
      </c>
      <c r="E392" s="17">
        <f t="shared" si="26"/>
        <v>2.4937655860349128E-2</v>
      </c>
      <c r="F392" s="17">
        <f t="shared" si="26"/>
        <v>1.6920473773265332E-3</v>
      </c>
      <c r="G392" s="17">
        <f t="shared" si="26"/>
        <v>1.0116337885685445E-2</v>
      </c>
      <c r="H392" s="14">
        <f t="shared" si="27"/>
        <v>1.1879009274391663E-2</v>
      </c>
      <c r="I392" s="39"/>
      <c r="J392" s="47">
        <f t="shared" si="25"/>
        <v>379</v>
      </c>
      <c r="K392" s="49">
        <f t="shared" si="24"/>
        <v>9.8460181684262008E-6</v>
      </c>
      <c r="L392" s="17">
        <v>1.3872400005801051E-2</v>
      </c>
      <c r="M392" s="27"/>
      <c r="N392" s="49">
        <v>1.1591353227626713E-2</v>
      </c>
      <c r="O392" s="27">
        <v>8.3514828046181563E-4</v>
      </c>
      <c r="Q392" s="2"/>
      <c r="R392" s="24"/>
      <c r="S392" s="24"/>
      <c r="T392" s="24"/>
    </row>
    <row r="393" spans="1:20" x14ac:dyDescent="0.25">
      <c r="A393" s="2">
        <v>44834</v>
      </c>
      <c r="B393" s="20">
        <v>2406</v>
      </c>
      <c r="C393" s="29">
        <v>295.5</v>
      </c>
      <c r="D393" s="20">
        <v>7908</v>
      </c>
      <c r="E393" s="17">
        <f t="shared" si="26"/>
        <v>3.4393809114359408E-2</v>
      </c>
      <c r="F393" s="17">
        <f t="shared" si="26"/>
        <v>3.6842105263157787E-2</v>
      </c>
      <c r="G393" s="17">
        <f t="shared" si="26"/>
        <v>7.5930144267277733E-4</v>
      </c>
      <c r="H393" s="14">
        <f t="shared" si="27"/>
        <v>7.1844483569997808E-3</v>
      </c>
      <c r="I393" s="39"/>
      <c r="J393" s="47">
        <f t="shared" si="25"/>
        <v>378</v>
      </c>
      <c r="K393" s="49">
        <f t="shared" si="24"/>
        <v>9.6490978050576779E-6</v>
      </c>
      <c r="L393" s="17">
        <v>3.600576179311997E-2</v>
      </c>
      <c r="M393" s="27"/>
      <c r="N393" s="49">
        <v>9.4561158489565237E-6</v>
      </c>
      <c r="O393" s="27">
        <v>8.3900495516212818E-4</v>
      </c>
      <c r="Q393" s="2"/>
      <c r="R393" s="24"/>
      <c r="S393" s="24"/>
      <c r="T393" s="24"/>
    </row>
    <row r="394" spans="1:20" x14ac:dyDescent="0.25">
      <c r="A394" s="2">
        <v>44833</v>
      </c>
      <c r="B394" s="20">
        <v>2326</v>
      </c>
      <c r="C394" s="20">
        <v>285</v>
      </c>
      <c r="D394" s="20">
        <v>7902</v>
      </c>
      <c r="E394" s="17">
        <f t="shared" si="26"/>
        <v>-1.690617075232459E-2</v>
      </c>
      <c r="F394" s="17">
        <f t="shared" si="26"/>
        <v>-2.3972602739726012E-2</v>
      </c>
      <c r="G394" s="17">
        <f t="shared" si="26"/>
        <v>-2.7086924402856427E-2</v>
      </c>
      <c r="H394" s="14">
        <f t="shared" si="27"/>
        <v>-2.5485109917793656E-2</v>
      </c>
      <c r="I394" s="39"/>
      <c r="J394" s="47">
        <f t="shared" si="25"/>
        <v>377</v>
      </c>
      <c r="K394" s="49">
        <f t="shared" si="24"/>
        <v>9.4561158489565237E-6</v>
      </c>
      <c r="L394" s="17">
        <v>8.3900495516212818E-4</v>
      </c>
      <c r="M394" s="27"/>
      <c r="N394" s="49">
        <v>8.7311576332236717E-4</v>
      </c>
      <c r="O394" s="27">
        <v>9.1776045037713434E-4</v>
      </c>
      <c r="Q394" s="2"/>
      <c r="R394" s="24"/>
      <c r="S394" s="24"/>
      <c r="T394" s="24"/>
    </row>
    <row r="395" spans="1:20" x14ac:dyDescent="0.25">
      <c r="A395" s="2">
        <v>44832</v>
      </c>
      <c r="B395" s="20">
        <v>2366</v>
      </c>
      <c r="C395" s="20">
        <v>292</v>
      </c>
      <c r="D395" s="20">
        <v>8122</v>
      </c>
      <c r="E395" s="17">
        <f t="shared" si="26"/>
        <v>-2.0695364238410563E-2</v>
      </c>
      <c r="F395" s="17">
        <f t="shared" si="26"/>
        <v>-1.6835016835016869E-2</v>
      </c>
      <c r="G395" s="17">
        <f t="shared" si="26"/>
        <v>-1.9555770159343289E-2</v>
      </c>
      <c r="H395" s="14">
        <f t="shared" si="27"/>
        <v>-1.9600228135888496E-2</v>
      </c>
      <c r="I395" s="39"/>
      <c r="J395" s="47">
        <f t="shared" si="25"/>
        <v>376</v>
      </c>
      <c r="K395" s="49">
        <f t="shared" si="24"/>
        <v>9.2669935319773912E-6</v>
      </c>
      <c r="L395" s="17">
        <v>4.0282845690899393E-3</v>
      </c>
      <c r="M395" s="27"/>
      <c r="N395" s="49">
        <v>6.5664010553714657E-8</v>
      </c>
      <c r="O395" s="27">
        <v>9.2774628157649489E-4</v>
      </c>
      <c r="Q395" s="2"/>
      <c r="R395" s="24"/>
      <c r="S395" s="24"/>
      <c r="T395" s="24"/>
    </row>
    <row r="396" spans="1:20" x14ac:dyDescent="0.25">
      <c r="A396" s="2">
        <v>44831</v>
      </c>
      <c r="B396" s="20">
        <v>2416</v>
      </c>
      <c r="C396" s="20">
        <v>297</v>
      </c>
      <c r="D396" s="20">
        <v>8284</v>
      </c>
      <c r="E396" s="17">
        <f t="shared" si="26"/>
        <v>-4.9423393739703725E-3</v>
      </c>
      <c r="F396" s="17">
        <f t="shared" si="26"/>
        <v>-3.3557046979866278E-3</v>
      </c>
      <c r="G396" s="17">
        <f t="shared" si="26"/>
        <v>7.2957198443579507E-3</v>
      </c>
      <c r="H396" s="14">
        <f t="shared" si="27"/>
        <v>5.0667422740814354E-3</v>
      </c>
      <c r="I396" s="39"/>
      <c r="J396" s="47">
        <f t="shared" si="25"/>
        <v>375</v>
      </c>
      <c r="K396" s="49">
        <f t="shared" si="24"/>
        <v>9.0816536613378443E-6</v>
      </c>
      <c r="L396" s="17">
        <v>-1.68548347742122E-2</v>
      </c>
      <c r="M396" s="27"/>
      <c r="N396" s="49">
        <v>1.3078270486001056E-3</v>
      </c>
      <c r="O396" s="27">
        <v>9.377233139892349E-4</v>
      </c>
      <c r="Q396" s="2"/>
      <c r="R396" s="24"/>
      <c r="S396" s="24"/>
      <c r="T396" s="24"/>
    </row>
    <row r="397" spans="1:20" x14ac:dyDescent="0.25">
      <c r="A397" s="2">
        <v>44830</v>
      </c>
      <c r="B397" s="20">
        <v>2428</v>
      </c>
      <c r="C397" s="20">
        <v>298</v>
      </c>
      <c r="D397" s="20">
        <v>8224</v>
      </c>
      <c r="E397" s="17">
        <f t="shared" si="26"/>
        <v>7.468879668049766E-3</v>
      </c>
      <c r="F397" s="17">
        <f t="shared" si="26"/>
        <v>-6.6666666666667096E-3</v>
      </c>
      <c r="G397" s="17">
        <f t="shared" si="26"/>
        <v>-1.2487992315081686E-2</v>
      </c>
      <c r="H397" s="14">
        <f t="shared" si="27"/>
        <v>-9.360484065360641E-3</v>
      </c>
      <c r="I397" s="39"/>
      <c r="J397" s="47">
        <f t="shared" si="25"/>
        <v>374</v>
      </c>
      <c r="K397" s="49">
        <f t="shared" si="24"/>
        <v>8.9000205881110867E-6</v>
      </c>
      <c r="L397" s="17">
        <v>-1.8699886897702916E-3</v>
      </c>
      <c r="M397" s="27"/>
      <c r="N397" s="49">
        <v>1.9937278267373819E-8</v>
      </c>
      <c r="O397" s="27">
        <v>9.6930563041291507E-4</v>
      </c>
      <c r="Q397" s="2"/>
      <c r="R397" s="24"/>
      <c r="S397" s="24"/>
      <c r="T397" s="24"/>
    </row>
    <row r="398" spans="1:20" x14ac:dyDescent="0.25">
      <c r="A398" s="2">
        <v>44827</v>
      </c>
      <c r="B398" s="20">
        <v>2410</v>
      </c>
      <c r="C398" s="20">
        <v>300</v>
      </c>
      <c r="D398" s="20">
        <v>8328</v>
      </c>
      <c r="E398" s="17">
        <f t="shared" si="26"/>
        <v>-2.6655896607431395E-2</v>
      </c>
      <c r="F398" s="17">
        <f t="shared" si="26"/>
        <v>-1.1532125205930832E-2</v>
      </c>
      <c r="G398" s="17">
        <f t="shared" si="26"/>
        <v>-2.8464769015398961E-2</v>
      </c>
      <c r="H398" s="14">
        <f t="shared" si="27"/>
        <v>-2.7460590606651087E-2</v>
      </c>
      <c r="I398" s="39"/>
      <c r="J398" s="47">
        <f t="shared" si="25"/>
        <v>373</v>
      </c>
      <c r="K398" s="49">
        <f t="shared" si="24"/>
        <v>8.7220201763488632E-6</v>
      </c>
      <c r="L398" s="17">
        <v>1.7289262242464264E-2</v>
      </c>
      <c r="M398" s="27"/>
      <c r="N398" s="49">
        <v>8.2133945388467768E-5</v>
      </c>
      <c r="O398" s="27">
        <v>1.0320053493613874E-3</v>
      </c>
      <c r="Q398" s="2"/>
      <c r="R398" s="24"/>
      <c r="S398" s="24"/>
      <c r="T398" s="24"/>
    </row>
    <row r="399" spans="1:20" x14ac:dyDescent="0.25">
      <c r="A399" s="2">
        <v>44826</v>
      </c>
      <c r="B399" s="20">
        <v>2476</v>
      </c>
      <c r="C399" s="29">
        <v>303.5</v>
      </c>
      <c r="D399" s="20">
        <v>8572</v>
      </c>
      <c r="E399" s="17">
        <f t="shared" si="26"/>
        <v>-9.6000000000000529E-3</v>
      </c>
      <c r="F399" s="17">
        <f t="shared" si="26"/>
        <v>3.3057851239668423E-3</v>
      </c>
      <c r="G399" s="17">
        <f t="shared" si="26"/>
        <v>3.0288461538461542E-2</v>
      </c>
      <c r="H399" s="14">
        <f t="shared" si="27"/>
        <v>2.3363165807755958E-2</v>
      </c>
      <c r="I399" s="39"/>
      <c r="J399" s="47">
        <f t="shared" si="25"/>
        <v>372</v>
      </c>
      <c r="K399" s="49">
        <f t="shared" si="24"/>
        <v>8.5475797728218871E-6</v>
      </c>
      <c r="L399" s="17">
        <v>-1.3348720366685574E-2</v>
      </c>
      <c r="M399" s="27"/>
      <c r="N399" s="49">
        <v>6.9730343793992224E-9</v>
      </c>
      <c r="O399" s="27">
        <v>1.1329691062904042E-3</v>
      </c>
      <c r="Q399" s="2"/>
      <c r="R399" s="24"/>
      <c r="S399" s="24"/>
      <c r="T399" s="24"/>
    </row>
    <row r="400" spans="1:20" x14ac:dyDescent="0.25">
      <c r="A400" s="2">
        <v>44825</v>
      </c>
      <c r="B400" s="20">
        <v>2500</v>
      </c>
      <c r="C400" s="29">
        <v>302.5</v>
      </c>
      <c r="D400" s="20">
        <v>8320</v>
      </c>
      <c r="E400" s="17">
        <f t="shared" si="26"/>
        <v>0</v>
      </c>
      <c r="F400" s="17">
        <f t="shared" si="26"/>
        <v>-8.1967213114754189E-3</v>
      </c>
      <c r="G400" s="17">
        <f t="shared" si="26"/>
        <v>-2.1176470588235241E-2</v>
      </c>
      <c r="H400" s="14">
        <f t="shared" si="27"/>
        <v>-1.7558980236605997E-2</v>
      </c>
      <c r="I400" s="39"/>
      <c r="J400" s="47">
        <f t="shared" si="25"/>
        <v>371</v>
      </c>
      <c r="K400" s="49">
        <f t="shared" ref="K400:K463" si="28">+($K$13^($K$1-J400)*(1-$K$13))/(1-$K$13^$K$1)</f>
        <v>8.3766281773654486E-6</v>
      </c>
      <c r="L400" s="17">
        <v>-1.6641435477021321E-2</v>
      </c>
      <c r="M400" s="27"/>
      <c r="N400" s="49">
        <v>5.0523538515635114E-7</v>
      </c>
      <c r="O400" s="27">
        <v>1.1595769673103501E-3</v>
      </c>
      <c r="Q400" s="2"/>
      <c r="R400" s="24"/>
      <c r="S400" s="24"/>
      <c r="T400" s="24"/>
    </row>
    <row r="401" spans="1:20" x14ac:dyDescent="0.25">
      <c r="A401" s="2">
        <v>44824</v>
      </c>
      <c r="B401" s="20">
        <v>2500</v>
      </c>
      <c r="C401" s="20">
        <v>305</v>
      </c>
      <c r="D401" s="20">
        <v>8500</v>
      </c>
      <c r="E401" s="17">
        <f t="shared" si="26"/>
        <v>-6.3593004769475492E-3</v>
      </c>
      <c r="F401" s="17">
        <f t="shared" si="26"/>
        <v>9.9337748344370258E-3</v>
      </c>
      <c r="G401" s="17">
        <f t="shared" si="26"/>
        <v>-3.4090909090909061E-2</v>
      </c>
      <c r="H401" s="14">
        <f t="shared" si="27"/>
        <v>-2.8166278767693124E-2</v>
      </c>
      <c r="I401" s="39"/>
      <c r="J401" s="47">
        <f t="shared" ref="J401:J464" si="29">+J400-1</f>
        <v>370</v>
      </c>
      <c r="K401" s="49">
        <f t="shared" si="28"/>
        <v>8.2090956138181398E-6</v>
      </c>
      <c r="L401" s="17">
        <v>3.6451962753594469E-2</v>
      </c>
      <c r="M401" s="27"/>
      <c r="N401" s="49">
        <v>3.3124614551297616E-3</v>
      </c>
      <c r="O401" s="27">
        <v>1.1669654380864836E-3</v>
      </c>
      <c r="Q401" s="2"/>
      <c r="R401" s="24"/>
      <c r="S401" s="24"/>
      <c r="T401" s="24"/>
    </row>
    <row r="402" spans="1:20" x14ac:dyDescent="0.25">
      <c r="A402" s="2">
        <v>44823</v>
      </c>
      <c r="B402" s="20">
        <v>2516</v>
      </c>
      <c r="C402" s="20">
        <v>302</v>
      </c>
      <c r="D402" s="20">
        <v>8800</v>
      </c>
      <c r="E402" s="17">
        <f t="shared" si="26"/>
        <v>0</v>
      </c>
      <c r="F402" s="17">
        <f t="shared" si="26"/>
        <v>-9.8360655737704805E-3</v>
      </c>
      <c r="G402" s="17">
        <f t="shared" si="26"/>
        <v>1.6401016401016433E-2</v>
      </c>
      <c r="H402" s="14">
        <f t="shared" si="27"/>
        <v>1.2888286658231702E-2</v>
      </c>
      <c r="I402" s="39"/>
      <c r="J402" s="47">
        <f t="shared" si="29"/>
        <v>369</v>
      </c>
      <c r="K402" s="49">
        <f t="shared" si="28"/>
        <v>8.0449137015417744E-6</v>
      </c>
      <c r="L402" s="17">
        <v>1.1879009274391663E-2</v>
      </c>
      <c r="M402" s="27"/>
      <c r="N402" s="49">
        <v>3.1729711950193623E-8</v>
      </c>
      <c r="O402" s="27">
        <v>1.1689753429556841E-3</v>
      </c>
      <c r="Q402" s="2"/>
      <c r="R402" s="24"/>
      <c r="S402" s="24"/>
      <c r="T402" s="24"/>
    </row>
    <row r="403" spans="1:20" x14ac:dyDescent="0.25">
      <c r="A403" s="2">
        <v>44820</v>
      </c>
      <c r="B403" s="20">
        <v>2516</v>
      </c>
      <c r="C403" s="20">
        <v>305</v>
      </c>
      <c r="D403" s="20">
        <v>8658</v>
      </c>
      <c r="E403" s="17">
        <f t="shared" si="26"/>
        <v>-3.230769230769226E-2</v>
      </c>
      <c r="F403" s="17">
        <f t="shared" si="26"/>
        <v>6.6006600660066805E-3</v>
      </c>
      <c r="G403" s="17">
        <f t="shared" si="26"/>
        <v>3.2444959443800325E-3</v>
      </c>
      <c r="H403" s="14">
        <f t="shared" si="27"/>
        <v>-1.7239714497743752E-3</v>
      </c>
      <c r="I403" s="39"/>
      <c r="J403" s="47">
        <f t="shared" si="29"/>
        <v>368</v>
      </c>
      <c r="K403" s="49">
        <f t="shared" si="28"/>
        <v>7.8840154275109391E-6</v>
      </c>
      <c r="L403" s="17">
        <v>7.1844483569997808E-3</v>
      </c>
      <c r="M403" s="27"/>
      <c r="N403" s="49">
        <v>2.5433592238147509E-6</v>
      </c>
      <c r="O403" s="27">
        <v>1.1849125272613906E-3</v>
      </c>
      <c r="Q403" s="2"/>
      <c r="R403" s="24"/>
      <c r="S403" s="24"/>
      <c r="T403" s="24"/>
    </row>
    <row r="404" spans="1:20" x14ac:dyDescent="0.25">
      <c r="A404" s="2">
        <v>44819</v>
      </c>
      <c r="B404" s="20">
        <v>2600</v>
      </c>
      <c r="C404" s="20">
        <v>303</v>
      </c>
      <c r="D404" s="20">
        <v>8630</v>
      </c>
      <c r="E404" s="17">
        <f t="shared" si="26"/>
        <v>-2.9126213592232997E-2</v>
      </c>
      <c r="F404" s="17">
        <f t="shared" si="26"/>
        <v>-1.7828200972447306E-2</v>
      </c>
      <c r="G404" s="17">
        <f t="shared" si="26"/>
        <v>3.4883720930232176E-3</v>
      </c>
      <c r="H404" s="14">
        <f t="shared" si="27"/>
        <v>-2.1413000438156634E-3</v>
      </c>
      <c r="I404" s="39"/>
      <c r="J404" s="47">
        <f t="shared" si="29"/>
        <v>367</v>
      </c>
      <c r="K404" s="49">
        <f t="shared" si="28"/>
        <v>7.7263351189607223E-6</v>
      </c>
      <c r="L404" s="17">
        <v>-2.5485109917793656E-2</v>
      </c>
      <c r="M404" s="27"/>
      <c r="N404" s="49">
        <v>2.1183008639442133E-8</v>
      </c>
      <c r="O404" s="27">
        <v>1.1866189887156835E-3</v>
      </c>
      <c r="Q404" s="2"/>
      <c r="R404" s="24"/>
      <c r="S404" s="24"/>
      <c r="T404" s="24"/>
    </row>
    <row r="405" spans="1:20" x14ac:dyDescent="0.25">
      <c r="A405" s="2">
        <v>44818</v>
      </c>
      <c r="B405" s="20">
        <v>2678</v>
      </c>
      <c r="C405" s="29">
        <v>308.5</v>
      </c>
      <c r="D405" s="20">
        <v>8600</v>
      </c>
      <c r="E405" s="17">
        <f t="shared" si="26"/>
        <v>-2.9784065524943726E-3</v>
      </c>
      <c r="F405" s="17">
        <f t="shared" si="26"/>
        <v>-1.1217948717948678E-2</v>
      </c>
      <c r="G405" s="17">
        <f t="shared" si="26"/>
        <v>-2.2727272727272707E-2</v>
      </c>
      <c r="H405" s="14">
        <f t="shared" si="27"/>
        <v>-1.9379811318570781E-2</v>
      </c>
      <c r="I405" s="39"/>
      <c r="J405" s="47">
        <f t="shared" si="29"/>
        <v>366</v>
      </c>
      <c r="K405" s="49">
        <f t="shared" si="28"/>
        <v>7.571808416581506E-6</v>
      </c>
      <c r="L405" s="17">
        <v>-1.9600228135888496E-2</v>
      </c>
      <c r="M405" s="27"/>
      <c r="N405" s="49">
        <v>7.5678453004107061E-7</v>
      </c>
      <c r="O405" s="27">
        <v>1.2210348166434917E-3</v>
      </c>
      <c r="Q405" s="2"/>
      <c r="R405" s="24"/>
      <c r="S405" s="24"/>
      <c r="T405" s="24"/>
    </row>
    <row r="406" spans="1:20" x14ac:dyDescent="0.25">
      <c r="A406" s="2">
        <v>44817</v>
      </c>
      <c r="B406" s="20">
        <v>2686</v>
      </c>
      <c r="C406" s="20">
        <v>312</v>
      </c>
      <c r="D406" s="20">
        <v>8800</v>
      </c>
      <c r="E406" s="17">
        <f t="shared" si="26"/>
        <v>1.35849056603774E-2</v>
      </c>
      <c r="F406" s="17">
        <f t="shared" si="26"/>
        <v>-3.1948881789137795E-3</v>
      </c>
      <c r="G406" s="17">
        <f t="shared" si="26"/>
        <v>-2.8697571743929395E-2</v>
      </c>
      <c r="H406" s="14">
        <f t="shared" si="27"/>
        <v>-2.1492799455943932E-2</v>
      </c>
      <c r="I406" s="39"/>
      <c r="J406" s="47">
        <f t="shared" si="29"/>
        <v>365</v>
      </c>
      <c r="K406" s="49">
        <f t="shared" si="28"/>
        <v>7.4203722482498767E-6</v>
      </c>
      <c r="L406" s="17">
        <v>5.0667422740814354E-3</v>
      </c>
      <c r="M406" s="27"/>
      <c r="N406" s="49">
        <v>4.5693193200499328E-6</v>
      </c>
      <c r="O406" s="27">
        <v>1.2438315089896923E-3</v>
      </c>
      <c r="Q406" s="2"/>
      <c r="R406" s="24"/>
      <c r="S406" s="24"/>
      <c r="T406" s="24"/>
    </row>
    <row r="407" spans="1:20" x14ac:dyDescent="0.25">
      <c r="A407" s="2">
        <v>44816</v>
      </c>
      <c r="B407" s="20">
        <v>2650</v>
      </c>
      <c r="C407" s="20">
        <v>313</v>
      </c>
      <c r="D407" s="20">
        <v>9060</v>
      </c>
      <c r="E407" s="17">
        <f t="shared" si="26"/>
        <v>0</v>
      </c>
      <c r="F407" s="17">
        <f t="shared" si="26"/>
        <v>-6.3492063492063266E-3</v>
      </c>
      <c r="G407" s="17">
        <f t="shared" si="26"/>
        <v>4.9096804075961176E-2</v>
      </c>
      <c r="H407" s="14">
        <f t="shared" si="27"/>
        <v>3.9595990719054175E-2</v>
      </c>
      <c r="I407" s="39"/>
      <c r="J407" s="47">
        <f t="shared" si="29"/>
        <v>364</v>
      </c>
      <c r="K407" s="49">
        <f t="shared" si="28"/>
        <v>7.2719648032848795E-6</v>
      </c>
      <c r="L407" s="17">
        <v>-9.360484065360641E-3</v>
      </c>
      <c r="M407" s="27"/>
      <c r="N407" s="49">
        <v>3.4400268055863533E-8</v>
      </c>
      <c r="O407" s="27">
        <v>1.2825492196624031E-3</v>
      </c>
      <c r="Q407" s="2"/>
      <c r="R407" s="24"/>
      <c r="S407" s="24"/>
      <c r="T407" s="24"/>
    </row>
    <row r="408" spans="1:20" x14ac:dyDescent="0.25">
      <c r="A408" s="2">
        <v>44813</v>
      </c>
      <c r="B408" s="20">
        <v>2650</v>
      </c>
      <c r="C408" s="20">
        <v>315</v>
      </c>
      <c r="D408" s="20">
        <v>8636</v>
      </c>
      <c r="E408" s="17">
        <f t="shared" si="26"/>
        <v>-6.0015003750937268E-3</v>
      </c>
      <c r="F408" s="17">
        <f t="shared" si="26"/>
        <v>3.1847133757962887E-3</v>
      </c>
      <c r="G408" s="17">
        <f t="shared" si="26"/>
        <v>3.2527881040891327E-3</v>
      </c>
      <c r="H408" s="14">
        <f t="shared" si="27"/>
        <v>1.9181182557726395E-3</v>
      </c>
      <c r="I408" s="39"/>
      <c r="J408" s="47">
        <f t="shared" si="29"/>
        <v>363</v>
      </c>
      <c r="K408" s="49">
        <f t="shared" si="28"/>
        <v>7.1265255072191822E-6</v>
      </c>
      <c r="L408" s="17">
        <v>-2.7460590606651087E-2</v>
      </c>
      <c r="M408" s="27"/>
      <c r="N408" s="49">
        <v>5.9448362455441465E-5</v>
      </c>
      <c r="O408" s="27">
        <v>1.2961309086287126E-3</v>
      </c>
      <c r="Q408" s="2"/>
      <c r="R408" s="24"/>
      <c r="S408" s="24"/>
      <c r="T408" s="24"/>
    </row>
    <row r="409" spans="1:20" x14ac:dyDescent="0.25">
      <c r="A409" s="2">
        <v>44812</v>
      </c>
      <c r="B409" s="20">
        <v>2666</v>
      </c>
      <c r="C409" s="20">
        <v>314</v>
      </c>
      <c r="D409" s="20">
        <v>8608</v>
      </c>
      <c r="E409" s="17">
        <f t="shared" si="26"/>
        <v>-6.7064083457526458E-3</v>
      </c>
      <c r="F409" s="17">
        <f t="shared" si="26"/>
        <v>-2.786377708978327E-2</v>
      </c>
      <c r="G409" s="17">
        <f t="shared" si="26"/>
        <v>-8.2949308755760898E-3</v>
      </c>
      <c r="H409" s="14">
        <f t="shared" si="27"/>
        <v>-8.9260424288915806E-3</v>
      </c>
      <c r="I409" s="39"/>
      <c r="J409" s="47">
        <f t="shared" si="29"/>
        <v>362</v>
      </c>
      <c r="K409" s="49">
        <f t="shared" si="28"/>
        <v>6.9839949970747963E-6</v>
      </c>
      <c r="L409" s="17">
        <v>2.3363165807755958E-2</v>
      </c>
      <c r="M409" s="27"/>
      <c r="N409" s="49">
        <v>1.7698310446172572E-4</v>
      </c>
      <c r="O409" s="27">
        <v>1.3467430074383332E-3</v>
      </c>
      <c r="Q409" s="2"/>
      <c r="R409" s="24"/>
      <c r="S409" s="24"/>
      <c r="T409" s="24"/>
    </row>
    <row r="410" spans="1:20" x14ac:dyDescent="0.25">
      <c r="A410" s="2">
        <v>44811</v>
      </c>
      <c r="B410" s="20">
        <v>2684</v>
      </c>
      <c r="C410" s="20">
        <v>323</v>
      </c>
      <c r="D410" s="20">
        <v>8680</v>
      </c>
      <c r="E410" s="17">
        <f t="shared" si="26"/>
        <v>-5.9259259259258901E-3</v>
      </c>
      <c r="F410" s="17">
        <f t="shared" si="26"/>
        <v>-1.5455950540957941E-3</v>
      </c>
      <c r="G410" s="17">
        <f t="shared" si="26"/>
        <v>2.8923660502607973E-2</v>
      </c>
      <c r="H410" s="14">
        <f t="shared" si="27"/>
        <v>2.2570279617419371E-2</v>
      </c>
      <c r="I410" s="39"/>
      <c r="J410" s="47">
        <f t="shared" si="29"/>
        <v>361</v>
      </c>
      <c r="K410" s="49">
        <f t="shared" si="28"/>
        <v>6.8443150971333008E-6</v>
      </c>
      <c r="L410" s="17">
        <v>-1.7558980236605997E-2</v>
      </c>
      <c r="M410" s="27"/>
      <c r="N410" s="49">
        <v>1.112068526753702E-4</v>
      </c>
      <c r="O410" s="27">
        <v>1.3650383203969432E-3</v>
      </c>
      <c r="Q410" s="2"/>
      <c r="R410" s="24"/>
      <c r="S410" s="24"/>
      <c r="T410" s="24"/>
    </row>
    <row r="411" spans="1:20" x14ac:dyDescent="0.25">
      <c r="A411" s="2">
        <v>44810</v>
      </c>
      <c r="B411" s="20">
        <v>2700</v>
      </c>
      <c r="C411" s="29">
        <v>323.5</v>
      </c>
      <c r="D411" s="20">
        <v>8436</v>
      </c>
      <c r="E411" s="17">
        <f t="shared" si="26"/>
        <v>2.2271714922048602E-3</v>
      </c>
      <c r="F411" s="17">
        <f t="shared" si="26"/>
        <v>0</v>
      </c>
      <c r="G411" s="17">
        <f t="shared" si="26"/>
        <v>-1.6568047337277569E-3</v>
      </c>
      <c r="H411" s="14">
        <f t="shared" si="27"/>
        <v>-1.0251193014690493E-3</v>
      </c>
      <c r="I411" s="39"/>
      <c r="J411" s="47">
        <f t="shared" si="29"/>
        <v>360</v>
      </c>
      <c r="K411" s="49">
        <f t="shared" si="28"/>
        <v>6.7074287951906348E-6</v>
      </c>
      <c r="L411" s="17">
        <v>-2.8166278767693124E-2</v>
      </c>
      <c r="M411" s="27"/>
      <c r="N411" s="49">
        <v>1.6666231380613398E-3</v>
      </c>
      <c r="O411" s="27">
        <v>1.4246974182188453E-3</v>
      </c>
      <c r="Q411" s="2"/>
      <c r="R411" s="24"/>
      <c r="S411" s="24"/>
      <c r="T411" s="24"/>
    </row>
    <row r="412" spans="1:20" x14ac:dyDescent="0.25">
      <c r="A412" s="2">
        <v>44809</v>
      </c>
      <c r="B412" s="20">
        <v>2694</v>
      </c>
      <c r="C412" s="29">
        <v>323.5</v>
      </c>
      <c r="D412" s="20">
        <v>8450</v>
      </c>
      <c r="E412" s="17">
        <f t="shared" si="26"/>
        <v>-2.1786492374727628E-2</v>
      </c>
      <c r="F412" s="17">
        <f t="shared" si="26"/>
        <v>-3.2884902840059738E-2</v>
      </c>
      <c r="G412" s="17">
        <f t="shared" si="26"/>
        <v>-6.3499529633114227E-3</v>
      </c>
      <c r="H412" s="14">
        <f t="shared" si="27"/>
        <v>-9.7369817339236532E-3</v>
      </c>
      <c r="I412" s="39"/>
      <c r="J412" s="47">
        <f t="shared" si="29"/>
        <v>359</v>
      </c>
      <c r="K412" s="49">
        <f t="shared" si="28"/>
        <v>6.573280219286822E-6</v>
      </c>
      <c r="L412" s="17">
        <v>1.2888286658231702E-2</v>
      </c>
      <c r="M412" s="27"/>
      <c r="N412" s="49">
        <v>9.470979517321983E-3</v>
      </c>
      <c r="O412" s="27">
        <v>1.53366280059052E-3</v>
      </c>
      <c r="Q412" s="2"/>
      <c r="R412" s="24"/>
      <c r="S412" s="24"/>
      <c r="T412" s="24"/>
    </row>
    <row r="413" spans="1:20" x14ac:dyDescent="0.25">
      <c r="A413" s="2">
        <v>44806</v>
      </c>
      <c r="B413" s="20">
        <v>2754</v>
      </c>
      <c r="C413" s="29">
        <v>334.5</v>
      </c>
      <c r="D413" s="20">
        <v>8504</v>
      </c>
      <c r="E413" s="17">
        <f t="shared" si="26"/>
        <v>1.1013215859030812E-2</v>
      </c>
      <c r="F413" s="17">
        <f t="shared" si="26"/>
        <v>1.3636363636363669E-2</v>
      </c>
      <c r="G413" s="17">
        <f t="shared" si="26"/>
        <v>7.8217587105948727E-3</v>
      </c>
      <c r="H413" s="14">
        <f t="shared" si="27"/>
        <v>8.5364519173340633E-3</v>
      </c>
      <c r="I413" s="39"/>
      <c r="J413" s="47">
        <f t="shared" si="29"/>
        <v>358</v>
      </c>
      <c r="K413" s="49">
        <f t="shared" si="28"/>
        <v>6.4418146149010853E-6</v>
      </c>
      <c r="L413" s="17">
        <v>-1.7239714497743752E-3</v>
      </c>
      <c r="M413" s="27"/>
      <c r="N413" s="49">
        <v>6.9876523635260118E-5</v>
      </c>
      <c r="O413" s="27">
        <v>1.5689838078000833E-3</v>
      </c>
      <c r="Q413" s="2"/>
      <c r="R413" s="24"/>
      <c r="S413" s="24"/>
      <c r="T413" s="24"/>
    </row>
    <row r="414" spans="1:20" x14ac:dyDescent="0.25">
      <c r="A414" s="2">
        <v>44805</v>
      </c>
      <c r="B414" s="20">
        <v>2724</v>
      </c>
      <c r="C414" s="20">
        <v>330</v>
      </c>
      <c r="D414" s="20">
        <v>8438</v>
      </c>
      <c r="E414" s="17">
        <f t="shared" si="26"/>
        <v>-9.4545454545454932E-3</v>
      </c>
      <c r="F414" s="17">
        <f t="shared" si="26"/>
        <v>-2.3668639053254448E-2</v>
      </c>
      <c r="G414" s="17">
        <f t="shared" si="26"/>
        <v>-6.3589260480452214E-3</v>
      </c>
      <c r="H414" s="14">
        <f t="shared" si="27"/>
        <v>-7.564830941476094E-3</v>
      </c>
      <c r="I414" s="39"/>
      <c r="J414" s="47">
        <f t="shared" si="29"/>
        <v>357</v>
      </c>
      <c r="K414" s="49">
        <f t="shared" si="28"/>
        <v>6.3129783226030623E-6</v>
      </c>
      <c r="L414" s="17">
        <v>-2.1413000438156634E-3</v>
      </c>
      <c r="M414" s="27"/>
      <c r="N414" s="49">
        <v>9.0959287284360316E-3</v>
      </c>
      <c r="O414" s="27">
        <v>1.6791872838506012E-3</v>
      </c>
      <c r="Q414" s="2"/>
      <c r="R414" s="24"/>
      <c r="S414" s="24"/>
      <c r="T414" s="24"/>
    </row>
    <row r="415" spans="1:20" x14ac:dyDescent="0.25">
      <c r="A415" s="2">
        <v>44804</v>
      </c>
      <c r="B415" s="20">
        <v>2750</v>
      </c>
      <c r="C415" s="20">
        <v>338</v>
      </c>
      <c r="D415" s="20">
        <v>8492</v>
      </c>
      <c r="E415" s="17">
        <f t="shared" si="26"/>
        <v>-1.5748031496062964E-2</v>
      </c>
      <c r="F415" s="17">
        <f t="shared" si="26"/>
        <v>1.1976047904191711E-2</v>
      </c>
      <c r="G415" s="17">
        <f t="shared" si="26"/>
        <v>-1.4620561615223959E-2</v>
      </c>
      <c r="H415" s="14">
        <f t="shared" si="27"/>
        <v>-1.3614361827890494E-2</v>
      </c>
      <c r="I415" s="39"/>
      <c r="J415" s="47">
        <f t="shared" si="29"/>
        <v>356</v>
      </c>
      <c r="K415" s="49">
        <f t="shared" si="28"/>
        <v>6.1867187561510017E-6</v>
      </c>
      <c r="L415" s="17">
        <v>-1.9379811318570781E-2</v>
      </c>
      <c r="M415" s="27"/>
      <c r="N415" s="49">
        <v>1.1359526163074181E-2</v>
      </c>
      <c r="O415" s="27">
        <v>1.7455520470808547E-3</v>
      </c>
      <c r="Q415" s="2"/>
      <c r="R415" s="24"/>
      <c r="S415" s="24"/>
      <c r="T415" s="24"/>
    </row>
    <row r="416" spans="1:20" x14ac:dyDescent="0.25">
      <c r="A416" s="2">
        <v>44803</v>
      </c>
      <c r="B416" s="20">
        <v>2794</v>
      </c>
      <c r="C416" s="20">
        <v>334</v>
      </c>
      <c r="D416" s="20">
        <v>8618</v>
      </c>
      <c r="E416" s="17">
        <f t="shared" si="26"/>
        <v>1.2318840579710111E-2</v>
      </c>
      <c r="F416" s="17">
        <f t="shared" si="26"/>
        <v>-5.9523809523809312E-3</v>
      </c>
      <c r="G416" s="17">
        <f t="shared" si="26"/>
        <v>-3.1685393258427008E-2</v>
      </c>
      <c r="H416" s="14">
        <f t="shared" si="27"/>
        <v>-2.4222743830812361E-2</v>
      </c>
      <c r="I416" s="39"/>
      <c r="J416" s="47">
        <f t="shared" si="29"/>
        <v>355</v>
      </c>
      <c r="K416" s="49">
        <f t="shared" si="28"/>
        <v>6.0629843810279811E-6</v>
      </c>
      <c r="L416" s="17">
        <v>-2.1492799455943932E-2</v>
      </c>
      <c r="M416" s="27"/>
      <c r="N416" s="49">
        <v>3.0521114914705106E-5</v>
      </c>
      <c r="O416" s="27">
        <v>1.7795868398382503E-3</v>
      </c>
      <c r="Q416" s="2"/>
      <c r="R416" s="24"/>
      <c r="S416" s="24"/>
      <c r="T416" s="24"/>
    </row>
    <row r="417" spans="1:20" x14ac:dyDescent="0.25">
      <c r="A417" s="2">
        <v>44802</v>
      </c>
      <c r="B417" s="20">
        <v>2760</v>
      </c>
      <c r="C417" s="20">
        <v>336</v>
      </c>
      <c r="D417" s="20">
        <v>8900</v>
      </c>
      <c r="E417" s="17">
        <f t="shared" si="26"/>
        <v>-1.7094017094017144E-2</v>
      </c>
      <c r="F417" s="17">
        <f t="shared" si="26"/>
        <v>-5.9171597633136397E-3</v>
      </c>
      <c r="G417" s="17">
        <f t="shared" si="26"/>
        <v>-3.0501089324618702E-2</v>
      </c>
      <c r="H417" s="14">
        <f t="shared" si="27"/>
        <v>-2.7491810190300316E-2</v>
      </c>
      <c r="I417" s="39"/>
      <c r="J417" s="47">
        <f t="shared" si="29"/>
        <v>354</v>
      </c>
      <c r="K417" s="49">
        <f t="shared" si="28"/>
        <v>5.9417246934074219E-6</v>
      </c>
      <c r="L417" s="17">
        <v>3.9595990719054175E-2</v>
      </c>
      <c r="M417" s="27"/>
      <c r="N417" s="49">
        <v>1.8059500455278138E-4</v>
      </c>
      <c r="O417" s="27">
        <v>1.8014918384547196E-3</v>
      </c>
      <c r="Q417" s="2"/>
      <c r="R417" s="24"/>
      <c r="S417" s="24"/>
      <c r="T417" s="24"/>
    </row>
    <row r="418" spans="1:20" x14ac:dyDescent="0.25">
      <c r="A418" s="2">
        <v>44799</v>
      </c>
      <c r="B418" s="20">
        <v>2808</v>
      </c>
      <c r="C418" s="20">
        <v>338</v>
      </c>
      <c r="D418" s="20">
        <v>9180</v>
      </c>
      <c r="E418" s="17">
        <f t="shared" si="26"/>
        <v>-8.4745762711864181E-3</v>
      </c>
      <c r="F418" s="17">
        <f t="shared" si="26"/>
        <v>-1.744186046511631E-2</v>
      </c>
      <c r="G418" s="17">
        <f t="shared" si="26"/>
        <v>-3.6900369003689537E-3</v>
      </c>
      <c r="H418" s="14">
        <f t="shared" si="27"/>
        <v>-4.9826699697245458E-3</v>
      </c>
      <c r="I418" s="39"/>
      <c r="J418" s="47">
        <f t="shared" si="29"/>
        <v>353</v>
      </c>
      <c r="K418" s="49">
        <f t="shared" si="28"/>
        <v>5.8228901995392732E-6</v>
      </c>
      <c r="L418" s="17">
        <v>1.9181182557726395E-3</v>
      </c>
      <c r="M418" s="27"/>
      <c r="N418" s="49">
        <v>5.5835272374411033E-9</v>
      </c>
      <c r="O418" s="27">
        <v>1.8322491211925473E-3</v>
      </c>
      <c r="Q418" s="2"/>
      <c r="R418" s="24"/>
      <c r="S418" s="24"/>
      <c r="T418" s="24"/>
    </row>
    <row r="419" spans="1:20" x14ac:dyDescent="0.25">
      <c r="A419" s="2">
        <v>44798</v>
      </c>
      <c r="B419" s="20">
        <v>2832</v>
      </c>
      <c r="C419" s="20">
        <v>344</v>
      </c>
      <c r="D419" s="20">
        <v>9214</v>
      </c>
      <c r="E419" s="17">
        <f t="shared" si="26"/>
        <v>1.1428571428571344E-2</v>
      </c>
      <c r="F419" s="17">
        <f t="shared" si="26"/>
        <v>2.0771513353115667E-2</v>
      </c>
      <c r="G419" s="17">
        <f t="shared" si="26"/>
        <v>3.4850795033760651E-3</v>
      </c>
      <c r="H419" s="14">
        <f t="shared" si="27"/>
        <v>5.3875637852433952E-3</v>
      </c>
      <c r="I419" s="39"/>
      <c r="J419" s="47">
        <f t="shared" si="29"/>
        <v>352</v>
      </c>
      <c r="K419" s="49">
        <f t="shared" si="28"/>
        <v>5.7064323955484877E-6</v>
      </c>
      <c r="L419" s="17">
        <v>-8.9260424288915806E-3</v>
      </c>
      <c r="M419" s="27"/>
      <c r="N419" s="49">
        <v>4.3051122375583961E-4</v>
      </c>
      <c r="O419" s="27">
        <v>1.8809305758205296E-3</v>
      </c>
      <c r="Q419" s="2"/>
      <c r="R419" s="24"/>
      <c r="S419" s="24"/>
      <c r="T419" s="24"/>
    </row>
    <row r="420" spans="1:20" x14ac:dyDescent="0.25">
      <c r="A420" s="2">
        <v>44797</v>
      </c>
      <c r="B420" s="20">
        <v>2800</v>
      </c>
      <c r="C420" s="20">
        <v>337</v>
      </c>
      <c r="D420" s="20">
        <v>9182</v>
      </c>
      <c r="E420" s="17">
        <f t="shared" si="26"/>
        <v>-7.1377587437548851E-4</v>
      </c>
      <c r="F420" s="17">
        <f t="shared" si="26"/>
        <v>1.0494752623688264E-2</v>
      </c>
      <c r="G420" s="17">
        <f t="shared" si="26"/>
        <v>1.0902747492367304E-3</v>
      </c>
      <c r="H420" s="14">
        <f t="shared" si="27"/>
        <v>1.2438315089896923E-3</v>
      </c>
      <c r="I420" s="39"/>
      <c r="J420" s="47">
        <f t="shared" si="29"/>
        <v>351</v>
      </c>
      <c r="K420" s="49">
        <f t="shared" si="28"/>
        <v>5.5923037476375184E-6</v>
      </c>
      <c r="L420" s="17">
        <v>2.2570279617419371E-2</v>
      </c>
      <c r="M420" s="27"/>
      <c r="N420" s="49">
        <v>5.8228901995392732E-6</v>
      </c>
      <c r="O420" s="27">
        <v>1.9181182557726395E-3</v>
      </c>
      <c r="Q420" s="2"/>
      <c r="R420" s="24"/>
      <c r="S420" s="24"/>
      <c r="T420" s="24"/>
    </row>
    <row r="421" spans="1:20" x14ac:dyDescent="0.25">
      <c r="A421" s="2">
        <v>44796</v>
      </c>
      <c r="B421" s="20">
        <v>2802</v>
      </c>
      <c r="C421" s="29">
        <v>333.5</v>
      </c>
      <c r="D421" s="20">
        <v>9172</v>
      </c>
      <c r="E421" s="17">
        <f t="shared" si="26"/>
        <v>-7.1326676176886039E-4</v>
      </c>
      <c r="F421" s="17">
        <f t="shared" si="26"/>
        <v>1.0606060606060508E-2</v>
      </c>
      <c r="G421" s="17">
        <f t="shared" si="26"/>
        <v>2.092609082813901E-2</v>
      </c>
      <c r="H421" s="14">
        <f t="shared" si="27"/>
        <v>1.7358838348686102E-2</v>
      </c>
      <c r="I421" s="39"/>
      <c r="J421" s="47">
        <f t="shared" si="29"/>
        <v>350</v>
      </c>
      <c r="K421" s="49">
        <f t="shared" si="28"/>
        <v>5.4804576726847686E-6</v>
      </c>
      <c r="L421" s="17">
        <v>-1.0251193014690493E-3</v>
      </c>
      <c r="M421" s="27"/>
      <c r="N421" s="49">
        <v>2.4937973032695462E-5</v>
      </c>
      <c r="O421" s="27">
        <v>2.1109359275994638E-3</v>
      </c>
      <c r="Q421" s="2"/>
      <c r="R421" s="24"/>
      <c r="S421" s="24"/>
      <c r="T421" s="24"/>
    </row>
    <row r="422" spans="1:20" x14ac:dyDescent="0.25">
      <c r="A422" s="2">
        <v>44795</v>
      </c>
      <c r="B422" s="20">
        <v>2804</v>
      </c>
      <c r="C422" s="20">
        <v>330</v>
      </c>
      <c r="D422" s="20">
        <v>8984</v>
      </c>
      <c r="E422" s="17">
        <f t="shared" si="26"/>
        <v>-1.0585744530698604E-2</v>
      </c>
      <c r="F422" s="17">
        <f t="shared" si="26"/>
        <v>1.538461538461533E-2</v>
      </c>
      <c r="G422" s="17">
        <f t="shared" si="26"/>
        <v>-1.792741582859636E-2</v>
      </c>
      <c r="H422" s="14">
        <f t="shared" si="27"/>
        <v>-1.5407496826441103E-2</v>
      </c>
      <c r="I422" s="39"/>
      <c r="J422" s="47">
        <f t="shared" si="29"/>
        <v>349</v>
      </c>
      <c r="K422" s="49">
        <f t="shared" si="28"/>
        <v>5.3708485192310721E-6</v>
      </c>
      <c r="L422" s="17">
        <v>-9.7369817339236532E-3</v>
      </c>
      <c r="M422" s="27"/>
      <c r="N422" s="49">
        <v>3.1160304244396244E-4</v>
      </c>
      <c r="O422" s="27">
        <v>2.1252687930750636E-3</v>
      </c>
      <c r="Q422" s="2"/>
      <c r="R422" s="24"/>
      <c r="S422" s="24"/>
      <c r="T422" s="24"/>
    </row>
    <row r="423" spans="1:20" x14ac:dyDescent="0.25">
      <c r="A423" s="2">
        <v>44792</v>
      </c>
      <c r="B423" s="20">
        <v>2834</v>
      </c>
      <c r="C423" s="20">
        <v>325</v>
      </c>
      <c r="D423" s="20">
        <v>9148</v>
      </c>
      <c r="E423" s="17">
        <f t="shared" si="26"/>
        <v>8.5409252669039759E-3</v>
      </c>
      <c r="F423" s="17">
        <f t="shared" si="26"/>
        <v>-6.1162079510703737E-3</v>
      </c>
      <c r="G423" s="17">
        <f t="shared" si="26"/>
        <v>-7.3784722222222099E-3</v>
      </c>
      <c r="H423" s="14">
        <f t="shared" si="27"/>
        <v>-5.0322394078531688E-3</v>
      </c>
      <c r="I423" s="39"/>
      <c r="J423" s="47">
        <f t="shared" si="29"/>
        <v>348</v>
      </c>
      <c r="K423" s="49">
        <f t="shared" si="28"/>
        <v>5.2634315488464501E-6</v>
      </c>
      <c r="L423" s="17">
        <v>8.5364519173340633E-3</v>
      </c>
      <c r="M423" s="27"/>
      <c r="N423" s="49">
        <v>1.0898271562186277E-4</v>
      </c>
      <c r="O423" s="27">
        <v>2.1811362309883523E-3</v>
      </c>
      <c r="Q423" s="2"/>
      <c r="R423" s="24"/>
      <c r="S423" s="24"/>
      <c r="T423" s="24"/>
    </row>
    <row r="424" spans="1:20" x14ac:dyDescent="0.25">
      <c r="A424" s="2">
        <v>44791</v>
      </c>
      <c r="B424" s="20">
        <v>2810</v>
      </c>
      <c r="C424" s="20">
        <v>327</v>
      </c>
      <c r="D424" s="20">
        <v>9216</v>
      </c>
      <c r="E424" s="17">
        <f t="shared" si="26"/>
        <v>-1.8169112508735097E-2</v>
      </c>
      <c r="F424" s="17">
        <f t="shared" si="26"/>
        <v>2.1875000000000089E-2</v>
      </c>
      <c r="G424" s="17">
        <f t="shared" si="26"/>
        <v>2.5139043381535053E-2</v>
      </c>
      <c r="H424" s="14">
        <f t="shared" si="27"/>
        <v>1.8763664395191552E-2</v>
      </c>
      <c r="I424" s="39"/>
      <c r="J424" s="47">
        <f t="shared" si="29"/>
        <v>347</v>
      </c>
      <c r="K424" s="49">
        <f t="shared" si="28"/>
        <v>5.1581629178695209E-6</v>
      </c>
      <c r="L424" s="17">
        <v>-7.564830941476094E-3</v>
      </c>
      <c r="M424" s="27"/>
      <c r="N424" s="49">
        <v>3.1127693913876541E-6</v>
      </c>
      <c r="O424" s="27">
        <v>2.1876488156694863E-3</v>
      </c>
      <c r="Q424" s="2"/>
      <c r="R424" s="24"/>
      <c r="S424" s="24"/>
      <c r="T424" s="24"/>
    </row>
    <row r="425" spans="1:20" x14ac:dyDescent="0.25">
      <c r="A425" s="2">
        <v>44790</v>
      </c>
      <c r="B425" s="20">
        <v>2862</v>
      </c>
      <c r="C425" s="20">
        <v>320</v>
      </c>
      <c r="D425" s="20">
        <v>8990</v>
      </c>
      <c r="E425" s="17">
        <f t="shared" si="26"/>
        <v>-1.851851851851849E-2</v>
      </c>
      <c r="F425" s="17">
        <f t="shared" si="26"/>
        <v>0</v>
      </c>
      <c r="G425" s="17">
        <f t="shared" si="26"/>
        <v>-2.4099001302648748E-2</v>
      </c>
      <c r="H425" s="14">
        <f t="shared" si="27"/>
        <v>-2.2237261310791144E-2</v>
      </c>
      <c r="I425" s="39"/>
      <c r="J425" s="47">
        <f t="shared" si="29"/>
        <v>346</v>
      </c>
      <c r="K425" s="49">
        <f t="shared" si="28"/>
        <v>5.054999659512131E-6</v>
      </c>
      <c r="L425" s="17">
        <v>-1.3614361827890494E-2</v>
      </c>
      <c r="M425" s="27"/>
      <c r="N425" s="49">
        <v>3.1779586541758748E-5</v>
      </c>
      <c r="O425" s="27">
        <v>2.2151624663931295E-3</v>
      </c>
      <c r="Q425" s="2"/>
      <c r="R425" s="24"/>
      <c r="S425" s="24"/>
      <c r="T425" s="24"/>
    </row>
    <row r="426" spans="1:20" x14ac:dyDescent="0.25">
      <c r="A426" s="2">
        <v>44789</v>
      </c>
      <c r="B426" s="20">
        <v>2916</v>
      </c>
      <c r="C426" s="20">
        <v>320</v>
      </c>
      <c r="D426" s="20">
        <v>9212</v>
      </c>
      <c r="E426" s="17">
        <f t="shared" si="26"/>
        <v>1.039501039501034E-2</v>
      </c>
      <c r="F426" s="17">
        <f t="shared" si="26"/>
        <v>3.1347962382444194E-3</v>
      </c>
      <c r="G426" s="17">
        <f t="shared" si="26"/>
        <v>2.6292335115864596E-2</v>
      </c>
      <c r="H426" s="14">
        <f t="shared" si="27"/>
        <v>2.2987376260280391E-2</v>
      </c>
      <c r="I426" s="39"/>
      <c r="J426" s="47">
        <f t="shared" si="29"/>
        <v>345</v>
      </c>
      <c r="K426" s="49">
        <f t="shared" si="28"/>
        <v>4.9538996663218865E-6</v>
      </c>
      <c r="L426" s="17">
        <v>-2.4222743830812361E-2</v>
      </c>
      <c r="M426" s="27"/>
      <c r="N426" s="49">
        <v>3.3712262694746259E-8</v>
      </c>
      <c r="O426" s="27">
        <v>2.2434358285760734E-3</v>
      </c>
      <c r="Q426" s="2"/>
      <c r="R426" s="24"/>
      <c r="S426" s="24"/>
      <c r="T426" s="24"/>
    </row>
    <row r="427" spans="1:20" x14ac:dyDescent="0.25">
      <c r="A427" s="2">
        <v>44788</v>
      </c>
      <c r="B427" s="20">
        <v>2886</v>
      </c>
      <c r="C427" s="20">
        <v>319</v>
      </c>
      <c r="D427" s="20">
        <v>8976</v>
      </c>
      <c r="E427" s="17">
        <f t="shared" si="26"/>
        <v>0</v>
      </c>
      <c r="F427" s="17">
        <f t="shared" si="26"/>
        <v>-6.230529595015577E-3</v>
      </c>
      <c r="G427" s="17">
        <f t="shared" si="26"/>
        <v>-4.0820688181235298E-2</v>
      </c>
      <c r="H427" s="14">
        <f t="shared" si="27"/>
        <v>-3.34270347517873E-2</v>
      </c>
      <c r="I427" s="39"/>
      <c r="J427" s="47">
        <f t="shared" si="29"/>
        <v>344</v>
      </c>
      <c r="K427" s="49">
        <f t="shared" si="28"/>
        <v>4.8548216729954496E-6</v>
      </c>
      <c r="L427" s="17">
        <v>-2.7491810190300316E-2</v>
      </c>
      <c r="M427" s="27"/>
      <c r="N427" s="49">
        <v>3.447238337109609E-4</v>
      </c>
      <c r="O427" s="27">
        <v>2.2923153262009864E-3</v>
      </c>
      <c r="Q427" s="2"/>
      <c r="R427" s="24"/>
      <c r="S427" s="24"/>
      <c r="T427" s="24"/>
    </row>
    <row r="428" spans="1:20" x14ac:dyDescent="0.25">
      <c r="A428" s="2">
        <v>44785</v>
      </c>
      <c r="B428" s="20">
        <v>2886</v>
      </c>
      <c r="C428" s="20">
        <v>321</v>
      </c>
      <c r="D428" s="20">
        <v>9358</v>
      </c>
      <c r="E428" s="17">
        <f t="shared" si="26"/>
        <v>-2.3019634394041977E-2</v>
      </c>
      <c r="F428" s="17">
        <f t="shared" si="26"/>
        <v>7.8492935635792183E-3</v>
      </c>
      <c r="G428" s="17">
        <f t="shared" si="26"/>
        <v>-1.7016806722689126E-2</v>
      </c>
      <c r="H428" s="14">
        <f t="shared" si="27"/>
        <v>-1.6788188773651447E-2</v>
      </c>
      <c r="I428" s="39"/>
      <c r="J428" s="47">
        <f t="shared" si="29"/>
        <v>343</v>
      </c>
      <c r="K428" s="49">
        <f t="shared" si="28"/>
        <v>4.7577252395355408E-6</v>
      </c>
      <c r="L428" s="17">
        <v>-4.9826699697245458E-3</v>
      </c>
      <c r="M428" s="27"/>
      <c r="N428" s="49">
        <v>1.629873874359844E-7</v>
      </c>
      <c r="O428" s="27">
        <v>2.3236884558648576E-3</v>
      </c>
      <c r="Q428" s="2"/>
      <c r="R428" s="24"/>
      <c r="S428" s="24"/>
      <c r="T428" s="24"/>
    </row>
    <row r="429" spans="1:20" x14ac:dyDescent="0.25">
      <c r="A429" s="2">
        <v>44784</v>
      </c>
      <c r="B429" s="20">
        <v>2954</v>
      </c>
      <c r="C429" s="29">
        <v>318.5</v>
      </c>
      <c r="D429" s="20">
        <v>9520</v>
      </c>
      <c r="E429" s="17">
        <f t="shared" si="26"/>
        <v>2.035278154681075E-3</v>
      </c>
      <c r="F429" s="17">
        <f t="shared" si="26"/>
        <v>-1.0869565217391353E-2</v>
      </c>
      <c r="G429" s="17">
        <f t="shared" si="26"/>
        <v>1.6008537886873064E-2</v>
      </c>
      <c r="H429" s="14">
        <f t="shared" si="27"/>
        <v>1.2816997626075827E-2</v>
      </c>
      <c r="I429" s="39"/>
      <c r="J429" s="47">
        <f t="shared" si="29"/>
        <v>342</v>
      </c>
      <c r="K429" s="49">
        <f t="shared" si="28"/>
        <v>4.6625707347448299E-6</v>
      </c>
      <c r="L429" s="17">
        <v>5.3875637852433952E-3</v>
      </c>
      <c r="M429" s="27"/>
      <c r="N429" s="49">
        <v>9.4660223670596706E-4</v>
      </c>
      <c r="O429" s="27">
        <v>2.3443480296371786E-3</v>
      </c>
      <c r="Q429" s="2"/>
      <c r="R429" s="24"/>
      <c r="S429" s="24"/>
      <c r="T429" s="24"/>
    </row>
    <row r="430" spans="1:20" x14ac:dyDescent="0.25">
      <c r="A430" s="2">
        <v>44783</v>
      </c>
      <c r="B430" s="20">
        <v>2948</v>
      </c>
      <c r="C430" s="20">
        <v>322</v>
      </c>
      <c r="D430" s="20">
        <v>9370</v>
      </c>
      <c r="E430" s="17">
        <f t="shared" si="26"/>
        <v>4.7619047619047672E-2</v>
      </c>
      <c r="F430" s="17">
        <f t="shared" si="26"/>
        <v>2.5477707006369421E-2</v>
      </c>
      <c r="G430" s="17">
        <f t="shared" si="26"/>
        <v>5.0684009867683288E-2</v>
      </c>
      <c r="H430" s="14">
        <f t="shared" si="27"/>
        <v>4.9135603843524951E-2</v>
      </c>
      <c r="I430" s="39"/>
      <c r="J430" s="47">
        <f t="shared" si="29"/>
        <v>341</v>
      </c>
      <c r="K430" s="49">
        <f t="shared" si="28"/>
        <v>4.5693193200499328E-6</v>
      </c>
      <c r="L430" s="17">
        <v>1.2438315089896923E-3</v>
      </c>
      <c r="M430" s="27"/>
      <c r="N430" s="49">
        <v>1.8764806807026093E-8</v>
      </c>
      <c r="O430" s="27">
        <v>2.4010343272308221E-3</v>
      </c>
      <c r="Q430" s="2"/>
      <c r="R430" s="24"/>
      <c r="S430" s="24"/>
      <c r="T430" s="24"/>
    </row>
    <row r="431" spans="1:20" x14ac:dyDescent="0.25">
      <c r="A431" s="2">
        <v>44782</v>
      </c>
      <c r="B431" s="20">
        <v>2814</v>
      </c>
      <c r="C431" s="20">
        <v>314</v>
      </c>
      <c r="D431" s="20">
        <v>8918</v>
      </c>
      <c r="E431" s="17">
        <f t="shared" si="26"/>
        <v>-4.1553133514986351E-2</v>
      </c>
      <c r="F431" s="17">
        <f t="shared" si="26"/>
        <v>-6.3291139240506666E-3</v>
      </c>
      <c r="G431" s="17">
        <f t="shared" si="26"/>
        <v>-4.0043057050592079E-2</v>
      </c>
      <c r="H431" s="14">
        <f t="shared" si="27"/>
        <v>-3.8779235416237456E-2</v>
      </c>
      <c r="I431" s="39"/>
      <c r="J431" s="47">
        <f t="shared" si="29"/>
        <v>340</v>
      </c>
      <c r="K431" s="49">
        <f t="shared" si="28"/>
        <v>4.4779329336489338E-6</v>
      </c>
      <c r="L431" s="17">
        <v>1.7358838348686102E-2</v>
      </c>
      <c r="M431" s="27"/>
      <c r="N431" s="49">
        <v>2.1227415832523498E-4</v>
      </c>
      <c r="O431" s="27">
        <v>2.4581502312218751E-3</v>
      </c>
      <c r="Q431" s="2"/>
      <c r="R431" s="24"/>
      <c r="S431" s="24"/>
      <c r="T431" s="24"/>
    </row>
    <row r="432" spans="1:20" x14ac:dyDescent="0.25">
      <c r="A432" s="2">
        <v>44781</v>
      </c>
      <c r="B432" s="20">
        <v>2936</v>
      </c>
      <c r="C432" s="20">
        <v>316</v>
      </c>
      <c r="D432" s="20">
        <v>9290</v>
      </c>
      <c r="E432" s="17">
        <f t="shared" si="26"/>
        <v>1.2413793103448256E-2</v>
      </c>
      <c r="F432" s="17">
        <f t="shared" si="26"/>
        <v>3.1746031746031633E-3</v>
      </c>
      <c r="G432" s="17">
        <f t="shared" si="26"/>
        <v>4.031354983202684E-2</v>
      </c>
      <c r="H432" s="14">
        <f t="shared" si="27"/>
        <v>3.4667227149487556E-2</v>
      </c>
      <c r="I432" s="39"/>
      <c r="J432" s="47">
        <f t="shared" si="29"/>
        <v>339</v>
      </c>
      <c r="K432" s="49">
        <f t="shared" si="28"/>
        <v>4.3883742749759563E-6</v>
      </c>
      <c r="L432" s="17">
        <v>-1.5407496826441103E-2</v>
      </c>
      <c r="M432" s="27"/>
      <c r="N432" s="49">
        <v>7.1339914747556939E-4</v>
      </c>
      <c r="O432" s="27">
        <v>2.5009661438073947E-3</v>
      </c>
      <c r="Q432" s="2"/>
      <c r="R432" s="24"/>
      <c r="S432" s="24"/>
      <c r="T432" s="24"/>
    </row>
    <row r="433" spans="1:20" x14ac:dyDescent="0.25">
      <c r="A433" s="2">
        <v>44778</v>
      </c>
      <c r="B433" s="20">
        <v>2900</v>
      </c>
      <c r="C433" s="20">
        <v>315</v>
      </c>
      <c r="D433" s="20">
        <v>8930</v>
      </c>
      <c r="E433" s="17">
        <f t="shared" si="26"/>
        <v>-3.3333333333333326E-2</v>
      </c>
      <c r="F433" s="17">
        <f t="shared" si="26"/>
        <v>2.2727272727272707E-2</v>
      </c>
      <c r="G433" s="17">
        <f t="shared" si="26"/>
        <v>3.4043538675312623E-2</v>
      </c>
      <c r="H433" s="14">
        <f t="shared" si="27"/>
        <v>2.385095513930445E-2</v>
      </c>
      <c r="I433" s="39"/>
      <c r="J433" s="47">
        <f t="shared" si="29"/>
        <v>338</v>
      </c>
      <c r="K433" s="49">
        <f t="shared" si="28"/>
        <v>4.3006067894764365E-6</v>
      </c>
      <c r="L433" s="17">
        <v>-5.0322394078531688E-3</v>
      </c>
      <c r="M433" s="27"/>
      <c r="N433" s="49">
        <v>1.3331207781587093E-5</v>
      </c>
      <c r="O433" s="27">
        <v>2.6292155570831095E-3</v>
      </c>
      <c r="Q433" s="2"/>
      <c r="R433" s="24"/>
      <c r="S433" s="24"/>
      <c r="T433" s="24"/>
    </row>
    <row r="434" spans="1:20" x14ac:dyDescent="0.25">
      <c r="A434" s="2">
        <v>44777</v>
      </c>
      <c r="B434" s="20">
        <v>3000</v>
      </c>
      <c r="C434" s="20">
        <v>308</v>
      </c>
      <c r="D434" s="20">
        <v>8636</v>
      </c>
      <c r="E434" s="17">
        <f t="shared" si="26"/>
        <v>2.1798365122615904E-2</v>
      </c>
      <c r="F434" s="17">
        <f t="shared" si="26"/>
        <v>-1.2820512820512775E-2</v>
      </c>
      <c r="G434" s="17">
        <f t="shared" si="26"/>
        <v>1.4806110458284394E-2</v>
      </c>
      <c r="H434" s="14">
        <f t="shared" si="27"/>
        <v>1.4598594492364071E-2</v>
      </c>
      <c r="I434" s="39"/>
      <c r="J434" s="47">
        <f t="shared" si="29"/>
        <v>337</v>
      </c>
      <c r="K434" s="49">
        <f t="shared" si="28"/>
        <v>4.2145946536869075E-6</v>
      </c>
      <c r="L434" s="17">
        <v>1.8763664395191552E-2</v>
      </c>
      <c r="M434" s="27"/>
      <c r="N434" s="49">
        <v>3.0553089774389606E-3</v>
      </c>
      <c r="O434" s="27">
        <v>2.7210673023333135E-3</v>
      </c>
      <c r="Q434" s="2"/>
      <c r="R434" s="24"/>
      <c r="S434" s="24"/>
      <c r="T434" s="24"/>
    </row>
    <row r="435" spans="1:20" x14ac:dyDescent="0.25">
      <c r="A435" s="2">
        <v>44776</v>
      </c>
      <c r="B435" s="20">
        <v>2936</v>
      </c>
      <c r="C435" s="20">
        <v>312</v>
      </c>
      <c r="D435" s="20">
        <v>8510</v>
      </c>
      <c r="E435" s="17">
        <f t="shared" si="26"/>
        <v>1.6620498614958512E-2</v>
      </c>
      <c r="F435" s="17">
        <f t="shared" si="26"/>
        <v>0</v>
      </c>
      <c r="G435" s="17">
        <f t="shared" si="26"/>
        <v>1.9650131799664461E-2</v>
      </c>
      <c r="H435" s="14">
        <f t="shared" si="27"/>
        <v>1.8350903051529779E-2</v>
      </c>
      <c r="I435" s="39"/>
      <c r="J435" s="47">
        <f t="shared" si="29"/>
        <v>336</v>
      </c>
      <c r="K435" s="49">
        <f t="shared" si="28"/>
        <v>4.1303027606131679E-6</v>
      </c>
      <c r="L435" s="17">
        <v>-2.2237261310791144E-2</v>
      </c>
      <c r="M435" s="27"/>
      <c r="N435" s="49">
        <v>3.9729779264015344E-3</v>
      </c>
      <c r="O435" s="27">
        <v>2.7675922371431945E-3</v>
      </c>
      <c r="Q435" s="2"/>
      <c r="R435" s="24"/>
      <c r="S435" s="24"/>
      <c r="T435" s="24"/>
    </row>
    <row r="436" spans="1:20" x14ac:dyDescent="0.25">
      <c r="A436" s="2">
        <v>44775</v>
      </c>
      <c r="B436" s="20">
        <v>2888</v>
      </c>
      <c r="C436" s="20">
        <v>312</v>
      </c>
      <c r="D436" s="20">
        <v>8346</v>
      </c>
      <c r="E436" s="17">
        <f t="shared" si="26"/>
        <v>-7.5601374570446467E-3</v>
      </c>
      <c r="F436" s="17">
        <f t="shared" si="26"/>
        <v>-3.1948881789137795E-3</v>
      </c>
      <c r="G436" s="17">
        <f t="shared" si="26"/>
        <v>-4.0572792362768562E-3</v>
      </c>
      <c r="H436" s="14">
        <f t="shared" si="27"/>
        <v>-4.5234491162897197E-3</v>
      </c>
      <c r="I436" s="39"/>
      <c r="J436" s="47">
        <f t="shared" si="29"/>
        <v>335</v>
      </c>
      <c r="K436" s="49">
        <f t="shared" si="28"/>
        <v>4.0476967054009054E-6</v>
      </c>
      <c r="L436" s="17">
        <v>2.2987376260280391E-2</v>
      </c>
      <c r="M436" s="27"/>
      <c r="N436" s="49">
        <v>8.2176957151290555E-4</v>
      </c>
      <c r="O436" s="27">
        <v>2.8000268536130272E-3</v>
      </c>
      <c r="Q436" s="2"/>
      <c r="R436" s="24"/>
      <c r="S436" s="24"/>
      <c r="T436" s="24"/>
    </row>
    <row r="437" spans="1:20" x14ac:dyDescent="0.25">
      <c r="A437" s="2">
        <v>44774</v>
      </c>
      <c r="B437" s="20">
        <v>2910</v>
      </c>
      <c r="C437" s="20">
        <v>313</v>
      </c>
      <c r="D437" s="20">
        <v>8380</v>
      </c>
      <c r="E437" s="17">
        <f t="shared" si="26"/>
        <v>1.3764624913970014E-3</v>
      </c>
      <c r="F437" s="17">
        <f t="shared" si="26"/>
        <v>1.6000000000000458E-3</v>
      </c>
      <c r="G437" s="17">
        <f t="shared" si="26"/>
        <v>3.2019704433497553E-2</v>
      </c>
      <c r="H437" s="14">
        <f t="shared" si="27"/>
        <v>2.6273787525276829E-2</v>
      </c>
      <c r="I437" s="39"/>
      <c r="J437" s="47">
        <f t="shared" si="29"/>
        <v>334</v>
      </c>
      <c r="K437" s="49">
        <f t="shared" si="28"/>
        <v>3.9667427712928878E-6</v>
      </c>
      <c r="L437" s="17">
        <v>-3.34270347517873E-2</v>
      </c>
      <c r="M437" s="27"/>
      <c r="N437" s="49">
        <v>8.9140101538673095E-3</v>
      </c>
      <c r="O437" s="27">
        <v>2.8379497339168394E-3</v>
      </c>
      <c r="Q437" s="2"/>
      <c r="R437" s="24"/>
      <c r="S437" s="24"/>
      <c r="T437" s="24"/>
    </row>
    <row r="438" spans="1:20" x14ac:dyDescent="0.25">
      <c r="A438" s="2">
        <v>44771</v>
      </c>
      <c r="B438" s="20">
        <v>2906</v>
      </c>
      <c r="C438" s="29">
        <v>312.5</v>
      </c>
      <c r="D438" s="20">
        <v>8120</v>
      </c>
      <c r="E438" s="17">
        <f t="shared" si="26"/>
        <v>9.0277777777778567E-3</v>
      </c>
      <c r="F438" s="17">
        <f t="shared" si="26"/>
        <v>8.0645161290322509E-3</v>
      </c>
      <c r="G438" s="17">
        <f t="shared" si="26"/>
        <v>2.7068049582595455E-2</v>
      </c>
      <c r="H438" s="14">
        <f t="shared" si="27"/>
        <v>2.3637217224719894E-2</v>
      </c>
      <c r="I438" s="39"/>
      <c r="J438" s="47">
        <f t="shared" si="29"/>
        <v>333</v>
      </c>
      <c r="K438" s="49">
        <f t="shared" si="28"/>
        <v>3.8874079158670291E-6</v>
      </c>
      <c r="L438" s="17">
        <v>-1.6788188773651447E-2</v>
      </c>
      <c r="M438" s="27"/>
      <c r="N438" s="49">
        <v>1.3064583625955351E-5</v>
      </c>
      <c r="O438" s="27">
        <v>2.8566055047187285E-3</v>
      </c>
      <c r="Q438" s="2"/>
      <c r="R438" s="24"/>
      <c r="S438" s="24"/>
      <c r="T438" s="24"/>
    </row>
    <row r="439" spans="1:20" x14ac:dyDescent="0.25">
      <c r="A439" s="2">
        <v>44770</v>
      </c>
      <c r="B439" s="20">
        <v>2880</v>
      </c>
      <c r="C439" s="20">
        <v>310</v>
      </c>
      <c r="D439" s="20">
        <v>7906</v>
      </c>
      <c r="E439" s="17">
        <f t="shared" si="26"/>
        <v>1.7667844522968101E-2</v>
      </c>
      <c r="F439" s="17">
        <f t="shared" si="26"/>
        <v>-1.7432646592709933E-2</v>
      </c>
      <c r="G439" s="17">
        <f t="shared" si="26"/>
        <v>5.0620096178177754E-4</v>
      </c>
      <c r="H439" s="14">
        <f t="shared" si="27"/>
        <v>2.1876488156694863E-3</v>
      </c>
      <c r="I439" s="39"/>
      <c r="J439" s="47">
        <f t="shared" si="29"/>
        <v>332</v>
      </c>
      <c r="K439" s="49">
        <f t="shared" si="28"/>
        <v>3.8096597575496881E-6</v>
      </c>
      <c r="L439" s="17">
        <v>1.2816997626075827E-2</v>
      </c>
      <c r="M439" s="27"/>
      <c r="N439" s="49">
        <v>1.0031189712084073E-8</v>
      </c>
      <c r="O439" s="27">
        <v>2.880776214031904E-3</v>
      </c>
      <c r="Q439" s="2"/>
      <c r="R439" s="24"/>
      <c r="S439" s="24"/>
      <c r="T439" s="24"/>
    </row>
    <row r="440" spans="1:20" x14ac:dyDescent="0.25">
      <c r="A440" s="2">
        <v>44769</v>
      </c>
      <c r="B440" s="20">
        <v>2830</v>
      </c>
      <c r="C440" s="29">
        <v>315.5</v>
      </c>
      <c r="D440" s="20">
        <v>7902</v>
      </c>
      <c r="E440" s="17">
        <f t="shared" si="26"/>
        <v>1.2884753042233354E-2</v>
      </c>
      <c r="F440" s="17">
        <f t="shared" si="26"/>
        <v>-7.8616352201258399E-3</v>
      </c>
      <c r="G440" s="17">
        <f t="shared" si="26"/>
        <v>6.1115355233001267E-3</v>
      </c>
      <c r="H440" s="14">
        <f t="shared" si="27"/>
        <v>6.4723233196378408E-3</v>
      </c>
      <c r="I440" s="39"/>
      <c r="J440" s="47">
        <f t="shared" si="29"/>
        <v>331</v>
      </c>
      <c r="K440" s="49">
        <f t="shared" si="28"/>
        <v>3.733466562398695E-6</v>
      </c>
      <c r="L440" s="17">
        <v>4.9135603843524951E-2</v>
      </c>
      <c r="M440" s="27"/>
      <c r="N440" s="49">
        <v>9.8408647213664662E-7</v>
      </c>
      <c r="O440" s="27">
        <v>2.9911837777555541E-3</v>
      </c>
      <c r="Q440" s="2"/>
      <c r="R440" s="24"/>
      <c r="S440" s="24"/>
      <c r="T440" s="24"/>
    </row>
    <row r="441" spans="1:20" x14ac:dyDescent="0.25">
      <c r="A441" s="2">
        <v>44768</v>
      </c>
      <c r="B441" s="20">
        <v>2794</v>
      </c>
      <c r="C441" s="20">
        <v>318</v>
      </c>
      <c r="D441" s="20">
        <v>7854</v>
      </c>
      <c r="E441" s="17">
        <f t="shared" si="26"/>
        <v>-1.6197183098591528E-2</v>
      </c>
      <c r="F441" s="17">
        <f t="shared" si="26"/>
        <v>-6.2499999999999778E-3</v>
      </c>
      <c r="G441" s="17">
        <f t="shared" si="26"/>
        <v>-3.7264035302770337E-2</v>
      </c>
      <c r="H441" s="14">
        <f t="shared" si="27"/>
        <v>-3.2870037389501443E-2</v>
      </c>
      <c r="I441" s="39"/>
      <c r="J441" s="47">
        <f t="shared" si="29"/>
        <v>330</v>
      </c>
      <c r="K441" s="49">
        <f t="shared" si="28"/>
        <v>3.65879723115072E-6</v>
      </c>
      <c r="L441" s="17">
        <v>-3.8779235416237456E-2</v>
      </c>
      <c r="M441" s="27"/>
      <c r="N441" s="49">
        <v>1.5033437665253604E-7</v>
      </c>
      <c r="O441" s="27">
        <v>3.0521370780916572E-3</v>
      </c>
      <c r="Q441" s="2"/>
      <c r="R441" s="24"/>
      <c r="S441" s="24"/>
      <c r="T441" s="24"/>
    </row>
    <row r="442" spans="1:20" x14ac:dyDescent="0.25">
      <c r="A442" s="2">
        <v>44767</v>
      </c>
      <c r="B442" s="20">
        <v>2840</v>
      </c>
      <c r="C442" s="20">
        <v>320</v>
      </c>
      <c r="D442" s="20">
        <v>8158</v>
      </c>
      <c r="E442" s="17">
        <f t="shared" si="26"/>
        <v>-3.0054644808743203E-2</v>
      </c>
      <c r="F442" s="17">
        <f t="shared" si="26"/>
        <v>-1.3867488443759624E-2</v>
      </c>
      <c r="G442" s="17">
        <f t="shared" si="26"/>
        <v>1.9651191353475816E-3</v>
      </c>
      <c r="H442" s="14">
        <f t="shared" si="27"/>
        <v>-3.3380376426145383E-3</v>
      </c>
      <c r="I442" s="39"/>
      <c r="J442" s="47">
        <f t="shared" si="29"/>
        <v>329</v>
      </c>
      <c r="K442" s="49">
        <f t="shared" si="28"/>
        <v>3.5856212865277061E-6</v>
      </c>
      <c r="L442" s="17">
        <v>3.4667227149487556E-2</v>
      </c>
      <c r="M442" s="27"/>
      <c r="N442" s="49">
        <v>1.1114864654390278E-5</v>
      </c>
      <c r="O442" s="27">
        <v>3.0619540964076583E-3</v>
      </c>
      <c r="Q442" s="2"/>
      <c r="R442" s="24"/>
      <c r="S442" s="24"/>
      <c r="T442" s="24"/>
    </row>
    <row r="443" spans="1:20" x14ac:dyDescent="0.25">
      <c r="A443" s="2">
        <v>44764</v>
      </c>
      <c r="B443" s="20">
        <v>2928</v>
      </c>
      <c r="C443" s="29">
        <v>324.5</v>
      </c>
      <c r="D443" s="20">
        <v>8142</v>
      </c>
      <c r="E443" s="17">
        <f t="shared" si="26"/>
        <v>1.3850415512465464E-2</v>
      </c>
      <c r="F443" s="17">
        <f t="shared" si="26"/>
        <v>4.6439628482972672E-3</v>
      </c>
      <c r="G443" s="17">
        <f t="shared" si="26"/>
        <v>1.2686567164179152E-2</v>
      </c>
      <c r="H443" s="14">
        <f t="shared" si="27"/>
        <v>1.2500715962605873E-2</v>
      </c>
      <c r="I443" s="39"/>
      <c r="J443" s="47">
        <f t="shared" si="29"/>
        <v>328</v>
      </c>
      <c r="K443" s="49">
        <f t="shared" si="28"/>
        <v>3.5139088607971515E-6</v>
      </c>
      <c r="L443" s="17">
        <v>2.385095513930445E-2</v>
      </c>
      <c r="M443" s="27"/>
      <c r="N443" s="49">
        <v>4.8624527617504385E-3</v>
      </c>
      <c r="O443" s="27">
        <v>3.1580122972959578E-3</v>
      </c>
      <c r="Q443" s="2"/>
      <c r="R443" s="24"/>
      <c r="S443" s="24"/>
      <c r="T443" s="24"/>
    </row>
    <row r="444" spans="1:20" x14ac:dyDescent="0.25">
      <c r="A444" s="2">
        <v>44763</v>
      </c>
      <c r="B444" s="20">
        <v>2888</v>
      </c>
      <c r="C444" s="20">
        <v>323</v>
      </c>
      <c r="D444" s="20">
        <v>8040</v>
      </c>
      <c r="E444" s="17">
        <f t="shared" si="26"/>
        <v>3.7356321839080442E-2</v>
      </c>
      <c r="F444" s="17">
        <f t="shared" si="26"/>
        <v>1.2539184952978122E-2</v>
      </c>
      <c r="G444" s="17">
        <f t="shared" si="26"/>
        <v>4.7488127968007277E-3</v>
      </c>
      <c r="H444" s="14">
        <f t="shared" si="27"/>
        <v>9.7832341259892885E-3</v>
      </c>
      <c r="I444" s="39"/>
      <c r="J444" s="47">
        <f t="shared" si="29"/>
        <v>327</v>
      </c>
      <c r="K444" s="49">
        <f t="shared" si="28"/>
        <v>3.4436306835812086E-6</v>
      </c>
      <c r="L444" s="17">
        <v>1.4598594492364071E-2</v>
      </c>
      <c r="M444" s="27"/>
      <c r="N444" s="49">
        <v>4.9461250616338199E-9</v>
      </c>
      <c r="O444" s="27">
        <v>3.1997872426038944E-3</v>
      </c>
      <c r="Q444" s="2"/>
      <c r="R444" s="24"/>
      <c r="S444" s="24"/>
      <c r="T444" s="24"/>
    </row>
    <row r="445" spans="1:20" x14ac:dyDescent="0.25">
      <c r="A445" s="2">
        <v>44762</v>
      </c>
      <c r="B445" s="20">
        <v>2784</v>
      </c>
      <c r="C445" s="20">
        <v>319</v>
      </c>
      <c r="D445" s="20">
        <v>8002</v>
      </c>
      <c r="E445" s="17">
        <f t="shared" si="26"/>
        <v>-8.4812623274161725E-2</v>
      </c>
      <c r="F445" s="17">
        <f t="shared" si="26"/>
        <v>2.4077046548956593E-2</v>
      </c>
      <c r="G445" s="17">
        <f t="shared" si="26"/>
        <v>1.501877346683278E-3</v>
      </c>
      <c r="H445" s="14">
        <f t="shared" si="27"/>
        <v>-9.926887406280744E-3</v>
      </c>
      <c r="I445" s="39"/>
      <c r="J445" s="47">
        <f t="shared" si="29"/>
        <v>326</v>
      </c>
      <c r="K445" s="49">
        <f t="shared" si="28"/>
        <v>3.3747580699095843E-6</v>
      </c>
      <c r="L445" s="17">
        <v>1.8350903051529779E-2</v>
      </c>
      <c r="M445" s="27"/>
      <c r="N445" s="49">
        <v>4.7627095789797816E-4</v>
      </c>
      <c r="O445" s="27">
        <v>3.2264678122759173E-3</v>
      </c>
      <c r="Q445" s="2"/>
      <c r="R445" s="24"/>
      <c r="S445" s="24"/>
      <c r="T445" s="24"/>
    </row>
    <row r="446" spans="1:20" x14ac:dyDescent="0.25">
      <c r="A446" s="2">
        <v>44761</v>
      </c>
      <c r="B446" s="20">
        <v>3042</v>
      </c>
      <c r="C446" s="29">
        <v>311.5</v>
      </c>
      <c r="D446" s="20">
        <v>7990</v>
      </c>
      <c r="E446" s="17">
        <f t="shared" si="26"/>
        <v>7.2847682119205892E-3</v>
      </c>
      <c r="F446" s="17">
        <f t="shared" si="26"/>
        <v>-9.5389507154213238E-3</v>
      </c>
      <c r="G446" s="17">
        <f t="shared" si="26"/>
        <v>-7.9463620561212034E-3</v>
      </c>
      <c r="H446" s="14">
        <f t="shared" si="27"/>
        <v>-5.824589212665183E-3</v>
      </c>
      <c r="I446" s="39"/>
      <c r="J446" s="47">
        <f t="shared" si="29"/>
        <v>325</v>
      </c>
      <c r="K446" s="49">
        <f t="shared" si="28"/>
        <v>3.3072629085113921E-6</v>
      </c>
      <c r="L446" s="17">
        <v>-4.5234491162897197E-3</v>
      </c>
      <c r="M446" s="27"/>
      <c r="N446" s="49">
        <v>1.0691495148476114E-2</v>
      </c>
      <c r="O446" s="27">
        <v>3.2718647437915823E-3</v>
      </c>
      <c r="Q446" s="2"/>
      <c r="R446" s="24"/>
      <c r="S446" s="24"/>
      <c r="T446" s="24"/>
    </row>
    <row r="447" spans="1:20" x14ac:dyDescent="0.25">
      <c r="A447" s="2">
        <v>44760</v>
      </c>
      <c r="B447" s="20">
        <v>3020</v>
      </c>
      <c r="C447" s="29">
        <v>314.5</v>
      </c>
      <c r="D447" s="20">
        <v>8054</v>
      </c>
      <c r="E447" s="17">
        <f t="shared" si="26"/>
        <v>2.5815217391304435E-2</v>
      </c>
      <c r="F447" s="17">
        <f t="shared" si="26"/>
        <v>3.1147540983606614E-2</v>
      </c>
      <c r="G447" s="17">
        <f t="shared" si="26"/>
        <v>-8.6164451009355103E-3</v>
      </c>
      <c r="H447" s="14">
        <f t="shared" si="27"/>
        <v>-1.9148671766722764E-3</v>
      </c>
      <c r="I447" s="39"/>
      <c r="J447" s="47">
        <f t="shared" si="29"/>
        <v>324</v>
      </c>
      <c r="K447" s="49">
        <f t="shared" si="28"/>
        <v>3.2411176503411646E-6</v>
      </c>
      <c r="L447" s="17">
        <v>2.6273787525276829E-2</v>
      </c>
      <c r="M447" s="27"/>
      <c r="N447" s="49">
        <v>5.3792907287498757E-3</v>
      </c>
      <c r="O447" s="27">
        <v>3.2963536459592871E-3</v>
      </c>
      <c r="Q447" s="2"/>
      <c r="R447" s="24"/>
      <c r="S447" s="24"/>
      <c r="T447" s="24"/>
    </row>
    <row r="448" spans="1:20" x14ac:dyDescent="0.25">
      <c r="A448" s="2">
        <v>44757</v>
      </c>
      <c r="B448" s="20">
        <v>2944</v>
      </c>
      <c r="C448" s="20">
        <v>305</v>
      </c>
      <c r="D448" s="20">
        <v>8124</v>
      </c>
      <c r="E448" s="17">
        <f t="shared" si="26"/>
        <v>1.5172413793103523E-2</v>
      </c>
      <c r="F448" s="17">
        <f t="shared" si="26"/>
        <v>1.6666666666666607E-2</v>
      </c>
      <c r="G448" s="17">
        <f t="shared" si="26"/>
        <v>1.5500000000000069E-2</v>
      </c>
      <c r="H448" s="14">
        <f t="shared" si="27"/>
        <v>1.5504114753029992E-2</v>
      </c>
      <c r="I448" s="39"/>
      <c r="J448" s="47">
        <f t="shared" si="29"/>
        <v>323</v>
      </c>
      <c r="K448" s="49">
        <f t="shared" si="28"/>
        <v>3.1762952973343414E-6</v>
      </c>
      <c r="L448" s="17">
        <v>2.3637217224719894E-2</v>
      </c>
      <c r="M448" s="27"/>
      <c r="N448" s="49">
        <v>9.0721493983101495E-8</v>
      </c>
      <c r="O448" s="27">
        <v>3.4554712760797288E-3</v>
      </c>
      <c r="Q448" s="2"/>
      <c r="R448" s="24"/>
      <c r="S448" s="24"/>
      <c r="T448" s="24"/>
    </row>
    <row r="449" spans="1:20" x14ac:dyDescent="0.25">
      <c r="A449" s="2">
        <v>44756</v>
      </c>
      <c r="B449" s="20">
        <v>2900</v>
      </c>
      <c r="C449" s="20">
        <v>300</v>
      </c>
      <c r="D449" s="20">
        <v>8000</v>
      </c>
      <c r="E449" s="17">
        <f t="shared" si="26"/>
        <v>2.1846370683580085E-2</v>
      </c>
      <c r="F449" s="17">
        <f t="shared" si="26"/>
        <v>-4.4585987261146487E-2</v>
      </c>
      <c r="G449" s="17">
        <f t="shared" si="26"/>
        <v>0</v>
      </c>
      <c r="H449" s="14">
        <f t="shared" si="27"/>
        <v>1.1849125272613906E-3</v>
      </c>
      <c r="I449" s="39"/>
      <c r="J449" s="47">
        <f t="shared" si="29"/>
        <v>322</v>
      </c>
      <c r="K449" s="49">
        <f t="shared" si="28"/>
        <v>3.1127693913876541E-6</v>
      </c>
      <c r="L449" s="17">
        <v>2.1876488156694863E-3</v>
      </c>
      <c r="M449" s="27"/>
      <c r="N449" s="49">
        <v>4.4732466227622988E-8</v>
      </c>
      <c r="O449" s="27">
        <v>3.4958388108318936E-3</v>
      </c>
      <c r="Q449" s="2"/>
      <c r="R449" s="24"/>
      <c r="S449" s="24"/>
      <c r="T449" s="24"/>
    </row>
    <row r="450" spans="1:20" x14ac:dyDescent="0.25">
      <c r="A450" s="2">
        <v>44755</v>
      </c>
      <c r="B450" s="20">
        <v>2838</v>
      </c>
      <c r="C450" s="20">
        <v>314</v>
      </c>
      <c r="D450" s="20">
        <v>8000</v>
      </c>
      <c r="E450" s="17">
        <f t="shared" si="26"/>
        <v>-2.8109627547434624E-3</v>
      </c>
      <c r="F450" s="17">
        <f t="shared" si="26"/>
        <v>-9.4637223974763929E-3</v>
      </c>
      <c r="G450" s="17">
        <f t="shared" si="26"/>
        <v>0</v>
      </c>
      <c r="H450" s="14">
        <f t="shared" si="27"/>
        <v>-8.20253469757397E-4</v>
      </c>
      <c r="I450" s="39"/>
      <c r="J450" s="47">
        <f t="shared" si="29"/>
        <v>321</v>
      </c>
      <c r="K450" s="49">
        <f t="shared" si="28"/>
        <v>3.0505140035599014E-6</v>
      </c>
      <c r="L450" s="17">
        <v>6.4723233196378408E-3</v>
      </c>
      <c r="M450" s="27"/>
      <c r="N450" s="49">
        <v>3.8894436669378185E-5</v>
      </c>
      <c r="O450" s="27">
        <v>3.5004587430416626E-3</v>
      </c>
      <c r="Q450" s="2"/>
      <c r="R450" s="24"/>
      <c r="S450" s="24"/>
      <c r="T450" s="24"/>
    </row>
    <row r="451" spans="1:20" x14ac:dyDescent="0.25">
      <c r="A451" s="2">
        <v>44754</v>
      </c>
      <c r="B451" s="20">
        <v>2846</v>
      </c>
      <c r="C451" s="20">
        <v>317</v>
      </c>
      <c r="D451" s="20">
        <v>8000</v>
      </c>
      <c r="E451" s="17">
        <f t="shared" si="26"/>
        <v>-9.0529247910863253E-3</v>
      </c>
      <c r="F451" s="17">
        <f t="shared" si="26"/>
        <v>-3.6474164133738607E-2</v>
      </c>
      <c r="G451" s="17">
        <f t="shared" si="26"/>
        <v>-1.9367492032360878E-2</v>
      </c>
      <c r="H451" s="14">
        <f t="shared" si="27"/>
        <v>-1.8634769804735257E-2</v>
      </c>
      <c r="I451" s="39"/>
      <c r="J451" s="47">
        <f t="shared" si="29"/>
        <v>320</v>
      </c>
      <c r="K451" s="49">
        <f t="shared" si="28"/>
        <v>2.9895037234887033E-6</v>
      </c>
      <c r="L451" s="17">
        <v>-3.2870037389501443E-2</v>
      </c>
      <c r="M451" s="27"/>
      <c r="N451" s="49">
        <v>5.8259395206332638E-5</v>
      </c>
      <c r="O451" s="27">
        <v>3.5432866928902665E-3</v>
      </c>
      <c r="Q451" s="2"/>
      <c r="R451" s="24"/>
      <c r="S451" s="24"/>
      <c r="T451" s="24"/>
    </row>
    <row r="452" spans="1:20" x14ac:dyDescent="0.25">
      <c r="A452" s="2">
        <v>44753</v>
      </c>
      <c r="B452" s="20">
        <v>2872</v>
      </c>
      <c r="C452" s="20">
        <v>329</v>
      </c>
      <c r="D452" s="20">
        <v>8158</v>
      </c>
      <c r="E452" s="17">
        <f t="shared" si="26"/>
        <v>-1.4413177762525708E-2</v>
      </c>
      <c r="F452" s="17">
        <f t="shared" si="26"/>
        <v>3.0487804878047697E-3</v>
      </c>
      <c r="G452" s="17">
        <f t="shared" si="26"/>
        <v>-3.6835891381345909E-2</v>
      </c>
      <c r="H452" s="14">
        <f t="shared" si="27"/>
        <v>-3.1857082471440069E-2</v>
      </c>
      <c r="I452" s="39"/>
      <c r="J452" s="47">
        <f t="shared" si="29"/>
        <v>319</v>
      </c>
      <c r="K452" s="49">
        <f t="shared" si="28"/>
        <v>2.9297136490189294E-6</v>
      </c>
      <c r="L452" s="17">
        <v>-3.3380376426145383E-3</v>
      </c>
      <c r="M452" s="27"/>
      <c r="N452" s="49">
        <v>1.3617524454395101E-3</v>
      </c>
      <c r="O452" s="27">
        <v>3.6051775024378892E-3</v>
      </c>
      <c r="Q452" s="2"/>
      <c r="R452" s="24"/>
      <c r="S452" s="24"/>
      <c r="T452" s="24"/>
    </row>
    <row r="453" spans="1:20" x14ac:dyDescent="0.25">
      <c r="A453" s="2">
        <v>44750</v>
      </c>
      <c r="B453" s="20">
        <v>2914</v>
      </c>
      <c r="C453" s="20">
        <v>328</v>
      </c>
      <c r="D453" s="20">
        <v>8470</v>
      </c>
      <c r="E453" s="17">
        <f t="shared" si="26"/>
        <v>9.0027700831025737E-3</v>
      </c>
      <c r="F453" s="17">
        <f t="shared" si="26"/>
        <v>-7.5642965204235635E-3</v>
      </c>
      <c r="G453" s="17">
        <f t="shared" si="26"/>
        <v>1.0739856801909253E-2</v>
      </c>
      <c r="H453" s="14">
        <f t="shared" si="27"/>
        <v>9.6857551554620711E-3</v>
      </c>
      <c r="I453" s="39"/>
      <c r="J453" s="47">
        <f t="shared" si="29"/>
        <v>318</v>
      </c>
      <c r="K453" s="49">
        <f t="shared" si="28"/>
        <v>2.8711193760385509E-6</v>
      </c>
      <c r="L453" s="17">
        <v>1.2500715962605873E-2</v>
      </c>
      <c r="M453" s="27"/>
      <c r="N453" s="49">
        <v>3.3089948502456015E-5</v>
      </c>
      <c r="O453" s="27">
        <v>3.6526983395541411E-3</v>
      </c>
      <c r="Q453" s="2"/>
      <c r="R453" s="24"/>
      <c r="S453" s="24"/>
      <c r="T453" s="24"/>
    </row>
    <row r="454" spans="1:20" x14ac:dyDescent="0.25">
      <c r="A454" s="2">
        <v>44749</v>
      </c>
      <c r="B454" s="20">
        <v>2888</v>
      </c>
      <c r="C454" s="29">
        <v>330.5</v>
      </c>
      <c r="D454" s="20">
        <v>8380</v>
      </c>
      <c r="E454" s="17">
        <f t="shared" ref="E454:G517" si="30">+B454/B455-1</f>
        <v>-4.8242591316333128E-3</v>
      </c>
      <c r="F454" s="17">
        <f t="shared" si="30"/>
        <v>3.2812499999999911E-2</v>
      </c>
      <c r="G454" s="17">
        <f t="shared" si="30"/>
        <v>2.7212552096101961E-2</v>
      </c>
      <c r="H454" s="14">
        <f t="shared" ref="H454:H517" si="31">+SUMPRODUCT(E454:G454,$K$9:$M$9)</f>
        <v>2.2848516362535154E-2</v>
      </c>
      <c r="I454" s="39"/>
      <c r="J454" s="47">
        <f t="shared" si="29"/>
        <v>317</v>
      </c>
      <c r="K454" s="49">
        <f t="shared" si="28"/>
        <v>2.8136969885177793E-6</v>
      </c>
      <c r="L454" s="17">
        <v>9.7832341259892885E-3</v>
      </c>
      <c r="M454" s="27"/>
      <c r="N454" s="49">
        <v>2.5460237252438779E-4</v>
      </c>
      <c r="O454" s="27">
        <v>3.6984051475389889E-3</v>
      </c>
      <c r="Q454" s="2"/>
      <c r="R454" s="24"/>
      <c r="S454" s="24"/>
      <c r="T454" s="24"/>
    </row>
    <row r="455" spans="1:20" x14ac:dyDescent="0.25">
      <c r="A455" s="2">
        <v>44748</v>
      </c>
      <c r="B455" s="20">
        <v>2902</v>
      </c>
      <c r="C455" s="20">
        <v>320</v>
      </c>
      <c r="D455" s="20">
        <v>8158</v>
      </c>
      <c r="E455" s="17">
        <f t="shared" si="30"/>
        <v>-1.0231923601637161E-2</v>
      </c>
      <c r="F455" s="17">
        <f t="shared" si="30"/>
        <v>-1.538461538461533E-2</v>
      </c>
      <c r="G455" s="17">
        <f t="shared" si="30"/>
        <v>7.360157016682578E-4</v>
      </c>
      <c r="H455" s="14">
        <f t="shared" si="31"/>
        <v>-1.550466337572026E-3</v>
      </c>
      <c r="I455" s="39"/>
      <c r="J455" s="47">
        <f t="shared" si="29"/>
        <v>316</v>
      </c>
      <c r="K455" s="49">
        <f t="shared" si="28"/>
        <v>2.7574230487474238E-6</v>
      </c>
      <c r="L455" s="17">
        <v>-9.926887406280744E-3</v>
      </c>
      <c r="M455" s="27"/>
      <c r="N455" s="49">
        <v>7.1377273911035662E-3</v>
      </c>
      <c r="O455" s="27">
        <v>3.7125584857559931E-3</v>
      </c>
      <c r="Q455" s="2"/>
      <c r="R455" s="24"/>
      <c r="S455" s="24"/>
      <c r="T455" s="24"/>
    </row>
    <row r="456" spans="1:20" x14ac:dyDescent="0.25">
      <c r="A456" s="2">
        <v>44747</v>
      </c>
      <c r="B456" s="20">
        <v>2932</v>
      </c>
      <c r="C456" s="20">
        <v>325</v>
      </c>
      <c r="D456" s="20">
        <v>8152</v>
      </c>
      <c r="E456" s="17">
        <f t="shared" si="30"/>
        <v>-6.1016949152542521E-3</v>
      </c>
      <c r="F456" s="17">
        <f t="shared" si="30"/>
        <v>-2.4024024024024038E-2</v>
      </c>
      <c r="G456" s="17">
        <f t="shared" si="30"/>
        <v>-4.4762127958753228E-2</v>
      </c>
      <c r="H456" s="14">
        <f t="shared" si="31"/>
        <v>-3.8287880109170766E-2</v>
      </c>
      <c r="I456" s="39"/>
      <c r="J456" s="47">
        <f t="shared" si="29"/>
        <v>315</v>
      </c>
      <c r="K456" s="49">
        <f t="shared" si="28"/>
        <v>2.7022745877724752E-6</v>
      </c>
      <c r="L456" s="17">
        <v>-5.824589212665183E-3</v>
      </c>
      <c r="M456" s="27"/>
      <c r="N456" s="49">
        <v>1.9167821833038479E-6</v>
      </c>
      <c r="O456" s="27">
        <v>3.7518569918686055E-3</v>
      </c>
      <c r="Q456" s="2"/>
      <c r="R456" s="24"/>
      <c r="S456" s="24"/>
      <c r="T456" s="24"/>
    </row>
    <row r="457" spans="1:20" x14ac:dyDescent="0.25">
      <c r="A457" s="2">
        <v>44746</v>
      </c>
      <c r="B457" s="20">
        <v>2950</v>
      </c>
      <c r="C457" s="20">
        <v>333</v>
      </c>
      <c r="D457" s="20">
        <v>8534</v>
      </c>
      <c r="E457" s="17">
        <f t="shared" si="30"/>
        <v>1.3049450549450503E-2</v>
      </c>
      <c r="F457" s="17">
        <f t="shared" si="30"/>
        <v>3.4161490683229712E-2</v>
      </c>
      <c r="G457" s="17">
        <f t="shared" si="30"/>
        <v>1.7163289630512502E-2</v>
      </c>
      <c r="H457" s="14">
        <f t="shared" si="31"/>
        <v>1.7318078182749507E-2</v>
      </c>
      <c r="I457" s="39"/>
      <c r="J457" s="47">
        <f t="shared" si="29"/>
        <v>314</v>
      </c>
      <c r="K457" s="49">
        <f t="shared" si="28"/>
        <v>2.6482290960170258E-6</v>
      </c>
      <c r="L457" s="17">
        <v>-1.9148671766722764E-3</v>
      </c>
      <c r="M457" s="27"/>
      <c r="N457" s="49">
        <v>1.2031444242147406E-8</v>
      </c>
      <c r="O457" s="52">
        <v>3.7777182734701304E-3</v>
      </c>
      <c r="Q457" s="2"/>
      <c r="R457" s="24"/>
      <c r="S457" s="24"/>
      <c r="T457" s="24"/>
    </row>
    <row r="458" spans="1:20" x14ac:dyDescent="0.25">
      <c r="A458" s="2">
        <v>44743</v>
      </c>
      <c r="B458" s="20">
        <v>2912</v>
      </c>
      <c r="C458" s="20">
        <v>322</v>
      </c>
      <c r="D458" s="20">
        <v>8390</v>
      </c>
      <c r="E458" s="17">
        <f t="shared" si="30"/>
        <v>-2.0562028786840214E-3</v>
      </c>
      <c r="F458" s="17">
        <f t="shared" si="30"/>
        <v>6.2500000000000888E-3</v>
      </c>
      <c r="G458" s="17">
        <f t="shared" si="30"/>
        <v>-3.7995725480883813E-3</v>
      </c>
      <c r="H458" s="14">
        <f t="shared" si="31"/>
        <v>-3.1072066887021547E-3</v>
      </c>
      <c r="I458" s="39"/>
      <c r="J458" s="47">
        <f t="shared" si="29"/>
        <v>313</v>
      </c>
      <c r="K458" s="49">
        <f t="shared" si="28"/>
        <v>2.5952645140966848E-6</v>
      </c>
      <c r="L458" s="17">
        <v>1.5504114753029992E-2</v>
      </c>
      <c r="M458" s="27"/>
      <c r="N458" s="49">
        <v>3.3782935703674175E-4</v>
      </c>
      <c r="O458" s="27">
        <v>3.8189003034476664E-3</v>
      </c>
      <c r="Q458" s="2"/>
      <c r="R458" s="24"/>
      <c r="S458" s="24"/>
      <c r="T458" s="24"/>
    </row>
    <row r="459" spans="1:20" x14ac:dyDescent="0.25">
      <c r="A459" s="2">
        <v>44742</v>
      </c>
      <c r="B459" s="20">
        <v>2918</v>
      </c>
      <c r="C459" s="20">
        <v>320</v>
      </c>
      <c r="D459" s="20">
        <v>8422</v>
      </c>
      <c r="E459" s="17">
        <f t="shared" si="30"/>
        <v>-1.7508417508417473E-2</v>
      </c>
      <c r="F459" s="17">
        <f t="shared" si="30"/>
        <v>6.2893081761006275E-3</v>
      </c>
      <c r="G459" s="17">
        <f t="shared" si="30"/>
        <v>-7.7756833176249041E-3</v>
      </c>
      <c r="H459" s="14">
        <f t="shared" si="31"/>
        <v>-8.5583075659204505E-3</v>
      </c>
      <c r="I459" s="39"/>
      <c r="J459" s="47">
        <f t="shared" si="29"/>
        <v>312</v>
      </c>
      <c r="K459" s="49">
        <f t="shared" si="28"/>
        <v>2.5433592238147509E-6</v>
      </c>
      <c r="L459" s="17">
        <v>1.1849125272613906E-3</v>
      </c>
      <c r="M459" s="27"/>
      <c r="N459" s="49">
        <v>8.3810148355579353E-5</v>
      </c>
      <c r="O459" s="27">
        <v>3.8529563221079335E-3</v>
      </c>
      <c r="Q459" s="2"/>
      <c r="R459" s="24"/>
      <c r="S459" s="24"/>
      <c r="T459" s="24"/>
    </row>
    <row r="460" spans="1:20" x14ac:dyDescent="0.25">
      <c r="A460" s="2">
        <v>44741</v>
      </c>
      <c r="B460" s="20">
        <v>2970</v>
      </c>
      <c r="C460" s="20">
        <v>318</v>
      </c>
      <c r="D460" s="20">
        <v>8488</v>
      </c>
      <c r="E460" s="17">
        <f t="shared" si="30"/>
        <v>-7.3529411764705621E-3</v>
      </c>
      <c r="F460" s="17">
        <f t="shared" si="30"/>
        <v>-2.3041474654377891E-2</v>
      </c>
      <c r="G460" s="17">
        <f t="shared" si="30"/>
        <v>-2.994285714285716E-2</v>
      </c>
      <c r="H460" s="14">
        <f t="shared" si="31"/>
        <v>-2.6389008528340297E-2</v>
      </c>
      <c r="I460" s="39"/>
      <c r="J460" s="47">
        <f t="shared" si="29"/>
        <v>311</v>
      </c>
      <c r="K460" s="49">
        <f t="shared" si="28"/>
        <v>2.492492039338456E-6</v>
      </c>
      <c r="L460" s="17">
        <v>-8.20253469757397E-4</v>
      </c>
      <c r="M460" s="27"/>
      <c r="N460" s="49">
        <v>5.2551711676616673E-9</v>
      </c>
      <c r="O460" s="27">
        <v>3.9660497244799371E-3</v>
      </c>
      <c r="Q460" s="2"/>
      <c r="R460" s="24"/>
      <c r="S460" s="24"/>
      <c r="T460" s="24"/>
    </row>
    <row r="461" spans="1:20" x14ac:dyDescent="0.25">
      <c r="A461" s="2">
        <v>44740</v>
      </c>
      <c r="B461" s="20">
        <v>2992</v>
      </c>
      <c r="C461" s="29">
        <v>325.5</v>
      </c>
      <c r="D461" s="20">
        <v>8750</v>
      </c>
      <c r="E461" s="17">
        <f t="shared" si="30"/>
        <v>2.7472527472527375E-2</v>
      </c>
      <c r="F461" s="17">
        <f t="shared" si="30"/>
        <v>-7.6219512195121464E-3</v>
      </c>
      <c r="G461" s="17">
        <f t="shared" si="30"/>
        <v>3.9439296745070074E-2</v>
      </c>
      <c r="H461" s="14">
        <f t="shared" si="31"/>
        <v>3.564980259028741E-2</v>
      </c>
      <c r="I461" s="39"/>
      <c r="J461" s="47">
        <f t="shared" si="29"/>
        <v>310</v>
      </c>
      <c r="K461" s="49">
        <f t="shared" si="28"/>
        <v>2.4426421985516866E-6</v>
      </c>
      <c r="L461" s="17">
        <v>-1.8634769804735257E-2</v>
      </c>
      <c r="M461" s="27"/>
      <c r="N461" s="49">
        <v>9.2669935319773912E-6</v>
      </c>
      <c r="O461" s="27">
        <v>4.0282845690899393E-3</v>
      </c>
      <c r="Q461" s="2"/>
      <c r="R461" s="24"/>
      <c r="S461" s="24"/>
      <c r="T461" s="24"/>
    </row>
    <row r="462" spans="1:20" x14ac:dyDescent="0.25">
      <c r="A462" s="2">
        <v>44739</v>
      </c>
      <c r="B462" s="20">
        <v>2912</v>
      </c>
      <c r="C462" s="20">
        <v>328</v>
      </c>
      <c r="D462" s="20">
        <v>8418</v>
      </c>
      <c r="E462" s="17">
        <f t="shared" si="30"/>
        <v>-4.784688995215336E-3</v>
      </c>
      <c r="F462" s="17">
        <f t="shared" si="30"/>
        <v>-1.0558069381598756E-2</v>
      </c>
      <c r="G462" s="17">
        <f t="shared" si="30"/>
        <v>2.1428571428572241E-3</v>
      </c>
      <c r="H462" s="14">
        <f t="shared" si="31"/>
        <v>5.880163560593231E-4</v>
      </c>
      <c r="I462" s="39"/>
      <c r="J462" s="47">
        <f t="shared" si="29"/>
        <v>309</v>
      </c>
      <c r="K462" s="49">
        <f t="shared" si="28"/>
        <v>2.3937893545806525E-6</v>
      </c>
      <c r="L462" s="17">
        <v>-3.1857082471440069E-2</v>
      </c>
      <c r="M462" s="27"/>
      <c r="N462" s="49">
        <v>1.0909688927016442E-2</v>
      </c>
      <c r="O462" s="27">
        <v>4.0619841437215497E-3</v>
      </c>
      <c r="Q462" s="2"/>
      <c r="R462" s="24"/>
      <c r="S462" s="24"/>
      <c r="T462" s="24"/>
    </row>
    <row r="463" spans="1:20" x14ac:dyDescent="0.25">
      <c r="A463" s="2">
        <v>44736</v>
      </c>
      <c r="B463" s="20">
        <v>2926</v>
      </c>
      <c r="C463" s="29">
        <v>331.5</v>
      </c>
      <c r="D463" s="20">
        <v>8400</v>
      </c>
      <c r="E463" s="17">
        <f t="shared" si="30"/>
        <v>-1.3651877133106227E-3</v>
      </c>
      <c r="F463" s="17">
        <f t="shared" si="30"/>
        <v>-1.1922503725782407E-2</v>
      </c>
      <c r="G463" s="17">
        <f t="shared" si="30"/>
        <v>5.5063442662197648E-3</v>
      </c>
      <c r="H463" s="14">
        <f t="shared" si="31"/>
        <v>3.7518569918686055E-3</v>
      </c>
      <c r="I463" s="39"/>
      <c r="J463" s="47">
        <f t="shared" si="29"/>
        <v>308</v>
      </c>
      <c r="K463" s="49">
        <f t="shared" si="28"/>
        <v>2.3459135674890396E-6</v>
      </c>
      <c r="L463" s="17">
        <v>9.6857551554620711E-3</v>
      </c>
      <c r="M463" s="27"/>
      <c r="N463" s="49">
        <v>1.1790815357304454E-8</v>
      </c>
      <c r="O463" s="27">
        <v>4.0658386279593464E-3</v>
      </c>
      <c r="Q463" s="2"/>
      <c r="R463" s="24"/>
      <c r="S463" s="24"/>
      <c r="T463" s="24"/>
    </row>
    <row r="464" spans="1:20" x14ac:dyDescent="0.25">
      <c r="A464" s="2">
        <v>44735</v>
      </c>
      <c r="B464" s="20">
        <v>2930</v>
      </c>
      <c r="C464" s="29">
        <v>335.5</v>
      </c>
      <c r="D464" s="20">
        <v>8354</v>
      </c>
      <c r="E464" s="17">
        <f t="shared" si="30"/>
        <v>5.4907343857240054E-3</v>
      </c>
      <c r="F464" s="17">
        <f t="shared" si="30"/>
        <v>1.4925373134329067E-3</v>
      </c>
      <c r="G464" s="17">
        <f t="shared" si="30"/>
        <v>-2.0633059788980113E-2</v>
      </c>
      <c r="H464" s="14">
        <f t="shared" si="31"/>
        <v>-1.59018614787866E-2</v>
      </c>
      <c r="I464" s="39"/>
      <c r="J464" s="47">
        <f t="shared" si="29"/>
        <v>307</v>
      </c>
      <c r="K464" s="49">
        <f t="shared" ref="K464:K527" si="32">+($K$13^($K$1-J464)*(1-$K$13))/(1-$K$13^$K$1)</f>
        <v>2.2989952961392588E-6</v>
      </c>
      <c r="L464" s="17">
        <v>2.2848516362535154E-2</v>
      </c>
      <c r="M464" s="27"/>
      <c r="N464" s="49">
        <v>1.5669707577477064E-5</v>
      </c>
      <c r="O464" s="27">
        <v>4.1741402394398523E-3</v>
      </c>
      <c r="Q464" s="2"/>
      <c r="R464" s="24"/>
      <c r="S464" s="24"/>
      <c r="T464" s="24"/>
    </row>
    <row r="465" spans="1:20" x14ac:dyDescent="0.25">
      <c r="A465" s="2">
        <v>44734</v>
      </c>
      <c r="B465" s="20">
        <v>2914</v>
      </c>
      <c r="C465" s="20">
        <v>335</v>
      </c>
      <c r="D465" s="20">
        <v>8530</v>
      </c>
      <c r="E465" s="17">
        <f t="shared" si="30"/>
        <v>-3.8283828382838281E-2</v>
      </c>
      <c r="F465" s="17">
        <f t="shared" si="30"/>
        <v>-2.0467836257309968E-2</v>
      </c>
      <c r="G465" s="17">
        <f t="shared" si="30"/>
        <v>-2.6255707762557035E-2</v>
      </c>
      <c r="H465" s="14">
        <f t="shared" si="31"/>
        <v>-2.7732265000152287E-2</v>
      </c>
      <c r="I465" s="39"/>
      <c r="J465" s="47">
        <f t="shared" ref="J465:J528" si="33">+J464-1</f>
        <v>306</v>
      </c>
      <c r="K465" s="49">
        <f t="shared" si="32"/>
        <v>2.2530153902164737E-6</v>
      </c>
      <c r="L465" s="17">
        <v>-1.550466337572026E-3</v>
      </c>
      <c r="M465" s="27"/>
      <c r="N465" s="49">
        <v>3.8914804840872161E-4</v>
      </c>
      <c r="O465" s="27">
        <v>4.1827971868533247E-3</v>
      </c>
      <c r="Q465" s="2"/>
      <c r="R465" s="24"/>
      <c r="S465" s="24"/>
      <c r="T465" s="24"/>
    </row>
    <row r="466" spans="1:20" x14ac:dyDescent="0.25">
      <c r="A466" s="2">
        <v>44733</v>
      </c>
      <c r="B466" s="20">
        <v>3030</v>
      </c>
      <c r="C466" s="20">
        <v>342</v>
      </c>
      <c r="D466" s="20">
        <v>8760</v>
      </c>
      <c r="E466" s="17">
        <f t="shared" si="30"/>
        <v>4.482758620689653E-2</v>
      </c>
      <c r="F466" s="17">
        <f t="shared" si="30"/>
        <v>-2.9154518950437192E-3</v>
      </c>
      <c r="G466" s="17">
        <f t="shared" si="30"/>
        <v>2.0503261882572232E-2</v>
      </c>
      <c r="H466" s="14">
        <f t="shared" si="31"/>
        <v>2.2974668246344927E-2</v>
      </c>
      <c r="I466" s="39"/>
      <c r="J466" s="47">
        <f t="shared" si="33"/>
        <v>305</v>
      </c>
      <c r="K466" s="49">
        <f t="shared" si="32"/>
        <v>2.2079550824121444E-6</v>
      </c>
      <c r="L466" s="17">
        <v>-3.8287880109170766E-2</v>
      </c>
      <c r="M466" s="27"/>
      <c r="N466" s="49">
        <v>1.9197950921087455E-3</v>
      </c>
      <c r="O466" s="27">
        <v>4.3244317972133987E-3</v>
      </c>
      <c r="Q466" s="2"/>
      <c r="R466" s="24"/>
      <c r="S466" s="24"/>
      <c r="T466" s="24"/>
    </row>
    <row r="467" spans="1:20" x14ac:dyDescent="0.25">
      <c r="A467" s="2">
        <v>44732</v>
      </c>
      <c r="B467" s="20">
        <v>2900</v>
      </c>
      <c r="C467" s="20">
        <v>343</v>
      </c>
      <c r="D467" s="20">
        <v>8584</v>
      </c>
      <c r="E467" s="17">
        <f t="shared" si="30"/>
        <v>2.7662517289073207E-3</v>
      </c>
      <c r="F467" s="17">
        <f t="shared" si="30"/>
        <v>1.1799410029498469E-2</v>
      </c>
      <c r="G467" s="17">
        <f t="shared" si="30"/>
        <v>1.4897138803499743E-2</v>
      </c>
      <c r="H467" s="14">
        <f t="shared" si="31"/>
        <v>1.3015431799406814E-2</v>
      </c>
      <c r="I467" s="39"/>
      <c r="J467" s="47">
        <f t="shared" si="33"/>
        <v>304</v>
      </c>
      <c r="K467" s="49">
        <f t="shared" si="32"/>
        <v>2.1637959807639011E-6</v>
      </c>
      <c r="L467" s="17">
        <v>1.7318078182749507E-2</v>
      </c>
      <c r="M467" s="27"/>
      <c r="N467" s="49">
        <v>1.6648789596041048E-5</v>
      </c>
      <c r="O467" s="27">
        <v>4.391465693849541E-3</v>
      </c>
      <c r="Q467" s="2"/>
      <c r="R467" s="24"/>
      <c r="S467" s="24"/>
      <c r="T467" s="24"/>
    </row>
    <row r="468" spans="1:20" x14ac:dyDescent="0.25">
      <c r="A468" s="2">
        <v>44729</v>
      </c>
      <c r="B468" s="20">
        <v>2892</v>
      </c>
      <c r="C468" s="20">
        <v>339</v>
      </c>
      <c r="D468" s="20">
        <v>8458</v>
      </c>
      <c r="E468" s="17">
        <f t="shared" si="30"/>
        <v>-2.7586206896551557E-3</v>
      </c>
      <c r="F468" s="17">
        <f t="shared" si="30"/>
        <v>1.0432190760059523E-2</v>
      </c>
      <c r="G468" s="17">
        <f t="shared" si="30"/>
        <v>-5.1752528816748633E-3</v>
      </c>
      <c r="H468" s="14">
        <f t="shared" si="31"/>
        <v>-4.1418373264464547E-3</v>
      </c>
      <c r="I468" s="39"/>
      <c r="J468" s="47">
        <f t="shared" si="33"/>
        <v>303</v>
      </c>
      <c r="K468" s="49">
        <f t="shared" si="32"/>
        <v>2.120520061148623E-6</v>
      </c>
      <c r="L468" s="17">
        <v>-3.1072066887021547E-3</v>
      </c>
      <c r="M468" s="27"/>
      <c r="N468" s="49">
        <v>1.5972763968726469E-7</v>
      </c>
      <c r="O468" s="27">
        <v>4.4222510963373152E-3</v>
      </c>
      <c r="Q468" s="2"/>
      <c r="R468" s="24"/>
      <c r="S468" s="24"/>
      <c r="T468" s="24"/>
    </row>
    <row r="469" spans="1:20" x14ac:dyDescent="0.25">
      <c r="A469" s="2">
        <v>44728</v>
      </c>
      <c r="B469" s="20">
        <v>2900</v>
      </c>
      <c r="C469" s="29">
        <v>335.5</v>
      </c>
      <c r="D469" s="20">
        <v>8502</v>
      </c>
      <c r="E469" s="17">
        <f t="shared" si="30"/>
        <v>0</v>
      </c>
      <c r="F469" s="17">
        <f t="shared" si="30"/>
        <v>-1.6129032258064502E-2</v>
      </c>
      <c r="G469" s="17">
        <f t="shared" si="30"/>
        <v>-9.4007050528788216E-4</v>
      </c>
      <c r="H469" s="14">
        <f t="shared" si="31"/>
        <v>-1.472076499955564E-3</v>
      </c>
      <c r="I469" s="39"/>
      <c r="J469" s="47">
        <f t="shared" si="33"/>
        <v>302</v>
      </c>
      <c r="K469" s="49">
        <f t="shared" si="32"/>
        <v>2.0781096599256504E-6</v>
      </c>
      <c r="L469" s="17">
        <v>-8.5583075659204505E-3</v>
      </c>
      <c r="M469" s="27"/>
      <c r="N469" s="49">
        <v>2.7051055738296515E-4</v>
      </c>
      <c r="O469" s="27">
        <v>4.436685525703715E-3</v>
      </c>
      <c r="Q469" s="2"/>
      <c r="R469" s="24"/>
      <c r="S469" s="24"/>
      <c r="T469" s="24"/>
    </row>
    <row r="470" spans="1:20" x14ac:dyDescent="0.25">
      <c r="A470" s="2">
        <v>44727</v>
      </c>
      <c r="B470" s="20">
        <v>2900</v>
      </c>
      <c r="C470" s="20">
        <v>341</v>
      </c>
      <c r="D470" s="20">
        <v>8510</v>
      </c>
      <c r="E470" s="17">
        <f t="shared" si="30"/>
        <v>3.7938439513242717E-2</v>
      </c>
      <c r="F470" s="17">
        <f t="shared" si="30"/>
        <v>-1.1594202898550732E-2</v>
      </c>
      <c r="G470" s="17">
        <f t="shared" si="30"/>
        <v>7.1005917159763232E-3</v>
      </c>
      <c r="H470" s="14">
        <f t="shared" si="31"/>
        <v>1.0716816031655103E-2</v>
      </c>
      <c r="I470" s="39"/>
      <c r="J470" s="47">
        <f t="shared" si="33"/>
        <v>301</v>
      </c>
      <c r="K470" s="49">
        <f t="shared" si="32"/>
        <v>2.036547466727137E-6</v>
      </c>
      <c r="L470" s="17">
        <v>-2.6389008528340297E-2</v>
      </c>
      <c r="M470" s="27"/>
      <c r="N470" s="49">
        <v>1.6988560812286784E-5</v>
      </c>
      <c r="O470" s="27">
        <v>4.4937915099217702E-3</v>
      </c>
      <c r="Q470" s="2"/>
      <c r="R470" s="24"/>
      <c r="S470" s="24"/>
      <c r="T470" s="24"/>
    </row>
    <row r="471" spans="1:20" x14ac:dyDescent="0.25">
      <c r="A471" s="2">
        <v>44726</v>
      </c>
      <c r="B471" s="20">
        <v>2794</v>
      </c>
      <c r="C471" s="20">
        <v>345</v>
      </c>
      <c r="D471" s="20">
        <v>8450</v>
      </c>
      <c r="E471" s="17">
        <f t="shared" si="30"/>
        <v>6.5598779557589637E-2</v>
      </c>
      <c r="F471" s="17">
        <f t="shared" si="30"/>
        <v>5.8309037900874383E-3</v>
      </c>
      <c r="G471" s="17">
        <f t="shared" si="30"/>
        <v>0</v>
      </c>
      <c r="H471" s="14">
        <f t="shared" si="31"/>
        <v>9.6957358154277102E-3</v>
      </c>
      <c r="I471" s="39"/>
      <c r="J471" s="47">
        <f t="shared" si="33"/>
        <v>300</v>
      </c>
      <c r="K471" s="49">
        <f t="shared" si="32"/>
        <v>1.9958165173925948E-6</v>
      </c>
      <c r="L471" s="17">
        <v>3.564980259028741E-2</v>
      </c>
      <c r="M471" s="27"/>
      <c r="N471" s="49">
        <v>2.3975520507734222E-3</v>
      </c>
      <c r="O471" s="27">
        <v>4.5033498955209189E-3</v>
      </c>
      <c r="Q471" s="2"/>
      <c r="R471" s="24"/>
      <c r="S471" s="24"/>
      <c r="T471" s="24"/>
    </row>
    <row r="472" spans="1:20" x14ac:dyDescent="0.25">
      <c r="A472" s="2">
        <v>44725</v>
      </c>
      <c r="B472" s="20">
        <v>2622</v>
      </c>
      <c r="C472" s="20">
        <v>343</v>
      </c>
      <c r="D472" s="20">
        <v>8450</v>
      </c>
      <c r="E472" s="17">
        <f t="shared" si="30"/>
        <v>-1.5026296018031515E-2</v>
      </c>
      <c r="F472" s="17">
        <f t="shared" si="30"/>
        <v>-4.1899441340782162E-2</v>
      </c>
      <c r="G472" s="17">
        <f t="shared" si="30"/>
        <v>-3.5608308605341255E-2</v>
      </c>
      <c r="H472" s="14">
        <f t="shared" si="31"/>
        <v>-3.2922967506966119E-2</v>
      </c>
      <c r="I472" s="39"/>
      <c r="J472" s="47">
        <f t="shared" si="33"/>
        <v>299</v>
      </c>
      <c r="K472" s="49">
        <f t="shared" si="32"/>
        <v>1.9559001870447421E-6</v>
      </c>
      <c r="L472" s="17">
        <v>5.880163560593231E-4</v>
      </c>
      <c r="M472" s="27"/>
      <c r="N472" s="49">
        <v>1.6997457352504138E-4</v>
      </c>
      <c r="O472" s="27">
        <v>4.5715730464316907E-3</v>
      </c>
      <c r="Q472" s="2"/>
      <c r="R472" s="24"/>
      <c r="S472" s="24"/>
      <c r="T472" s="24"/>
    </row>
    <row r="473" spans="1:20" x14ac:dyDescent="0.25">
      <c r="A473" s="2">
        <v>44722</v>
      </c>
      <c r="B473" s="20">
        <v>2662</v>
      </c>
      <c r="C473" s="20">
        <v>358</v>
      </c>
      <c r="D473" s="20">
        <v>8762</v>
      </c>
      <c r="E473" s="17">
        <f t="shared" si="30"/>
        <v>-3.0589949016751605E-2</v>
      </c>
      <c r="F473" s="17">
        <f t="shared" si="30"/>
        <v>-2.4523160762942808E-2</v>
      </c>
      <c r="G473" s="17">
        <f t="shared" si="30"/>
        <v>-1.5505617977528141E-2</v>
      </c>
      <c r="H473" s="14">
        <f t="shared" si="31"/>
        <v>-1.8072390464620492E-2</v>
      </c>
      <c r="I473" s="39"/>
      <c r="J473" s="47">
        <f t="shared" si="33"/>
        <v>298</v>
      </c>
      <c r="K473" s="49">
        <f t="shared" si="32"/>
        <v>1.9167821833038479E-6</v>
      </c>
      <c r="L473" s="17">
        <v>3.7518569918686055E-3</v>
      </c>
      <c r="M473" s="27"/>
      <c r="N473" s="49">
        <v>1.4156760970894203E-6</v>
      </c>
      <c r="O473" s="27">
        <v>4.5952942724282386E-3</v>
      </c>
      <c r="Q473" s="2"/>
      <c r="R473" s="24"/>
      <c r="S473" s="24"/>
      <c r="T473" s="24"/>
    </row>
    <row r="474" spans="1:20" x14ac:dyDescent="0.25">
      <c r="A474" s="2">
        <v>44721</v>
      </c>
      <c r="B474" s="20">
        <v>2746</v>
      </c>
      <c r="C474" s="20">
        <v>367</v>
      </c>
      <c r="D474" s="20">
        <v>8900</v>
      </c>
      <c r="E474" s="17">
        <f t="shared" si="30"/>
        <v>-1.9985724482512457E-2</v>
      </c>
      <c r="F474" s="17">
        <f t="shared" si="30"/>
        <v>-5.4200542005420349E-3</v>
      </c>
      <c r="G474" s="17">
        <f t="shared" si="30"/>
        <v>-1.1330815374361203E-2</v>
      </c>
      <c r="H474" s="14">
        <f t="shared" si="31"/>
        <v>-1.231657340096603E-2</v>
      </c>
      <c r="I474" s="39"/>
      <c r="J474" s="47">
        <f t="shared" si="33"/>
        <v>297</v>
      </c>
      <c r="K474" s="49">
        <f t="shared" si="32"/>
        <v>1.8784465396377707E-6</v>
      </c>
      <c r="L474" s="17">
        <v>-1.59018614787866E-2</v>
      </c>
      <c r="M474" s="27"/>
      <c r="N474" s="49">
        <v>8.38979504473868E-3</v>
      </c>
      <c r="O474" s="27">
        <v>4.6360472464453857E-3</v>
      </c>
      <c r="Q474" s="2"/>
      <c r="R474" s="24"/>
      <c r="S474" s="24"/>
      <c r="T474" s="24"/>
    </row>
    <row r="475" spans="1:20" x14ac:dyDescent="0.25">
      <c r="A475" s="2">
        <v>44720</v>
      </c>
      <c r="B475" s="20">
        <v>2802</v>
      </c>
      <c r="C475" s="20">
        <v>369</v>
      </c>
      <c r="D475" s="20">
        <v>9002</v>
      </c>
      <c r="E475" s="17">
        <f t="shared" si="30"/>
        <v>1.4295925661187425E-3</v>
      </c>
      <c r="F475" s="17">
        <f t="shared" si="30"/>
        <v>1.3568521031208647E-3</v>
      </c>
      <c r="G475" s="17">
        <f t="shared" si="30"/>
        <v>-5.3038674033148991E-3</v>
      </c>
      <c r="H475" s="14">
        <f t="shared" si="31"/>
        <v>-4.0423134655141954E-3</v>
      </c>
      <c r="I475" s="39"/>
      <c r="J475" s="47">
        <f t="shared" si="33"/>
        <v>296</v>
      </c>
      <c r="K475" s="49">
        <f t="shared" si="32"/>
        <v>1.8408776088450148E-6</v>
      </c>
      <c r="L475" s="17">
        <v>-2.7732265000152287E-2</v>
      </c>
      <c r="M475" s="27"/>
      <c r="N475" s="49">
        <v>3.0473215356965952E-8</v>
      </c>
      <c r="O475" s="27">
        <v>4.7202960969895177E-3</v>
      </c>
      <c r="Q475" s="2"/>
      <c r="R475" s="24"/>
      <c r="S475" s="24"/>
      <c r="T475" s="24"/>
    </row>
    <row r="476" spans="1:20" x14ac:dyDescent="0.25">
      <c r="A476" s="2">
        <v>44719</v>
      </c>
      <c r="B476" s="20">
        <v>2798</v>
      </c>
      <c r="C476" s="29">
        <v>368.5</v>
      </c>
      <c r="D476" s="20">
        <v>9050</v>
      </c>
      <c r="E476" s="17">
        <f t="shared" si="30"/>
        <v>-1.5482054890921915E-2</v>
      </c>
      <c r="F476" s="17">
        <f t="shared" si="30"/>
        <v>-2.384105960264904E-2</v>
      </c>
      <c r="G476" s="17">
        <f t="shared" si="30"/>
        <v>-2.8344427743182354E-2</v>
      </c>
      <c r="H476" s="14">
        <f t="shared" si="31"/>
        <v>-2.6295708467468901E-2</v>
      </c>
      <c r="I476" s="39"/>
      <c r="J476" s="47">
        <f t="shared" si="33"/>
        <v>295</v>
      </c>
      <c r="K476" s="49">
        <f t="shared" si="32"/>
        <v>1.8040600566681146E-6</v>
      </c>
      <c r="L476" s="17">
        <v>2.2974668246344927E-2</v>
      </c>
      <c r="M476" s="27"/>
      <c r="N476" s="49">
        <v>6.0661594342287212E-5</v>
      </c>
      <c r="O476" s="27">
        <v>4.7983211825141734E-3</v>
      </c>
      <c r="Q476" s="2"/>
      <c r="R476" s="24"/>
      <c r="S476" s="24"/>
      <c r="T476" s="24"/>
    </row>
    <row r="477" spans="1:20" x14ac:dyDescent="0.25">
      <c r="A477" s="2">
        <v>44715</v>
      </c>
      <c r="B477" s="20">
        <v>2842</v>
      </c>
      <c r="C477" s="29">
        <v>377.5</v>
      </c>
      <c r="D477" s="20">
        <v>9314</v>
      </c>
      <c r="E477" s="17">
        <f t="shared" si="30"/>
        <v>1.572551822730528E-2</v>
      </c>
      <c r="F477" s="17">
        <f t="shared" si="30"/>
        <v>-6.5789473684210176E-3</v>
      </c>
      <c r="G477" s="17">
        <f t="shared" si="30"/>
        <v>1.3051990428540439E-2</v>
      </c>
      <c r="H477" s="14">
        <f t="shared" si="31"/>
        <v>1.2574281813849028E-2</v>
      </c>
      <c r="I477" s="39"/>
      <c r="J477" s="47">
        <f t="shared" si="33"/>
        <v>294</v>
      </c>
      <c r="K477" s="49">
        <f t="shared" si="32"/>
        <v>1.7679788555347521E-6</v>
      </c>
      <c r="L477" s="17">
        <v>1.3015431799406814E-2</v>
      </c>
      <c r="M477" s="27"/>
      <c r="N477" s="49">
        <v>2.0791979208071864E-5</v>
      </c>
      <c r="O477" s="27">
        <v>4.8110667525755203E-3</v>
      </c>
      <c r="Q477" s="2"/>
      <c r="R477" s="24"/>
      <c r="S477" s="24"/>
      <c r="T477" s="24"/>
    </row>
    <row r="478" spans="1:20" x14ac:dyDescent="0.25">
      <c r="A478" s="2">
        <v>44714</v>
      </c>
      <c r="B478" s="20">
        <v>2798</v>
      </c>
      <c r="C478" s="20">
        <v>380</v>
      </c>
      <c r="D478" s="20">
        <v>9194</v>
      </c>
      <c r="E478" s="17">
        <f t="shared" si="30"/>
        <v>1.0108303249097395E-2</v>
      </c>
      <c r="F478" s="17">
        <f t="shared" si="30"/>
        <v>-5.2356020942407877E-3</v>
      </c>
      <c r="G478" s="17">
        <f t="shared" si="30"/>
        <v>4.1502839667977298E-3</v>
      </c>
      <c r="H478" s="14">
        <f t="shared" si="31"/>
        <v>4.5952942724282386E-3</v>
      </c>
      <c r="I478" s="39"/>
      <c r="J478" s="47">
        <f t="shared" si="33"/>
        <v>293</v>
      </c>
      <c r="K478" s="49">
        <f t="shared" si="32"/>
        <v>1.7326192784240575E-6</v>
      </c>
      <c r="L478" s="17">
        <v>-4.1418373264464547E-3</v>
      </c>
      <c r="M478" s="27"/>
      <c r="N478" s="49">
        <v>1.8823844381487216E-2</v>
      </c>
      <c r="O478" s="27">
        <v>4.8546644244155954E-3</v>
      </c>
      <c r="Q478" s="2"/>
      <c r="R478" s="24"/>
      <c r="S478" s="24"/>
      <c r="T478" s="24"/>
    </row>
    <row r="479" spans="1:20" x14ac:dyDescent="0.25">
      <c r="A479" s="2">
        <v>44713</v>
      </c>
      <c r="B479" s="20">
        <v>2770</v>
      </c>
      <c r="C479" s="20">
        <v>382</v>
      </c>
      <c r="D479" s="20">
        <v>9156</v>
      </c>
      <c r="E479" s="17">
        <f t="shared" si="30"/>
        <v>4.2136945071482357E-2</v>
      </c>
      <c r="F479" s="17">
        <f t="shared" si="30"/>
        <v>1.3262599469495928E-2</v>
      </c>
      <c r="G479" s="17">
        <f t="shared" si="30"/>
        <v>3.8330687230664573E-2</v>
      </c>
      <c r="H479" s="14">
        <f t="shared" si="31"/>
        <v>3.7777112244409855E-2</v>
      </c>
      <c r="I479" s="39"/>
      <c r="J479" s="47">
        <f t="shared" si="33"/>
        <v>292</v>
      </c>
      <c r="K479" s="49">
        <f t="shared" si="32"/>
        <v>1.6979668928555762E-6</v>
      </c>
      <c r="L479" s="17">
        <v>-1.472076499955564E-3</v>
      </c>
      <c r="M479" s="27"/>
      <c r="N479" s="49">
        <v>7.4087267841197379E-9</v>
      </c>
      <c r="O479" s="27">
        <v>4.8888038136080149E-3</v>
      </c>
      <c r="Q479" s="2"/>
      <c r="R479" s="24"/>
      <c r="S479" s="24"/>
      <c r="T479" s="24"/>
    </row>
    <row r="480" spans="1:20" x14ac:dyDescent="0.25">
      <c r="A480" s="2">
        <v>44712</v>
      </c>
      <c r="B480" s="20">
        <v>2658</v>
      </c>
      <c r="C480" s="20">
        <v>377</v>
      </c>
      <c r="D480" s="20">
        <v>8818</v>
      </c>
      <c r="E480" s="17">
        <f t="shared" si="30"/>
        <v>5.6438791732909444E-2</v>
      </c>
      <c r="F480" s="17">
        <f t="shared" si="30"/>
        <v>-5.2770448548812299E-3</v>
      </c>
      <c r="G480" s="17">
        <f t="shared" si="30"/>
        <v>2.0454545454544615E-3</v>
      </c>
      <c r="H480" s="14">
        <f t="shared" si="31"/>
        <v>9.5508880928411553E-3</v>
      </c>
      <c r="I480" s="39"/>
      <c r="J480" s="47">
        <f t="shared" si="33"/>
        <v>291</v>
      </c>
      <c r="K480" s="49">
        <f t="shared" si="32"/>
        <v>1.6640075549984646E-6</v>
      </c>
      <c r="L480" s="17">
        <v>1.0716816031655103E-2</v>
      </c>
      <c r="M480" s="27"/>
      <c r="N480" s="49">
        <v>2.699446564439612E-8</v>
      </c>
      <c r="O480" s="27">
        <v>4.9187093605865158E-3</v>
      </c>
      <c r="Q480" s="2"/>
      <c r="R480" s="24"/>
      <c r="S480" s="24"/>
      <c r="T480" s="24"/>
    </row>
    <row r="481" spans="1:20" x14ac:dyDescent="0.25">
      <c r="A481" s="2">
        <v>44711</v>
      </c>
      <c r="B481" s="20">
        <v>2516</v>
      </c>
      <c r="C481" s="20">
        <v>379</v>
      </c>
      <c r="D481" s="20">
        <v>8800</v>
      </c>
      <c r="E481" s="17">
        <f t="shared" si="30"/>
        <v>-1.7187500000000022E-2</v>
      </c>
      <c r="F481" s="17">
        <f t="shared" si="30"/>
        <v>1.6085790884718509E-2</v>
      </c>
      <c r="G481" s="17">
        <f t="shared" si="30"/>
        <v>3.165298944900341E-2</v>
      </c>
      <c r="H481" s="14">
        <f t="shared" si="31"/>
        <v>2.3941013691998549E-2</v>
      </c>
      <c r="I481" s="39"/>
      <c r="J481" s="47">
        <f t="shared" si="33"/>
        <v>290</v>
      </c>
      <c r="K481" s="49">
        <f t="shared" si="32"/>
        <v>1.6307274038984954E-6</v>
      </c>
      <c r="L481" s="17">
        <v>9.6957358154277102E-3</v>
      </c>
      <c r="M481" s="27"/>
      <c r="N481" s="49">
        <v>5.5864512093520538E-8</v>
      </c>
      <c r="O481" s="27">
        <v>4.9439148057654021E-3</v>
      </c>
      <c r="Q481" s="2"/>
      <c r="R481" s="24"/>
      <c r="S481" s="24"/>
      <c r="T481" s="24"/>
    </row>
    <row r="482" spans="1:20" x14ac:dyDescent="0.25">
      <c r="A482" s="2">
        <v>44708</v>
      </c>
      <c r="B482" s="20">
        <v>2560</v>
      </c>
      <c r="C482" s="20">
        <v>373</v>
      </c>
      <c r="D482" s="20">
        <v>8530</v>
      </c>
      <c r="E482" s="17">
        <f t="shared" si="30"/>
        <v>2.2364217252396124E-2</v>
      </c>
      <c r="F482" s="17">
        <f t="shared" si="30"/>
        <v>-3.6175710594315236E-2</v>
      </c>
      <c r="G482" s="17">
        <f t="shared" si="30"/>
        <v>-5.3274139844617041E-2</v>
      </c>
      <c r="H482" s="14">
        <f t="shared" si="31"/>
        <v>-4.1638718383628905E-2</v>
      </c>
      <c r="I482" s="39"/>
      <c r="J482" s="47">
        <f t="shared" si="33"/>
        <v>289</v>
      </c>
      <c r="K482" s="49">
        <f t="shared" si="32"/>
        <v>1.5981128558205254E-6</v>
      </c>
      <c r="L482" s="17">
        <v>-3.2922967506966119E-2</v>
      </c>
      <c r="M482" s="27"/>
      <c r="N482" s="49">
        <v>5.1635667681544672E-4</v>
      </c>
      <c r="O482" s="27">
        <v>4.9994641115148298E-3</v>
      </c>
      <c r="Q482" s="2"/>
      <c r="R482" s="24"/>
      <c r="S482" s="24"/>
      <c r="T482" s="24"/>
    </row>
    <row r="483" spans="1:20" x14ac:dyDescent="0.25">
      <c r="A483" s="2">
        <v>44707</v>
      </c>
      <c r="B483" s="20">
        <v>2504</v>
      </c>
      <c r="C483" s="20">
        <v>387</v>
      </c>
      <c r="D483" s="20">
        <v>9010</v>
      </c>
      <c r="E483" s="17">
        <f t="shared" si="30"/>
        <v>-9.143686502177073E-2</v>
      </c>
      <c r="F483" s="17">
        <f t="shared" si="30"/>
        <v>-4.4444444444444398E-2</v>
      </c>
      <c r="G483" s="17">
        <f t="shared" si="30"/>
        <v>-8.1736649001223016E-2</v>
      </c>
      <c r="H483" s="14">
        <f t="shared" si="31"/>
        <v>-8.1494176984293704E-2</v>
      </c>
      <c r="I483" s="39"/>
      <c r="J483" s="47">
        <f t="shared" si="33"/>
        <v>288</v>
      </c>
      <c r="K483" s="49">
        <f t="shared" si="32"/>
        <v>1.5661505987041151E-6</v>
      </c>
      <c r="L483" s="17">
        <v>-1.8072390464620492E-2</v>
      </c>
      <c r="M483" s="27"/>
      <c r="N483" s="49">
        <v>2.5420280189673084E-7</v>
      </c>
      <c r="O483" s="27">
        <v>5.0262076872495736E-3</v>
      </c>
      <c r="Q483" s="2"/>
      <c r="R483" s="24"/>
      <c r="S483" s="24"/>
      <c r="T483" s="24"/>
    </row>
    <row r="484" spans="1:20" x14ac:dyDescent="0.25">
      <c r="A484" s="2">
        <v>44706</v>
      </c>
      <c r="B484" s="20">
        <v>2756</v>
      </c>
      <c r="C484" s="20">
        <v>405</v>
      </c>
      <c r="D484" s="20">
        <v>9812</v>
      </c>
      <c r="E484" s="17">
        <f t="shared" si="30"/>
        <v>-4.0389972144846742E-2</v>
      </c>
      <c r="F484" s="17">
        <f t="shared" si="30"/>
        <v>-3.3412887828162319E-2</v>
      </c>
      <c r="G484" s="17">
        <f t="shared" si="30"/>
        <v>-4.6915978630403088E-2</v>
      </c>
      <c r="H484" s="14">
        <f t="shared" si="31"/>
        <v>-4.5383678191748392E-2</v>
      </c>
      <c r="I484" s="39"/>
      <c r="J484" s="47">
        <f t="shared" si="33"/>
        <v>287</v>
      </c>
      <c r="K484" s="49">
        <f t="shared" si="32"/>
        <v>1.5348275867300323E-6</v>
      </c>
      <c r="L484" s="17">
        <v>-1.231657340096603E-2</v>
      </c>
      <c r="M484" s="27"/>
      <c r="N484" s="49">
        <v>7.4203722482498767E-6</v>
      </c>
      <c r="O484" s="27">
        <v>5.0667422740814354E-3</v>
      </c>
      <c r="Q484" s="2"/>
      <c r="R484" s="24"/>
      <c r="S484" s="24"/>
      <c r="T484" s="24"/>
    </row>
    <row r="485" spans="1:20" x14ac:dyDescent="0.25">
      <c r="A485" s="2">
        <v>44705</v>
      </c>
      <c r="B485" s="20">
        <v>2872</v>
      </c>
      <c r="C485" s="20">
        <v>419</v>
      </c>
      <c r="D485" s="20">
        <v>10295</v>
      </c>
      <c r="E485" s="17">
        <f t="shared" si="30"/>
        <v>1.0555946516537684E-2</v>
      </c>
      <c r="F485" s="17">
        <f t="shared" si="30"/>
        <v>1.9464720194647178E-2</v>
      </c>
      <c r="G485" s="17">
        <f t="shared" si="30"/>
        <v>-1.6244624940277119E-2</v>
      </c>
      <c r="H485" s="14">
        <f t="shared" si="31"/>
        <v>-1.0819278677639252E-2</v>
      </c>
      <c r="I485" s="39"/>
      <c r="J485" s="47">
        <f t="shared" si="33"/>
        <v>286</v>
      </c>
      <c r="K485" s="49">
        <f t="shared" si="32"/>
        <v>1.5041310349954315E-6</v>
      </c>
      <c r="L485" s="17">
        <v>-4.0423134655141954E-3</v>
      </c>
      <c r="M485" s="27"/>
      <c r="N485" s="49">
        <v>6.0598109896633567E-7</v>
      </c>
      <c r="O485" s="27">
        <v>5.1555642879229334E-3</v>
      </c>
      <c r="Q485" s="2"/>
      <c r="R485" s="24"/>
      <c r="S485" s="24"/>
      <c r="T485" s="24"/>
    </row>
    <row r="486" spans="1:20" x14ac:dyDescent="0.25">
      <c r="A486" s="2">
        <v>44704</v>
      </c>
      <c r="B486" s="20">
        <v>2842</v>
      </c>
      <c r="C486" s="20">
        <v>411</v>
      </c>
      <c r="D486" s="20">
        <v>10465</v>
      </c>
      <c r="E486" s="17">
        <f t="shared" si="30"/>
        <v>5.2592592592592524E-2</v>
      </c>
      <c r="F486" s="17">
        <f t="shared" si="30"/>
        <v>4.8899755501221609E-3</v>
      </c>
      <c r="G486" s="17">
        <f t="shared" si="30"/>
        <v>5.6643780290791534E-2</v>
      </c>
      <c r="H486" s="14">
        <f t="shared" si="31"/>
        <v>5.378717406696449E-2</v>
      </c>
      <c r="I486" s="39"/>
      <c r="J486" s="47">
        <f t="shared" si="33"/>
        <v>285</v>
      </c>
      <c r="K486" s="49">
        <f t="shared" si="32"/>
        <v>1.4740484142955229E-6</v>
      </c>
      <c r="L486" s="17">
        <v>-2.6295708467468901E-2</v>
      </c>
      <c r="M486" s="27"/>
      <c r="N486" s="49">
        <v>1.8050048037262094E-5</v>
      </c>
      <c r="O486" s="27">
        <v>5.2101559325351994E-3</v>
      </c>
      <c r="Q486" s="2"/>
      <c r="R486" s="24"/>
      <c r="S486" s="24"/>
      <c r="T486" s="24"/>
    </row>
    <row r="487" spans="1:20" x14ac:dyDescent="0.25">
      <c r="A487" s="2">
        <v>44701</v>
      </c>
      <c r="B487" s="20">
        <v>2700</v>
      </c>
      <c r="C487" s="20">
        <v>409</v>
      </c>
      <c r="D487" s="20">
        <v>9904</v>
      </c>
      <c r="E487" s="17">
        <f t="shared" si="30"/>
        <v>-5.8910162002945299E-3</v>
      </c>
      <c r="F487" s="17">
        <f t="shared" si="30"/>
        <v>-2.4390243902439046E-3</v>
      </c>
      <c r="G487" s="17">
        <f t="shared" si="30"/>
        <v>-3.7512147716229349E-2</v>
      </c>
      <c r="H487" s="14">
        <f t="shared" si="31"/>
        <v>-3.142108006079114E-2</v>
      </c>
      <c r="I487" s="39"/>
      <c r="J487" s="47">
        <f t="shared" si="33"/>
        <v>284</v>
      </c>
      <c r="K487" s="49">
        <f t="shared" si="32"/>
        <v>1.4445674460096125E-6</v>
      </c>
      <c r="L487" s="17">
        <v>1.2574281813849028E-2</v>
      </c>
      <c r="M487" s="27"/>
      <c r="N487" s="49">
        <v>4.6625707347448299E-6</v>
      </c>
      <c r="O487" s="27">
        <v>5.3875637852433952E-3</v>
      </c>
      <c r="Q487" s="2"/>
      <c r="R487" s="24"/>
      <c r="S487" s="24"/>
      <c r="T487" s="24"/>
    </row>
    <row r="488" spans="1:20" x14ac:dyDescent="0.25">
      <c r="A488" s="2">
        <v>44700</v>
      </c>
      <c r="B488" s="20">
        <v>2716</v>
      </c>
      <c r="C488" s="20">
        <v>410</v>
      </c>
      <c r="D488" s="20">
        <v>10290</v>
      </c>
      <c r="E488" s="17">
        <f t="shared" si="30"/>
        <v>-5.3658536585365901E-2</v>
      </c>
      <c r="F488" s="17">
        <f t="shared" si="30"/>
        <v>0</v>
      </c>
      <c r="G488" s="17">
        <f t="shared" si="30"/>
        <v>-4.5011600928074214E-2</v>
      </c>
      <c r="H488" s="14">
        <f t="shared" si="31"/>
        <v>-4.4278435141126893E-2</v>
      </c>
      <c r="I488" s="39"/>
      <c r="J488" s="47">
        <f t="shared" si="33"/>
        <v>283</v>
      </c>
      <c r="K488" s="49">
        <f t="shared" si="32"/>
        <v>1.4156760970894203E-6</v>
      </c>
      <c r="L488" s="17">
        <v>4.5952942724282386E-3</v>
      </c>
      <c r="M488" s="27"/>
      <c r="N488" s="49">
        <v>2.3950429300600713E-5</v>
      </c>
      <c r="O488" s="27">
        <v>5.480107227745573E-3</v>
      </c>
      <c r="Q488" s="2"/>
      <c r="R488" s="24"/>
      <c r="S488" s="24"/>
      <c r="T488" s="24"/>
    </row>
    <row r="489" spans="1:20" x14ac:dyDescent="0.25">
      <c r="A489" s="2">
        <v>44699</v>
      </c>
      <c r="B489" s="20">
        <v>2870</v>
      </c>
      <c r="C489" s="20">
        <v>410</v>
      </c>
      <c r="D489" s="20">
        <v>10775</v>
      </c>
      <c r="E489" s="17">
        <f t="shared" si="30"/>
        <v>1.2702893436838281E-2</v>
      </c>
      <c r="F489" s="17">
        <f t="shared" si="30"/>
        <v>0</v>
      </c>
      <c r="G489" s="17">
        <f t="shared" si="30"/>
        <v>1.8431001890359067E-2</v>
      </c>
      <c r="H489" s="14">
        <f t="shared" si="31"/>
        <v>1.679702508221384E-2</v>
      </c>
      <c r="I489" s="39"/>
      <c r="J489" s="47">
        <f t="shared" si="33"/>
        <v>282</v>
      </c>
      <c r="K489" s="49">
        <f t="shared" si="32"/>
        <v>1.387362575147632E-6</v>
      </c>
      <c r="L489" s="17">
        <v>3.7777112244409855E-2</v>
      </c>
      <c r="M489" s="27"/>
      <c r="N489" s="49">
        <v>5.1662708158913802E-3</v>
      </c>
      <c r="O489" s="27">
        <v>5.5492277995428732E-3</v>
      </c>
      <c r="Q489" s="2"/>
      <c r="R489" s="24"/>
      <c r="S489" s="24"/>
      <c r="T489" s="24"/>
    </row>
    <row r="490" spans="1:20" x14ac:dyDescent="0.25">
      <c r="A490" s="2">
        <v>44698</v>
      </c>
      <c r="B490" s="20">
        <v>2834</v>
      </c>
      <c r="C490" s="20">
        <v>410</v>
      </c>
      <c r="D490" s="20">
        <v>10580</v>
      </c>
      <c r="E490" s="17">
        <f t="shared" si="30"/>
        <v>1.2142857142857233E-2</v>
      </c>
      <c r="F490" s="17">
        <f t="shared" si="30"/>
        <v>-4.8543689320388328E-3</v>
      </c>
      <c r="G490" s="17">
        <f t="shared" si="30"/>
        <v>7.1394574012375589E-3</v>
      </c>
      <c r="H490" s="14">
        <f t="shared" si="31"/>
        <v>7.3325273655207145E-3</v>
      </c>
      <c r="I490" s="39"/>
      <c r="J490" s="47">
        <f t="shared" si="33"/>
        <v>281</v>
      </c>
      <c r="K490" s="49">
        <f t="shared" si="32"/>
        <v>1.359615323644679E-6</v>
      </c>
      <c r="L490" s="17">
        <v>9.5508880928411553E-3</v>
      </c>
      <c r="M490" s="27"/>
      <c r="N490" s="49">
        <v>3.2445131449808671E-4</v>
      </c>
      <c r="O490" s="27">
        <v>5.6076296798006839E-3</v>
      </c>
      <c r="Q490" s="2"/>
      <c r="R490" s="24"/>
      <c r="S490" s="24"/>
      <c r="T490" s="24"/>
    </row>
    <row r="491" spans="1:20" x14ac:dyDescent="0.25">
      <c r="A491" s="2">
        <v>44697</v>
      </c>
      <c r="B491" s="20">
        <v>2800</v>
      </c>
      <c r="C491" s="20">
        <v>412</v>
      </c>
      <c r="D491" s="20">
        <v>10505</v>
      </c>
      <c r="E491" s="17">
        <f t="shared" si="30"/>
        <v>-9.9009900990099098E-3</v>
      </c>
      <c r="F491" s="17">
        <f t="shared" si="30"/>
        <v>3.1289111389236623E-2</v>
      </c>
      <c r="G491" s="17">
        <f t="shared" si="30"/>
        <v>1.9902912621359237E-2</v>
      </c>
      <c r="H491" s="14">
        <f t="shared" si="31"/>
        <v>1.6114390633865459E-2</v>
      </c>
      <c r="I491" s="39"/>
      <c r="J491" s="47">
        <f t="shared" si="33"/>
        <v>280</v>
      </c>
      <c r="K491" s="49">
        <f t="shared" si="32"/>
        <v>1.3324230171717854E-6</v>
      </c>
      <c r="L491" s="17">
        <v>2.3941013691998549E-2</v>
      </c>
      <c r="M491" s="27"/>
      <c r="N491" s="49">
        <v>2.2056443814496186E-8</v>
      </c>
      <c r="O491" s="27">
        <v>5.6416102647245774E-3</v>
      </c>
      <c r="Q491" s="2"/>
      <c r="R491" s="24"/>
      <c r="S491" s="24"/>
      <c r="T491" s="24"/>
    </row>
    <row r="492" spans="1:20" x14ac:dyDescent="0.25">
      <c r="A492" s="2">
        <v>44694</v>
      </c>
      <c r="B492" s="20">
        <v>2828</v>
      </c>
      <c r="C492" s="29">
        <v>399.5</v>
      </c>
      <c r="D492" s="20">
        <v>10300</v>
      </c>
      <c r="E492" s="17">
        <f t="shared" si="30"/>
        <v>3.2116788321167933E-2</v>
      </c>
      <c r="F492" s="17">
        <f t="shared" si="30"/>
        <v>1.13924050632912E-2</v>
      </c>
      <c r="G492" s="17">
        <f t="shared" si="30"/>
        <v>4.8879837067209886E-2</v>
      </c>
      <c r="H492" s="14">
        <f t="shared" si="31"/>
        <v>4.4820761471809883E-2</v>
      </c>
      <c r="I492" s="39"/>
      <c r="J492" s="47">
        <f t="shared" si="33"/>
        <v>279</v>
      </c>
      <c r="K492" s="49">
        <f t="shared" si="32"/>
        <v>1.3057745568283496E-6</v>
      </c>
      <c r="L492" s="17">
        <v>-4.1638718383628905E-2</v>
      </c>
      <c r="M492" s="27"/>
      <c r="N492" s="49">
        <v>1.1341698626928854E-5</v>
      </c>
      <c r="O492" s="27">
        <v>5.7008106099876053E-3</v>
      </c>
      <c r="Q492" s="2"/>
      <c r="R492" s="24"/>
      <c r="S492" s="24"/>
      <c r="T492" s="24"/>
    </row>
    <row r="493" spans="1:20" x14ac:dyDescent="0.25">
      <c r="A493" s="2">
        <v>44693</v>
      </c>
      <c r="B493" s="20">
        <v>2740</v>
      </c>
      <c r="C493" s="20">
        <v>395</v>
      </c>
      <c r="D493" s="20">
        <v>9820</v>
      </c>
      <c r="E493" s="17">
        <f t="shared" si="30"/>
        <v>-1.8624641833810851E-2</v>
      </c>
      <c r="F493" s="17">
        <f t="shared" si="30"/>
        <v>-2.525252525252486E-3</v>
      </c>
      <c r="G493" s="17">
        <f t="shared" si="30"/>
        <v>-3.5837015218458501E-2</v>
      </c>
      <c r="H493" s="14">
        <f t="shared" si="31"/>
        <v>-3.1896727763139884E-2</v>
      </c>
      <c r="I493" s="39"/>
      <c r="J493" s="47">
        <f t="shared" si="33"/>
        <v>278</v>
      </c>
      <c r="K493" s="49">
        <f t="shared" si="32"/>
        <v>1.2796590656917825E-6</v>
      </c>
      <c r="L493" s="17">
        <v>-8.1494176984293704E-2</v>
      </c>
      <c r="M493" s="27"/>
      <c r="N493" s="49">
        <v>6.8550733864158643E-3</v>
      </c>
      <c r="O493" s="27">
        <v>5.7333493108566724E-3</v>
      </c>
      <c r="Q493" s="2"/>
      <c r="R493" s="24"/>
      <c r="S493" s="24"/>
      <c r="T493" s="24"/>
    </row>
    <row r="494" spans="1:20" x14ac:dyDescent="0.25">
      <c r="A494" s="2">
        <v>44692</v>
      </c>
      <c r="B494" s="20">
        <v>2792</v>
      </c>
      <c r="C494" s="20">
        <v>396</v>
      </c>
      <c r="D494" s="20">
        <v>10185</v>
      </c>
      <c r="E494" s="17">
        <f t="shared" si="30"/>
        <v>7.9422382671479053E-3</v>
      </c>
      <c r="F494" s="17">
        <f t="shared" si="30"/>
        <v>-8.7609511889862324E-3</v>
      </c>
      <c r="G494" s="17">
        <f t="shared" si="30"/>
        <v>1.8499999999999961E-2</v>
      </c>
      <c r="H494" s="14">
        <f t="shared" si="31"/>
        <v>1.578312586699103E-2</v>
      </c>
      <c r="I494" s="39"/>
      <c r="J494" s="47">
        <f t="shared" si="33"/>
        <v>277</v>
      </c>
      <c r="K494" s="49">
        <f t="shared" si="32"/>
        <v>1.2540658843779471E-6</v>
      </c>
      <c r="L494" s="17">
        <v>-4.5383678191748392E-2</v>
      </c>
      <c r="M494" s="27"/>
      <c r="N494" s="49">
        <v>1.047766524550659E-2</v>
      </c>
      <c r="O494" s="27">
        <v>5.7745707377475936E-3</v>
      </c>
      <c r="Q494" s="2"/>
      <c r="R494" s="24"/>
      <c r="S494" s="24"/>
      <c r="T494" s="24"/>
    </row>
    <row r="495" spans="1:20" x14ac:dyDescent="0.25">
      <c r="A495" s="2">
        <v>44691</v>
      </c>
      <c r="B495" s="20">
        <v>2770</v>
      </c>
      <c r="C495" s="29">
        <v>399.5</v>
      </c>
      <c r="D495" s="20">
        <v>10000</v>
      </c>
      <c r="E495" s="17">
        <f t="shared" si="30"/>
        <v>-3.7526059763724806E-2</v>
      </c>
      <c r="F495" s="17">
        <f t="shared" si="30"/>
        <v>1.0113780025284402E-2</v>
      </c>
      <c r="G495" s="17">
        <f t="shared" si="30"/>
        <v>-3.1476997578692489E-2</v>
      </c>
      <c r="H495" s="14">
        <f t="shared" si="31"/>
        <v>-3.0520284892168972E-2</v>
      </c>
      <c r="I495" s="39"/>
      <c r="J495" s="47">
        <f t="shared" si="33"/>
        <v>276</v>
      </c>
      <c r="K495" s="49">
        <f t="shared" si="32"/>
        <v>1.2289845666903879E-6</v>
      </c>
      <c r="L495" s="17">
        <v>-1.0819278677639252E-2</v>
      </c>
      <c r="M495" s="27"/>
      <c r="N495" s="49">
        <v>1.3071425264569449E-4</v>
      </c>
      <c r="O495" s="27">
        <v>5.8212134314126352E-3</v>
      </c>
      <c r="Q495" s="2"/>
      <c r="R495" s="24"/>
      <c r="S495" s="24"/>
      <c r="T495" s="24"/>
    </row>
    <row r="496" spans="1:20" x14ac:dyDescent="0.25">
      <c r="A496" s="2">
        <v>44690</v>
      </c>
      <c r="B496" s="20">
        <v>2878</v>
      </c>
      <c r="C496" s="29">
        <v>395.5</v>
      </c>
      <c r="D496" s="20">
        <v>10325</v>
      </c>
      <c r="E496" s="17">
        <f t="shared" si="30"/>
        <v>-1.7076502732240484E-2</v>
      </c>
      <c r="F496" s="17">
        <f t="shared" si="30"/>
        <v>-1.1249999999999982E-2</v>
      </c>
      <c r="G496" s="17">
        <f t="shared" si="30"/>
        <v>7.3170731707317138E-3</v>
      </c>
      <c r="H496" s="14">
        <f t="shared" si="31"/>
        <v>2.9911837777555541E-3</v>
      </c>
      <c r="I496" s="39"/>
      <c r="J496" s="47">
        <f t="shared" si="33"/>
        <v>275</v>
      </c>
      <c r="K496" s="49">
        <f t="shared" si="32"/>
        <v>1.2044048753565802E-6</v>
      </c>
      <c r="L496" s="17">
        <v>5.378717406696449E-2</v>
      </c>
      <c r="M496" s="27"/>
      <c r="N496" s="49">
        <v>4.2190099928072279E-4</v>
      </c>
      <c r="O496" s="27">
        <v>5.9291876698050376E-3</v>
      </c>
      <c r="Q496" s="2"/>
      <c r="R496" s="24"/>
      <c r="S496" s="24"/>
      <c r="T496" s="24"/>
    </row>
    <row r="497" spans="1:20" x14ac:dyDescent="0.25">
      <c r="A497" s="2">
        <v>44687</v>
      </c>
      <c r="B497" s="20">
        <v>2928</v>
      </c>
      <c r="C497" s="20">
        <v>400</v>
      </c>
      <c r="D497" s="20">
        <v>10250</v>
      </c>
      <c r="E497" s="17">
        <f t="shared" si="30"/>
        <v>-2.0735785953177266E-2</v>
      </c>
      <c r="F497" s="17">
        <f t="shared" si="30"/>
        <v>2.8277634961439535E-2</v>
      </c>
      <c r="G497" s="17">
        <f t="shared" si="30"/>
        <v>-2.3809523809523836E-2</v>
      </c>
      <c r="H497" s="14">
        <f t="shared" si="31"/>
        <v>-2.1078926358101772E-2</v>
      </c>
      <c r="I497" s="39"/>
      <c r="J497" s="47">
        <f t="shared" si="33"/>
        <v>274</v>
      </c>
      <c r="K497" s="49">
        <f t="shared" si="32"/>
        <v>1.1803167778494488E-6</v>
      </c>
      <c r="L497" s="17">
        <v>-3.142108006079114E-2</v>
      </c>
      <c r="M497" s="27"/>
      <c r="N497" s="49">
        <v>1.8447367493857472E-2</v>
      </c>
      <c r="O497" s="27">
        <v>5.9557727981012446E-3</v>
      </c>
      <c r="Q497" s="2"/>
      <c r="R497" s="24"/>
      <c r="S497" s="24"/>
      <c r="T497" s="24"/>
    </row>
    <row r="498" spans="1:20" x14ac:dyDescent="0.25">
      <c r="A498" s="2">
        <v>44686</v>
      </c>
      <c r="B498" s="20">
        <v>2990</v>
      </c>
      <c r="C498" s="20">
        <v>389</v>
      </c>
      <c r="D498" s="20">
        <v>10500</v>
      </c>
      <c r="E498" s="17">
        <f t="shared" si="30"/>
        <v>-1.2549537648612996E-2</v>
      </c>
      <c r="F498" s="17">
        <f t="shared" si="30"/>
        <v>5.1679586563306845E-3</v>
      </c>
      <c r="G498" s="17">
        <f t="shared" si="30"/>
        <v>-1.8691588785046731E-2</v>
      </c>
      <c r="H498" s="14">
        <f t="shared" si="31"/>
        <v>-1.6759559568246814E-2</v>
      </c>
      <c r="I498" s="39"/>
      <c r="J498" s="47">
        <f t="shared" si="33"/>
        <v>273</v>
      </c>
      <c r="K498" s="49">
        <f t="shared" si="32"/>
        <v>1.1567104422924594E-6</v>
      </c>
      <c r="L498" s="17">
        <v>-4.4278435141126893E-2</v>
      </c>
      <c r="M498" s="27"/>
      <c r="N498" s="49">
        <v>2.4439213572041546E-5</v>
      </c>
      <c r="O498" s="27">
        <v>6.0495009416167075E-3</v>
      </c>
      <c r="Q498" s="2"/>
      <c r="R498" s="24"/>
      <c r="S498" s="24"/>
      <c r="T498" s="24"/>
    </row>
    <row r="499" spans="1:20" x14ac:dyDescent="0.25">
      <c r="A499" s="2">
        <v>44685</v>
      </c>
      <c r="B499" s="20">
        <v>3028</v>
      </c>
      <c r="C499" s="20">
        <v>387</v>
      </c>
      <c r="D499" s="20">
        <v>10700</v>
      </c>
      <c r="E499" s="17">
        <f t="shared" si="30"/>
        <v>-1.3192612137202797E-3</v>
      </c>
      <c r="F499" s="17">
        <f t="shared" si="30"/>
        <v>5.1948051948051965E-3</v>
      </c>
      <c r="G499" s="17">
        <f t="shared" si="30"/>
        <v>-2.7272727272727226E-2</v>
      </c>
      <c r="H499" s="14">
        <f t="shared" si="31"/>
        <v>-2.211169747174253E-2</v>
      </c>
      <c r="I499" s="39"/>
      <c r="J499" s="47">
        <f t="shared" si="33"/>
        <v>272</v>
      </c>
      <c r="K499" s="49">
        <f t="shared" si="32"/>
        <v>1.1335762334466101E-6</v>
      </c>
      <c r="L499" s="17">
        <v>1.679702508221384E-2</v>
      </c>
      <c r="M499" s="27"/>
      <c r="N499" s="49">
        <v>9.8563331602037401E-4</v>
      </c>
      <c r="O499" s="27">
        <v>6.2593082381638444E-3</v>
      </c>
      <c r="Q499" s="2"/>
      <c r="R499" s="24"/>
      <c r="S499" s="24"/>
      <c r="T499" s="24"/>
    </row>
    <row r="500" spans="1:20" x14ac:dyDescent="0.25">
      <c r="A500" s="2">
        <v>44684</v>
      </c>
      <c r="B500" s="20">
        <v>3032</v>
      </c>
      <c r="C500" s="20">
        <v>385</v>
      </c>
      <c r="D500" s="20">
        <v>11000</v>
      </c>
      <c r="E500" s="17">
        <f t="shared" si="30"/>
        <v>4.1924398625429626E-2</v>
      </c>
      <c r="F500" s="17">
        <f t="shared" si="30"/>
        <v>2.6041666666667407E-3</v>
      </c>
      <c r="G500" s="17">
        <f t="shared" si="30"/>
        <v>2.8037383177569986E-2</v>
      </c>
      <c r="H500" s="14">
        <f t="shared" si="31"/>
        <v>2.8918374316345578E-2</v>
      </c>
      <c r="I500" s="39"/>
      <c r="J500" s="47">
        <f t="shared" si="33"/>
        <v>271</v>
      </c>
      <c r="K500" s="49">
        <f t="shared" si="32"/>
        <v>1.1109047087776781E-6</v>
      </c>
      <c r="L500" s="17">
        <v>7.3325273655207145E-3</v>
      </c>
      <c r="M500" s="27"/>
      <c r="N500" s="49">
        <v>3.3055318732827267E-7</v>
      </c>
      <c r="O500" s="27">
        <v>6.2632094020469258E-3</v>
      </c>
      <c r="Q500" s="2"/>
      <c r="R500" s="24"/>
      <c r="S500" s="24"/>
      <c r="T500" s="24"/>
    </row>
    <row r="501" spans="1:20" x14ac:dyDescent="0.25">
      <c r="A501" s="2">
        <v>44683</v>
      </c>
      <c r="B501" s="20">
        <v>2910</v>
      </c>
      <c r="C501" s="20">
        <v>384</v>
      </c>
      <c r="D501" s="20">
        <v>10700</v>
      </c>
      <c r="E501" s="17">
        <f t="shared" si="30"/>
        <v>-4.839764551994763E-2</v>
      </c>
      <c r="F501" s="17">
        <f t="shared" si="30"/>
        <v>-1.158301158301156E-2</v>
      </c>
      <c r="G501" s="17">
        <f t="shared" si="30"/>
        <v>-9.2592592592593004E-3</v>
      </c>
      <c r="H501" s="14">
        <f t="shared" si="31"/>
        <v>-1.499330539018694E-2</v>
      </c>
      <c r="I501" s="39"/>
      <c r="J501" s="47">
        <f t="shared" si="33"/>
        <v>270</v>
      </c>
      <c r="K501" s="49">
        <f t="shared" si="32"/>
        <v>1.0886866146021244E-6</v>
      </c>
      <c r="L501" s="17">
        <v>1.6114390633865459E-2</v>
      </c>
      <c r="M501" s="27"/>
      <c r="N501" s="49">
        <v>5.9323998051843874E-9</v>
      </c>
      <c r="O501" s="27">
        <v>6.2708947909711401E-3</v>
      </c>
      <c r="Q501" s="2"/>
      <c r="R501" s="24"/>
      <c r="S501" s="24"/>
      <c r="T501" s="24"/>
    </row>
    <row r="502" spans="1:20" x14ac:dyDescent="0.25">
      <c r="A502" s="2">
        <v>44680</v>
      </c>
      <c r="B502" s="20">
        <v>3058</v>
      </c>
      <c r="C502" s="29">
        <v>388.5</v>
      </c>
      <c r="D502" s="20">
        <v>10800</v>
      </c>
      <c r="E502" s="17">
        <f t="shared" si="30"/>
        <v>-3.9087947882736618E-3</v>
      </c>
      <c r="F502" s="17">
        <f t="shared" si="30"/>
        <v>2.580645161290418E-3</v>
      </c>
      <c r="G502" s="17">
        <f t="shared" si="30"/>
        <v>-2.0852221214868516E-2</v>
      </c>
      <c r="H502" s="14">
        <f t="shared" si="31"/>
        <v>-1.7384634108224644E-2</v>
      </c>
      <c r="I502" s="39"/>
      <c r="J502" s="47">
        <f t="shared" si="33"/>
        <v>269</v>
      </c>
      <c r="K502" s="49">
        <f t="shared" si="32"/>
        <v>1.0669128823100819E-6</v>
      </c>
      <c r="L502" s="17">
        <v>4.4820761471809883E-2</v>
      </c>
      <c r="M502" s="27"/>
      <c r="N502" s="49">
        <v>2.9327829072391793E-4</v>
      </c>
      <c r="O502" s="27">
        <v>6.2922907527821698E-3</v>
      </c>
      <c r="Q502" s="2"/>
      <c r="R502" s="24"/>
      <c r="S502" s="24"/>
      <c r="T502" s="24"/>
    </row>
    <row r="503" spans="1:20" x14ac:dyDescent="0.25">
      <c r="A503" s="2">
        <v>44679</v>
      </c>
      <c r="B503" s="20">
        <v>3070</v>
      </c>
      <c r="C503" s="29">
        <v>387.5</v>
      </c>
      <c r="D503" s="20">
        <v>11030</v>
      </c>
      <c r="E503" s="17">
        <f t="shared" si="30"/>
        <v>3.0201342281879207E-2</v>
      </c>
      <c r="F503" s="17">
        <f t="shared" si="30"/>
        <v>-3.125E-2</v>
      </c>
      <c r="G503" s="17">
        <f t="shared" si="30"/>
        <v>3.9585296889726562E-2</v>
      </c>
      <c r="H503" s="14">
        <f t="shared" si="31"/>
        <v>3.5123025643334659E-2</v>
      </c>
      <c r="I503" s="39"/>
      <c r="J503" s="47">
        <f t="shared" si="33"/>
        <v>268</v>
      </c>
      <c r="K503" s="49">
        <f t="shared" si="32"/>
        <v>1.0455746246638803E-6</v>
      </c>
      <c r="L503" s="17">
        <v>-3.1896727763139884E-2</v>
      </c>
      <c r="M503" s="27"/>
      <c r="N503" s="49">
        <v>1.1809348841033794E-5</v>
      </c>
      <c r="O503" s="27">
        <v>6.3932023482373883E-3</v>
      </c>
      <c r="Q503" s="2"/>
      <c r="R503" s="24"/>
      <c r="S503" s="24"/>
      <c r="T503" s="24"/>
    </row>
    <row r="504" spans="1:20" x14ac:dyDescent="0.25">
      <c r="A504" s="2">
        <v>44678</v>
      </c>
      <c r="B504" s="20">
        <v>2980</v>
      </c>
      <c r="C504" s="20">
        <v>400</v>
      </c>
      <c r="D504" s="20">
        <v>10610</v>
      </c>
      <c r="E504" s="17">
        <f t="shared" si="30"/>
        <v>-6.6666666666667096E-3</v>
      </c>
      <c r="F504" s="17">
        <f t="shared" si="30"/>
        <v>-6.2111801242236142E-3</v>
      </c>
      <c r="G504" s="17">
        <f t="shared" si="30"/>
        <v>1.677048394825098E-2</v>
      </c>
      <c r="H504" s="14">
        <f t="shared" si="31"/>
        <v>1.2388281197411271E-2</v>
      </c>
      <c r="I504" s="39"/>
      <c r="J504" s="47">
        <f t="shared" si="33"/>
        <v>267</v>
      </c>
      <c r="K504" s="49">
        <f t="shared" si="32"/>
        <v>1.0246631321706028E-6</v>
      </c>
      <c r="L504" s="17">
        <v>1.578312586699103E-2</v>
      </c>
      <c r="M504" s="27"/>
      <c r="N504" s="49">
        <v>1.6332906753001131E-3</v>
      </c>
      <c r="O504" s="27">
        <v>6.4028368304489738E-3</v>
      </c>
      <c r="Q504" s="2"/>
      <c r="R504" s="24"/>
      <c r="S504" s="24"/>
      <c r="T504" s="24"/>
    </row>
    <row r="505" spans="1:20" x14ac:dyDescent="0.25">
      <c r="A505" s="2">
        <v>44677</v>
      </c>
      <c r="B505" s="20">
        <v>3000</v>
      </c>
      <c r="C505" s="29">
        <v>402.5</v>
      </c>
      <c r="D505" s="20">
        <v>10435</v>
      </c>
      <c r="E505" s="17">
        <f t="shared" si="30"/>
        <v>-3.3222591362126463E-3</v>
      </c>
      <c r="F505" s="17">
        <f t="shared" si="30"/>
        <v>2.8097062579821142E-2</v>
      </c>
      <c r="G505" s="17">
        <f t="shared" si="30"/>
        <v>-1.4636449480642133E-2</v>
      </c>
      <c r="H505" s="14">
        <f t="shared" si="31"/>
        <v>-1.1130986433997821E-2</v>
      </c>
      <c r="I505" s="39"/>
      <c r="J505" s="47">
        <f t="shared" si="33"/>
        <v>266</v>
      </c>
      <c r="K505" s="49">
        <f t="shared" si="32"/>
        <v>1.0041698695271905E-6</v>
      </c>
      <c r="L505" s="17">
        <v>-3.0520284892168972E-2</v>
      </c>
      <c r="M505" s="27"/>
      <c r="N505" s="49">
        <v>3.0505140035599014E-6</v>
      </c>
      <c r="O505" s="27">
        <v>6.4723233196378408E-3</v>
      </c>
      <c r="Q505" s="2"/>
      <c r="R505" s="24"/>
      <c r="S505" s="24"/>
      <c r="T505" s="24"/>
    </row>
    <row r="506" spans="1:20" x14ac:dyDescent="0.25">
      <c r="A506" s="2">
        <v>44676</v>
      </c>
      <c r="B506" s="20">
        <v>3010</v>
      </c>
      <c r="C506" s="29">
        <v>391.5</v>
      </c>
      <c r="D506" s="20">
        <v>10590</v>
      </c>
      <c r="E506" s="17">
        <f t="shared" si="30"/>
        <v>-1.6339869281045805E-2</v>
      </c>
      <c r="F506" s="17">
        <f t="shared" si="30"/>
        <v>6.4267352185090054E-3</v>
      </c>
      <c r="G506" s="17">
        <f t="shared" si="30"/>
        <v>-2.754820936639113E-2</v>
      </c>
      <c r="H506" s="14">
        <f t="shared" si="31"/>
        <v>-2.4442759041665308E-2</v>
      </c>
      <c r="I506" s="39"/>
      <c r="J506" s="47">
        <f t="shared" si="33"/>
        <v>265</v>
      </c>
      <c r="K506" s="49">
        <f t="shared" si="32"/>
        <v>9.8408647213664662E-7</v>
      </c>
      <c r="L506" s="17">
        <v>2.9911837777555541E-3</v>
      </c>
      <c r="M506" s="27"/>
      <c r="N506" s="49">
        <v>1.2050355960238564E-5</v>
      </c>
      <c r="O506" s="27">
        <v>6.4977003990191471E-3</v>
      </c>
      <c r="Q506" s="2"/>
      <c r="R506" s="24"/>
      <c r="S506" s="24"/>
      <c r="T506" s="24"/>
    </row>
    <row r="507" spans="1:20" x14ac:dyDescent="0.25">
      <c r="A507" s="2">
        <v>44673</v>
      </c>
      <c r="B507" s="20">
        <v>3060</v>
      </c>
      <c r="C507" s="20">
        <v>389</v>
      </c>
      <c r="D507" s="20">
        <v>10890</v>
      </c>
      <c r="E507" s="17">
        <f t="shared" si="30"/>
        <v>-1.4175257731958713E-2</v>
      </c>
      <c r="F507" s="17">
        <f t="shared" si="30"/>
        <v>-1.5189873417721489E-2</v>
      </c>
      <c r="G507" s="17">
        <f t="shared" si="30"/>
        <v>1.8709073900841977E-2</v>
      </c>
      <c r="H507" s="14">
        <f t="shared" si="31"/>
        <v>1.2487817363043644E-2</v>
      </c>
      <c r="I507" s="39"/>
      <c r="J507" s="47">
        <f t="shared" si="33"/>
        <v>264</v>
      </c>
      <c r="K507" s="49">
        <f t="shared" si="32"/>
        <v>9.6440474269391361E-7</v>
      </c>
      <c r="L507" s="17">
        <v>-2.1078926358101772E-2</v>
      </c>
      <c r="M507" s="27"/>
      <c r="N507" s="49">
        <v>2.9926356196318153E-4</v>
      </c>
      <c r="O507" s="27">
        <v>6.5163818640430558E-3</v>
      </c>
      <c r="Q507" s="2"/>
      <c r="R507" s="24"/>
      <c r="S507" s="24"/>
      <c r="T507" s="24"/>
    </row>
    <row r="508" spans="1:20" x14ac:dyDescent="0.25">
      <c r="A508" s="2">
        <v>44672</v>
      </c>
      <c r="B508" s="20">
        <v>3104</v>
      </c>
      <c r="C508" s="20">
        <v>395</v>
      </c>
      <c r="D508" s="20">
        <v>10690</v>
      </c>
      <c r="E508" s="17">
        <f t="shared" si="30"/>
        <v>-1.6476552598225558E-2</v>
      </c>
      <c r="F508" s="17">
        <f t="shared" si="30"/>
        <v>1.2820512820512775E-2</v>
      </c>
      <c r="G508" s="17">
        <f t="shared" si="30"/>
        <v>2.3946360153256796E-2</v>
      </c>
      <c r="H508" s="14">
        <f t="shared" si="31"/>
        <v>1.7640779186455124E-2</v>
      </c>
      <c r="I508" s="39"/>
      <c r="J508" s="47">
        <f t="shared" si="33"/>
        <v>263</v>
      </c>
      <c r="K508" s="49">
        <f t="shared" si="32"/>
        <v>9.4511664784003539E-7</v>
      </c>
      <c r="L508" s="17">
        <v>-1.6759559568246814E-2</v>
      </c>
      <c r="M508" s="27"/>
      <c r="N508" s="49">
        <v>1.5694338127751156E-2</v>
      </c>
      <c r="O508" s="27">
        <v>6.5249129633060676E-3</v>
      </c>
      <c r="Q508" s="2"/>
      <c r="R508" s="24"/>
      <c r="S508" s="24"/>
      <c r="T508" s="24"/>
    </row>
    <row r="509" spans="1:20" x14ac:dyDescent="0.25">
      <c r="A509" s="2">
        <v>44671</v>
      </c>
      <c r="B509" s="20">
        <v>3156</v>
      </c>
      <c r="C509" s="20">
        <v>390</v>
      </c>
      <c r="D509" s="20">
        <v>10440</v>
      </c>
      <c r="E509" s="17">
        <f t="shared" si="30"/>
        <v>2.734375E-2</v>
      </c>
      <c r="F509" s="17">
        <f t="shared" si="30"/>
        <v>0</v>
      </c>
      <c r="G509" s="17">
        <f t="shared" si="30"/>
        <v>-3.3412887828162541E-3</v>
      </c>
      <c r="H509" s="14">
        <f t="shared" si="31"/>
        <v>1.2210348166434917E-3</v>
      </c>
      <c r="I509" s="39"/>
      <c r="J509" s="47">
        <f t="shared" si="33"/>
        <v>262</v>
      </c>
      <c r="K509" s="49">
        <f t="shared" si="32"/>
        <v>9.2621431488323467E-7</v>
      </c>
      <c r="L509" s="17">
        <v>-2.211169747174253E-2</v>
      </c>
      <c r="M509" s="27"/>
      <c r="N509" s="49">
        <v>1.5064953149217227E-3</v>
      </c>
      <c r="O509" s="27">
        <v>6.5587693066513526E-3</v>
      </c>
      <c r="Q509" s="2"/>
      <c r="R509" s="24"/>
      <c r="S509" s="24"/>
      <c r="T509" s="24"/>
    </row>
    <row r="510" spans="1:20" x14ac:dyDescent="0.25">
      <c r="A510" s="2">
        <v>44670</v>
      </c>
      <c r="B510" s="20">
        <v>3072</v>
      </c>
      <c r="C510" s="20">
        <v>390</v>
      </c>
      <c r="D510" s="20">
        <v>10475</v>
      </c>
      <c r="E510" s="17">
        <f t="shared" si="30"/>
        <v>2.4000000000000021E-2</v>
      </c>
      <c r="F510" s="17">
        <f t="shared" si="30"/>
        <v>7.7519379844961378E-3</v>
      </c>
      <c r="G510" s="17">
        <f t="shared" si="30"/>
        <v>-2.10280373831776E-2</v>
      </c>
      <c r="H510" s="14">
        <f t="shared" si="31"/>
        <v>-1.3284205001884819E-2</v>
      </c>
      <c r="I510" s="39"/>
      <c r="J510" s="47">
        <f t="shared" si="33"/>
        <v>261</v>
      </c>
      <c r="K510" s="49">
        <f t="shared" si="32"/>
        <v>9.0769002858556991E-7</v>
      </c>
      <c r="L510" s="17">
        <v>2.8918374316345578E-2</v>
      </c>
      <c r="M510" s="27"/>
      <c r="N510" s="49">
        <v>1.9989536569228919E-3</v>
      </c>
      <c r="O510" s="27">
        <v>6.6044708155872768E-3</v>
      </c>
      <c r="Q510" s="2"/>
      <c r="R510" s="24"/>
      <c r="S510" s="24"/>
      <c r="T510" s="24"/>
    </row>
    <row r="511" spans="1:20" x14ac:dyDescent="0.25">
      <c r="A511" s="2">
        <v>44665</v>
      </c>
      <c r="B511" s="20">
        <v>3000</v>
      </c>
      <c r="C511" s="20">
        <v>387</v>
      </c>
      <c r="D511" s="20">
        <v>10700</v>
      </c>
      <c r="E511" s="17">
        <f t="shared" si="30"/>
        <v>3.8781163434903121E-2</v>
      </c>
      <c r="F511" s="17">
        <f t="shared" si="30"/>
        <v>0</v>
      </c>
      <c r="G511" s="17">
        <f t="shared" si="30"/>
        <v>-1.1090573012939031E-2</v>
      </c>
      <c r="H511" s="14">
        <f t="shared" si="31"/>
        <v>-3.4268691776880153E-3</v>
      </c>
      <c r="I511" s="39"/>
      <c r="J511" s="47">
        <f t="shared" si="33"/>
        <v>260</v>
      </c>
      <c r="K511" s="49">
        <f t="shared" si="32"/>
        <v>8.8953622801385866E-7</v>
      </c>
      <c r="L511" s="17">
        <v>-1.499330539018694E-2</v>
      </c>
      <c r="M511" s="27"/>
      <c r="N511" s="49">
        <v>2.3483712187695406E-4</v>
      </c>
      <c r="O511" s="27">
        <v>6.705272344266159E-3</v>
      </c>
      <c r="Q511" s="2"/>
      <c r="R511" s="24"/>
      <c r="S511" s="24"/>
      <c r="T511" s="24"/>
    </row>
    <row r="512" spans="1:20" x14ac:dyDescent="0.25">
      <c r="A512" s="2">
        <v>44664</v>
      </c>
      <c r="B512" s="20">
        <v>2888</v>
      </c>
      <c r="C512" s="20">
        <v>387</v>
      </c>
      <c r="D512" s="20">
        <v>10820</v>
      </c>
      <c r="E512" s="17">
        <f t="shared" si="30"/>
        <v>3.1428571428571361E-2</v>
      </c>
      <c r="F512" s="17">
        <f t="shared" si="30"/>
        <v>1.308900523560208E-2</v>
      </c>
      <c r="G512" s="17">
        <f t="shared" si="30"/>
        <v>2.4621212121212155E-2</v>
      </c>
      <c r="H512" s="14">
        <f t="shared" si="31"/>
        <v>2.50941491946239E-2</v>
      </c>
      <c r="I512" s="39"/>
      <c r="J512" s="47">
        <f t="shared" si="33"/>
        <v>259</v>
      </c>
      <c r="K512" s="49">
        <f t="shared" si="32"/>
        <v>8.7174550345358143E-7</v>
      </c>
      <c r="L512" s="17">
        <v>-1.7384634108224644E-2</v>
      </c>
      <c r="M512" s="27"/>
      <c r="N512" s="49">
        <v>5.3624195588384356E-9</v>
      </c>
      <c r="O512" s="27">
        <v>6.7958059343371357E-3</v>
      </c>
      <c r="Q512" s="2"/>
      <c r="R512" s="24"/>
      <c r="S512" s="24"/>
      <c r="T512" s="24"/>
    </row>
    <row r="513" spans="1:20" x14ac:dyDescent="0.25">
      <c r="A513" s="2">
        <v>44663</v>
      </c>
      <c r="B513" s="20">
        <v>2800</v>
      </c>
      <c r="C513" s="20">
        <v>382</v>
      </c>
      <c r="D513" s="20">
        <v>10560</v>
      </c>
      <c r="E513" s="17">
        <f t="shared" si="30"/>
        <v>0</v>
      </c>
      <c r="F513" s="17">
        <f t="shared" si="30"/>
        <v>-3.0456852791878153E-2</v>
      </c>
      <c r="G513" s="17">
        <f t="shared" si="30"/>
        <v>-1.1235955056179803E-2</v>
      </c>
      <c r="H513" s="14">
        <f t="shared" si="31"/>
        <v>-1.0463528479854023E-2</v>
      </c>
      <c r="I513" s="39"/>
      <c r="J513" s="47">
        <f t="shared" si="33"/>
        <v>258</v>
      </c>
      <c r="K513" s="49">
        <f t="shared" si="32"/>
        <v>8.5431059338450967E-7</v>
      </c>
      <c r="L513" s="17">
        <v>3.5123025643334659E-2</v>
      </c>
      <c r="M513" s="27"/>
      <c r="N513" s="49">
        <v>1.1329829149083639E-7</v>
      </c>
      <c r="O513" s="27">
        <v>6.8302335441425806E-3</v>
      </c>
      <c r="Q513" s="2"/>
      <c r="R513" s="24"/>
      <c r="S513" s="24"/>
      <c r="T513" s="24"/>
    </row>
    <row r="514" spans="1:20" x14ac:dyDescent="0.25">
      <c r="A514" s="2">
        <v>44662</v>
      </c>
      <c r="B514" s="20">
        <v>2800</v>
      </c>
      <c r="C514" s="20">
        <v>394</v>
      </c>
      <c r="D514" s="20">
        <v>10680</v>
      </c>
      <c r="E514" s="17">
        <f t="shared" si="30"/>
        <v>5.7471264367816577E-3</v>
      </c>
      <c r="F514" s="17">
        <f t="shared" si="30"/>
        <v>-8.8050314465408785E-3</v>
      </c>
      <c r="G514" s="17">
        <f t="shared" si="30"/>
        <v>-1.7027151403589458E-2</v>
      </c>
      <c r="H514" s="14">
        <f t="shared" si="31"/>
        <v>-1.3388750789956277E-2</v>
      </c>
      <c r="I514" s="39"/>
      <c r="J514" s="47">
        <f t="shared" si="33"/>
        <v>257</v>
      </c>
      <c r="K514" s="49">
        <f t="shared" si="32"/>
        <v>8.3722438151681952E-7</v>
      </c>
      <c r="L514" s="17">
        <v>1.2388281197411271E-2</v>
      </c>
      <c r="M514" s="27"/>
      <c r="N514" s="49">
        <v>5.7004604177061781E-8</v>
      </c>
      <c r="O514" s="27">
        <v>6.8451985656772119E-3</v>
      </c>
      <c r="Q514" s="2"/>
      <c r="R514" s="24"/>
      <c r="S514" s="24"/>
      <c r="T514" s="24"/>
    </row>
    <row r="515" spans="1:20" x14ac:dyDescent="0.25">
      <c r="A515" s="2">
        <v>44659</v>
      </c>
      <c r="B515" s="20">
        <v>2784</v>
      </c>
      <c r="C515" s="29">
        <v>397.5</v>
      </c>
      <c r="D515" s="20">
        <v>10865</v>
      </c>
      <c r="E515" s="17">
        <f t="shared" si="30"/>
        <v>1.2363636363636354E-2</v>
      </c>
      <c r="F515" s="17">
        <f t="shared" si="30"/>
        <v>-1.2562814070351536E-3</v>
      </c>
      <c r="G515" s="17">
        <f t="shared" si="30"/>
        <v>-1.3786764705882026E-3</v>
      </c>
      <c r="H515" s="14">
        <f t="shared" si="31"/>
        <v>6.0420021535805349E-4</v>
      </c>
      <c r="I515" s="39"/>
      <c r="J515" s="47">
        <f t="shared" si="33"/>
        <v>256</v>
      </c>
      <c r="K515" s="49">
        <f t="shared" si="32"/>
        <v>8.2047989388648322E-7</v>
      </c>
      <c r="L515" s="17">
        <v>-1.1130986433997821E-2</v>
      </c>
      <c r="M515" s="27"/>
      <c r="N515" s="49">
        <v>5.7124106298186549E-4</v>
      </c>
      <c r="O515" s="27">
        <v>6.8465566361728455E-3</v>
      </c>
      <c r="Q515" s="2"/>
      <c r="R515" s="24"/>
      <c r="S515" s="24"/>
      <c r="T515" s="24"/>
    </row>
    <row r="516" spans="1:20" x14ac:dyDescent="0.25">
      <c r="A516" s="2">
        <v>44658</v>
      </c>
      <c r="B516" s="20">
        <v>2750</v>
      </c>
      <c r="C516" s="20">
        <v>398</v>
      </c>
      <c r="D516" s="20">
        <v>10880</v>
      </c>
      <c r="E516" s="17">
        <f t="shared" si="30"/>
        <v>2.1865889212828726E-3</v>
      </c>
      <c r="F516" s="17">
        <f t="shared" si="30"/>
        <v>-1.2547051442910462E-3</v>
      </c>
      <c r="G516" s="17">
        <f t="shared" si="30"/>
        <v>1.6822429906542036E-2</v>
      </c>
      <c r="H516" s="14">
        <f t="shared" si="31"/>
        <v>1.3922188886274689E-2</v>
      </c>
      <c r="I516" s="39"/>
      <c r="J516" s="47">
        <f t="shared" si="33"/>
        <v>255</v>
      </c>
      <c r="K516" s="49">
        <f t="shared" si="32"/>
        <v>8.0407029600875354E-7</v>
      </c>
      <c r="L516" s="17">
        <v>-2.4442759041665308E-2</v>
      </c>
      <c r="M516" s="27"/>
      <c r="N516" s="49">
        <v>1.1573161864213118E-5</v>
      </c>
      <c r="O516" s="27">
        <v>6.8973446262423407E-3</v>
      </c>
      <c r="Q516" s="2"/>
      <c r="R516" s="24"/>
      <c r="S516" s="24"/>
      <c r="T516" s="24"/>
    </row>
    <row r="517" spans="1:20" x14ac:dyDescent="0.25">
      <c r="A517" s="2">
        <v>44657</v>
      </c>
      <c r="B517" s="20">
        <v>2744</v>
      </c>
      <c r="C517" s="29">
        <v>398.5</v>
      </c>
      <c r="D517" s="20">
        <v>10700</v>
      </c>
      <c r="E517" s="17">
        <f t="shared" si="30"/>
        <v>-3.7192982456140333E-2</v>
      </c>
      <c r="F517" s="17">
        <f t="shared" si="30"/>
        <v>1.2562814070351536E-3</v>
      </c>
      <c r="G517" s="17">
        <f t="shared" si="30"/>
        <v>-8.8197699190455947E-2</v>
      </c>
      <c r="H517" s="14">
        <f t="shared" si="31"/>
        <v>-7.692830315250293E-2</v>
      </c>
      <c r="I517" s="39"/>
      <c r="J517" s="47">
        <f t="shared" si="33"/>
        <v>254</v>
      </c>
      <c r="K517" s="49">
        <f t="shared" si="32"/>
        <v>7.8798889008857831E-7</v>
      </c>
      <c r="L517" s="17">
        <v>1.2487817363043644E-2</v>
      </c>
      <c r="M517" s="27"/>
      <c r="N517" s="49">
        <v>6.1770093764935306E-9</v>
      </c>
      <c r="O517" s="27">
        <v>6.9049813560215015E-3</v>
      </c>
      <c r="Q517" s="2"/>
      <c r="R517" s="24"/>
      <c r="S517" s="24"/>
      <c r="T517" s="24"/>
    </row>
    <row r="518" spans="1:20" x14ac:dyDescent="0.25">
      <c r="A518" s="2">
        <v>44656</v>
      </c>
      <c r="B518" s="20">
        <v>2850</v>
      </c>
      <c r="C518" s="20">
        <v>398</v>
      </c>
      <c r="D518" s="20">
        <v>11735</v>
      </c>
      <c r="E518" s="17">
        <f t="shared" ref="E518:G581" si="34">+B518/B519-1</f>
        <v>-3.0612244897959218E-2</v>
      </c>
      <c r="F518" s="17">
        <f t="shared" si="34"/>
        <v>-1.7283950617283939E-2</v>
      </c>
      <c r="G518" s="17">
        <f t="shared" si="34"/>
        <v>-4.8256285482562888E-2</v>
      </c>
      <c r="H518" s="14">
        <f t="shared" ref="H518:H581" si="35">+SUMPRODUCT(E518:G518,$K$9:$M$9)</f>
        <v>-4.4356657364618912E-2</v>
      </c>
      <c r="I518" s="39"/>
      <c r="J518" s="47">
        <f t="shared" si="33"/>
        <v>253</v>
      </c>
      <c r="K518" s="49">
        <f t="shared" si="32"/>
        <v>7.7222911228680666E-7</v>
      </c>
      <c r="L518" s="17">
        <v>1.7640779186455124E-2</v>
      </c>
      <c r="M518" s="27"/>
      <c r="N518" s="49">
        <v>3.8156480005160339E-3</v>
      </c>
      <c r="O518" s="27">
        <v>6.9133021927401065E-3</v>
      </c>
      <c r="Q518" s="2"/>
      <c r="R518" s="24"/>
      <c r="S518" s="24"/>
      <c r="T518" s="24"/>
    </row>
    <row r="519" spans="1:20" x14ac:dyDescent="0.25">
      <c r="A519" s="2">
        <v>44655</v>
      </c>
      <c r="B519" s="20">
        <v>2940</v>
      </c>
      <c r="C519" s="20">
        <v>405</v>
      </c>
      <c r="D519" s="20">
        <v>12330</v>
      </c>
      <c r="E519" s="17">
        <f t="shared" si="34"/>
        <v>1.1004126547455195E-2</v>
      </c>
      <c r="F519" s="17">
        <f t="shared" si="34"/>
        <v>-2.4630541871921707E-3</v>
      </c>
      <c r="G519" s="17">
        <f t="shared" si="34"/>
        <v>7.764609726195415E-3</v>
      </c>
      <c r="H519" s="14">
        <f t="shared" si="35"/>
        <v>7.7814503738373453E-3</v>
      </c>
      <c r="I519" s="39"/>
      <c r="J519" s="47">
        <f t="shared" si="33"/>
        <v>252</v>
      </c>
      <c r="K519" s="49">
        <f t="shared" si="32"/>
        <v>7.5678453004107061E-7</v>
      </c>
      <c r="L519" s="17">
        <v>1.2210348166434917E-3</v>
      </c>
      <c r="M519" s="27"/>
      <c r="N519" s="49">
        <v>7.2643544419128326E-8</v>
      </c>
      <c r="O519" s="27">
        <v>6.931325783374547E-3</v>
      </c>
      <c r="Q519" s="2"/>
      <c r="R519" s="24"/>
      <c r="S519" s="24"/>
      <c r="T519" s="24"/>
    </row>
    <row r="520" spans="1:20" x14ac:dyDescent="0.25">
      <c r="A520" s="2">
        <v>44652</v>
      </c>
      <c r="B520" s="20">
        <v>2908</v>
      </c>
      <c r="C520" s="20">
        <v>406</v>
      </c>
      <c r="D520" s="20">
        <v>12235</v>
      </c>
      <c r="E520" s="17">
        <f t="shared" si="34"/>
        <v>-7.5085324232081474E-3</v>
      </c>
      <c r="F520" s="17">
        <f t="shared" si="34"/>
        <v>4.9504950495049549E-3</v>
      </c>
      <c r="G520" s="17">
        <f t="shared" si="34"/>
        <v>7.4104569781803242E-3</v>
      </c>
      <c r="H520" s="14">
        <f t="shared" si="35"/>
        <v>5.1555642879229334E-3</v>
      </c>
      <c r="I520" s="39"/>
      <c r="J520" s="47">
        <f t="shared" si="33"/>
        <v>251</v>
      </c>
      <c r="K520" s="49">
        <f t="shared" si="32"/>
        <v>7.4164883944024913E-7</v>
      </c>
      <c r="L520" s="17">
        <v>-1.3284205001884819E-2</v>
      </c>
      <c r="M520" s="27"/>
      <c r="N520" s="49">
        <v>5.8167963445981402E-8</v>
      </c>
      <c r="O520" s="27">
        <v>6.9338911288132927E-3</v>
      </c>
      <c r="Q520" s="2"/>
      <c r="R520" s="24"/>
      <c r="S520" s="24"/>
      <c r="T520" s="24"/>
    </row>
    <row r="521" spans="1:20" x14ac:dyDescent="0.25">
      <c r="A521" s="2">
        <v>44651</v>
      </c>
      <c r="B521" s="20">
        <v>2930</v>
      </c>
      <c r="C521" s="20">
        <v>404</v>
      </c>
      <c r="D521" s="20">
        <v>12145</v>
      </c>
      <c r="E521" s="17">
        <f t="shared" si="34"/>
        <v>-6.7796610169491567E-3</v>
      </c>
      <c r="F521" s="17">
        <f t="shared" si="34"/>
        <v>-7.3710073710073765E-3</v>
      </c>
      <c r="G521" s="17">
        <f t="shared" si="34"/>
        <v>-3.9161392405063333E-2</v>
      </c>
      <c r="H521" s="14">
        <f t="shared" si="35"/>
        <v>-3.310509261026158E-2</v>
      </c>
      <c r="I521" s="39"/>
      <c r="J521" s="47">
        <f t="shared" si="33"/>
        <v>250</v>
      </c>
      <c r="K521" s="49">
        <f t="shared" si="32"/>
        <v>7.2681586265144416E-7</v>
      </c>
      <c r="L521" s="17">
        <v>-3.4268691776880153E-3</v>
      </c>
      <c r="M521" s="27"/>
      <c r="N521" s="49">
        <v>4.667455387400186E-4</v>
      </c>
      <c r="O521" s="27">
        <v>6.9750161112312522E-3</v>
      </c>
      <c r="Q521" s="2"/>
      <c r="R521" s="24"/>
      <c r="S521" s="24"/>
      <c r="T521" s="24"/>
    </row>
    <row r="522" spans="1:20" x14ac:dyDescent="0.25">
      <c r="A522" s="2">
        <v>44650</v>
      </c>
      <c r="B522" s="20">
        <v>2950</v>
      </c>
      <c r="C522" s="20">
        <v>407</v>
      </c>
      <c r="D522" s="20">
        <v>12640</v>
      </c>
      <c r="E522" s="17">
        <f t="shared" si="34"/>
        <v>1.9350380096751829E-2</v>
      </c>
      <c r="F522" s="17">
        <f t="shared" si="34"/>
        <v>4.9382716049382047E-3</v>
      </c>
      <c r="G522" s="17">
        <f t="shared" si="34"/>
        <v>-4.2424242424242475E-2</v>
      </c>
      <c r="H522" s="14">
        <f t="shared" si="35"/>
        <v>-3.1454232515808332E-2</v>
      </c>
      <c r="I522" s="39"/>
      <c r="J522" s="47">
        <f t="shared" si="33"/>
        <v>249</v>
      </c>
      <c r="K522" s="49">
        <f t="shared" si="32"/>
        <v>7.1227954539841525E-7</v>
      </c>
      <c r="L522" s="17">
        <v>2.50941491946239E-2</v>
      </c>
      <c r="M522" s="27"/>
      <c r="N522" s="49">
        <v>7.4281460586793986E-4</v>
      </c>
      <c r="O522" s="27">
        <v>7.0475201683629779E-3</v>
      </c>
      <c r="Q522" s="2"/>
      <c r="R522" s="24"/>
      <c r="S522" s="24"/>
      <c r="T522" s="24"/>
    </row>
    <row r="523" spans="1:20" x14ac:dyDescent="0.25">
      <c r="A523" s="2">
        <v>44649</v>
      </c>
      <c r="B523" s="20">
        <v>2894</v>
      </c>
      <c r="C523" s="20">
        <v>405</v>
      </c>
      <c r="D523" s="20">
        <v>13200</v>
      </c>
      <c r="E523" s="17">
        <f t="shared" si="34"/>
        <v>3.2833690221270473E-2</v>
      </c>
      <c r="F523" s="17">
        <f t="shared" si="34"/>
        <v>0</v>
      </c>
      <c r="G523" s="17">
        <f t="shared" si="34"/>
        <v>9.7256857855361645E-2</v>
      </c>
      <c r="H523" s="14">
        <f t="shared" si="35"/>
        <v>8.3713769791436424E-2</v>
      </c>
      <c r="I523" s="39"/>
      <c r="J523" s="47">
        <f t="shared" si="33"/>
        <v>248</v>
      </c>
      <c r="K523" s="49">
        <f t="shared" si="32"/>
        <v>6.9803395449044675E-7</v>
      </c>
      <c r="L523" s="17">
        <v>-1.0463528479854023E-2</v>
      </c>
      <c r="M523" s="27"/>
      <c r="N523" s="49">
        <v>7.8840154275109391E-6</v>
      </c>
      <c r="O523" s="27">
        <v>7.1844483569997808E-3</v>
      </c>
      <c r="Q523" s="2"/>
      <c r="R523" s="24"/>
      <c r="S523" s="24"/>
      <c r="T523" s="24"/>
    </row>
    <row r="524" spans="1:20" x14ac:dyDescent="0.25">
      <c r="A524" s="2">
        <v>44648</v>
      </c>
      <c r="B524" s="20">
        <v>2802</v>
      </c>
      <c r="C524" s="20">
        <v>405</v>
      </c>
      <c r="D524" s="20">
        <v>12030</v>
      </c>
      <c r="E524" s="17">
        <f t="shared" si="34"/>
        <v>-2.846975088967918E-3</v>
      </c>
      <c r="F524" s="17">
        <f t="shared" si="34"/>
        <v>4.9627791563275903E-3</v>
      </c>
      <c r="G524" s="17">
        <f t="shared" si="34"/>
        <v>2.8205128205128105E-2</v>
      </c>
      <c r="H524" s="14">
        <f t="shared" si="35"/>
        <v>2.27156919936084E-2</v>
      </c>
      <c r="I524" s="39"/>
      <c r="J524" s="47">
        <f t="shared" si="33"/>
        <v>247</v>
      </c>
      <c r="K524" s="49">
        <f t="shared" si="32"/>
        <v>6.8407327540063778E-7</v>
      </c>
      <c r="L524" s="17">
        <v>-1.3388750789956277E-2</v>
      </c>
      <c r="M524" s="27"/>
      <c r="N524" s="49">
        <v>1.1097421087772094E-8</v>
      </c>
      <c r="O524" s="27">
        <v>7.201069885823419E-3</v>
      </c>
      <c r="Q524" s="2"/>
      <c r="R524" s="24"/>
      <c r="S524" s="24"/>
      <c r="T524" s="24"/>
    </row>
    <row r="525" spans="1:20" x14ac:dyDescent="0.25">
      <c r="A525" s="2">
        <v>44645</v>
      </c>
      <c r="B525" s="20">
        <v>2810</v>
      </c>
      <c r="C525" s="20">
        <v>403</v>
      </c>
      <c r="D525" s="20">
        <v>11700</v>
      </c>
      <c r="E525" s="17">
        <f t="shared" si="34"/>
        <v>7.1684587813620748E-3</v>
      </c>
      <c r="F525" s="17">
        <f t="shared" si="34"/>
        <v>-4.9382716049383157E-3</v>
      </c>
      <c r="G525" s="17">
        <f t="shared" si="34"/>
        <v>-9.3141405588483828E-3</v>
      </c>
      <c r="H525" s="14">
        <f t="shared" si="35"/>
        <v>-6.7500770346219253E-3</v>
      </c>
      <c r="I525" s="39"/>
      <c r="J525" s="47">
        <f t="shared" si="33"/>
        <v>246</v>
      </c>
      <c r="K525" s="49">
        <f t="shared" si="32"/>
        <v>6.7039180989262514E-7</v>
      </c>
      <c r="L525" s="17">
        <v>6.0420021535805349E-4</v>
      </c>
      <c r="M525" s="27"/>
      <c r="N525" s="49">
        <v>1.0472181191726812E-3</v>
      </c>
      <c r="O525" s="27">
        <v>7.247747696199824E-3</v>
      </c>
      <c r="Q525" s="2"/>
      <c r="R525" s="24"/>
      <c r="S525" s="24"/>
      <c r="T525" s="24"/>
    </row>
    <row r="526" spans="1:20" x14ac:dyDescent="0.25">
      <c r="A526" s="2">
        <v>44644</v>
      </c>
      <c r="B526" s="20">
        <v>2790</v>
      </c>
      <c r="C526" s="20">
        <v>405</v>
      </c>
      <c r="D526" s="20">
        <v>11810</v>
      </c>
      <c r="E526" s="17">
        <f t="shared" si="34"/>
        <v>-3.5714285714285587E-3</v>
      </c>
      <c r="F526" s="17">
        <f t="shared" si="34"/>
        <v>8.7173100871731357E-3</v>
      </c>
      <c r="G526" s="17">
        <f t="shared" si="34"/>
        <v>-4.2561815970814765E-2</v>
      </c>
      <c r="H526" s="14">
        <f t="shared" si="35"/>
        <v>-3.4698361252579135E-2</v>
      </c>
      <c r="I526" s="39"/>
      <c r="J526" s="47">
        <f t="shared" si="33"/>
        <v>245</v>
      </c>
      <c r="K526" s="49">
        <f t="shared" si="32"/>
        <v>6.5698397369477254E-7</v>
      </c>
      <c r="L526" s="17">
        <v>1.3922188886274689E-2</v>
      </c>
      <c r="M526" s="27"/>
      <c r="N526" s="49">
        <v>1.1109047087776781E-6</v>
      </c>
      <c r="O526" s="27">
        <v>7.3325273655207145E-3</v>
      </c>
      <c r="Q526" s="2"/>
      <c r="R526" s="24"/>
      <c r="S526" s="24"/>
      <c r="T526" s="24"/>
    </row>
    <row r="527" spans="1:20" x14ac:dyDescent="0.25">
      <c r="A527" s="2">
        <v>44643</v>
      </c>
      <c r="B527" s="20">
        <v>2800</v>
      </c>
      <c r="C527" s="29">
        <v>401.5</v>
      </c>
      <c r="D527" s="20">
        <v>12335</v>
      </c>
      <c r="E527" s="17">
        <f t="shared" si="34"/>
        <v>5.6603773584905648E-2</v>
      </c>
      <c r="F527" s="17">
        <f t="shared" si="34"/>
        <v>-2.311435523114358E-2</v>
      </c>
      <c r="G527" s="17">
        <f t="shared" si="34"/>
        <v>-2.0643112346169112E-2</v>
      </c>
      <c r="H527" s="14">
        <f t="shared" si="35"/>
        <v>-9.6359598435770653E-3</v>
      </c>
      <c r="I527" s="39"/>
      <c r="J527" s="47">
        <f t="shared" si="33"/>
        <v>244</v>
      </c>
      <c r="K527" s="49">
        <f t="shared" si="32"/>
        <v>6.4384429422087711E-7</v>
      </c>
      <c r="L527" s="17">
        <v>-7.692830315250293E-2</v>
      </c>
      <c r="M527" s="27"/>
      <c r="N527" s="49">
        <v>6.319591993061061E-4</v>
      </c>
      <c r="O527" s="27">
        <v>7.3683078668729139E-3</v>
      </c>
      <c r="Q527" s="2"/>
      <c r="R527" s="24"/>
      <c r="S527" s="24"/>
      <c r="T527" s="24"/>
    </row>
    <row r="528" spans="1:20" x14ac:dyDescent="0.25">
      <c r="A528" s="2">
        <v>44642</v>
      </c>
      <c r="B528" s="20">
        <v>2650</v>
      </c>
      <c r="C528" s="20">
        <v>411</v>
      </c>
      <c r="D528" s="20">
        <v>12595</v>
      </c>
      <c r="E528" s="17">
        <f t="shared" si="34"/>
        <v>6.0744115413819966E-3</v>
      </c>
      <c r="F528" s="17">
        <f t="shared" si="34"/>
        <v>2.4937655860349128E-2</v>
      </c>
      <c r="G528" s="17">
        <f t="shared" si="34"/>
        <v>-1.980982567353462E-3</v>
      </c>
      <c r="H528" s="14">
        <f t="shared" si="35"/>
        <v>3.6076588829636277E-4</v>
      </c>
      <c r="I528" s="39"/>
      <c r="J528" s="47">
        <f t="shared" si="33"/>
        <v>243</v>
      </c>
      <c r="K528" s="49">
        <f t="shared" ref="K528:K591" si="36">+($K$13^($K$1-J528)*(1-$K$13))/(1-$K$13^$K$1)</f>
        <v>6.309674083364596E-7</v>
      </c>
      <c r="L528" s="17">
        <v>-4.4356657364618912E-2</v>
      </c>
      <c r="M528" s="27"/>
      <c r="N528" s="49">
        <v>3.9708984531502202E-4</v>
      </c>
      <c r="O528" s="27">
        <v>7.4823153832911547E-3</v>
      </c>
      <c r="Q528" s="2"/>
      <c r="R528" s="24"/>
      <c r="S528" s="24"/>
      <c r="T528" s="24"/>
    </row>
    <row r="529" spans="1:20" x14ac:dyDescent="0.25">
      <c r="A529" s="2">
        <v>44641</v>
      </c>
      <c r="B529" s="20">
        <v>2634</v>
      </c>
      <c r="C529" s="20">
        <v>401</v>
      </c>
      <c r="D529" s="20">
        <v>12620</v>
      </c>
      <c r="E529" s="17">
        <f t="shared" si="34"/>
        <v>2.8906249999999911E-2</v>
      </c>
      <c r="F529" s="17">
        <f t="shared" si="34"/>
        <v>-9.8765432098765205E-3</v>
      </c>
      <c r="G529" s="17">
        <f t="shared" si="34"/>
        <v>-3.1595576619273258E-3</v>
      </c>
      <c r="H529" s="14">
        <f t="shared" si="35"/>
        <v>1.1595769673103501E-3</v>
      </c>
      <c r="I529" s="39"/>
      <c r="J529" s="47">
        <f t="shared" ref="J529:J592" si="37">+J528-1</f>
        <v>242</v>
      </c>
      <c r="K529" s="49">
        <f t="shared" si="36"/>
        <v>6.183480601697304E-7</v>
      </c>
      <c r="L529" s="17">
        <v>7.7814503738373453E-3</v>
      </c>
      <c r="M529" s="27"/>
      <c r="N529" s="49">
        <v>5.2717049141748776E-3</v>
      </c>
      <c r="O529" s="27">
        <v>7.6236745762326991E-3</v>
      </c>
      <c r="Q529" s="2"/>
      <c r="R529" s="24"/>
      <c r="S529" s="24"/>
      <c r="T529" s="24"/>
    </row>
    <row r="530" spans="1:20" x14ac:dyDescent="0.25">
      <c r="A530" s="2">
        <v>44638</v>
      </c>
      <c r="B530" s="20">
        <v>2560</v>
      </c>
      <c r="C530" s="20">
        <v>405</v>
      </c>
      <c r="D530" s="20">
        <v>12660</v>
      </c>
      <c r="E530" s="17">
        <f t="shared" si="34"/>
        <v>-3.2501889644746762E-2</v>
      </c>
      <c r="F530" s="17">
        <f t="shared" si="34"/>
        <v>2.0151133501259411E-2</v>
      </c>
      <c r="G530" s="17">
        <f t="shared" si="34"/>
        <v>-1.1323701679031628E-2</v>
      </c>
      <c r="H530" s="14">
        <f t="shared" si="35"/>
        <v>-1.2988462227000914E-2</v>
      </c>
      <c r="I530" s="39"/>
      <c r="J530" s="47">
        <f t="shared" si="37"/>
        <v>241</v>
      </c>
      <c r="K530" s="49">
        <f t="shared" si="36"/>
        <v>6.0598109896633567E-7</v>
      </c>
      <c r="L530" s="17">
        <v>5.1555642879229334E-3</v>
      </c>
      <c r="M530" s="27"/>
      <c r="N530" s="49">
        <v>3.2377257092034304E-8</v>
      </c>
      <c r="O530" s="27">
        <v>7.6475664237239021E-3</v>
      </c>
      <c r="Q530" s="2"/>
      <c r="R530" s="24"/>
      <c r="S530" s="24"/>
      <c r="T530" s="24"/>
    </row>
    <row r="531" spans="1:20" x14ac:dyDescent="0.25">
      <c r="A531" s="2">
        <v>44637</v>
      </c>
      <c r="B531" s="20">
        <v>2646</v>
      </c>
      <c r="C531" s="20">
        <v>397</v>
      </c>
      <c r="D531" s="20">
        <v>12805</v>
      </c>
      <c r="E531" s="17">
        <f t="shared" si="34"/>
        <v>2.2727272727272041E-3</v>
      </c>
      <c r="F531" s="17">
        <f t="shared" si="34"/>
        <v>0</v>
      </c>
      <c r="G531" s="17">
        <f t="shared" si="34"/>
        <v>1.1453396524486514E-2</v>
      </c>
      <c r="H531" s="14">
        <f t="shared" si="35"/>
        <v>9.6291409026306191E-3</v>
      </c>
      <c r="I531" s="39"/>
      <c r="J531" s="47">
        <f t="shared" si="37"/>
        <v>240</v>
      </c>
      <c r="K531" s="49">
        <f t="shared" si="36"/>
        <v>5.9386147698700901E-7</v>
      </c>
      <c r="L531" s="17">
        <v>-3.310509261026158E-2</v>
      </c>
      <c r="M531" s="27"/>
      <c r="N531" s="49">
        <v>1.3085119292126411E-2</v>
      </c>
      <c r="O531" s="27">
        <v>7.7309186627470836E-3</v>
      </c>
      <c r="Q531" s="2"/>
      <c r="R531" s="24"/>
      <c r="S531" s="24"/>
      <c r="T531" s="24"/>
    </row>
    <row r="532" spans="1:20" x14ac:dyDescent="0.25">
      <c r="A532" s="2">
        <v>44636</v>
      </c>
      <c r="B532" s="20">
        <v>2640</v>
      </c>
      <c r="C532" s="20">
        <v>397</v>
      </c>
      <c r="D532" s="20">
        <v>12660</v>
      </c>
      <c r="E532" s="17">
        <f t="shared" si="34"/>
        <v>1.9305019305019266E-2</v>
      </c>
      <c r="F532" s="17">
        <f t="shared" si="34"/>
        <v>7.6142131979695105E-3</v>
      </c>
      <c r="G532" s="17">
        <f t="shared" si="34"/>
        <v>5.1058530510585287E-2</v>
      </c>
      <c r="H532" s="14">
        <f t="shared" si="35"/>
        <v>4.4580650661009781E-2</v>
      </c>
      <c r="I532" s="39"/>
      <c r="J532" s="47">
        <f t="shared" si="37"/>
        <v>239</v>
      </c>
      <c r="K532" s="49">
        <f t="shared" si="36"/>
        <v>5.8198424744726879E-7</v>
      </c>
      <c r="L532" s="17">
        <v>-3.1454232515808332E-2</v>
      </c>
      <c r="M532" s="27"/>
      <c r="N532" s="49">
        <v>6.183480601697304E-7</v>
      </c>
      <c r="O532" s="27">
        <v>7.7814503738373453E-3</v>
      </c>
      <c r="Q532" s="2"/>
      <c r="R532" s="24"/>
      <c r="S532" s="24"/>
      <c r="T532" s="24"/>
    </row>
    <row r="533" spans="1:20" x14ac:dyDescent="0.25">
      <c r="A533" s="2">
        <v>44631</v>
      </c>
      <c r="B533" s="20">
        <v>2590</v>
      </c>
      <c r="C533" s="20">
        <v>394</v>
      </c>
      <c r="D533" s="20">
        <v>12045</v>
      </c>
      <c r="E533" s="17">
        <f t="shared" si="34"/>
        <v>1.4095536413469167E-2</v>
      </c>
      <c r="F533" s="17">
        <f t="shared" si="34"/>
        <v>0</v>
      </c>
      <c r="G533" s="17">
        <f t="shared" si="34"/>
        <v>4.376083188908142E-2</v>
      </c>
      <c r="H533" s="14">
        <f t="shared" si="35"/>
        <v>3.7569538262642102E-2</v>
      </c>
      <c r="I533" s="39"/>
      <c r="J533" s="47">
        <f t="shared" si="37"/>
        <v>238</v>
      </c>
      <c r="K533" s="49">
        <f t="shared" si="36"/>
        <v>5.7034456249832339E-7</v>
      </c>
      <c r="L533" s="17">
        <v>8.3713769791436424E-2</v>
      </c>
      <c r="M533" s="27"/>
      <c r="N533" s="49">
        <v>5.1608641357274402E-5</v>
      </c>
      <c r="O533" s="27">
        <v>7.8144115219849382E-3</v>
      </c>
      <c r="Q533" s="2"/>
      <c r="R533" s="24"/>
      <c r="S533" s="24"/>
      <c r="T533" s="24"/>
    </row>
    <row r="534" spans="1:20" x14ac:dyDescent="0.25">
      <c r="A534" s="2">
        <v>44630</v>
      </c>
      <c r="B534" s="20">
        <v>2554</v>
      </c>
      <c r="C534" s="20">
        <v>394</v>
      </c>
      <c r="D534" s="20">
        <v>11540</v>
      </c>
      <c r="E534" s="17">
        <f t="shared" si="34"/>
        <v>-3.4039334341906202E-2</v>
      </c>
      <c r="F534" s="17">
        <f t="shared" si="34"/>
        <v>-1.0050251256281451E-2</v>
      </c>
      <c r="G534" s="17">
        <f t="shared" si="34"/>
        <v>-3.6727879799666074E-2</v>
      </c>
      <c r="H534" s="14">
        <f t="shared" si="35"/>
        <v>-3.516900140830783E-2</v>
      </c>
      <c r="I534" s="39"/>
      <c r="J534" s="47">
        <f t="shared" si="37"/>
        <v>237</v>
      </c>
      <c r="K534" s="49">
        <f t="shared" si="36"/>
        <v>5.5893767124835686E-7</v>
      </c>
      <c r="L534" s="17">
        <v>2.27156919936084E-2</v>
      </c>
      <c r="M534" s="27"/>
      <c r="N534" s="49">
        <v>1.9157789314981202E-7</v>
      </c>
      <c r="O534" s="27">
        <v>7.8732482259584111E-3</v>
      </c>
      <c r="Q534" s="2"/>
      <c r="R534" s="24"/>
      <c r="S534" s="24"/>
      <c r="T534" s="24"/>
    </row>
    <row r="535" spans="1:20" x14ac:dyDescent="0.25">
      <c r="A535" s="2">
        <v>44629</v>
      </c>
      <c r="B535" s="20">
        <v>2644</v>
      </c>
      <c r="C535" s="20">
        <v>398</v>
      </c>
      <c r="D535" s="20">
        <v>11980</v>
      </c>
      <c r="E535" s="17">
        <f t="shared" si="34"/>
        <v>1.5151515151514694E-3</v>
      </c>
      <c r="F535" s="17">
        <f t="shared" si="34"/>
        <v>-1.1180124223602483E-2</v>
      </c>
      <c r="G535" s="17">
        <f t="shared" si="34"/>
        <v>8.9090909090909109E-2</v>
      </c>
      <c r="H535" s="14">
        <f t="shared" si="35"/>
        <v>7.2083777028452936E-2</v>
      </c>
      <c r="I535" s="39"/>
      <c r="J535" s="47">
        <f t="shared" si="37"/>
        <v>236</v>
      </c>
      <c r="K535" s="49">
        <f t="shared" si="36"/>
        <v>5.4775891782338973E-7</v>
      </c>
      <c r="L535" s="17">
        <v>-6.7500770346219253E-3</v>
      </c>
      <c r="M535" s="27"/>
      <c r="N535" s="49">
        <v>9.2815599269755415E-3</v>
      </c>
      <c r="O535" s="27">
        <v>7.9204160943854851E-3</v>
      </c>
      <c r="Q535" s="2"/>
      <c r="R535" s="24"/>
      <c r="S535" s="24"/>
      <c r="T535" s="24"/>
    </row>
    <row r="536" spans="1:20" x14ac:dyDescent="0.25">
      <c r="A536" s="2">
        <v>44628</v>
      </c>
      <c r="B536" s="20">
        <v>2640</v>
      </c>
      <c r="C536" s="29">
        <v>402.5</v>
      </c>
      <c r="D536" s="20">
        <v>11000</v>
      </c>
      <c r="E536" s="17">
        <f t="shared" si="34"/>
        <v>1.3824884792626779E-2</v>
      </c>
      <c r="F536" s="17">
        <f t="shared" si="34"/>
        <v>6.2500000000000888E-3</v>
      </c>
      <c r="G536" s="17">
        <f t="shared" si="34"/>
        <v>9.8352471293060351E-2</v>
      </c>
      <c r="H536" s="14">
        <f t="shared" si="35"/>
        <v>8.2142827715440347E-2</v>
      </c>
      <c r="I536" s="39"/>
      <c r="J536" s="47">
        <f t="shared" si="37"/>
        <v>235</v>
      </c>
      <c r="K536" s="49">
        <f t="shared" si="36"/>
        <v>5.3680373946692194E-7</v>
      </c>
      <c r="L536" s="17">
        <v>-3.4698361252579135E-2</v>
      </c>
      <c r="M536" s="27"/>
      <c r="N536" s="49">
        <v>1.1821720678471994E-3</v>
      </c>
      <c r="O536" s="27">
        <v>8.0402207773976903E-3</v>
      </c>
      <c r="Q536" s="2"/>
      <c r="R536" s="24"/>
      <c r="S536" s="24"/>
      <c r="T536" s="24"/>
    </row>
    <row r="537" spans="1:20" x14ac:dyDescent="0.25">
      <c r="A537" s="2">
        <v>44627</v>
      </c>
      <c r="B537" s="20">
        <v>2604</v>
      </c>
      <c r="C537" s="20">
        <v>400</v>
      </c>
      <c r="D537" s="20">
        <v>10015</v>
      </c>
      <c r="E537" s="17">
        <f t="shared" si="34"/>
        <v>3.6624203821655987E-2</v>
      </c>
      <c r="F537" s="17">
        <f t="shared" si="34"/>
        <v>1.2515644555695093E-3</v>
      </c>
      <c r="G537" s="17">
        <f t="shared" si="34"/>
        <v>-3.8406144983197277E-2</v>
      </c>
      <c r="H537" s="14">
        <f t="shared" si="35"/>
        <v>-2.5867141719596008E-2</v>
      </c>
      <c r="I537" s="39"/>
      <c r="J537" s="47">
        <f t="shared" si="37"/>
        <v>234</v>
      </c>
      <c r="K537" s="49">
        <f t="shared" si="36"/>
        <v>5.2606766467758342E-7</v>
      </c>
      <c r="L537" s="17">
        <v>-9.6359598435770653E-3</v>
      </c>
      <c r="M537" s="27"/>
      <c r="N537" s="49">
        <v>2.9281802246506076E-7</v>
      </c>
      <c r="O537" s="27">
        <v>8.1407383442699075E-3</v>
      </c>
      <c r="Q537" s="2"/>
      <c r="R537" s="24"/>
      <c r="S537" s="24"/>
      <c r="T537" s="24"/>
    </row>
    <row r="538" spans="1:20" x14ac:dyDescent="0.25">
      <c r="A538" s="2">
        <v>44624</v>
      </c>
      <c r="B538" s="20">
        <v>2512</v>
      </c>
      <c r="C538" s="29">
        <v>399.5</v>
      </c>
      <c r="D538" s="20">
        <v>10415</v>
      </c>
      <c r="E538" s="17">
        <f t="shared" si="34"/>
        <v>4.7999999999999154E-3</v>
      </c>
      <c r="F538" s="17">
        <f t="shared" si="34"/>
        <v>-7.4534161490683593E-3</v>
      </c>
      <c r="G538" s="17">
        <f t="shared" si="34"/>
        <v>-5.3181818181818219E-2</v>
      </c>
      <c r="H538" s="14">
        <f t="shared" si="35"/>
        <v>-4.2829377262044735E-2</v>
      </c>
      <c r="I538" s="39"/>
      <c r="J538" s="47">
        <f t="shared" si="37"/>
        <v>233</v>
      </c>
      <c r="K538" s="49">
        <f t="shared" si="36"/>
        <v>5.1554631138403176E-7</v>
      </c>
      <c r="L538" s="17">
        <v>3.6076588829636277E-4</v>
      </c>
      <c r="M538" s="27"/>
      <c r="N538" s="49">
        <v>2.9343187419323775E-3</v>
      </c>
      <c r="O538" s="27">
        <v>8.2614648606790572E-3</v>
      </c>
      <c r="Q538" s="2"/>
      <c r="R538" s="24"/>
      <c r="S538" s="24"/>
      <c r="T538" s="24"/>
    </row>
    <row r="539" spans="1:20" x14ac:dyDescent="0.25">
      <c r="A539" s="2">
        <v>44623</v>
      </c>
      <c r="B539" s="20">
        <v>2500</v>
      </c>
      <c r="C539" s="29">
        <v>402.5</v>
      </c>
      <c r="D539" s="20">
        <v>11000</v>
      </c>
      <c r="E539" s="17">
        <f t="shared" si="34"/>
        <v>2.1241830065359402E-2</v>
      </c>
      <c r="F539" s="17">
        <f t="shared" si="34"/>
        <v>-2.4783147459727095E-3</v>
      </c>
      <c r="G539" s="17">
        <f t="shared" si="34"/>
        <v>8.6956521739130377E-2</v>
      </c>
      <c r="H539" s="14">
        <f t="shared" si="35"/>
        <v>7.3571221882359358E-2</v>
      </c>
      <c r="I539" s="39"/>
      <c r="J539" s="47">
        <f t="shared" si="37"/>
        <v>232</v>
      </c>
      <c r="K539" s="49">
        <f t="shared" si="36"/>
        <v>5.0523538515635114E-7</v>
      </c>
      <c r="L539" s="17">
        <v>1.1595769673103501E-3</v>
      </c>
      <c r="M539" s="27"/>
      <c r="N539" s="49">
        <v>1.6006248617941106E-3</v>
      </c>
      <c r="O539" s="27">
        <v>8.3509984261361594E-3</v>
      </c>
      <c r="Q539" s="2"/>
      <c r="R539" s="24"/>
      <c r="S539" s="24"/>
      <c r="T539" s="24"/>
    </row>
    <row r="540" spans="1:20" x14ac:dyDescent="0.25">
      <c r="A540" s="2">
        <v>44622</v>
      </c>
      <c r="B540" s="20">
        <v>2448</v>
      </c>
      <c r="C540" s="29">
        <v>403.5</v>
      </c>
      <c r="D540" s="20">
        <v>10120</v>
      </c>
      <c r="E540" s="17">
        <f t="shared" si="34"/>
        <v>1.6366612111293755E-3</v>
      </c>
      <c r="F540" s="17">
        <f t="shared" si="34"/>
        <v>-1.2376237623762387E-3</v>
      </c>
      <c r="G540" s="17">
        <f t="shared" si="34"/>
        <v>1.1494252873563315E-2</v>
      </c>
      <c r="H540" s="14">
        <f t="shared" si="35"/>
        <v>9.5164229274592137E-3</v>
      </c>
      <c r="I540" s="39"/>
      <c r="J540" s="47">
        <f t="shared" si="37"/>
        <v>231</v>
      </c>
      <c r="K540" s="49">
        <f t="shared" si="36"/>
        <v>4.9513067745322407E-7</v>
      </c>
      <c r="L540" s="17">
        <v>-1.2988462227000914E-2</v>
      </c>
      <c r="M540" s="27"/>
      <c r="N540" s="49">
        <v>2.9942027978901811E-3</v>
      </c>
      <c r="O540" s="27">
        <v>8.3914101402158756E-3</v>
      </c>
      <c r="Q540" s="2"/>
      <c r="R540" s="24"/>
      <c r="S540" s="24"/>
      <c r="T540" s="24"/>
    </row>
    <row r="541" spans="1:20" x14ac:dyDescent="0.25">
      <c r="A541" s="2">
        <v>44621</v>
      </c>
      <c r="B541" s="20">
        <v>2444</v>
      </c>
      <c r="C541" s="20">
        <v>404</v>
      </c>
      <c r="D541" s="20">
        <v>10005</v>
      </c>
      <c r="E541" s="17">
        <f t="shared" si="34"/>
        <v>-5.6370656370656413E-2</v>
      </c>
      <c r="F541" s="17">
        <f t="shared" si="34"/>
        <v>-3.0012004801920789E-2</v>
      </c>
      <c r="G541" s="17">
        <f t="shared" si="34"/>
        <v>-0.21529411764705886</v>
      </c>
      <c r="H541" s="14">
        <f t="shared" si="35"/>
        <v>-0.18428544746561548</v>
      </c>
      <c r="I541" s="39"/>
      <c r="J541" s="47">
        <f t="shared" si="37"/>
        <v>230</v>
      </c>
      <c r="K541" s="49">
        <f t="shared" si="36"/>
        <v>4.8522806390415957E-7</v>
      </c>
      <c r="L541" s="17">
        <v>9.6291409026306191E-3</v>
      </c>
      <c r="M541" s="27"/>
      <c r="N541" s="49">
        <v>4.8599077336528387E-4</v>
      </c>
      <c r="O541" s="27">
        <v>8.4537428093187147E-3</v>
      </c>
      <c r="Q541" s="2"/>
      <c r="R541" s="24"/>
      <c r="S541" s="24"/>
      <c r="T541" s="24"/>
    </row>
    <row r="542" spans="1:20" x14ac:dyDescent="0.25">
      <c r="A542" s="2">
        <v>44620</v>
      </c>
      <c r="B542" s="20">
        <v>2590</v>
      </c>
      <c r="C542" s="29">
        <v>416.5</v>
      </c>
      <c r="D542" s="20">
        <v>12750</v>
      </c>
      <c r="E542" s="17">
        <f t="shared" si="34"/>
        <v>5.2845528455284452E-2</v>
      </c>
      <c r="F542" s="17">
        <f t="shared" si="34"/>
        <v>-2.0000000000000018E-2</v>
      </c>
      <c r="G542" s="17">
        <f t="shared" si="34"/>
        <v>-0.13559322033898302</v>
      </c>
      <c r="H542" s="14">
        <f t="shared" si="35"/>
        <v>-0.10339891098027382</v>
      </c>
      <c r="I542" s="39"/>
      <c r="J542" s="47">
        <f t="shared" si="37"/>
        <v>229</v>
      </c>
      <c r="K542" s="49">
        <f t="shared" si="36"/>
        <v>4.7552350262607637E-7</v>
      </c>
      <c r="L542" s="17">
        <v>4.4580650661009781E-2</v>
      </c>
      <c r="M542" s="27"/>
      <c r="N542" s="49">
        <v>2.6523917352726874E-3</v>
      </c>
      <c r="O542" s="27">
        <v>8.4738055839184024E-3</v>
      </c>
      <c r="Q542" s="2"/>
      <c r="R542" s="24"/>
      <c r="S542" s="24"/>
      <c r="T542" s="24"/>
    </row>
    <row r="543" spans="1:20" x14ac:dyDescent="0.25">
      <c r="A543" s="2">
        <v>44617</v>
      </c>
      <c r="B543" s="20">
        <v>2460</v>
      </c>
      <c r="C543" s="20">
        <v>425</v>
      </c>
      <c r="D543" s="20">
        <v>14750</v>
      </c>
      <c r="E543" s="17">
        <f t="shared" si="34"/>
        <v>5.1282051282051322E-2</v>
      </c>
      <c r="F543" s="17">
        <f t="shared" si="34"/>
        <v>0</v>
      </c>
      <c r="G543" s="17">
        <f t="shared" si="34"/>
        <v>0.13374327440430434</v>
      </c>
      <c r="H543" s="14">
        <f t="shared" si="35"/>
        <v>0.11600161562363188</v>
      </c>
      <c r="I543" s="39"/>
      <c r="J543" s="47">
        <f t="shared" si="37"/>
        <v>228</v>
      </c>
      <c r="K543" s="49">
        <f t="shared" si="36"/>
        <v>4.6601303257355488E-7</v>
      </c>
      <c r="L543" s="17">
        <v>3.7569538262642102E-2</v>
      </c>
      <c r="M543" s="27"/>
      <c r="N543" s="49">
        <v>5.2634315488464501E-6</v>
      </c>
      <c r="O543" s="27">
        <v>8.5364519173340633E-3</v>
      </c>
      <c r="Q543" s="2"/>
      <c r="R543" s="24"/>
      <c r="S543" s="24"/>
      <c r="T543" s="24"/>
    </row>
    <row r="544" spans="1:20" x14ac:dyDescent="0.25">
      <c r="A544" s="2">
        <v>44616</v>
      </c>
      <c r="B544" s="20">
        <v>2340</v>
      </c>
      <c r="C544" s="20">
        <v>425</v>
      </c>
      <c r="D544" s="20">
        <v>13010</v>
      </c>
      <c r="E544" s="17">
        <f t="shared" si="34"/>
        <v>-7.2164948453608213E-2</v>
      </c>
      <c r="F544" s="17">
        <f t="shared" si="34"/>
        <v>-2.0737327188940058E-2</v>
      </c>
      <c r="G544" s="17">
        <f t="shared" si="34"/>
        <v>-0.14688524590163932</v>
      </c>
      <c r="H544" s="14">
        <f t="shared" si="35"/>
        <v>-0.13059117436468012</v>
      </c>
      <c r="I544" s="39"/>
      <c r="J544" s="47">
        <f t="shared" si="37"/>
        <v>227</v>
      </c>
      <c r="K544" s="49">
        <f t="shared" si="36"/>
        <v>4.5669277192208376E-7</v>
      </c>
      <c r="L544" s="17">
        <v>-3.516900140830783E-2</v>
      </c>
      <c r="M544" s="27"/>
      <c r="N544" s="49">
        <v>3.1176622218764905E-3</v>
      </c>
      <c r="O544" s="27">
        <v>8.5464996660623311E-3</v>
      </c>
      <c r="Q544" s="2"/>
      <c r="R544" s="24"/>
      <c r="S544" s="24"/>
      <c r="T544" s="24"/>
    </row>
    <row r="545" spans="1:20" x14ac:dyDescent="0.25">
      <c r="A545" s="2">
        <v>44615</v>
      </c>
      <c r="B545" s="20">
        <v>2522</v>
      </c>
      <c r="C545" s="20">
        <v>434</v>
      </c>
      <c r="D545" s="20">
        <v>15250</v>
      </c>
      <c r="E545" s="17">
        <f t="shared" si="34"/>
        <v>-1.5612802498048417E-2</v>
      </c>
      <c r="F545" s="17">
        <f t="shared" si="34"/>
        <v>2.6004728132387633E-2</v>
      </c>
      <c r="G545" s="17">
        <f t="shared" si="34"/>
        <v>-1.166558651976668E-2</v>
      </c>
      <c r="H545" s="14">
        <f t="shared" si="35"/>
        <v>-1.0578654711748601E-2</v>
      </c>
      <c r="I545" s="39"/>
      <c r="J545" s="47">
        <f t="shared" si="37"/>
        <v>226</v>
      </c>
      <c r="K545" s="49">
        <f t="shared" si="36"/>
        <v>4.4755891648364205E-7</v>
      </c>
      <c r="L545" s="17">
        <v>7.2083777028452936E-2</v>
      </c>
      <c r="M545" s="27"/>
      <c r="N545" s="49">
        <v>3.2428149532406892E-5</v>
      </c>
      <c r="O545" s="27">
        <v>8.618706264156983E-3</v>
      </c>
      <c r="Q545" s="2"/>
      <c r="R545" s="24"/>
      <c r="S545" s="24"/>
      <c r="T545" s="24"/>
    </row>
    <row r="546" spans="1:20" x14ac:dyDescent="0.25">
      <c r="A546" s="2">
        <v>44614</v>
      </c>
      <c r="B546" s="20">
        <v>2562</v>
      </c>
      <c r="C546" s="20">
        <v>423</v>
      </c>
      <c r="D546" s="20">
        <v>15430</v>
      </c>
      <c r="E546" s="17">
        <f t="shared" si="34"/>
        <v>1.5637216575450363E-3</v>
      </c>
      <c r="F546" s="17">
        <f t="shared" si="34"/>
        <v>-1.8561484918793503E-2</v>
      </c>
      <c r="G546" s="17">
        <f t="shared" si="34"/>
        <v>-2.7112232030264805E-2</v>
      </c>
      <c r="H546" s="14">
        <f t="shared" si="35"/>
        <v>-2.2610151267222815E-2</v>
      </c>
      <c r="I546" s="39"/>
      <c r="J546" s="47">
        <f t="shared" si="37"/>
        <v>225</v>
      </c>
      <c r="K546" s="49">
        <f t="shared" si="36"/>
        <v>4.3860773815396918E-7</v>
      </c>
      <c r="L546" s="17">
        <v>8.2142827715440347E-2</v>
      </c>
      <c r="M546" s="27"/>
      <c r="N546" s="49">
        <v>3.8116547935990619E-5</v>
      </c>
      <c r="O546" s="27">
        <v>8.6545686639775757E-3</v>
      </c>
      <c r="Q546" s="2"/>
      <c r="R546" s="24"/>
      <c r="S546" s="24"/>
      <c r="T546" s="24"/>
    </row>
    <row r="547" spans="1:20" x14ac:dyDescent="0.25">
      <c r="A547" s="2">
        <v>44613</v>
      </c>
      <c r="B547" s="20">
        <v>2558</v>
      </c>
      <c r="C547" s="20">
        <v>431</v>
      </c>
      <c r="D547" s="20">
        <v>15860</v>
      </c>
      <c r="E547" s="17">
        <f t="shared" si="34"/>
        <v>-2.1423106350420773E-2</v>
      </c>
      <c r="F547" s="17">
        <f t="shared" si="34"/>
        <v>-4.6189376443418473E-3</v>
      </c>
      <c r="G547" s="17">
        <f t="shared" si="34"/>
        <v>-4.4578313253012092E-2</v>
      </c>
      <c r="H547" s="14">
        <f t="shared" si="35"/>
        <v>-3.9490817700669228E-2</v>
      </c>
      <c r="I547" s="39"/>
      <c r="J547" s="47">
        <f t="shared" si="37"/>
        <v>224</v>
      </c>
      <c r="K547" s="49">
        <f t="shared" si="36"/>
        <v>4.2983558339088983E-7</v>
      </c>
      <c r="L547" s="17">
        <v>-2.5867141719596008E-2</v>
      </c>
      <c r="M547" s="27"/>
      <c r="N547" s="49">
        <v>7.5797408762034698E-4</v>
      </c>
      <c r="O547" s="27">
        <v>8.6859507806697281E-3</v>
      </c>
      <c r="Q547" s="2"/>
      <c r="R547" s="24"/>
      <c r="S547" s="24"/>
      <c r="T547" s="24"/>
    </row>
    <row r="548" spans="1:20" x14ac:dyDescent="0.25">
      <c r="A548" s="2">
        <v>44610</v>
      </c>
      <c r="B548" s="20">
        <v>2614</v>
      </c>
      <c r="C548" s="20">
        <v>433</v>
      </c>
      <c r="D548" s="20">
        <v>16600</v>
      </c>
      <c r="E548" s="17">
        <f t="shared" si="34"/>
        <v>-1.4328808446455454E-2</v>
      </c>
      <c r="F548" s="17">
        <f t="shared" si="34"/>
        <v>0</v>
      </c>
      <c r="G548" s="17">
        <f t="shared" si="34"/>
        <v>-3.2915817069618436E-2</v>
      </c>
      <c r="H548" s="14">
        <f t="shared" si="35"/>
        <v>-2.8795116189066647E-2</v>
      </c>
      <c r="I548" s="39"/>
      <c r="J548" s="47">
        <f t="shared" si="37"/>
        <v>223</v>
      </c>
      <c r="K548" s="49">
        <f t="shared" si="36"/>
        <v>4.2123887172307202E-7</v>
      </c>
      <c r="L548" s="17">
        <v>-4.2829377262044735E-2</v>
      </c>
      <c r="M548" s="27"/>
      <c r="N548" s="49">
        <v>4.30736673130774E-3</v>
      </c>
      <c r="O548" s="27">
        <v>8.8090048889613737E-3</v>
      </c>
      <c r="Q548" s="2"/>
      <c r="R548" s="24"/>
      <c r="S548" s="24"/>
      <c r="T548" s="24"/>
    </row>
    <row r="549" spans="1:20" x14ac:dyDescent="0.25">
      <c r="A549" s="2">
        <v>44609</v>
      </c>
      <c r="B549" s="20">
        <v>2652</v>
      </c>
      <c r="C549" s="20">
        <v>433</v>
      </c>
      <c r="D549" s="20">
        <v>17165</v>
      </c>
      <c r="E549" s="17">
        <f t="shared" si="34"/>
        <v>-3.7565740045079066E-3</v>
      </c>
      <c r="F549" s="17">
        <f t="shared" si="34"/>
        <v>-9.1533180778031742E-3</v>
      </c>
      <c r="G549" s="17">
        <f t="shared" si="34"/>
        <v>-1.717721156598917E-2</v>
      </c>
      <c r="H549" s="14">
        <f t="shared" si="35"/>
        <v>-1.4893495206729586E-2</v>
      </c>
      <c r="I549" s="39"/>
      <c r="J549" s="47">
        <f t="shared" si="37"/>
        <v>222</v>
      </c>
      <c r="K549" s="49">
        <f t="shared" si="36"/>
        <v>4.1281409428861057E-7</v>
      </c>
      <c r="L549" s="17">
        <v>7.3571221882359358E-2</v>
      </c>
      <c r="M549" s="27"/>
      <c r="N549" s="49">
        <v>2.9910692616410995E-5</v>
      </c>
      <c r="O549" s="27">
        <v>8.890887819831635E-3</v>
      </c>
      <c r="Q549" s="2"/>
      <c r="R549" s="24"/>
      <c r="S549" s="24"/>
      <c r="T549" s="24"/>
    </row>
    <row r="550" spans="1:20" x14ac:dyDescent="0.25">
      <c r="A550" s="2">
        <v>44608</v>
      </c>
      <c r="B550" s="20">
        <v>2662</v>
      </c>
      <c r="C550" s="20">
        <v>437</v>
      </c>
      <c r="D550" s="20">
        <v>17465</v>
      </c>
      <c r="E550" s="17">
        <f t="shared" si="34"/>
        <v>5.287009063444037E-3</v>
      </c>
      <c r="F550" s="17">
        <f t="shared" si="34"/>
        <v>8.073817762399127E-3</v>
      </c>
      <c r="G550" s="17">
        <f t="shared" si="34"/>
        <v>6.338231057332111E-3</v>
      </c>
      <c r="H550" s="14">
        <f t="shared" si="35"/>
        <v>6.2632094020469258E-3</v>
      </c>
      <c r="I550" s="39"/>
      <c r="J550" s="47">
        <f t="shared" si="37"/>
        <v>221</v>
      </c>
      <c r="K550" s="49">
        <f t="shared" si="36"/>
        <v>4.045578124028383E-7</v>
      </c>
      <c r="L550" s="17">
        <v>9.5164229274592137E-3</v>
      </c>
      <c r="M550" s="27"/>
      <c r="N550" s="49">
        <v>8.5386344364943244E-8</v>
      </c>
      <c r="O550" s="27">
        <v>8.9153689796632307E-3</v>
      </c>
      <c r="Q550" s="2"/>
      <c r="R550" s="24"/>
      <c r="S550" s="24"/>
      <c r="T550" s="24"/>
    </row>
    <row r="551" spans="1:20" x14ac:dyDescent="0.25">
      <c r="A551" s="2">
        <v>44607</v>
      </c>
      <c r="B551" s="20">
        <v>2648</v>
      </c>
      <c r="C551" s="29">
        <v>433.5</v>
      </c>
      <c r="D551" s="20">
        <v>17355</v>
      </c>
      <c r="E551" s="17">
        <f t="shared" si="34"/>
        <v>0</v>
      </c>
      <c r="F551" s="17">
        <f t="shared" si="34"/>
        <v>4.6349942062573479E-3</v>
      </c>
      <c r="G551" s="17">
        <f t="shared" si="34"/>
        <v>-2.8727377190462811E-3</v>
      </c>
      <c r="H551" s="14">
        <f t="shared" si="35"/>
        <v>-2.1295254092044877E-3</v>
      </c>
      <c r="I551" s="39"/>
      <c r="J551" s="47">
        <f t="shared" si="37"/>
        <v>220</v>
      </c>
      <c r="K551" s="49">
        <f t="shared" si="36"/>
        <v>3.9646665615478156E-7</v>
      </c>
      <c r="L551" s="17">
        <v>-0.18428544746561548</v>
      </c>
      <c r="M551" s="27"/>
      <c r="N551" s="49">
        <v>1.0268111940596458E-2</v>
      </c>
      <c r="O551" s="27">
        <v>8.9547175833151593E-3</v>
      </c>
      <c r="Q551" s="2"/>
      <c r="R551" s="24"/>
      <c r="S551" s="24"/>
      <c r="T551" s="24"/>
    </row>
    <row r="552" spans="1:20" x14ac:dyDescent="0.25">
      <c r="A552" s="2">
        <v>44606</v>
      </c>
      <c r="B552" s="20">
        <v>2648</v>
      </c>
      <c r="C552" s="29">
        <v>431.5</v>
      </c>
      <c r="D552" s="20">
        <v>17405</v>
      </c>
      <c r="E552" s="17">
        <f t="shared" si="34"/>
        <v>-8.2397003745318109E-3</v>
      </c>
      <c r="F552" s="17">
        <f t="shared" si="34"/>
        <v>-8.0459770114942319E-3</v>
      </c>
      <c r="G552" s="17">
        <f t="shared" si="34"/>
        <v>-2.2191011235955016E-2</v>
      </c>
      <c r="H552" s="14">
        <f t="shared" si="35"/>
        <v>-1.9562018032712489E-2</v>
      </c>
      <c r="I552" s="39"/>
      <c r="J552" s="47">
        <f t="shared" si="37"/>
        <v>219</v>
      </c>
      <c r="K552" s="49">
        <f t="shared" si="36"/>
        <v>3.8853732303168585E-7</v>
      </c>
      <c r="L552" s="17">
        <v>-0.10339891098027382</v>
      </c>
      <c r="M552" s="27"/>
      <c r="N552" s="49">
        <v>4.134629792951083E-4</v>
      </c>
      <c r="O552" s="27">
        <v>9.1077406597325251E-3</v>
      </c>
      <c r="Q552" s="2"/>
      <c r="R552" s="24"/>
      <c r="S552" s="24"/>
      <c r="T552" s="24"/>
    </row>
    <row r="553" spans="1:20" x14ac:dyDescent="0.25">
      <c r="A553" s="2">
        <v>44603</v>
      </c>
      <c r="B553" s="20">
        <v>2670</v>
      </c>
      <c r="C553" s="20">
        <v>435</v>
      </c>
      <c r="D553" s="20">
        <v>17800</v>
      </c>
      <c r="E553" s="17">
        <f t="shared" si="34"/>
        <v>0</v>
      </c>
      <c r="F553" s="17">
        <f t="shared" si="34"/>
        <v>4.6189376443417363E-3</v>
      </c>
      <c r="G553" s="17">
        <f t="shared" si="34"/>
        <v>-1.9283746556473802E-2</v>
      </c>
      <c r="H553" s="14">
        <f t="shared" si="35"/>
        <v>-1.5458750633583308E-2</v>
      </c>
      <c r="I553" s="39"/>
      <c r="J553" s="47">
        <f t="shared" si="37"/>
        <v>218</v>
      </c>
      <c r="K553" s="49">
        <f t="shared" si="36"/>
        <v>3.807665765710522E-7</v>
      </c>
      <c r="L553" s="17">
        <v>0.11600161562363188</v>
      </c>
      <c r="M553" s="27"/>
      <c r="N553" s="49">
        <v>1.443811353370956E-7</v>
      </c>
      <c r="O553" s="27">
        <v>9.1536561959275151E-3</v>
      </c>
      <c r="Q553" s="2"/>
      <c r="R553" s="24"/>
      <c r="S553" s="24"/>
      <c r="T553" s="24"/>
    </row>
    <row r="554" spans="1:20" x14ac:dyDescent="0.25">
      <c r="A554" s="2">
        <v>44602</v>
      </c>
      <c r="B554" s="20">
        <v>2670</v>
      </c>
      <c r="C554" s="20">
        <v>433</v>
      </c>
      <c r="D554" s="20">
        <v>18150</v>
      </c>
      <c r="E554" s="17">
        <f t="shared" si="34"/>
        <v>-1.1843079200592133E-2</v>
      </c>
      <c r="F554" s="17">
        <f t="shared" si="34"/>
        <v>9.3240093240092303E-3</v>
      </c>
      <c r="G554" s="17">
        <f t="shared" si="34"/>
        <v>-7.1115973741794347E-3</v>
      </c>
      <c r="H554" s="14">
        <f t="shared" si="35"/>
        <v>-7.0704026221918423E-3</v>
      </c>
      <c r="I554" s="39"/>
      <c r="J554" s="47">
        <f t="shared" si="37"/>
        <v>217</v>
      </c>
      <c r="K554" s="49">
        <f t="shared" si="36"/>
        <v>3.7315124503963113E-7</v>
      </c>
      <c r="L554" s="17">
        <v>-0.13059117436468012</v>
      </c>
      <c r="M554" s="27"/>
      <c r="N554" s="49">
        <v>1.0235907869473543E-8</v>
      </c>
      <c r="O554" s="27">
        <v>9.3700666066233677E-3</v>
      </c>
      <c r="Q554" s="2"/>
      <c r="R554" s="24"/>
      <c r="S554" s="24"/>
      <c r="T554" s="24"/>
    </row>
    <row r="555" spans="1:20" x14ac:dyDescent="0.25">
      <c r="A555" s="2">
        <v>44601</v>
      </c>
      <c r="B555" s="20">
        <v>2702</v>
      </c>
      <c r="C555" s="20">
        <v>429</v>
      </c>
      <c r="D555" s="20">
        <v>18280</v>
      </c>
      <c r="E555" s="17">
        <f t="shared" si="34"/>
        <v>-2.952029520295163E-3</v>
      </c>
      <c r="F555" s="17">
        <f t="shared" si="34"/>
        <v>1.6587677725118377E-2</v>
      </c>
      <c r="G555" s="17">
        <f t="shared" si="34"/>
        <v>1.386577925679422E-2</v>
      </c>
      <c r="H555" s="14">
        <f t="shared" si="35"/>
        <v>1.1565298382013877E-2</v>
      </c>
      <c r="I555" s="39"/>
      <c r="J555" s="47">
        <f t="shared" si="37"/>
        <v>216</v>
      </c>
      <c r="K555" s="49">
        <f t="shared" si="36"/>
        <v>3.6568822013883848E-7</v>
      </c>
      <c r="L555" s="17">
        <v>-1.0578654711748601E-2</v>
      </c>
      <c r="M555" s="27"/>
      <c r="N555" s="49">
        <v>1.2056666469858434E-4</v>
      </c>
      <c r="O555" s="27">
        <v>9.3735210523650594E-3</v>
      </c>
      <c r="Q555" s="2"/>
      <c r="R555" s="24"/>
      <c r="S555" s="24"/>
      <c r="T555" s="24"/>
    </row>
    <row r="556" spans="1:20" x14ac:dyDescent="0.25">
      <c r="A556" s="2">
        <v>44600</v>
      </c>
      <c r="B556" s="20">
        <v>2710</v>
      </c>
      <c r="C556" s="20">
        <v>422</v>
      </c>
      <c r="D556" s="20">
        <v>18030</v>
      </c>
      <c r="E556" s="17">
        <f t="shared" si="34"/>
        <v>1.8031555221637907E-2</v>
      </c>
      <c r="F556" s="17">
        <f t="shared" si="34"/>
        <v>2.3752969121140222E-3</v>
      </c>
      <c r="G556" s="17">
        <f t="shared" si="34"/>
        <v>6.7001675041875597E-3</v>
      </c>
      <c r="H556" s="14">
        <f t="shared" si="35"/>
        <v>8.1407383442699075E-3</v>
      </c>
      <c r="I556" s="39"/>
      <c r="J556" s="47">
        <f t="shared" si="37"/>
        <v>215</v>
      </c>
      <c r="K556" s="49">
        <f t="shared" si="36"/>
        <v>3.5837445573606169E-7</v>
      </c>
      <c r="L556" s="17">
        <v>-2.2610151267222815E-2</v>
      </c>
      <c r="M556" s="27"/>
      <c r="N556" s="49">
        <v>2.080286751587303E-4</v>
      </c>
      <c r="O556" s="27">
        <v>9.46451438802072E-3</v>
      </c>
      <c r="Q556" s="2"/>
      <c r="R556" s="24"/>
      <c r="S556" s="24"/>
      <c r="T556" s="24"/>
    </row>
    <row r="557" spans="1:20" x14ac:dyDescent="0.25">
      <c r="A557" s="2">
        <v>44599</v>
      </c>
      <c r="B557" s="20">
        <v>2662</v>
      </c>
      <c r="C557" s="20">
        <v>421</v>
      </c>
      <c r="D557" s="20">
        <v>17910</v>
      </c>
      <c r="E557" s="17">
        <f t="shared" si="34"/>
        <v>-5.9746079163555121E-3</v>
      </c>
      <c r="F557" s="17">
        <f t="shared" si="34"/>
        <v>3.5756853396902155E-3</v>
      </c>
      <c r="G557" s="17">
        <f t="shared" si="34"/>
        <v>2.7538726333907082E-2</v>
      </c>
      <c r="H557" s="14">
        <f t="shared" si="35"/>
        <v>2.1663461015735786E-2</v>
      </c>
      <c r="I557" s="39"/>
      <c r="J557" s="47">
        <f t="shared" si="37"/>
        <v>214</v>
      </c>
      <c r="K557" s="49">
        <f t="shared" si="36"/>
        <v>3.5120696662134053E-7</v>
      </c>
      <c r="L557" s="17">
        <v>-3.9490817700669228E-2</v>
      </c>
      <c r="M557" s="27"/>
      <c r="N557" s="49">
        <v>4.045578124028383E-7</v>
      </c>
      <c r="O557" s="27">
        <v>9.5164229274592137E-3</v>
      </c>
      <c r="Q557" s="2"/>
      <c r="R557" s="24"/>
      <c r="S557" s="24"/>
      <c r="T557" s="24"/>
    </row>
    <row r="558" spans="1:20" x14ac:dyDescent="0.25">
      <c r="A558" s="2">
        <v>44596</v>
      </c>
      <c r="B558" s="20">
        <v>2678</v>
      </c>
      <c r="C558" s="29">
        <v>419.5</v>
      </c>
      <c r="D558" s="20">
        <v>17430</v>
      </c>
      <c r="E558" s="17">
        <f t="shared" si="34"/>
        <v>-1.491424310216205E-3</v>
      </c>
      <c r="F558" s="17">
        <f t="shared" si="34"/>
        <v>-5.924170616113722E-3</v>
      </c>
      <c r="G558" s="17">
        <f t="shared" si="34"/>
        <v>-1.2464589235127499E-2</v>
      </c>
      <c r="H558" s="14">
        <f t="shared" si="35"/>
        <v>-1.0598232726814599E-2</v>
      </c>
      <c r="I558" s="39"/>
      <c r="J558" s="47">
        <f t="shared" si="37"/>
        <v>213</v>
      </c>
      <c r="K558" s="49">
        <f t="shared" si="36"/>
        <v>3.4418282728891366E-7</v>
      </c>
      <c r="L558" s="17">
        <v>-2.8795116189066647E-2</v>
      </c>
      <c r="M558" s="27"/>
      <c r="N558" s="49">
        <v>1.359615323644679E-6</v>
      </c>
      <c r="O558" s="27">
        <v>9.5508880928411553E-3</v>
      </c>
      <c r="Q558" s="2"/>
      <c r="R558" s="24"/>
      <c r="S558" s="24"/>
      <c r="T558" s="24"/>
    </row>
    <row r="559" spans="1:20" x14ac:dyDescent="0.25">
      <c r="A559" s="2">
        <v>44595</v>
      </c>
      <c r="B559" s="20">
        <v>2682</v>
      </c>
      <c r="C559" s="20">
        <v>422</v>
      </c>
      <c r="D559" s="20">
        <v>17650</v>
      </c>
      <c r="E559" s="17">
        <f t="shared" si="34"/>
        <v>-1.0332103321033181E-2</v>
      </c>
      <c r="F559" s="17">
        <f t="shared" si="34"/>
        <v>9.5693779904306719E-3</v>
      </c>
      <c r="G559" s="17">
        <f t="shared" si="34"/>
        <v>-2.3242944106253494E-2</v>
      </c>
      <c r="H559" s="14">
        <f t="shared" si="35"/>
        <v>-1.9943582589862008E-2</v>
      </c>
      <c r="I559" s="39"/>
      <c r="J559" s="47">
        <f t="shared" si="37"/>
        <v>212</v>
      </c>
      <c r="K559" s="49">
        <f t="shared" si="36"/>
        <v>3.3729917074313535E-7</v>
      </c>
      <c r="L559" s="17">
        <v>-1.4893495206729586E-2</v>
      </c>
      <c r="M559" s="27"/>
      <c r="N559" s="49">
        <v>9.2767019197184783E-4</v>
      </c>
      <c r="O559" s="27">
        <v>9.551163351938249E-3</v>
      </c>
      <c r="Q559" s="2"/>
      <c r="R559" s="24"/>
      <c r="S559" s="24"/>
      <c r="T559" s="24"/>
    </row>
    <row r="560" spans="1:20" x14ac:dyDescent="0.25">
      <c r="A560" s="2">
        <v>44594</v>
      </c>
      <c r="B560" s="20">
        <v>2710</v>
      </c>
      <c r="C560" s="20">
        <v>418</v>
      </c>
      <c r="D560" s="20">
        <v>18070</v>
      </c>
      <c r="E560" s="17">
        <f t="shared" si="34"/>
        <v>3.7037037037037646E-3</v>
      </c>
      <c r="F560" s="17">
        <f t="shared" si="34"/>
        <v>-4.761904761904745E-3</v>
      </c>
      <c r="G560" s="17">
        <f t="shared" si="34"/>
        <v>-2.2087244616234569E-3</v>
      </c>
      <c r="H560" s="14">
        <f t="shared" si="35"/>
        <v>-1.4701005123963706E-3</v>
      </c>
      <c r="I560" s="39"/>
      <c r="J560" s="47">
        <f t="shared" si="37"/>
        <v>211</v>
      </c>
      <c r="K560" s="49">
        <f t="shared" si="36"/>
        <v>3.3055318732827267E-7</v>
      </c>
      <c r="L560" s="17">
        <v>6.2632094020469258E-3</v>
      </c>
      <c r="M560" s="27"/>
      <c r="N560" s="49">
        <v>4.8522806390415957E-7</v>
      </c>
      <c r="O560" s="27">
        <v>9.6291409026306191E-3</v>
      </c>
      <c r="Q560" s="2"/>
      <c r="R560" s="24"/>
      <c r="S560" s="24"/>
      <c r="T560" s="24"/>
    </row>
    <row r="561" spans="1:20" x14ac:dyDescent="0.25">
      <c r="A561" s="2">
        <v>44593</v>
      </c>
      <c r="B561" s="20">
        <v>2700</v>
      </c>
      <c r="C561" s="20">
        <v>420</v>
      </c>
      <c r="D561" s="20">
        <v>18110</v>
      </c>
      <c r="E561" s="17">
        <f t="shared" si="34"/>
        <v>-1.8181818181818188E-2</v>
      </c>
      <c r="F561" s="17">
        <f t="shared" si="34"/>
        <v>1.1918951132301459E-3</v>
      </c>
      <c r="G561" s="17">
        <f t="shared" si="34"/>
        <v>-1.0382513661202131E-2</v>
      </c>
      <c r="H561" s="14">
        <f t="shared" si="35"/>
        <v>-1.0996336254342359E-2</v>
      </c>
      <c r="I561" s="39"/>
      <c r="J561" s="47">
        <f t="shared" si="37"/>
        <v>210</v>
      </c>
      <c r="K561" s="49">
        <f t="shared" si="36"/>
        <v>3.2394212358170723E-7</v>
      </c>
      <c r="L561" s="17">
        <v>-2.1295254092044877E-3</v>
      </c>
      <c r="M561" s="27"/>
      <c r="N561" s="49">
        <v>1.2809996759278062E-4</v>
      </c>
      <c r="O561" s="27">
        <v>9.6459672807007579E-3</v>
      </c>
      <c r="Q561" s="2"/>
      <c r="R561" s="24"/>
      <c r="S561" s="24"/>
      <c r="T561" s="24"/>
    </row>
    <row r="562" spans="1:20" x14ac:dyDescent="0.25">
      <c r="A562" s="2">
        <v>44592</v>
      </c>
      <c r="B562" s="20">
        <v>2750</v>
      </c>
      <c r="C562" s="29">
        <v>419.5</v>
      </c>
      <c r="D562" s="20">
        <v>18300</v>
      </c>
      <c r="E562" s="17">
        <f t="shared" si="34"/>
        <v>8.0645161290322509E-3</v>
      </c>
      <c r="F562" s="17">
        <f t="shared" si="34"/>
        <v>-3.5629453681710332E-3</v>
      </c>
      <c r="G562" s="17">
        <f t="shared" si="34"/>
        <v>1.7797552836484876E-2</v>
      </c>
      <c r="H562" s="14">
        <f t="shared" si="35"/>
        <v>1.5458573935203146E-2</v>
      </c>
      <c r="I562" s="39"/>
      <c r="J562" s="47">
        <f t="shared" si="37"/>
        <v>209</v>
      </c>
      <c r="K562" s="49">
        <f t="shared" si="36"/>
        <v>3.1746328111007302E-7</v>
      </c>
      <c r="L562" s="17">
        <v>-1.9562018032712489E-2</v>
      </c>
      <c r="M562" s="27"/>
      <c r="N562" s="49">
        <v>6.3030707923403386E-9</v>
      </c>
      <c r="O562" s="27">
        <v>9.6480001676206E-3</v>
      </c>
      <c r="Q562" s="2"/>
      <c r="R562" s="24"/>
      <c r="S562" s="24"/>
      <c r="T562" s="24"/>
    </row>
    <row r="563" spans="1:20" x14ac:dyDescent="0.25">
      <c r="A563" s="2">
        <v>44589</v>
      </c>
      <c r="B563" s="20">
        <v>2728</v>
      </c>
      <c r="C563" s="20">
        <v>421</v>
      </c>
      <c r="D563" s="20">
        <v>17980</v>
      </c>
      <c r="E563" s="17">
        <f t="shared" si="34"/>
        <v>-8.0000000000000071E-3</v>
      </c>
      <c r="F563" s="17">
        <f t="shared" si="34"/>
        <v>5.9737156511350253E-3</v>
      </c>
      <c r="G563" s="17">
        <f t="shared" si="34"/>
        <v>7.2829131652660806E-3</v>
      </c>
      <c r="H563" s="14">
        <f t="shared" si="35"/>
        <v>5.0262076872495736E-3</v>
      </c>
      <c r="I563" s="39"/>
      <c r="J563" s="47">
        <f t="shared" si="37"/>
        <v>208</v>
      </c>
      <c r="K563" s="49">
        <f t="shared" si="36"/>
        <v>3.1111401548787154E-7</v>
      </c>
      <c r="L563" s="17">
        <v>-1.5458750633583308E-2</v>
      </c>
      <c r="M563" s="27"/>
      <c r="N563" s="49">
        <v>2.3459135674890396E-6</v>
      </c>
      <c r="O563" s="27">
        <v>9.6857551554620711E-3</v>
      </c>
      <c r="Q563" s="2"/>
      <c r="R563" s="24"/>
      <c r="S563" s="24"/>
      <c r="T563" s="24"/>
    </row>
    <row r="564" spans="1:20" x14ac:dyDescent="0.25">
      <c r="A564" s="2">
        <v>44588</v>
      </c>
      <c r="B564" s="20">
        <v>2750</v>
      </c>
      <c r="C564" s="29">
        <v>418.5</v>
      </c>
      <c r="D564" s="20">
        <v>17850</v>
      </c>
      <c r="E564" s="17">
        <f t="shared" si="34"/>
        <v>2.9962546816479474E-2</v>
      </c>
      <c r="F564" s="17">
        <f t="shared" si="34"/>
        <v>-5.9382422802850554E-3</v>
      </c>
      <c r="G564" s="17">
        <f t="shared" si="34"/>
        <v>2.262961902033811E-2</v>
      </c>
      <c r="H564" s="14">
        <f t="shared" si="35"/>
        <v>2.2429775013341986E-2</v>
      </c>
      <c r="I564" s="39"/>
      <c r="J564" s="47">
        <f t="shared" si="37"/>
        <v>207</v>
      </c>
      <c r="K564" s="49">
        <f t="shared" si="36"/>
        <v>3.0489173517811411E-7</v>
      </c>
      <c r="L564" s="17">
        <v>-7.0704026221918423E-3</v>
      </c>
      <c r="M564" s="27"/>
      <c r="N564" s="49">
        <v>5.4747221851650125E-8</v>
      </c>
      <c r="O564" s="27">
        <v>9.6911541205012934E-3</v>
      </c>
      <c r="Q564" s="2"/>
      <c r="R564" s="24"/>
      <c r="S564" s="24"/>
      <c r="T564" s="24"/>
    </row>
    <row r="565" spans="1:20" x14ac:dyDescent="0.25">
      <c r="A565" s="2">
        <v>44587</v>
      </c>
      <c r="B565" s="20">
        <v>2670</v>
      </c>
      <c r="C565" s="20">
        <v>421</v>
      </c>
      <c r="D565" s="20">
        <v>17455</v>
      </c>
      <c r="E565" s="17">
        <f t="shared" si="34"/>
        <v>3.759398496240518E-3</v>
      </c>
      <c r="F565" s="17">
        <f t="shared" si="34"/>
        <v>-2.3696682464454666E-3</v>
      </c>
      <c r="G565" s="17">
        <f t="shared" si="34"/>
        <v>3.0401416765053035E-2</v>
      </c>
      <c r="H565" s="14">
        <f t="shared" si="35"/>
        <v>2.5127969604791186E-2</v>
      </c>
      <c r="I565" s="39"/>
      <c r="J565" s="47">
        <f t="shared" si="37"/>
        <v>206</v>
      </c>
      <c r="K565" s="49">
        <f t="shared" si="36"/>
        <v>2.987939004745518E-7</v>
      </c>
      <c r="L565" s="17">
        <v>1.1565298382013877E-2</v>
      </c>
      <c r="M565" s="27"/>
      <c r="N565" s="49">
        <v>1.6307274038984954E-6</v>
      </c>
      <c r="O565" s="27">
        <v>9.6957358154277102E-3</v>
      </c>
      <c r="Q565" s="2"/>
      <c r="R565" s="24"/>
      <c r="S565" s="24"/>
      <c r="T565" s="24"/>
    </row>
    <row r="566" spans="1:20" x14ac:dyDescent="0.25">
      <c r="A566" s="2">
        <v>44586</v>
      </c>
      <c r="B566" s="20">
        <v>2660</v>
      </c>
      <c r="C566" s="20">
        <v>422</v>
      </c>
      <c r="D566" s="20">
        <v>16940</v>
      </c>
      <c r="E566" s="17">
        <f t="shared" si="34"/>
        <v>1.5267175572519109E-2</v>
      </c>
      <c r="F566" s="17">
        <f t="shared" si="34"/>
        <v>1.3205282112845218E-2</v>
      </c>
      <c r="G566" s="17">
        <f t="shared" si="34"/>
        <v>-1.1668611435239229E-2</v>
      </c>
      <c r="H566" s="14">
        <f t="shared" si="35"/>
        <v>-6.6998304463049352E-3</v>
      </c>
      <c r="I566" s="39"/>
      <c r="J566" s="47">
        <f t="shared" si="37"/>
        <v>205</v>
      </c>
      <c r="K566" s="49">
        <f t="shared" si="36"/>
        <v>2.9281802246506076E-7</v>
      </c>
      <c r="L566" s="17">
        <v>8.1407383442699075E-3</v>
      </c>
      <c r="M566" s="27"/>
      <c r="N566" s="49">
        <v>1.2309163555260304E-3</v>
      </c>
      <c r="O566" s="27">
        <v>9.739896214800127E-3</v>
      </c>
      <c r="Q566" s="2"/>
      <c r="R566" s="24"/>
      <c r="S566" s="24"/>
      <c r="T566" s="24"/>
    </row>
    <row r="567" spans="1:20" x14ac:dyDescent="0.25">
      <c r="A567" s="2">
        <v>44585</v>
      </c>
      <c r="B567" s="20">
        <v>2620</v>
      </c>
      <c r="C567" s="29">
        <v>416.5</v>
      </c>
      <c r="D567" s="20">
        <v>17140</v>
      </c>
      <c r="E567" s="17">
        <f t="shared" si="34"/>
        <v>-2.3845007451564815E-2</v>
      </c>
      <c r="F567" s="17">
        <f t="shared" si="34"/>
        <v>-1.3033175355450233E-2</v>
      </c>
      <c r="G567" s="17">
        <f t="shared" si="34"/>
        <v>-9.2485549132947931E-3</v>
      </c>
      <c r="H567" s="14">
        <f t="shared" si="35"/>
        <v>-1.1515229841261763E-2</v>
      </c>
      <c r="I567" s="39"/>
      <c r="J567" s="47">
        <f t="shared" si="37"/>
        <v>204</v>
      </c>
      <c r="K567" s="49">
        <f t="shared" si="36"/>
        <v>2.8696166201575949E-7</v>
      </c>
      <c r="L567" s="17">
        <v>2.1663461015735786E-2</v>
      </c>
      <c r="M567" s="27"/>
      <c r="N567" s="49">
        <v>2.8136969885177793E-6</v>
      </c>
      <c r="O567" s="27">
        <v>9.7832341259892885E-3</v>
      </c>
      <c r="Q567" s="2"/>
      <c r="R567" s="24"/>
      <c r="S567" s="24"/>
      <c r="T567" s="24"/>
    </row>
    <row r="568" spans="1:20" x14ac:dyDescent="0.25">
      <c r="A568" s="2">
        <v>44582</v>
      </c>
      <c r="B568" s="20">
        <v>2684</v>
      </c>
      <c r="C568" s="20">
        <v>422</v>
      </c>
      <c r="D568" s="20">
        <v>17300</v>
      </c>
      <c r="E568" s="17">
        <f t="shared" si="34"/>
        <v>1.2066365007541435E-2</v>
      </c>
      <c r="F568" s="17">
        <f t="shared" si="34"/>
        <v>-5.8892815076561078E-3</v>
      </c>
      <c r="G568" s="17">
        <f t="shared" si="34"/>
        <v>-2.2046353872244184E-2</v>
      </c>
      <c r="H568" s="14">
        <f t="shared" si="35"/>
        <v>-1.6427769427726016E-2</v>
      </c>
      <c r="I568" s="39"/>
      <c r="J568" s="47">
        <f t="shared" si="37"/>
        <v>203</v>
      </c>
      <c r="K568" s="49">
        <f t="shared" si="36"/>
        <v>2.8122242877544436E-7</v>
      </c>
      <c r="L568" s="17">
        <v>-1.0598232726814599E-2</v>
      </c>
      <c r="M568" s="27"/>
      <c r="N568" s="49">
        <v>9.6592064969996656E-4</v>
      </c>
      <c r="O568" s="27">
        <v>9.9429057254051597E-3</v>
      </c>
      <c r="Q568" s="2"/>
      <c r="R568" s="24"/>
      <c r="S568" s="24"/>
      <c r="T568" s="24"/>
    </row>
    <row r="569" spans="1:20" x14ac:dyDescent="0.25">
      <c r="A569" s="2">
        <v>44581</v>
      </c>
      <c r="B569" s="20">
        <v>2652</v>
      </c>
      <c r="C569" s="29">
        <v>424.5</v>
      </c>
      <c r="D569" s="20">
        <v>17690</v>
      </c>
      <c r="E569" s="17">
        <f t="shared" si="34"/>
        <v>-3.0075187969924588E-3</v>
      </c>
      <c r="F569" s="17">
        <f t="shared" si="34"/>
        <v>-3.5211267605633756E-3</v>
      </c>
      <c r="G569" s="17">
        <f t="shared" si="34"/>
        <v>-1.6129032258064502E-2</v>
      </c>
      <c r="H569" s="14">
        <f t="shared" si="35"/>
        <v>-1.3686974816737319E-2</v>
      </c>
      <c r="I569" s="39"/>
      <c r="J569" s="47">
        <f t="shared" si="37"/>
        <v>202</v>
      </c>
      <c r="K569" s="49">
        <f t="shared" si="36"/>
        <v>2.7559798019993544E-7</v>
      </c>
      <c r="L569" s="17">
        <v>-1.9943582589862008E-2</v>
      </c>
      <c r="M569" s="27"/>
      <c r="N569" s="49">
        <v>1.6970781698873846E-7</v>
      </c>
      <c r="O569" s="27">
        <v>1.016140668717435E-2</v>
      </c>
      <c r="Q569" s="2"/>
      <c r="R569" s="24"/>
      <c r="S569" s="24"/>
      <c r="T569" s="24"/>
    </row>
    <row r="570" spans="1:20" x14ac:dyDescent="0.25">
      <c r="A570" s="2">
        <v>44580</v>
      </c>
      <c r="B570" s="20">
        <v>2660</v>
      </c>
      <c r="C570" s="20">
        <v>426</v>
      </c>
      <c r="D570" s="20">
        <v>17980</v>
      </c>
      <c r="E570" s="17">
        <f t="shared" si="34"/>
        <v>1.3719512195121908E-2</v>
      </c>
      <c r="F570" s="17">
        <f t="shared" si="34"/>
        <v>1.067615658362997E-2</v>
      </c>
      <c r="G570" s="17">
        <f t="shared" si="34"/>
        <v>1.324316708932094E-2</v>
      </c>
      <c r="H570" s="14">
        <f t="shared" si="35"/>
        <v>1.3198938687609017E-2</v>
      </c>
      <c r="I570" s="39"/>
      <c r="J570" s="47">
        <f t="shared" si="37"/>
        <v>201</v>
      </c>
      <c r="K570" s="49">
        <f t="shared" si="36"/>
        <v>2.7008602059593672E-7</v>
      </c>
      <c r="L570" s="17">
        <v>-1.4701005123963706E-3</v>
      </c>
      <c r="M570" s="27"/>
      <c r="N570" s="49">
        <v>1.3345173965307198E-3</v>
      </c>
      <c r="O570" s="27">
        <v>1.0173265048773767E-2</v>
      </c>
      <c r="Q570" s="2"/>
      <c r="R570" s="24"/>
      <c r="S570" s="24"/>
      <c r="T570" s="24"/>
    </row>
    <row r="571" spans="1:20" x14ac:dyDescent="0.25">
      <c r="A571" s="2">
        <v>44579</v>
      </c>
      <c r="B571" s="20">
        <v>2624</v>
      </c>
      <c r="C571" s="29">
        <v>421.5</v>
      </c>
      <c r="D571" s="20">
        <v>17745</v>
      </c>
      <c r="E571" s="17">
        <f t="shared" si="34"/>
        <v>-1.6491754122938573E-2</v>
      </c>
      <c r="F571" s="17">
        <f t="shared" si="34"/>
        <v>5.9665871121719061E-3</v>
      </c>
      <c r="G571" s="17">
        <f t="shared" si="34"/>
        <v>-2.0695364238410563E-2</v>
      </c>
      <c r="H571" s="14">
        <f t="shared" si="35"/>
        <v>-1.8919158887766716E-2</v>
      </c>
      <c r="I571" s="39"/>
      <c r="J571" s="47">
        <f t="shared" si="37"/>
        <v>200</v>
      </c>
      <c r="K571" s="49">
        <f t="shared" si="36"/>
        <v>2.6468430018401795E-7</v>
      </c>
      <c r="L571" s="17">
        <v>-1.0996336254342359E-2</v>
      </c>
      <c r="M571" s="27"/>
      <c r="N571" s="49">
        <v>5.2661878935994281E-5</v>
      </c>
      <c r="O571" s="27">
        <v>1.024582754339253E-2</v>
      </c>
      <c r="Q571" s="2"/>
      <c r="R571" s="24"/>
      <c r="S571" s="24"/>
      <c r="T571" s="24"/>
    </row>
    <row r="572" spans="1:20" x14ac:dyDescent="0.25">
      <c r="A572" s="2">
        <v>44578</v>
      </c>
      <c r="B572" s="20">
        <v>2668</v>
      </c>
      <c r="C572" s="20">
        <v>419</v>
      </c>
      <c r="D572" s="20">
        <v>18120</v>
      </c>
      <c r="E572" s="17">
        <f t="shared" si="34"/>
        <v>6.0331825037707176E-3</v>
      </c>
      <c r="F572" s="17">
        <f t="shared" si="34"/>
        <v>4.7961630695443347E-3</v>
      </c>
      <c r="G572" s="17">
        <f t="shared" si="34"/>
        <v>2.8960817717206044E-2</v>
      </c>
      <c r="H572" s="14">
        <f t="shared" si="35"/>
        <v>2.4599962429183997E-2</v>
      </c>
      <c r="I572" s="39"/>
      <c r="J572" s="47">
        <f t="shared" si="37"/>
        <v>199</v>
      </c>
      <c r="K572" s="49">
        <f t="shared" si="36"/>
        <v>2.593906141803376E-7</v>
      </c>
      <c r="L572" s="17">
        <v>1.5458573935203146E-2</v>
      </c>
      <c r="M572" s="27"/>
      <c r="N572" s="49">
        <v>2.2565568097715387E-3</v>
      </c>
      <c r="O572" s="27">
        <v>1.0341019962971177E-2</v>
      </c>
      <c r="Q572" s="2"/>
      <c r="R572" s="24"/>
      <c r="S572" s="24"/>
      <c r="T572" s="24"/>
    </row>
    <row r="573" spans="1:20" x14ac:dyDescent="0.25">
      <c r="A573" s="2">
        <v>44575</v>
      </c>
      <c r="B573" s="20">
        <v>2652</v>
      </c>
      <c r="C573" s="20">
        <v>417</v>
      </c>
      <c r="D573" s="20">
        <v>17610</v>
      </c>
      <c r="E573" s="17">
        <f t="shared" si="34"/>
        <v>-1.2658227848101222E-2</v>
      </c>
      <c r="F573" s="17">
        <f t="shared" si="34"/>
        <v>0</v>
      </c>
      <c r="G573" s="17">
        <f t="shared" si="34"/>
        <v>-3.3214383749656906E-2</v>
      </c>
      <c r="H573" s="14">
        <f t="shared" si="35"/>
        <v>-2.8797208706064122E-2</v>
      </c>
      <c r="I573" s="39"/>
      <c r="J573" s="47">
        <f t="shared" si="37"/>
        <v>198</v>
      </c>
      <c r="K573" s="49">
        <f t="shared" si="36"/>
        <v>2.5420280189673084E-7</v>
      </c>
      <c r="L573" s="17">
        <v>5.0262076872495736E-3</v>
      </c>
      <c r="M573" s="27"/>
      <c r="N573" s="49">
        <v>9.0911678813241064E-4</v>
      </c>
      <c r="O573" s="27">
        <v>1.0404856178445941E-2</v>
      </c>
      <c r="Q573" s="2"/>
      <c r="R573" s="24"/>
      <c r="S573" s="24"/>
      <c r="T573" s="24"/>
    </row>
    <row r="574" spans="1:20" x14ac:dyDescent="0.25">
      <c r="A574" s="2">
        <v>44574</v>
      </c>
      <c r="B574" s="20">
        <v>2686</v>
      </c>
      <c r="C574" s="20">
        <v>417</v>
      </c>
      <c r="D574" s="20">
        <v>18215</v>
      </c>
      <c r="E574" s="17">
        <f t="shared" si="34"/>
        <v>-1.4869888475836923E-3</v>
      </c>
      <c r="F574" s="17">
        <f t="shared" si="34"/>
        <v>1.2004801920768582E-3</v>
      </c>
      <c r="G574" s="17">
        <f t="shared" si="34"/>
        <v>-2.0698924731182844E-2</v>
      </c>
      <c r="H574" s="14">
        <f t="shared" si="35"/>
        <v>-1.6972270244704792E-2</v>
      </c>
      <c r="I574" s="39"/>
      <c r="J574" s="47">
        <f t="shared" si="37"/>
        <v>197</v>
      </c>
      <c r="K574" s="49">
        <f t="shared" si="36"/>
        <v>2.4911874585879622E-7</v>
      </c>
      <c r="L574" s="17">
        <v>2.2429775013341986E-2</v>
      </c>
      <c r="M574" s="27"/>
      <c r="N574" s="49">
        <v>1.414935126303537E-7</v>
      </c>
      <c r="O574" s="27">
        <v>1.0524331330064028E-2</v>
      </c>
      <c r="Q574" s="2"/>
      <c r="R574" s="24"/>
      <c r="S574" s="24"/>
      <c r="T574" s="24"/>
    </row>
    <row r="575" spans="1:20" x14ac:dyDescent="0.25">
      <c r="A575" s="2">
        <v>44573</v>
      </c>
      <c r="B575" s="20">
        <v>2690</v>
      </c>
      <c r="C575" s="29">
        <v>416.5</v>
      </c>
      <c r="D575" s="20">
        <v>18600</v>
      </c>
      <c r="E575" s="17">
        <f t="shared" si="34"/>
        <v>1.5861027190332333E-2</v>
      </c>
      <c r="F575" s="17">
        <f t="shared" si="34"/>
        <v>-3.5885167464114742E-3</v>
      </c>
      <c r="G575" s="17">
        <f t="shared" si="34"/>
        <v>2.8192371475953548E-2</v>
      </c>
      <c r="H575" s="14">
        <f t="shared" si="35"/>
        <v>2.5021711606339186E-2</v>
      </c>
      <c r="I575" s="39"/>
      <c r="J575" s="47">
        <f t="shared" si="37"/>
        <v>196</v>
      </c>
      <c r="K575" s="49">
        <f t="shared" si="36"/>
        <v>2.441363709416203E-7</v>
      </c>
      <c r="L575" s="17">
        <v>2.5127969604791186E-2</v>
      </c>
      <c r="M575" s="27"/>
      <c r="N575" s="49">
        <v>8.7265877088275054E-5</v>
      </c>
      <c r="O575" s="27">
        <v>1.0558693131749034E-2</v>
      </c>
      <c r="Q575" s="2"/>
      <c r="R575" s="24"/>
      <c r="S575" s="24"/>
      <c r="T575" s="24"/>
    </row>
    <row r="576" spans="1:20" x14ac:dyDescent="0.25">
      <c r="A576" s="2">
        <v>44572</v>
      </c>
      <c r="B576" s="20">
        <v>2648</v>
      </c>
      <c r="C576" s="20">
        <v>418</v>
      </c>
      <c r="D576" s="20">
        <v>18090</v>
      </c>
      <c r="E576" s="17">
        <f t="shared" si="34"/>
        <v>4.5523520485584168E-3</v>
      </c>
      <c r="F576" s="17">
        <f t="shared" si="34"/>
        <v>0</v>
      </c>
      <c r="G576" s="17">
        <f t="shared" si="34"/>
        <v>4.5060658578856216E-2</v>
      </c>
      <c r="H576" s="14">
        <f t="shared" si="35"/>
        <v>3.7251966868216073E-2</v>
      </c>
      <c r="I576" s="39"/>
      <c r="J576" s="47">
        <f t="shared" si="37"/>
        <v>195</v>
      </c>
      <c r="K576" s="49">
        <f t="shared" si="36"/>
        <v>2.392536435227879E-7</v>
      </c>
      <c r="L576" s="17">
        <v>-6.6998304463049352E-3</v>
      </c>
      <c r="M576" s="27"/>
      <c r="N576" s="49">
        <v>9.6541508279495149E-5</v>
      </c>
      <c r="O576" s="27">
        <v>1.0628093665034487E-2</v>
      </c>
      <c r="Q576" s="2"/>
      <c r="R576" s="24"/>
      <c r="S576" s="24"/>
      <c r="T576" s="24"/>
    </row>
    <row r="577" spans="1:20" x14ac:dyDescent="0.25">
      <c r="A577" s="2">
        <v>44571</v>
      </c>
      <c r="B577" s="20">
        <v>2636</v>
      </c>
      <c r="C577" s="20">
        <v>418</v>
      </c>
      <c r="D577" s="20">
        <v>17310</v>
      </c>
      <c r="E577" s="17">
        <f t="shared" si="34"/>
        <v>1.3846153846153841E-2</v>
      </c>
      <c r="F577" s="17">
        <f t="shared" si="34"/>
        <v>4.8076923076922906E-3</v>
      </c>
      <c r="G577" s="17">
        <f t="shared" si="34"/>
        <v>6.9808027923210503E-3</v>
      </c>
      <c r="H577" s="14">
        <f t="shared" si="35"/>
        <v>7.8732482259584111E-3</v>
      </c>
      <c r="I577" s="39"/>
      <c r="J577" s="47">
        <f t="shared" si="37"/>
        <v>194</v>
      </c>
      <c r="K577" s="49">
        <f t="shared" si="36"/>
        <v>2.3446857065233211E-7</v>
      </c>
      <c r="L577" s="17">
        <v>-1.1515229841261763E-2</v>
      </c>
      <c r="M577" s="27"/>
      <c r="N577" s="49">
        <v>5.2579231866324766E-8</v>
      </c>
      <c r="O577" s="27">
        <v>1.0691470403684778E-2</v>
      </c>
      <c r="Q577" s="2"/>
      <c r="R577" s="24"/>
      <c r="S577" s="24"/>
      <c r="T577" s="24"/>
    </row>
    <row r="578" spans="1:20" x14ac:dyDescent="0.25">
      <c r="A578" s="2">
        <v>44568</v>
      </c>
      <c r="B578" s="20">
        <v>2600</v>
      </c>
      <c r="C578" s="20">
        <v>416</v>
      </c>
      <c r="D578" s="20">
        <v>17190</v>
      </c>
      <c r="E578" s="17">
        <f t="shared" si="34"/>
        <v>-3.8314176245211051E-3</v>
      </c>
      <c r="F578" s="17">
        <f t="shared" si="34"/>
        <v>-4.784688995215336E-3</v>
      </c>
      <c r="G578" s="17">
        <f t="shared" si="34"/>
        <v>1.6558249556475557E-2</v>
      </c>
      <c r="H578" s="14">
        <f t="shared" si="35"/>
        <v>1.26865678377321E-2</v>
      </c>
      <c r="I578" s="39"/>
      <c r="J578" s="47">
        <f t="shared" si="37"/>
        <v>193</v>
      </c>
      <c r="K578" s="49">
        <f t="shared" si="36"/>
        <v>2.297791992392855E-7</v>
      </c>
      <c r="L578" s="17">
        <v>-1.6427769427726016E-2</v>
      </c>
      <c r="M578" s="27"/>
      <c r="N578" s="49">
        <v>1.6640075549984646E-6</v>
      </c>
      <c r="O578" s="27">
        <v>1.0716816031655103E-2</v>
      </c>
      <c r="Q578" s="2"/>
      <c r="R578" s="24"/>
      <c r="S578" s="24"/>
      <c r="T578" s="24"/>
    </row>
    <row r="579" spans="1:20" x14ac:dyDescent="0.25">
      <c r="A579" s="2">
        <v>44567</v>
      </c>
      <c r="B579" s="20">
        <v>2610</v>
      </c>
      <c r="C579" s="20">
        <v>418</v>
      </c>
      <c r="D579" s="20">
        <v>16910</v>
      </c>
      <c r="E579" s="17">
        <f t="shared" si="34"/>
        <v>-3.0557677616500634E-3</v>
      </c>
      <c r="F579" s="17">
        <f t="shared" si="34"/>
        <v>4.8076923076922906E-3</v>
      </c>
      <c r="G579" s="17">
        <f t="shared" si="34"/>
        <v>-1.1977797253870826E-2</v>
      </c>
      <c r="H579" s="14">
        <f t="shared" si="35"/>
        <v>-9.9565102456148618E-3</v>
      </c>
      <c r="I579" s="39"/>
      <c r="J579" s="47">
        <f t="shared" si="37"/>
        <v>192</v>
      </c>
      <c r="K579" s="49">
        <f t="shared" si="36"/>
        <v>2.2518361525449978E-7</v>
      </c>
      <c r="L579" s="17">
        <v>-1.3686974816737319E-2</v>
      </c>
      <c r="M579" s="27"/>
      <c r="N579" s="49">
        <v>1.0262737567892275E-3</v>
      </c>
      <c r="O579" s="27">
        <v>1.0954116195357933E-2</v>
      </c>
      <c r="Q579" s="2"/>
      <c r="R579" s="24"/>
      <c r="S579" s="24"/>
      <c r="T579" s="24"/>
    </row>
    <row r="580" spans="1:20" x14ac:dyDescent="0.25">
      <c r="A580" s="2">
        <v>44566</v>
      </c>
      <c r="B580" s="20">
        <v>2618</v>
      </c>
      <c r="C580" s="20">
        <v>416</v>
      </c>
      <c r="D580" s="20">
        <v>17115</v>
      </c>
      <c r="E580" s="17">
        <f t="shared" si="34"/>
        <v>6.9230769230770317E-3</v>
      </c>
      <c r="F580" s="17">
        <f t="shared" si="34"/>
        <v>-1.0701545778834753E-2</v>
      </c>
      <c r="G580" s="17">
        <f t="shared" si="34"/>
        <v>1.6632016632016633E-2</v>
      </c>
      <c r="H580" s="14">
        <f t="shared" si="35"/>
        <v>1.4034096850065779E-2</v>
      </c>
      <c r="I580" s="39"/>
      <c r="J580" s="47">
        <f t="shared" si="37"/>
        <v>191</v>
      </c>
      <c r="K580" s="49">
        <f t="shared" si="36"/>
        <v>2.2067994294940979E-7</v>
      </c>
      <c r="L580" s="17">
        <v>1.3198938687609017E-2</v>
      </c>
      <c r="M580" s="27"/>
      <c r="N580" s="49">
        <v>1.4460808193421417E-4</v>
      </c>
      <c r="O580" s="27">
        <v>1.1114351682663582E-2</v>
      </c>
      <c r="Q580" s="2"/>
      <c r="R580" s="24"/>
      <c r="S580" s="24"/>
      <c r="T580" s="24"/>
    </row>
    <row r="581" spans="1:20" x14ac:dyDescent="0.25">
      <c r="A581" s="2">
        <v>44565</v>
      </c>
      <c r="B581" s="20">
        <v>2600</v>
      </c>
      <c r="C581" s="29">
        <v>420.5</v>
      </c>
      <c r="D581" s="20">
        <v>16835</v>
      </c>
      <c r="E581" s="17">
        <f t="shared" si="34"/>
        <v>6.1919504643963563E-3</v>
      </c>
      <c r="F581" s="17">
        <f t="shared" si="34"/>
        <v>5.9808612440190867E-3</v>
      </c>
      <c r="G581" s="17">
        <f t="shared" si="34"/>
        <v>-1.1740534194305874E-2</v>
      </c>
      <c r="H581" s="14">
        <f t="shared" si="35"/>
        <v>-8.3815390895545343E-3</v>
      </c>
      <c r="I581" s="39"/>
      <c r="J581" s="47">
        <f t="shared" si="37"/>
        <v>190</v>
      </c>
      <c r="K581" s="49">
        <f t="shared" si="36"/>
        <v>2.1626634409042155E-7</v>
      </c>
      <c r="L581" s="17">
        <v>-1.8919158887766716E-2</v>
      </c>
      <c r="M581" s="27"/>
      <c r="N581" s="49">
        <v>8.0322880877845338E-9</v>
      </c>
      <c r="O581" s="27">
        <v>1.1129196887373495E-2</v>
      </c>
      <c r="Q581" s="2"/>
      <c r="R581" s="24"/>
      <c r="S581" s="24"/>
      <c r="T581" s="24"/>
    </row>
    <row r="582" spans="1:20" x14ac:dyDescent="0.25">
      <c r="A582" s="2">
        <v>44564</v>
      </c>
      <c r="B582" s="20">
        <v>2584</v>
      </c>
      <c r="C582" s="20">
        <v>418</v>
      </c>
      <c r="D582" s="20">
        <v>17035</v>
      </c>
      <c r="E582" s="17">
        <f t="shared" ref="E582:G645" si="38">+B582/B583-1</f>
        <v>2.5396825396825307E-2</v>
      </c>
      <c r="F582" s="17">
        <f t="shared" si="38"/>
        <v>1.5795868772782606E-2</v>
      </c>
      <c r="G582" s="17">
        <f t="shared" si="38"/>
        <v>2.6204819277108493E-2</v>
      </c>
      <c r="H582" s="14">
        <f t="shared" ref="H582:H645" si="39">+SUMPRODUCT(E582:G582,$K$9:$M$9)</f>
        <v>2.5631264510660518E-2</v>
      </c>
      <c r="I582" s="39"/>
      <c r="J582" s="47">
        <f t="shared" si="37"/>
        <v>189</v>
      </c>
      <c r="K582" s="49">
        <f t="shared" si="36"/>
        <v>2.1194101720861314E-7</v>
      </c>
      <c r="L582" s="17">
        <v>2.4599962429183997E-2</v>
      </c>
      <c r="M582" s="27"/>
      <c r="N582" s="49">
        <v>8.0533418008264725E-4</v>
      </c>
      <c r="O582" s="27">
        <v>1.1168769064489808E-2</v>
      </c>
      <c r="Q582" s="2"/>
      <c r="R582" s="24"/>
      <c r="S582" s="24"/>
      <c r="T582" s="24"/>
    </row>
    <row r="583" spans="1:20" x14ac:dyDescent="0.25">
      <c r="A583" s="2">
        <v>44560</v>
      </c>
      <c r="B583" s="20">
        <v>2520</v>
      </c>
      <c r="C583" s="29">
        <v>411.5</v>
      </c>
      <c r="D583" s="20">
        <v>16600</v>
      </c>
      <c r="E583" s="17">
        <f t="shared" si="38"/>
        <v>8.0000000000000071E-3</v>
      </c>
      <c r="F583" s="17">
        <f t="shared" si="38"/>
        <v>2.4360535931791105E-3</v>
      </c>
      <c r="G583" s="17">
        <f t="shared" si="38"/>
        <v>1.0962241169305775E-2</v>
      </c>
      <c r="H583" s="14">
        <f t="shared" si="39"/>
        <v>1.016140668717435E-2</v>
      </c>
      <c r="I583" s="39"/>
      <c r="J583" s="47">
        <f t="shared" si="37"/>
        <v>188</v>
      </c>
      <c r="K583" s="49">
        <f t="shared" si="36"/>
        <v>2.0770219686444089E-7</v>
      </c>
      <c r="L583" s="17">
        <v>-2.8797208706064122E-2</v>
      </c>
      <c r="M583" s="27"/>
      <c r="N583" s="49">
        <v>3.3800627093160838E-3</v>
      </c>
      <c r="O583" s="27">
        <v>1.1249768128449186E-2</v>
      </c>
      <c r="Q583" s="2"/>
      <c r="R583" s="24"/>
      <c r="S583" s="24"/>
      <c r="T583" s="24"/>
    </row>
    <row r="584" spans="1:20" x14ac:dyDescent="0.25">
      <c r="A584" s="2">
        <v>44559</v>
      </c>
      <c r="B584" s="20">
        <v>2500</v>
      </c>
      <c r="C584" s="29">
        <v>410.5</v>
      </c>
      <c r="D584" s="20">
        <v>16420</v>
      </c>
      <c r="E584" s="17">
        <f t="shared" si="38"/>
        <v>2.4590163934426146E-2</v>
      </c>
      <c r="F584" s="17">
        <f t="shared" si="38"/>
        <v>2.4420024420024333E-3</v>
      </c>
      <c r="G584" s="17">
        <f t="shared" si="38"/>
        <v>1.3267510027769269E-2</v>
      </c>
      <c r="H584" s="14">
        <f t="shared" si="39"/>
        <v>1.4421238374080164E-2</v>
      </c>
      <c r="I584" s="39"/>
      <c r="J584" s="47">
        <f t="shared" si="37"/>
        <v>187</v>
      </c>
      <c r="K584" s="49">
        <f t="shared" si="36"/>
        <v>2.0354815292715201E-7</v>
      </c>
      <c r="L584" s="17">
        <v>-1.6972270244704792E-2</v>
      </c>
      <c r="M584" s="27"/>
      <c r="N584" s="49">
        <v>3.1143994810923569E-5</v>
      </c>
      <c r="O584" s="27">
        <v>1.129407362977241E-2</v>
      </c>
      <c r="Q584" s="2"/>
      <c r="R584" s="24"/>
      <c r="S584" s="24"/>
      <c r="T584" s="24"/>
    </row>
    <row r="585" spans="1:20" x14ac:dyDescent="0.25">
      <c r="A585" s="2">
        <v>44558</v>
      </c>
      <c r="B585" s="20">
        <v>2440</v>
      </c>
      <c r="C585" s="29">
        <v>409.5</v>
      </c>
      <c r="D585" s="20">
        <v>16205</v>
      </c>
      <c r="E585" s="17">
        <f t="shared" si="38"/>
        <v>-5.7049714751425951E-3</v>
      </c>
      <c r="F585" s="17">
        <f t="shared" si="38"/>
        <v>8.6206896551723755E-3</v>
      </c>
      <c r="G585" s="17">
        <f t="shared" si="38"/>
        <v>3.4055727554178628E-3</v>
      </c>
      <c r="H585" s="14">
        <f t="shared" si="39"/>
        <v>2.3236884558648576E-3</v>
      </c>
      <c r="I585" s="39"/>
      <c r="J585" s="47">
        <f t="shared" si="37"/>
        <v>186</v>
      </c>
      <c r="K585" s="49">
        <f t="shared" si="36"/>
        <v>1.99477189868609E-7</v>
      </c>
      <c r="L585" s="17">
        <v>2.5021711606339186E-2</v>
      </c>
      <c r="M585" s="27"/>
      <c r="N585" s="49">
        <v>1.04667000083237E-4</v>
      </c>
      <c r="O585" s="27">
        <v>1.1392184120746156E-2</v>
      </c>
      <c r="Q585" s="2"/>
      <c r="R585" s="24"/>
      <c r="S585" s="24"/>
      <c r="T585" s="24"/>
    </row>
    <row r="586" spans="1:20" x14ac:dyDescent="0.25">
      <c r="A586" s="2">
        <v>44557</v>
      </c>
      <c r="B586" s="20">
        <v>2454</v>
      </c>
      <c r="C586" s="20">
        <v>406</v>
      </c>
      <c r="D586" s="20">
        <v>16150</v>
      </c>
      <c r="E586" s="17">
        <f t="shared" si="38"/>
        <v>-6.4777327935222617E-3</v>
      </c>
      <c r="F586" s="17">
        <f t="shared" si="38"/>
        <v>-4.9019607843137081E-3</v>
      </c>
      <c r="G586" s="17">
        <f t="shared" si="38"/>
        <v>6.8578553615961102E-3</v>
      </c>
      <c r="H586" s="14">
        <f t="shared" si="39"/>
        <v>4.4222510963373152E-3</v>
      </c>
      <c r="I586" s="39"/>
      <c r="J586" s="47">
        <f t="shared" si="37"/>
        <v>185</v>
      </c>
      <c r="K586" s="49">
        <f t="shared" si="36"/>
        <v>1.9548764607123676E-7</v>
      </c>
      <c r="L586" s="17">
        <v>3.7251966868216073E-2</v>
      </c>
      <c r="M586" s="27"/>
      <c r="N586" s="49">
        <v>7.2795831375058098E-4</v>
      </c>
      <c r="O586" s="27">
        <v>1.1444708722163719E-2</v>
      </c>
      <c r="Q586" s="2"/>
      <c r="R586" s="24"/>
      <c r="S586" s="24"/>
      <c r="T586" s="24"/>
    </row>
    <row r="587" spans="1:20" x14ac:dyDescent="0.25">
      <c r="A587" s="2">
        <v>44553</v>
      </c>
      <c r="B587" s="20">
        <v>2470</v>
      </c>
      <c r="C587" s="20">
        <v>408</v>
      </c>
      <c r="D587" s="20">
        <v>16040</v>
      </c>
      <c r="E587" s="17">
        <f t="shared" si="38"/>
        <v>0</v>
      </c>
      <c r="F587" s="17">
        <f t="shared" si="38"/>
        <v>-9.7087378640776656E-3</v>
      </c>
      <c r="G587" s="17">
        <f t="shared" si="38"/>
        <v>2.8205128205128105E-2</v>
      </c>
      <c r="H587" s="14">
        <f t="shared" si="39"/>
        <v>2.2480819266485395E-2</v>
      </c>
      <c r="I587" s="39"/>
      <c r="J587" s="47">
        <f t="shared" si="37"/>
        <v>184</v>
      </c>
      <c r="K587" s="49">
        <f t="shared" si="36"/>
        <v>1.9157789314981202E-7</v>
      </c>
      <c r="L587" s="17">
        <v>7.8732482259584111E-3</v>
      </c>
      <c r="M587" s="27"/>
      <c r="N587" s="49">
        <v>2.4452011857242198E-4</v>
      </c>
      <c r="O587" s="27">
        <v>1.1486959295933548E-2</v>
      </c>
      <c r="Q587" s="2"/>
      <c r="R587" s="24"/>
      <c r="S587" s="24"/>
      <c r="T587" s="24"/>
    </row>
    <row r="588" spans="1:20" x14ac:dyDescent="0.25">
      <c r="A588" s="2">
        <v>44552</v>
      </c>
      <c r="B588" s="20">
        <v>2470</v>
      </c>
      <c r="C588" s="20">
        <v>412</v>
      </c>
      <c r="D588" s="20">
        <v>15600</v>
      </c>
      <c r="E588" s="17">
        <f t="shared" si="38"/>
        <v>1.2295081967213184E-2</v>
      </c>
      <c r="F588" s="17">
        <f t="shared" si="38"/>
        <v>1.228501228501222E-2</v>
      </c>
      <c r="G588" s="17">
        <f t="shared" si="38"/>
        <v>-7.582938388625593E-2</v>
      </c>
      <c r="H588" s="14">
        <f t="shared" si="39"/>
        <v>-5.9277358339613444E-2</v>
      </c>
      <c r="I588" s="39"/>
      <c r="J588" s="47">
        <f t="shared" si="37"/>
        <v>183</v>
      </c>
      <c r="K588" s="49">
        <f t="shared" si="36"/>
        <v>1.8774633528681578E-7</v>
      </c>
      <c r="L588" s="17">
        <v>1.26865678377321E-2</v>
      </c>
      <c r="M588" s="27"/>
      <c r="N588" s="49">
        <v>7.5638842585514717E-8</v>
      </c>
      <c r="O588" s="27">
        <v>1.1492649564919763E-2</v>
      </c>
      <c r="Q588" s="2"/>
      <c r="R588" s="24"/>
      <c r="S588" s="24"/>
      <c r="T588" s="24"/>
    </row>
    <row r="589" spans="1:20" x14ac:dyDescent="0.25">
      <c r="A589" s="2">
        <v>44551</v>
      </c>
      <c r="B589" s="20">
        <v>2440</v>
      </c>
      <c r="C589" s="20">
        <v>407</v>
      </c>
      <c r="D589" s="20">
        <v>16880</v>
      </c>
      <c r="E589" s="17">
        <f t="shared" si="38"/>
        <v>8.2034454470880647E-4</v>
      </c>
      <c r="F589" s="17">
        <f t="shared" si="38"/>
        <v>-1.5719467956469169E-2</v>
      </c>
      <c r="G589" s="17">
        <f t="shared" si="38"/>
        <v>4.4629574531389604E-3</v>
      </c>
      <c r="H589" s="14">
        <f t="shared" si="39"/>
        <v>3.0521370780916572E-3</v>
      </c>
      <c r="I589" s="39"/>
      <c r="J589" s="47">
        <f t="shared" si="37"/>
        <v>182</v>
      </c>
      <c r="K589" s="49">
        <f t="shared" si="36"/>
        <v>1.8399140858107947E-7</v>
      </c>
      <c r="L589" s="17">
        <v>-9.9565102456148618E-3</v>
      </c>
      <c r="M589" s="27"/>
      <c r="N589" s="49">
        <v>4.0519371970920611E-4</v>
      </c>
      <c r="O589" s="27">
        <v>1.1544224464679939E-2</v>
      </c>
      <c r="Q589" s="2"/>
      <c r="R589" s="24"/>
      <c r="S589" s="24"/>
      <c r="T589" s="24"/>
    </row>
    <row r="590" spans="1:20" x14ac:dyDescent="0.25">
      <c r="A590" s="2">
        <v>44550</v>
      </c>
      <c r="B590" s="20">
        <v>2438</v>
      </c>
      <c r="C590" s="29">
        <v>413.5</v>
      </c>
      <c r="D590" s="20">
        <v>16805</v>
      </c>
      <c r="E590" s="17">
        <f t="shared" si="38"/>
        <v>-4.8979591836734171E-3</v>
      </c>
      <c r="F590" s="17">
        <f t="shared" si="38"/>
        <v>9.7680097680097333E-3</v>
      </c>
      <c r="G590" s="17">
        <f t="shared" si="38"/>
        <v>-2.2965116279069719E-2</v>
      </c>
      <c r="H590" s="14">
        <f t="shared" si="39"/>
        <v>-1.8927247281904612E-2</v>
      </c>
      <c r="I590" s="39"/>
      <c r="J590" s="47">
        <f t="shared" si="37"/>
        <v>181</v>
      </c>
      <c r="K590" s="49">
        <f t="shared" si="36"/>
        <v>1.8031158040945786E-7</v>
      </c>
      <c r="L590" s="17">
        <v>1.4034096850065779E-2</v>
      </c>
      <c r="M590" s="27"/>
      <c r="N590" s="49">
        <v>5.8320429542471162E-3</v>
      </c>
      <c r="O590" s="27">
        <v>1.1560684740030433E-2</v>
      </c>
      <c r="Q590" s="2"/>
      <c r="R590" s="24"/>
      <c r="S590" s="24"/>
      <c r="T590" s="24"/>
    </row>
    <row r="591" spans="1:20" x14ac:dyDescent="0.25">
      <c r="A591" s="2">
        <v>44547</v>
      </c>
      <c r="B591" s="20">
        <v>2450</v>
      </c>
      <c r="C591" s="29">
        <v>409.5</v>
      </c>
      <c r="D591" s="20">
        <v>17200</v>
      </c>
      <c r="E591" s="17">
        <f t="shared" si="38"/>
        <v>4.098360655737654E-3</v>
      </c>
      <c r="F591" s="17">
        <f t="shared" si="38"/>
        <v>4.9079754601226711E-3</v>
      </c>
      <c r="G591" s="17">
        <f t="shared" si="38"/>
        <v>1.0279001468428861E-2</v>
      </c>
      <c r="H591" s="14">
        <f t="shared" si="39"/>
        <v>9.1536561959275151E-3</v>
      </c>
      <c r="I591" s="39"/>
      <c r="J591" s="47">
        <f t="shared" si="37"/>
        <v>180</v>
      </c>
      <c r="K591" s="49">
        <f t="shared" si="36"/>
        <v>1.7670534880126869E-7</v>
      </c>
      <c r="L591" s="17">
        <v>-8.3815390895545343E-3</v>
      </c>
      <c r="M591" s="27"/>
      <c r="N591" s="49">
        <v>2.987939004745518E-7</v>
      </c>
      <c r="O591" s="27">
        <v>1.1565298382013877E-2</v>
      </c>
      <c r="Q591" s="2"/>
      <c r="R591" s="24"/>
      <c r="S591" s="24"/>
      <c r="T591" s="24"/>
    </row>
    <row r="592" spans="1:20" x14ac:dyDescent="0.25">
      <c r="A592" s="2">
        <v>44546</v>
      </c>
      <c r="B592" s="20">
        <v>2440</v>
      </c>
      <c r="C592" s="29">
        <v>407.5</v>
      </c>
      <c r="D592" s="20">
        <v>17025</v>
      </c>
      <c r="E592" s="17">
        <f t="shared" si="38"/>
        <v>8.2644628099173278E-3</v>
      </c>
      <c r="F592" s="17">
        <f t="shared" si="38"/>
        <v>1.4943960149439661E-2</v>
      </c>
      <c r="G592" s="17">
        <f t="shared" si="38"/>
        <v>1.0685663401602818E-2</v>
      </c>
      <c r="H592" s="14">
        <f t="shared" si="39"/>
        <v>1.0524331330064028E-2</v>
      </c>
      <c r="I592" s="39"/>
      <c r="J592" s="47">
        <f t="shared" si="37"/>
        <v>179</v>
      </c>
      <c r="K592" s="49">
        <f t="shared" ref="K592:K655" si="40">+($K$13^($K$1-J592)*(1-$K$13))/(1-$K$13^$K$1)</f>
        <v>1.731712418252433E-7</v>
      </c>
      <c r="L592" s="17">
        <v>2.5631264510660518E-2</v>
      </c>
      <c r="M592" s="27"/>
      <c r="N592" s="49">
        <v>1.5964403757308785E-8</v>
      </c>
      <c r="O592" s="27">
        <v>1.1589310238351181E-2</v>
      </c>
      <c r="Q592" s="2"/>
      <c r="R592" s="24"/>
      <c r="S592" s="24"/>
      <c r="T592" s="24"/>
    </row>
    <row r="593" spans="1:20" x14ac:dyDescent="0.25">
      <c r="A593" s="2">
        <v>44545</v>
      </c>
      <c r="B593" s="20">
        <v>2420</v>
      </c>
      <c r="C593" s="29">
        <v>401.5</v>
      </c>
      <c r="D593" s="20">
        <v>16845</v>
      </c>
      <c r="E593" s="17">
        <f t="shared" si="38"/>
        <v>-4.1152263374485409E-3</v>
      </c>
      <c r="F593" s="17">
        <f t="shared" si="38"/>
        <v>-1.1083743842364546E-2</v>
      </c>
      <c r="G593" s="17">
        <f t="shared" si="38"/>
        <v>-2.9594554601952705E-3</v>
      </c>
      <c r="H593" s="14">
        <f t="shared" si="39"/>
        <v>-3.4826851708573449E-3</v>
      </c>
      <c r="I593" s="39"/>
      <c r="J593" s="47">
        <f t="shared" ref="J593:J656" si="41">+J592-1</f>
        <v>178</v>
      </c>
      <c r="K593" s="49">
        <f t="shared" si="40"/>
        <v>1.6970781698873846E-7</v>
      </c>
      <c r="L593" s="17">
        <v>1.016140668717435E-2</v>
      </c>
      <c r="M593" s="27"/>
      <c r="N593" s="49">
        <v>1.8418416364553162E-5</v>
      </c>
      <c r="O593" s="27">
        <v>1.1592623760233829E-2</v>
      </c>
      <c r="Q593" s="2"/>
      <c r="R593" s="24"/>
      <c r="S593" s="24"/>
      <c r="T593" s="24"/>
    </row>
    <row r="594" spans="1:20" x14ac:dyDescent="0.25">
      <c r="A594" s="2">
        <v>44544</v>
      </c>
      <c r="B594" s="20">
        <v>2430</v>
      </c>
      <c r="C594" s="20">
        <v>406</v>
      </c>
      <c r="D594" s="20">
        <v>16895</v>
      </c>
      <c r="E594" s="17">
        <f t="shared" si="38"/>
        <v>3.303055326176807E-3</v>
      </c>
      <c r="F594" s="17">
        <f t="shared" si="38"/>
        <v>-2.4570024570024218E-3</v>
      </c>
      <c r="G594" s="17">
        <f t="shared" si="38"/>
        <v>-1.5155931215389051E-2</v>
      </c>
      <c r="H594" s="14">
        <f t="shared" si="39"/>
        <v>-1.1941820019374312E-2</v>
      </c>
      <c r="I594" s="39"/>
      <c r="J594" s="47">
        <f t="shared" si="41"/>
        <v>177</v>
      </c>
      <c r="K594" s="49">
        <f t="shared" si="40"/>
        <v>1.6631366064896372E-7</v>
      </c>
      <c r="L594" s="17">
        <v>1.4421238374080164E-2</v>
      </c>
      <c r="M594" s="27"/>
      <c r="N594" s="49">
        <v>4.9616864915820805E-3</v>
      </c>
      <c r="O594" s="27">
        <v>1.170239173104881E-2</v>
      </c>
      <c r="Q594" s="2"/>
      <c r="R594" s="24"/>
      <c r="S594" s="24"/>
      <c r="T594" s="24"/>
    </row>
    <row r="595" spans="1:20" x14ac:dyDescent="0.25">
      <c r="A595" s="2">
        <v>44543</v>
      </c>
      <c r="B595" s="20">
        <v>2422</v>
      </c>
      <c r="C595" s="20">
        <v>407</v>
      </c>
      <c r="D595" s="20">
        <v>17155</v>
      </c>
      <c r="E595" s="17">
        <f t="shared" si="38"/>
        <v>-9.8119378577269378E-3</v>
      </c>
      <c r="F595" s="17">
        <f t="shared" si="38"/>
        <v>-9.7323600973235891E-3</v>
      </c>
      <c r="G595" s="17">
        <f t="shared" si="38"/>
        <v>-1.6623674405273681E-2</v>
      </c>
      <c r="H595" s="14">
        <f t="shared" si="39"/>
        <v>-1.5340726096057446E-2</v>
      </c>
      <c r="I595" s="39"/>
      <c r="J595" s="47">
        <f t="shared" si="41"/>
        <v>176</v>
      </c>
      <c r="K595" s="49">
        <f t="shared" si="40"/>
        <v>1.629873874359844E-7</v>
      </c>
      <c r="L595" s="17">
        <v>2.3236884558648576E-3</v>
      </c>
      <c r="M595" s="27"/>
      <c r="N595" s="49">
        <v>1.0657963212696319E-8</v>
      </c>
      <c r="O595" s="27">
        <v>1.1747132972670542E-2</v>
      </c>
      <c r="Q595" s="2"/>
      <c r="R595" s="24"/>
      <c r="S595" s="24"/>
      <c r="T595" s="24"/>
    </row>
    <row r="596" spans="1:20" x14ac:dyDescent="0.25">
      <c r="A596" s="2">
        <v>44540</v>
      </c>
      <c r="B596" s="20">
        <v>2446</v>
      </c>
      <c r="C596" s="20">
        <v>411</v>
      </c>
      <c r="D596" s="20">
        <v>17445</v>
      </c>
      <c r="E596" s="17">
        <f t="shared" si="38"/>
        <v>-4.0716612377850181E-3</v>
      </c>
      <c r="F596" s="17">
        <f t="shared" si="38"/>
        <v>-7.2463768115942351E-3</v>
      </c>
      <c r="G596" s="17">
        <f t="shared" si="38"/>
        <v>-1.1451474377326409E-3</v>
      </c>
      <c r="H596" s="14">
        <f t="shared" si="39"/>
        <v>-1.8343076397080815E-3</v>
      </c>
      <c r="I596" s="39"/>
      <c r="J596" s="47">
        <f t="shared" si="41"/>
        <v>175</v>
      </c>
      <c r="K596" s="49">
        <f t="shared" si="40"/>
        <v>1.5972763968726469E-7</v>
      </c>
      <c r="L596" s="17">
        <v>4.4222510963373152E-3</v>
      </c>
      <c r="M596" s="27"/>
      <c r="N596" s="49">
        <v>1.9569244494803569E-5</v>
      </c>
      <c r="O596" s="27">
        <v>1.1810855285483181E-2</v>
      </c>
      <c r="Q596" s="2"/>
      <c r="R596" s="24"/>
      <c r="S596" s="24"/>
      <c r="T596" s="24"/>
    </row>
    <row r="597" spans="1:20" x14ac:dyDescent="0.25">
      <c r="A597" s="2">
        <v>44539</v>
      </c>
      <c r="B597" s="20">
        <v>2456</v>
      </c>
      <c r="C597" s="20">
        <v>414</v>
      </c>
      <c r="D597" s="20">
        <v>17465</v>
      </c>
      <c r="E597" s="17">
        <f t="shared" si="38"/>
        <v>8.1499592502032314E-4</v>
      </c>
      <c r="F597" s="17">
        <f t="shared" si="38"/>
        <v>1.4705882352941124E-2</v>
      </c>
      <c r="G597" s="17">
        <f t="shared" si="38"/>
        <v>-4.8433048433048631E-3</v>
      </c>
      <c r="H597" s="14">
        <f t="shared" si="39"/>
        <v>-3.1702491938418211E-3</v>
      </c>
      <c r="I597" s="39"/>
      <c r="J597" s="47">
        <f t="shared" si="41"/>
        <v>174</v>
      </c>
      <c r="K597" s="49">
        <f t="shared" si="40"/>
        <v>1.565330868935194E-7</v>
      </c>
      <c r="L597" s="17">
        <v>2.2480819266485395E-2</v>
      </c>
      <c r="M597" s="27"/>
      <c r="N597" s="49">
        <v>1.9600004562148287E-2</v>
      </c>
      <c r="O597" s="27">
        <v>1.1827972946020509E-2</v>
      </c>
      <c r="Q597" s="2"/>
      <c r="R597" s="24"/>
      <c r="S597" s="24"/>
      <c r="T597" s="24"/>
    </row>
    <row r="598" spans="1:20" x14ac:dyDescent="0.25">
      <c r="A598" s="2">
        <v>44538</v>
      </c>
      <c r="B598" s="20">
        <v>2454</v>
      </c>
      <c r="C598" s="20">
        <v>408</v>
      </c>
      <c r="D598" s="20">
        <v>17550</v>
      </c>
      <c r="E598" s="17">
        <f t="shared" si="38"/>
        <v>-8.1433224755700362E-4</v>
      </c>
      <c r="F598" s="17">
        <f t="shared" si="38"/>
        <v>0</v>
      </c>
      <c r="G598" s="17">
        <f t="shared" si="38"/>
        <v>-1.7064846416382506E-3</v>
      </c>
      <c r="H598" s="14">
        <f t="shared" si="39"/>
        <v>-1.5031359462689348E-3</v>
      </c>
      <c r="I598" s="39"/>
      <c r="J598" s="47">
        <f t="shared" si="41"/>
        <v>173</v>
      </c>
      <c r="K598" s="49">
        <f t="shared" si="40"/>
        <v>1.5340242515564902E-7</v>
      </c>
      <c r="L598" s="17">
        <v>-5.9277358339613444E-2</v>
      </c>
      <c r="M598" s="27"/>
      <c r="N598" s="49">
        <v>8.0449137015417744E-6</v>
      </c>
      <c r="O598" s="27">
        <v>1.1879009274391663E-2</v>
      </c>
      <c r="Q598" s="2"/>
      <c r="R598" s="24"/>
      <c r="S598" s="24"/>
      <c r="T598" s="24"/>
    </row>
    <row r="599" spans="1:20" x14ac:dyDescent="0.25">
      <c r="A599" s="2">
        <v>44537</v>
      </c>
      <c r="B599" s="20">
        <v>2456</v>
      </c>
      <c r="C599" s="20">
        <v>408</v>
      </c>
      <c r="D599" s="20">
        <v>17580</v>
      </c>
      <c r="E599" s="17">
        <f t="shared" si="38"/>
        <v>9.0386195562859317E-3</v>
      </c>
      <c r="F599" s="17">
        <f t="shared" si="38"/>
        <v>0</v>
      </c>
      <c r="G599" s="17">
        <f t="shared" si="38"/>
        <v>1.706682094301426E-2</v>
      </c>
      <c r="H599" s="14">
        <f t="shared" si="39"/>
        <v>1.5161795112863276E-2</v>
      </c>
      <c r="I599" s="39"/>
      <c r="J599" s="47">
        <f t="shared" si="41"/>
        <v>172</v>
      </c>
      <c r="K599" s="49">
        <f t="shared" si="40"/>
        <v>1.5033437665253604E-7</v>
      </c>
      <c r="L599" s="17">
        <v>3.0521370780916572E-3</v>
      </c>
      <c r="M599" s="27"/>
      <c r="N599" s="49">
        <v>5.5981624172222815E-4</v>
      </c>
      <c r="O599" s="27">
        <v>1.1960786472530596E-2</v>
      </c>
      <c r="Q599" s="2"/>
      <c r="R599" s="24"/>
      <c r="S599" s="24"/>
      <c r="T599" s="24"/>
    </row>
    <row r="600" spans="1:20" x14ac:dyDescent="0.25">
      <c r="A600" s="2">
        <v>44536</v>
      </c>
      <c r="B600" s="20">
        <v>2434</v>
      </c>
      <c r="C600" s="20">
        <v>408</v>
      </c>
      <c r="D600" s="20">
        <v>17285</v>
      </c>
      <c r="E600" s="17">
        <f t="shared" si="38"/>
        <v>9.9585062240663547E-3</v>
      </c>
      <c r="F600" s="17">
        <f t="shared" si="38"/>
        <v>-1.4492753623188359E-2</v>
      </c>
      <c r="G600" s="17">
        <f t="shared" si="38"/>
        <v>-5.4660529344073838E-3</v>
      </c>
      <c r="H600" s="14">
        <f t="shared" si="39"/>
        <v>-3.6430410402093268E-3</v>
      </c>
      <c r="I600" s="39"/>
      <c r="J600" s="47">
        <f t="shared" si="41"/>
        <v>171</v>
      </c>
      <c r="K600" s="49">
        <f t="shared" si="40"/>
        <v>1.4732768911948529E-7</v>
      </c>
      <c r="L600" s="17">
        <v>-1.8927247281904612E-2</v>
      </c>
      <c r="M600" s="27"/>
      <c r="N600" s="49">
        <v>1.2062980284155097E-3</v>
      </c>
      <c r="O600" s="27">
        <v>1.2012005095119797E-2</v>
      </c>
      <c r="Q600" s="2"/>
      <c r="R600" s="24"/>
      <c r="S600" s="24"/>
      <c r="T600" s="24"/>
    </row>
    <row r="601" spans="1:20" x14ac:dyDescent="0.25">
      <c r="A601" s="2">
        <v>44533</v>
      </c>
      <c r="B601" s="20">
        <v>2410</v>
      </c>
      <c r="C601" s="20">
        <v>414</v>
      </c>
      <c r="D601" s="20">
        <v>17380</v>
      </c>
      <c r="E601" s="17">
        <f t="shared" si="38"/>
        <v>-9.8603122432210366E-3</v>
      </c>
      <c r="F601" s="17">
        <f t="shared" si="38"/>
        <v>-4.8076923076922906E-3</v>
      </c>
      <c r="G601" s="17">
        <f t="shared" si="38"/>
        <v>-1.2219380505825495E-2</v>
      </c>
      <c r="H601" s="14">
        <f t="shared" si="39"/>
        <v>-1.1554303902607109E-2</v>
      </c>
      <c r="I601" s="39"/>
      <c r="J601" s="47">
        <f t="shared" si="41"/>
        <v>170</v>
      </c>
      <c r="K601" s="49">
        <f t="shared" si="40"/>
        <v>1.443811353370956E-7</v>
      </c>
      <c r="L601" s="17">
        <v>9.1536561959275151E-3</v>
      </c>
      <c r="M601" s="27"/>
      <c r="N601" s="49">
        <v>1.5380451365196132E-2</v>
      </c>
      <c r="O601" s="27">
        <v>1.2101919959502955E-2</v>
      </c>
      <c r="Q601" s="2"/>
      <c r="R601" s="24"/>
      <c r="S601" s="24"/>
      <c r="T601" s="24"/>
    </row>
    <row r="602" spans="1:20" x14ac:dyDescent="0.25">
      <c r="A602" s="2">
        <v>44532</v>
      </c>
      <c r="B602" s="20">
        <v>2434</v>
      </c>
      <c r="C602" s="20">
        <v>416</v>
      </c>
      <c r="D602" s="20">
        <v>17595</v>
      </c>
      <c r="E602" s="17">
        <f t="shared" si="38"/>
        <v>-4.9059689288634134E-3</v>
      </c>
      <c r="F602" s="17">
        <f t="shared" si="38"/>
        <v>-4.784688995215336E-3</v>
      </c>
      <c r="G602" s="17">
        <f t="shared" si="38"/>
        <v>-1.6489659027389636E-2</v>
      </c>
      <c r="H602" s="14">
        <f t="shared" si="39"/>
        <v>-1.4308559943803896E-2</v>
      </c>
      <c r="I602" s="39"/>
      <c r="J602" s="47">
        <f t="shared" si="41"/>
        <v>169</v>
      </c>
      <c r="K602" s="49">
        <f t="shared" si="40"/>
        <v>1.414935126303537E-7</v>
      </c>
      <c r="L602" s="17">
        <v>1.0524331330064028E-2</v>
      </c>
      <c r="M602" s="27"/>
      <c r="N602" s="49">
        <v>5.8289904385904628E-4</v>
      </c>
      <c r="O602" s="27">
        <v>1.2139865656627627E-2</v>
      </c>
      <c r="Q602" s="2"/>
      <c r="R602" s="24"/>
      <c r="S602" s="24"/>
      <c r="T602" s="24"/>
    </row>
    <row r="603" spans="1:20" x14ac:dyDescent="0.25">
      <c r="A603" s="2">
        <v>44531</v>
      </c>
      <c r="B603" s="20">
        <v>2446</v>
      </c>
      <c r="C603" s="20">
        <v>418</v>
      </c>
      <c r="D603" s="20">
        <v>17890</v>
      </c>
      <c r="E603" s="17">
        <f t="shared" si="38"/>
        <v>1.2417218543046449E-2</v>
      </c>
      <c r="F603" s="17">
        <f t="shared" si="38"/>
        <v>1.0882708585247869E-2</v>
      </c>
      <c r="G603" s="17">
        <f t="shared" si="38"/>
        <v>5.6211354693647131E-3</v>
      </c>
      <c r="H603" s="14">
        <f t="shared" si="39"/>
        <v>6.8302335441425806E-3</v>
      </c>
      <c r="I603" s="39"/>
      <c r="J603" s="47">
        <f t="shared" si="41"/>
        <v>168</v>
      </c>
      <c r="K603" s="49">
        <f t="shared" si="40"/>
        <v>1.386636423777466E-7</v>
      </c>
      <c r="L603" s="17">
        <v>-3.4826851708573449E-3</v>
      </c>
      <c r="M603" s="27"/>
      <c r="N603" s="49">
        <v>7.8881441151084419E-5</v>
      </c>
      <c r="O603" s="27">
        <v>1.2210119194672481E-2</v>
      </c>
      <c r="Q603" s="2"/>
      <c r="R603" s="24"/>
      <c r="S603" s="24"/>
      <c r="T603" s="24"/>
    </row>
    <row r="604" spans="1:20" x14ac:dyDescent="0.25">
      <c r="A604" s="2">
        <v>44530</v>
      </c>
      <c r="B604" s="20">
        <v>2416</v>
      </c>
      <c r="C604" s="29">
        <v>413.5</v>
      </c>
      <c r="D604" s="20">
        <v>17790</v>
      </c>
      <c r="E604" s="17">
        <f t="shared" si="38"/>
        <v>-9.8360655737704805E-3</v>
      </c>
      <c r="F604" s="17">
        <f t="shared" si="38"/>
        <v>-2.0142180094786744E-2</v>
      </c>
      <c r="G604" s="17">
        <f t="shared" si="38"/>
        <v>3.1012122920777152E-3</v>
      </c>
      <c r="H604" s="14">
        <f t="shared" si="39"/>
        <v>2.1842833364865959E-4</v>
      </c>
      <c r="I604" s="39"/>
      <c r="J604" s="47">
        <f t="shared" si="41"/>
        <v>167</v>
      </c>
      <c r="K604" s="49">
        <f t="shared" si="40"/>
        <v>1.3589036953019167E-7</v>
      </c>
      <c r="L604" s="17">
        <v>-1.1941820019374312E-2</v>
      </c>
      <c r="M604" s="27"/>
      <c r="N604" s="49">
        <v>8.2219991438439062E-3</v>
      </c>
      <c r="O604" s="27">
        <v>1.2293723959904222E-2</v>
      </c>
      <c r="Q604" s="2"/>
      <c r="R604" s="24"/>
      <c r="S604" s="24"/>
      <c r="T604" s="24"/>
    </row>
    <row r="605" spans="1:20" x14ac:dyDescent="0.25">
      <c r="A605" s="2">
        <v>44529</v>
      </c>
      <c r="B605" s="20">
        <v>2440</v>
      </c>
      <c r="C605" s="20">
        <v>422</v>
      </c>
      <c r="D605" s="20">
        <v>17735</v>
      </c>
      <c r="E605" s="17">
        <f t="shared" si="38"/>
        <v>-4.0816326530612734E-3</v>
      </c>
      <c r="F605" s="17">
        <f t="shared" si="38"/>
        <v>0</v>
      </c>
      <c r="G605" s="17">
        <f t="shared" si="38"/>
        <v>3.5016049022468687E-2</v>
      </c>
      <c r="H605" s="14">
        <f t="shared" si="39"/>
        <v>2.7851623622992032E-2</v>
      </c>
      <c r="I605" s="39"/>
      <c r="J605" s="47">
        <f t="shared" si="41"/>
        <v>166</v>
      </c>
      <c r="K605" s="49">
        <f t="shared" si="40"/>
        <v>1.3317256213958782E-7</v>
      </c>
      <c r="L605" s="17">
        <v>-1.5340726096057446E-2</v>
      </c>
      <c r="M605" s="27"/>
      <c r="N605" s="49">
        <v>8.3722438151681952E-7</v>
      </c>
      <c r="O605" s="27">
        <v>1.2388281197411271E-2</v>
      </c>
      <c r="Q605" s="2"/>
      <c r="R605" s="24"/>
      <c r="S605" s="24"/>
      <c r="T605" s="24"/>
    </row>
    <row r="606" spans="1:20" x14ac:dyDescent="0.25">
      <c r="A606" s="2">
        <v>44526</v>
      </c>
      <c r="B606" s="20">
        <v>2450</v>
      </c>
      <c r="C606" s="20">
        <v>422</v>
      </c>
      <c r="D606" s="20">
        <v>17135</v>
      </c>
      <c r="E606" s="17">
        <f t="shared" si="38"/>
        <v>-9.7008892481811326E-3</v>
      </c>
      <c r="F606" s="17">
        <f t="shared" si="38"/>
        <v>-1.631701631701632E-2</v>
      </c>
      <c r="G606" s="17">
        <f t="shared" si="38"/>
        <v>-4.6200946284441935E-2</v>
      </c>
      <c r="H606" s="14">
        <f t="shared" si="39"/>
        <v>-3.9635779482160807E-2</v>
      </c>
      <c r="I606" s="39"/>
      <c r="J606" s="47">
        <f t="shared" si="41"/>
        <v>165</v>
      </c>
      <c r="K606" s="49">
        <f t="shared" si="40"/>
        <v>1.3050911089679608E-7</v>
      </c>
      <c r="L606" s="17">
        <v>-1.8343076397080815E-3</v>
      </c>
      <c r="M606" s="27"/>
      <c r="N606" s="49">
        <v>6.4451880532651374E-5</v>
      </c>
      <c r="O606" s="27">
        <v>1.2434717481630789E-2</v>
      </c>
      <c r="Q606" s="2"/>
      <c r="R606" s="24"/>
      <c r="S606" s="24"/>
      <c r="T606" s="24"/>
    </row>
    <row r="607" spans="1:20" x14ac:dyDescent="0.25">
      <c r="A607" s="2">
        <v>44525</v>
      </c>
      <c r="B607" s="20">
        <v>2474</v>
      </c>
      <c r="C607" s="20">
        <v>429</v>
      </c>
      <c r="D607" s="20">
        <v>17965</v>
      </c>
      <c r="E607" s="17">
        <f t="shared" si="38"/>
        <v>-2.5216706067769934E-2</v>
      </c>
      <c r="F607" s="17">
        <f t="shared" si="38"/>
        <v>0</v>
      </c>
      <c r="G607" s="17">
        <f t="shared" si="38"/>
        <v>3.6312849162010163E-3</v>
      </c>
      <c r="H607" s="14">
        <f t="shared" si="39"/>
        <v>-6.7943016762847877E-4</v>
      </c>
      <c r="I607" s="39"/>
      <c r="J607" s="47">
        <f t="shared" si="41"/>
        <v>164</v>
      </c>
      <c r="K607" s="49">
        <f t="shared" si="40"/>
        <v>1.2789892867886014E-7</v>
      </c>
      <c r="L607" s="17">
        <v>-3.1702491938418211E-3</v>
      </c>
      <c r="M607" s="27"/>
      <c r="N607" s="49">
        <v>7.8798889008857831E-7</v>
      </c>
      <c r="O607" s="27">
        <v>1.2487817363043644E-2</v>
      </c>
      <c r="Q607" s="2"/>
      <c r="R607" s="24"/>
      <c r="S607" s="24"/>
      <c r="T607" s="24"/>
    </row>
    <row r="608" spans="1:20" x14ac:dyDescent="0.25">
      <c r="A608" s="2">
        <v>44524</v>
      </c>
      <c r="B608" s="20">
        <v>2538</v>
      </c>
      <c r="C608" s="20">
        <v>429</v>
      </c>
      <c r="D608" s="20">
        <v>17900</v>
      </c>
      <c r="E608" s="17">
        <f t="shared" si="38"/>
        <v>-3.1421838177533301E-3</v>
      </c>
      <c r="F608" s="17">
        <f t="shared" si="38"/>
        <v>-2.3255813953488857E-3</v>
      </c>
      <c r="G608" s="17">
        <f t="shared" si="38"/>
        <v>4.8009367681498771E-2</v>
      </c>
      <c r="H608" s="14">
        <f t="shared" si="39"/>
        <v>3.8437417970887684E-2</v>
      </c>
      <c r="I608" s="39"/>
      <c r="J608" s="47">
        <f t="shared" si="41"/>
        <v>163</v>
      </c>
      <c r="K608" s="49">
        <f t="shared" si="40"/>
        <v>1.2534095010528293E-7</v>
      </c>
      <c r="L608" s="17">
        <v>-1.5031359462689348E-3</v>
      </c>
      <c r="M608" s="27"/>
      <c r="N608" s="49">
        <v>2.8711193760385509E-6</v>
      </c>
      <c r="O608" s="27">
        <v>1.2500715962605873E-2</v>
      </c>
      <c r="Q608" s="2"/>
      <c r="R608" s="24"/>
      <c r="S608" s="24"/>
      <c r="T608" s="24"/>
    </row>
    <row r="609" spans="1:20" x14ac:dyDescent="0.25">
      <c r="A609" s="2">
        <v>44523</v>
      </c>
      <c r="B609" s="20">
        <v>2546</v>
      </c>
      <c r="C609" s="20">
        <v>430</v>
      </c>
      <c r="D609" s="20">
        <v>17080</v>
      </c>
      <c r="E609" s="17">
        <f t="shared" si="38"/>
        <v>4.7736625514403386E-2</v>
      </c>
      <c r="F609" s="17">
        <f t="shared" si="38"/>
        <v>-2.3201856148491462E-3</v>
      </c>
      <c r="G609" s="17">
        <f t="shared" si="38"/>
        <v>1.0351966873705987E-2</v>
      </c>
      <c r="H609" s="14">
        <f t="shared" si="39"/>
        <v>1.5174854589933093E-2</v>
      </c>
      <c r="I609" s="39"/>
      <c r="J609" s="47">
        <f t="shared" si="41"/>
        <v>162</v>
      </c>
      <c r="K609" s="49">
        <f t="shared" si="40"/>
        <v>1.2283413110317729E-7</v>
      </c>
      <c r="L609" s="17">
        <v>1.5161795112863276E-2</v>
      </c>
      <c r="M609" s="27"/>
      <c r="N609" s="49">
        <v>1.4445674460096125E-6</v>
      </c>
      <c r="O609" s="27">
        <v>1.2574281813849028E-2</v>
      </c>
      <c r="Q609" s="2"/>
      <c r="R609" s="24"/>
      <c r="S609" s="24"/>
      <c r="T609" s="24"/>
    </row>
    <row r="610" spans="1:20" x14ac:dyDescent="0.25">
      <c r="A610" s="2">
        <v>44522</v>
      </c>
      <c r="B610" s="20">
        <v>2430</v>
      </c>
      <c r="C610" s="20">
        <v>431</v>
      </c>
      <c r="D610" s="20">
        <v>16905</v>
      </c>
      <c r="E610" s="17">
        <f t="shared" si="38"/>
        <v>-2.4630541871921707E-3</v>
      </c>
      <c r="F610" s="17">
        <f t="shared" si="38"/>
        <v>-2.3148148148147696E-3</v>
      </c>
      <c r="G610" s="17">
        <f t="shared" si="38"/>
        <v>-5.1346801346801363E-2</v>
      </c>
      <c r="H610" s="14">
        <f t="shared" si="39"/>
        <v>-4.2158427210216273E-2</v>
      </c>
      <c r="I610" s="39"/>
      <c r="J610" s="47">
        <f t="shared" si="41"/>
        <v>161</v>
      </c>
      <c r="K610" s="49">
        <f t="shared" si="40"/>
        <v>1.2037744848111374E-7</v>
      </c>
      <c r="L610" s="17">
        <v>-3.6430410402093268E-3</v>
      </c>
      <c r="M610" s="27"/>
      <c r="N610" s="49">
        <v>6.6969022179750142E-9</v>
      </c>
      <c r="O610" s="27">
        <v>1.2649276100013037E-2</v>
      </c>
      <c r="Q610" s="2"/>
      <c r="R610" s="24"/>
      <c r="S610" s="24"/>
      <c r="T610" s="24"/>
    </row>
    <row r="611" spans="1:20" x14ac:dyDescent="0.25">
      <c r="A611" s="2">
        <v>44519</v>
      </c>
      <c r="B611" s="20">
        <v>2436</v>
      </c>
      <c r="C611" s="20">
        <v>432</v>
      </c>
      <c r="D611" s="20">
        <v>17820</v>
      </c>
      <c r="E611" s="17">
        <f t="shared" si="38"/>
        <v>-3.2565528196981774E-2</v>
      </c>
      <c r="F611" s="17">
        <f t="shared" si="38"/>
        <v>-3.4602076124568004E-3</v>
      </c>
      <c r="G611" s="17">
        <f t="shared" si="38"/>
        <v>-9.4496942745969648E-3</v>
      </c>
      <c r="H611" s="14">
        <f t="shared" si="39"/>
        <v>-1.2512900628202001E-2</v>
      </c>
      <c r="I611" s="39"/>
      <c r="J611" s="47">
        <f t="shared" si="41"/>
        <v>160</v>
      </c>
      <c r="K611" s="49">
        <f t="shared" si="40"/>
        <v>1.1796989951149147E-7</v>
      </c>
      <c r="L611" s="17">
        <v>-1.1554303902607109E-2</v>
      </c>
      <c r="M611" s="27"/>
      <c r="N611" s="49">
        <v>1.8774633528681578E-7</v>
      </c>
      <c r="O611" s="27">
        <v>1.26865678377321E-2</v>
      </c>
      <c r="Q611" s="2"/>
      <c r="R611" s="24"/>
      <c r="S611" s="24"/>
      <c r="T611" s="24"/>
    </row>
    <row r="612" spans="1:20" x14ac:dyDescent="0.25">
      <c r="A612" s="2">
        <v>44518</v>
      </c>
      <c r="B612" s="20">
        <v>2518</v>
      </c>
      <c r="C612" s="29">
        <v>433.5</v>
      </c>
      <c r="D612" s="20">
        <v>17990</v>
      </c>
      <c r="E612" s="17">
        <f t="shared" si="38"/>
        <v>3.9872408293459838E-3</v>
      </c>
      <c r="F612" s="17">
        <f t="shared" si="38"/>
        <v>-1.1520737327188613E-3</v>
      </c>
      <c r="G612" s="17">
        <f t="shared" si="38"/>
        <v>2.0709219858155992E-2</v>
      </c>
      <c r="H612" s="14">
        <f t="shared" si="39"/>
        <v>1.7342540992296516E-2</v>
      </c>
      <c r="I612" s="39"/>
      <c r="J612" s="47">
        <f t="shared" si="41"/>
        <v>159</v>
      </c>
      <c r="K612" s="49">
        <f t="shared" si="40"/>
        <v>1.1561050152126162E-7</v>
      </c>
      <c r="L612" s="17">
        <v>-1.4308559943803896E-2</v>
      </c>
      <c r="M612" s="27"/>
      <c r="N612" s="49">
        <v>3.8096597575496881E-6</v>
      </c>
      <c r="O612" s="27">
        <v>1.2816997626075827E-2</v>
      </c>
      <c r="Q612" s="2"/>
      <c r="R612" s="24"/>
      <c r="S612" s="24"/>
      <c r="T612" s="24"/>
    </row>
    <row r="613" spans="1:20" x14ac:dyDescent="0.25">
      <c r="A613" s="2">
        <v>44517</v>
      </c>
      <c r="B613" s="20">
        <v>2508</v>
      </c>
      <c r="C613" s="20">
        <v>434</v>
      </c>
      <c r="D613" s="20">
        <v>17625</v>
      </c>
      <c r="E613" s="17">
        <f t="shared" si="38"/>
        <v>2.3980815347721673E-3</v>
      </c>
      <c r="F613" s="17">
        <f t="shared" si="38"/>
        <v>-3.4443168771527422E-3</v>
      </c>
      <c r="G613" s="17">
        <f t="shared" si="38"/>
        <v>-8.9963452347483486E-3</v>
      </c>
      <c r="H613" s="14">
        <f t="shared" si="39"/>
        <v>-7.1127916544531603E-3</v>
      </c>
      <c r="I613" s="39"/>
      <c r="J613" s="47">
        <f t="shared" si="41"/>
        <v>158</v>
      </c>
      <c r="K613" s="49">
        <f t="shared" si="40"/>
        <v>1.1329829149083639E-7</v>
      </c>
      <c r="L613" s="17">
        <v>6.8302335441425806E-3</v>
      </c>
      <c r="M613" s="27"/>
      <c r="N613" s="49">
        <v>4.4802779298422555E-5</v>
      </c>
      <c r="O613" s="27">
        <v>1.2820457704794969E-2</v>
      </c>
      <c r="Q613" s="2"/>
      <c r="R613" s="24"/>
      <c r="S613" s="24"/>
      <c r="T613" s="24"/>
    </row>
    <row r="614" spans="1:20" x14ac:dyDescent="0.25">
      <c r="A614" s="2">
        <v>44516</v>
      </c>
      <c r="B614" s="20">
        <v>2502</v>
      </c>
      <c r="C614" s="29">
        <v>435.5</v>
      </c>
      <c r="D614" s="20">
        <v>17785</v>
      </c>
      <c r="E614" s="17">
        <f t="shared" si="38"/>
        <v>-5.56438791732905E-3</v>
      </c>
      <c r="F614" s="17">
        <f t="shared" si="38"/>
        <v>8.1018518518518601E-3</v>
      </c>
      <c r="G614" s="17">
        <f t="shared" si="38"/>
        <v>4.8022598870056665E-3</v>
      </c>
      <c r="H614" s="14">
        <f t="shared" si="39"/>
        <v>3.4554712760797288E-3</v>
      </c>
      <c r="I614" s="39"/>
      <c r="J614" s="47">
        <f t="shared" si="41"/>
        <v>157</v>
      </c>
      <c r="K614" s="49">
        <f t="shared" si="40"/>
        <v>1.1103232566101965E-7</v>
      </c>
      <c r="L614" s="17">
        <v>2.1842833364865959E-4</v>
      </c>
      <c r="M614" s="27"/>
      <c r="N614" s="49">
        <v>6.573280219286822E-6</v>
      </c>
      <c r="O614" s="27">
        <v>1.2888286658231702E-2</v>
      </c>
      <c r="Q614" s="2"/>
      <c r="R614" s="24"/>
      <c r="S614" s="24"/>
      <c r="T614" s="24"/>
    </row>
    <row r="615" spans="1:20" x14ac:dyDescent="0.25">
      <c r="A615" s="2">
        <v>44515</v>
      </c>
      <c r="B615" s="20">
        <v>2516</v>
      </c>
      <c r="C615" s="20">
        <v>432</v>
      </c>
      <c r="D615" s="20">
        <v>17700</v>
      </c>
      <c r="E615" s="17">
        <f t="shared" si="38"/>
        <v>1.9448946515397081E-2</v>
      </c>
      <c r="F615" s="17">
        <f t="shared" si="38"/>
        <v>-9.1743119266054496E-3</v>
      </c>
      <c r="G615" s="17">
        <f t="shared" si="38"/>
        <v>-3.013698630136985E-2</v>
      </c>
      <c r="H615" s="14">
        <f t="shared" si="39"/>
        <v>-2.2080708468417601E-2</v>
      </c>
      <c r="I615" s="39"/>
      <c r="J615" s="47">
        <f t="shared" si="41"/>
        <v>156</v>
      </c>
      <c r="K615" s="49">
        <f t="shared" si="40"/>
        <v>1.0881167914779925E-7</v>
      </c>
      <c r="L615" s="17">
        <v>2.7851623622992032E-2</v>
      </c>
      <c r="M615" s="27"/>
      <c r="N615" s="49">
        <v>1.6290207915621211E-8</v>
      </c>
      <c r="O615" s="27">
        <v>1.298873158662831E-2</v>
      </c>
      <c r="Q615" s="2"/>
      <c r="R615" s="24"/>
      <c r="S615" s="24"/>
      <c r="T615" s="24"/>
    </row>
    <row r="616" spans="1:20" x14ac:dyDescent="0.25">
      <c r="A616" s="2">
        <v>44512</v>
      </c>
      <c r="B616" s="20">
        <v>2468</v>
      </c>
      <c r="C616" s="20">
        <v>436</v>
      </c>
      <c r="D616" s="20">
        <v>18250</v>
      </c>
      <c r="E616" s="17">
        <f t="shared" si="38"/>
        <v>-3.2156862745097992E-2</v>
      </c>
      <c r="F616" s="17">
        <f t="shared" si="38"/>
        <v>4.6082949308756671E-3</v>
      </c>
      <c r="G616" s="17">
        <f t="shared" si="38"/>
        <v>-1.1911207363291876E-2</v>
      </c>
      <c r="H616" s="14">
        <f t="shared" si="39"/>
        <v>-1.4098794828762501E-2</v>
      </c>
      <c r="I616" s="39"/>
      <c r="J616" s="47">
        <f t="shared" si="41"/>
        <v>155</v>
      </c>
      <c r="K616" s="49">
        <f t="shared" si="40"/>
        <v>1.0663544556484325E-7</v>
      </c>
      <c r="L616" s="17">
        <v>-3.9635779482160807E-2</v>
      </c>
      <c r="M616" s="27"/>
      <c r="N616" s="49">
        <v>1.7679788555347521E-6</v>
      </c>
      <c r="O616" s="27">
        <v>1.3015431799406814E-2</v>
      </c>
      <c r="Q616" s="2"/>
      <c r="R616" s="24"/>
      <c r="S616" s="24"/>
      <c r="T616" s="24"/>
    </row>
    <row r="617" spans="1:20" x14ac:dyDescent="0.25">
      <c r="A617" s="2">
        <v>44511</v>
      </c>
      <c r="B617" s="20">
        <v>2550</v>
      </c>
      <c r="C617" s="20">
        <v>434</v>
      </c>
      <c r="D617" s="20">
        <v>18470</v>
      </c>
      <c r="E617" s="17">
        <f t="shared" si="38"/>
        <v>-4.7796863330843875E-2</v>
      </c>
      <c r="F617" s="17">
        <f t="shared" si="38"/>
        <v>-8.0000000000000071E-3</v>
      </c>
      <c r="G617" s="17">
        <f t="shared" si="38"/>
        <v>1.9878520154610779E-2</v>
      </c>
      <c r="H617" s="14">
        <f t="shared" si="39"/>
        <v>8.9153689796632307E-3</v>
      </c>
      <c r="I617" s="39"/>
      <c r="J617" s="47">
        <f t="shared" si="41"/>
        <v>154</v>
      </c>
      <c r="K617" s="49">
        <f t="shared" si="40"/>
        <v>1.045027366535464E-7</v>
      </c>
      <c r="L617" s="17">
        <v>-6.7943016762847877E-4</v>
      </c>
      <c r="M617" s="27"/>
      <c r="N617" s="49">
        <v>2.3434584882251635E-8</v>
      </c>
      <c r="O617" s="27">
        <v>1.3026584138822621E-2</v>
      </c>
      <c r="Q617" s="2"/>
      <c r="R617" s="24"/>
      <c r="S617" s="24"/>
      <c r="T617" s="24"/>
    </row>
    <row r="618" spans="1:20" x14ac:dyDescent="0.25">
      <c r="A618" s="2">
        <v>44510</v>
      </c>
      <c r="B618" s="20">
        <v>2678</v>
      </c>
      <c r="C618" s="29">
        <v>437.5</v>
      </c>
      <c r="D618" s="20">
        <v>18110</v>
      </c>
      <c r="E618" s="17">
        <f t="shared" si="38"/>
        <v>-1.6886930983847304E-2</v>
      </c>
      <c r="F618" s="17">
        <f t="shared" si="38"/>
        <v>8.0645161290322509E-3</v>
      </c>
      <c r="G618" s="17">
        <f t="shared" si="38"/>
        <v>-1.8959913326110467E-2</v>
      </c>
      <c r="H618" s="14">
        <f t="shared" si="39"/>
        <v>-1.747437796463544E-2</v>
      </c>
      <c r="I618" s="39"/>
      <c r="J618" s="47">
        <f t="shared" si="41"/>
        <v>153</v>
      </c>
      <c r="K618" s="49">
        <f t="shared" si="40"/>
        <v>1.0241268192047545E-7</v>
      </c>
      <c r="L618" s="17">
        <v>3.8437417970887684E-2</v>
      </c>
      <c r="M618" s="27"/>
      <c r="N618" s="49">
        <v>5.3764751855002782E-4</v>
      </c>
      <c r="O618" s="27">
        <v>1.3139760678892578E-2</v>
      </c>
      <c r="Q618" s="2"/>
      <c r="R618" s="24"/>
      <c r="S618" s="24"/>
      <c r="T618" s="24"/>
    </row>
    <row r="619" spans="1:20" x14ac:dyDescent="0.25">
      <c r="A619" s="2">
        <v>44509</v>
      </c>
      <c r="B619" s="20">
        <v>2724</v>
      </c>
      <c r="C619" s="20">
        <v>434</v>
      </c>
      <c r="D619" s="20">
        <v>18460</v>
      </c>
      <c r="E619" s="17">
        <f t="shared" si="38"/>
        <v>8.8888888888889461E-3</v>
      </c>
      <c r="F619" s="17">
        <f t="shared" si="38"/>
        <v>1.1534025374855261E-3</v>
      </c>
      <c r="G619" s="17">
        <f t="shared" si="38"/>
        <v>-2.7012425715828847E-3</v>
      </c>
      <c r="H619" s="14">
        <f t="shared" si="39"/>
        <v>-8.6409672886186666E-4</v>
      </c>
      <c r="I619" s="39"/>
      <c r="J619" s="47">
        <f t="shared" si="41"/>
        <v>152</v>
      </c>
      <c r="K619" s="49">
        <f t="shared" si="40"/>
        <v>1.0036442828206596E-7</v>
      </c>
      <c r="L619" s="17">
        <v>1.5174854589933093E-2</v>
      </c>
      <c r="M619" s="27"/>
      <c r="N619" s="49">
        <v>6.3229014260933686E-3</v>
      </c>
      <c r="O619" s="27">
        <v>1.3178387003335247E-2</v>
      </c>
      <c r="Q619" s="2"/>
      <c r="R619" s="24"/>
      <c r="S619" s="24"/>
      <c r="T619" s="24"/>
    </row>
    <row r="620" spans="1:20" x14ac:dyDescent="0.25">
      <c r="A620" s="2">
        <v>44508</v>
      </c>
      <c r="B620" s="20">
        <v>2700</v>
      </c>
      <c r="C620" s="29">
        <v>433.5</v>
      </c>
      <c r="D620" s="20">
        <v>18510</v>
      </c>
      <c r="E620" s="17">
        <f t="shared" si="38"/>
        <v>-2.0319303338171224E-2</v>
      </c>
      <c r="F620" s="17">
        <f t="shared" si="38"/>
        <v>-9.1428571428571193E-3</v>
      </c>
      <c r="G620" s="17">
        <f t="shared" si="38"/>
        <v>-2.2961203483768844E-2</v>
      </c>
      <c r="H620" s="14">
        <f t="shared" si="39"/>
        <v>-2.1973970731778307E-2</v>
      </c>
      <c r="I620" s="39"/>
      <c r="J620" s="47">
        <f t="shared" si="41"/>
        <v>151</v>
      </c>
      <c r="K620" s="49">
        <f t="shared" si="40"/>
        <v>9.8357139716424622E-8</v>
      </c>
      <c r="L620" s="17">
        <v>-4.2158427210216273E-2</v>
      </c>
      <c r="M620" s="27"/>
      <c r="N620" s="49">
        <v>4.6576911940465435E-8</v>
      </c>
      <c r="O620" s="27">
        <v>1.3188729612741406E-2</v>
      </c>
      <c r="Q620" s="2"/>
      <c r="R620" s="24"/>
      <c r="S620" s="24"/>
      <c r="T620" s="24"/>
    </row>
    <row r="621" spans="1:20" x14ac:dyDescent="0.25">
      <c r="A621" s="2">
        <v>44505</v>
      </c>
      <c r="B621" s="20">
        <v>2756</v>
      </c>
      <c r="C621" s="29">
        <v>437.5</v>
      </c>
      <c r="D621" s="20">
        <v>18945</v>
      </c>
      <c r="E621" s="17">
        <f t="shared" si="38"/>
        <v>-1.3600572655690812E-2</v>
      </c>
      <c r="F621" s="17">
        <f t="shared" si="38"/>
        <v>5.7471264367816577E-3</v>
      </c>
      <c r="G621" s="17">
        <f t="shared" si="38"/>
        <v>-2.3453608247422708E-2</v>
      </c>
      <c r="H621" s="14">
        <f t="shared" si="39"/>
        <v>-2.075292473544545E-2</v>
      </c>
      <c r="I621" s="39"/>
      <c r="J621" s="47">
        <f t="shared" si="41"/>
        <v>150</v>
      </c>
      <c r="K621" s="49">
        <f t="shared" si="40"/>
        <v>9.6389996922096124E-8</v>
      </c>
      <c r="L621" s="17">
        <v>-1.2512900628202001E-2</v>
      </c>
      <c r="M621" s="27"/>
      <c r="N621" s="49">
        <v>2.2067994294940979E-7</v>
      </c>
      <c r="O621" s="27">
        <v>1.3198938687609017E-2</v>
      </c>
      <c r="Q621" s="2"/>
      <c r="R621" s="24"/>
      <c r="S621" s="24"/>
      <c r="T621" s="24"/>
    </row>
    <row r="622" spans="1:20" x14ac:dyDescent="0.25">
      <c r="A622" s="2">
        <v>44504</v>
      </c>
      <c r="B622" s="20">
        <v>2794</v>
      </c>
      <c r="C622" s="20">
        <v>435</v>
      </c>
      <c r="D622" s="20">
        <v>19400</v>
      </c>
      <c r="E622" s="17">
        <f t="shared" si="38"/>
        <v>2.344322344322336E-2</v>
      </c>
      <c r="F622" s="17">
        <f t="shared" si="38"/>
        <v>0</v>
      </c>
      <c r="G622" s="17">
        <f t="shared" si="38"/>
        <v>3.2738887410167727E-2</v>
      </c>
      <c r="H622" s="14">
        <f t="shared" si="39"/>
        <v>2.9962970920324176E-2</v>
      </c>
      <c r="I622" s="39"/>
      <c r="J622" s="47">
        <f t="shared" si="41"/>
        <v>149</v>
      </c>
      <c r="K622" s="49">
        <f t="shared" si="40"/>
        <v>9.4462196983654199E-8</v>
      </c>
      <c r="L622" s="17">
        <v>1.7342540992296516E-2</v>
      </c>
      <c r="M622" s="27"/>
      <c r="N622" s="49">
        <v>4.2961060565009115E-8</v>
      </c>
      <c r="O622" s="27">
        <v>1.3320618029750637E-2</v>
      </c>
      <c r="Q622" s="2"/>
      <c r="R622" s="24"/>
      <c r="S622" s="24"/>
      <c r="T622" s="24"/>
    </row>
    <row r="623" spans="1:20" x14ac:dyDescent="0.25">
      <c r="A623" s="2">
        <v>44503</v>
      </c>
      <c r="B623" s="20">
        <v>2730</v>
      </c>
      <c r="C623" s="20">
        <v>435</v>
      </c>
      <c r="D623" s="20">
        <v>18785</v>
      </c>
      <c r="E623" s="17">
        <f t="shared" si="38"/>
        <v>2.0179372197309364E-2</v>
      </c>
      <c r="F623" s="17">
        <f t="shared" si="38"/>
        <v>1.1627906976744207E-2</v>
      </c>
      <c r="G623" s="17">
        <f t="shared" si="38"/>
        <v>9.9462365591398427E-3</v>
      </c>
      <c r="H623" s="14">
        <f t="shared" si="39"/>
        <v>1.1492649564919763E-2</v>
      </c>
      <c r="I623" s="39"/>
      <c r="J623" s="47">
        <f t="shared" si="41"/>
        <v>148</v>
      </c>
      <c r="K623" s="49">
        <f t="shared" si="40"/>
        <v>9.257295304398112E-8</v>
      </c>
      <c r="L623" s="17">
        <v>-7.1127916544531603E-3</v>
      </c>
      <c r="M623" s="27"/>
      <c r="N623" s="49">
        <v>1.2296281592080166E-5</v>
      </c>
      <c r="O623" s="27">
        <v>1.3357000321458356E-2</v>
      </c>
      <c r="Q623" s="2"/>
      <c r="R623" s="24"/>
      <c r="S623" s="24"/>
      <c r="T623" s="24"/>
    </row>
    <row r="624" spans="1:20" x14ac:dyDescent="0.25">
      <c r="A624" s="2">
        <v>44502</v>
      </c>
      <c r="B624" s="20">
        <v>2676</v>
      </c>
      <c r="C624" s="20">
        <v>430</v>
      </c>
      <c r="D624" s="20">
        <v>18600</v>
      </c>
      <c r="E624" s="17">
        <f t="shared" si="38"/>
        <v>6.0150375939849177E-3</v>
      </c>
      <c r="F624" s="17">
        <f t="shared" si="38"/>
        <v>2.3310023310023631E-3</v>
      </c>
      <c r="G624" s="17">
        <f t="shared" si="38"/>
        <v>-5.0815726129981309E-3</v>
      </c>
      <c r="H624" s="14">
        <f t="shared" si="39"/>
        <v>-3.1591369660044083E-3</v>
      </c>
      <c r="I624" s="39"/>
      <c r="J624" s="47">
        <f t="shared" si="41"/>
        <v>147</v>
      </c>
      <c r="K624" s="49">
        <f t="shared" si="40"/>
        <v>9.0721493983101495E-8</v>
      </c>
      <c r="L624" s="17">
        <v>3.4554712760797288E-3</v>
      </c>
      <c r="M624" s="27"/>
      <c r="N624" s="49">
        <v>1.9187902633339569E-4</v>
      </c>
      <c r="O624" s="27">
        <v>1.3404658403719474E-2</v>
      </c>
      <c r="Q624" s="2"/>
      <c r="R624" s="24"/>
      <c r="S624" s="24"/>
      <c r="T624" s="24"/>
    </row>
    <row r="625" spans="1:20" x14ac:dyDescent="0.25">
      <c r="A625" s="2">
        <v>44498</v>
      </c>
      <c r="B625" s="20">
        <v>2660</v>
      </c>
      <c r="C625" s="20">
        <v>429</v>
      </c>
      <c r="D625" s="20">
        <v>18695</v>
      </c>
      <c r="E625" s="17">
        <f t="shared" si="38"/>
        <v>2.2607385079125297E-3</v>
      </c>
      <c r="F625" s="17">
        <f t="shared" si="38"/>
        <v>5.8616647127784915E-3</v>
      </c>
      <c r="G625" s="17">
        <f t="shared" si="38"/>
        <v>7.8167115902965101E-3</v>
      </c>
      <c r="H625" s="14">
        <f t="shared" si="39"/>
        <v>6.931325783374547E-3</v>
      </c>
      <c r="I625" s="39"/>
      <c r="J625" s="47">
        <f t="shared" si="41"/>
        <v>146</v>
      </c>
      <c r="K625" s="49">
        <f t="shared" si="40"/>
        <v>8.8907064103439462E-8</v>
      </c>
      <c r="L625" s="17">
        <v>-2.2080708468417601E-2</v>
      </c>
      <c r="M625" s="27"/>
      <c r="N625" s="49">
        <v>3.8136508744054714E-4</v>
      </c>
      <c r="O625" s="27">
        <v>1.3498167161134562E-2</v>
      </c>
      <c r="Q625" s="2"/>
      <c r="R625" s="24"/>
      <c r="S625" s="24"/>
      <c r="T625" s="24"/>
    </row>
    <row r="626" spans="1:20" x14ac:dyDescent="0.25">
      <c r="A626" s="2">
        <v>44497</v>
      </c>
      <c r="B626" s="20">
        <v>2654</v>
      </c>
      <c r="C626" s="29">
        <v>426.5</v>
      </c>
      <c r="D626" s="20">
        <v>18550</v>
      </c>
      <c r="E626" s="17">
        <f t="shared" si="38"/>
        <v>-2.7838827838827851E-2</v>
      </c>
      <c r="F626" s="17">
        <f t="shared" si="38"/>
        <v>3.529411764705781E-3</v>
      </c>
      <c r="G626" s="17">
        <f t="shared" si="38"/>
        <v>-2.4967148488830526E-2</v>
      </c>
      <c r="H626" s="14">
        <f t="shared" si="39"/>
        <v>-2.412846945339104E-2</v>
      </c>
      <c r="I626" s="39"/>
      <c r="J626" s="47">
        <f t="shared" si="41"/>
        <v>145</v>
      </c>
      <c r="K626" s="49">
        <f t="shared" si="40"/>
        <v>8.7128922821370675E-8</v>
      </c>
      <c r="L626" s="17">
        <v>-1.4098794828762501E-2</v>
      </c>
      <c r="M626" s="27"/>
      <c r="N626" s="49">
        <v>1.0257366008157226E-4</v>
      </c>
      <c r="O626" s="27">
        <v>1.374473625733396E-2</v>
      </c>
      <c r="Q626" s="2"/>
      <c r="R626" s="24"/>
      <c r="S626" s="24"/>
      <c r="T626" s="24"/>
    </row>
    <row r="627" spans="1:20" x14ac:dyDescent="0.25">
      <c r="A627" s="2">
        <v>44496</v>
      </c>
      <c r="B627" s="20">
        <v>2730</v>
      </c>
      <c r="C627" s="20">
        <v>425</v>
      </c>
      <c r="D627" s="20">
        <v>19025</v>
      </c>
      <c r="E627" s="17">
        <f t="shared" si="38"/>
        <v>-5.8266569555717185E-3</v>
      </c>
      <c r="F627" s="17">
        <f t="shared" si="38"/>
        <v>-8.168028004667427E-3</v>
      </c>
      <c r="G627" s="17">
        <f t="shared" si="38"/>
        <v>-1.1688311688311637E-2</v>
      </c>
      <c r="H627" s="14">
        <f t="shared" si="39"/>
        <v>-1.069017480122942E-2</v>
      </c>
      <c r="I627" s="39"/>
      <c r="J627" s="47">
        <f t="shared" si="41"/>
        <v>144</v>
      </c>
      <c r="K627" s="49">
        <f t="shared" si="40"/>
        <v>8.5386344364943244E-8</v>
      </c>
      <c r="L627" s="17">
        <v>8.9153689796632307E-3</v>
      </c>
      <c r="M627" s="27"/>
      <c r="N627" s="49">
        <v>5.0470663894222643E-9</v>
      </c>
      <c r="O627" s="27">
        <v>1.3750299747252684E-2</v>
      </c>
      <c r="Q627" s="2"/>
      <c r="R627" s="24"/>
      <c r="S627" s="24"/>
      <c r="T627" s="24"/>
    </row>
    <row r="628" spans="1:20" x14ac:dyDescent="0.25">
      <c r="A628" s="2">
        <v>44495</v>
      </c>
      <c r="B628" s="20">
        <v>2746</v>
      </c>
      <c r="C628" s="29">
        <v>428.5</v>
      </c>
      <c r="D628" s="20">
        <v>19250</v>
      </c>
      <c r="E628" s="17">
        <f t="shared" si="38"/>
        <v>-7.2780203784572617E-4</v>
      </c>
      <c r="F628" s="17">
        <f t="shared" si="38"/>
        <v>-3.4883720930232176E-3</v>
      </c>
      <c r="G628" s="17">
        <f t="shared" si="38"/>
        <v>2.2576361221779528E-2</v>
      </c>
      <c r="H628" s="14">
        <f t="shared" si="39"/>
        <v>1.8077849897611405E-2</v>
      </c>
      <c r="I628" s="39"/>
      <c r="J628" s="47">
        <f t="shared" si="41"/>
        <v>143</v>
      </c>
      <c r="K628" s="49">
        <f t="shared" si="40"/>
        <v>8.3678617477644385E-8</v>
      </c>
      <c r="L628" s="17">
        <v>-1.747437796463544E-2</v>
      </c>
      <c r="M628" s="27"/>
      <c r="N628" s="49">
        <v>2.9863751049826626E-8</v>
      </c>
      <c r="O628" s="27">
        <v>1.3787820481407125E-2</v>
      </c>
      <c r="Q628" s="2"/>
      <c r="R628" s="24"/>
      <c r="S628" s="24"/>
      <c r="T628" s="24"/>
    </row>
    <row r="629" spans="1:20" x14ac:dyDescent="0.25">
      <c r="A629" s="2">
        <v>44494</v>
      </c>
      <c r="B629" s="20">
        <v>2748</v>
      </c>
      <c r="C629" s="20">
        <v>430</v>
      </c>
      <c r="D629" s="20">
        <v>18825</v>
      </c>
      <c r="E629" s="17">
        <f t="shared" si="38"/>
        <v>-7.9422382671480163E-3</v>
      </c>
      <c r="F629" s="17">
        <f t="shared" si="38"/>
        <v>-2.3201856148491462E-3</v>
      </c>
      <c r="G629" s="17">
        <f t="shared" si="38"/>
        <v>-8.4277060837503193E-3</v>
      </c>
      <c r="H629" s="14">
        <f t="shared" si="39"/>
        <v>-8.0895326107210223E-3</v>
      </c>
      <c r="I629" s="39"/>
      <c r="J629" s="47">
        <f t="shared" si="41"/>
        <v>142</v>
      </c>
      <c r="K629" s="49">
        <f t="shared" si="40"/>
        <v>8.2005045128091489E-8</v>
      </c>
      <c r="L629" s="17">
        <v>-8.6409672886186666E-4</v>
      </c>
      <c r="M629" s="27"/>
      <c r="N629" s="49">
        <v>3.8935183678735041E-3</v>
      </c>
      <c r="O629" s="27">
        <v>1.3838512206478186E-2</v>
      </c>
      <c r="Q629" s="2"/>
      <c r="R629" s="24"/>
      <c r="S629" s="24"/>
      <c r="T629" s="24"/>
    </row>
    <row r="630" spans="1:20" x14ac:dyDescent="0.25">
      <c r="A630" s="2">
        <v>44491</v>
      </c>
      <c r="B630" s="20">
        <v>2770</v>
      </c>
      <c r="C630" s="20">
        <v>431</v>
      </c>
      <c r="D630" s="20">
        <v>18985</v>
      </c>
      <c r="E630" s="17">
        <f t="shared" si="38"/>
        <v>3.6231884057971175E-3</v>
      </c>
      <c r="F630" s="17">
        <f t="shared" si="38"/>
        <v>1.4117647058823568E-2</v>
      </c>
      <c r="G630" s="17">
        <f t="shared" si="38"/>
        <v>-2.6329647182732341E-4</v>
      </c>
      <c r="H630" s="14">
        <f t="shared" si="39"/>
        <v>9.2774628157649489E-4</v>
      </c>
      <c r="I630" s="39"/>
      <c r="J630" s="47">
        <f t="shared" si="41"/>
        <v>141</v>
      </c>
      <c r="K630" s="49">
        <f t="shared" si="40"/>
        <v>8.036494422552967E-8</v>
      </c>
      <c r="L630" s="17">
        <v>-2.1973970731778307E-2</v>
      </c>
      <c r="M630" s="27"/>
      <c r="N630" s="49">
        <v>9.8460181684262008E-6</v>
      </c>
      <c r="O630" s="27">
        <v>1.3872400005801051E-2</v>
      </c>
      <c r="Q630" s="2"/>
      <c r="R630" s="24"/>
      <c r="S630" s="24"/>
      <c r="T630" s="24"/>
    </row>
    <row r="631" spans="1:20" x14ac:dyDescent="0.25">
      <c r="A631" s="2">
        <v>44490</v>
      </c>
      <c r="B631" s="20">
        <v>2760</v>
      </c>
      <c r="C631" s="20">
        <v>425</v>
      </c>
      <c r="D631" s="20">
        <v>18990</v>
      </c>
      <c r="E631" s="17">
        <f t="shared" si="38"/>
        <v>1.4705882352941124E-2</v>
      </c>
      <c r="F631" s="17">
        <f t="shared" si="38"/>
        <v>-1.3921113689095099E-2</v>
      </c>
      <c r="G631" s="17">
        <f t="shared" si="38"/>
        <v>1.8776824034334672E-2</v>
      </c>
      <c r="H631" s="14">
        <f t="shared" si="39"/>
        <v>1.6754536787047743E-2</v>
      </c>
      <c r="I631" s="39"/>
      <c r="J631" s="47">
        <f t="shared" si="41"/>
        <v>140</v>
      </c>
      <c r="K631" s="49">
        <f t="shared" si="40"/>
        <v>7.875764534101907E-8</v>
      </c>
      <c r="L631" s="17">
        <v>-2.075292473544545E-2</v>
      </c>
      <c r="M631" s="27"/>
      <c r="N631" s="49">
        <v>9.2718464551627135E-5</v>
      </c>
      <c r="O631" s="27">
        <v>1.3881378666113038E-2</v>
      </c>
      <c r="Q631" s="2"/>
      <c r="R631" s="24"/>
      <c r="S631" s="24"/>
      <c r="T631" s="24"/>
    </row>
    <row r="632" spans="1:20" x14ac:dyDescent="0.25">
      <c r="A632" s="2">
        <v>44489</v>
      </c>
      <c r="B632" s="20">
        <v>2720</v>
      </c>
      <c r="C632" s="20">
        <v>431</v>
      </c>
      <c r="D632" s="20">
        <v>18640</v>
      </c>
      <c r="E632" s="17">
        <f t="shared" si="38"/>
        <v>-2.9325513196480912E-3</v>
      </c>
      <c r="F632" s="17">
        <f t="shared" si="38"/>
        <v>1.1737089201877993E-2</v>
      </c>
      <c r="G632" s="17">
        <f t="shared" si="38"/>
        <v>-5.8666666666666867E-3</v>
      </c>
      <c r="H632" s="14">
        <f t="shared" si="39"/>
        <v>-4.6710841032324485E-3</v>
      </c>
      <c r="I632" s="39"/>
      <c r="J632" s="47">
        <f t="shared" si="41"/>
        <v>139</v>
      </c>
      <c r="K632" s="49">
        <f t="shared" si="40"/>
        <v>7.7182492434198691E-8</v>
      </c>
      <c r="L632" s="17">
        <v>2.9962970920324176E-2</v>
      </c>
      <c r="M632" s="27"/>
      <c r="N632" s="49">
        <v>3.3038017440851337E-8</v>
      </c>
      <c r="O632" s="27">
        <v>1.3885678106089561E-2</v>
      </c>
      <c r="Q632" s="2"/>
      <c r="R632" s="24"/>
      <c r="S632" s="24"/>
      <c r="T632" s="24"/>
    </row>
    <row r="633" spans="1:20" x14ac:dyDescent="0.25">
      <c r="A633" s="2">
        <v>44488</v>
      </c>
      <c r="B633" s="20">
        <v>2728</v>
      </c>
      <c r="C633" s="20">
        <v>426</v>
      </c>
      <c r="D633" s="20">
        <v>18750</v>
      </c>
      <c r="E633" s="17">
        <f t="shared" si="38"/>
        <v>2.9411764705882248E-3</v>
      </c>
      <c r="F633" s="17">
        <f t="shared" si="38"/>
        <v>2.3529411764706687E-3</v>
      </c>
      <c r="G633" s="17">
        <f t="shared" si="38"/>
        <v>-1.5489629824100848E-2</v>
      </c>
      <c r="H633" s="14">
        <f t="shared" si="39"/>
        <v>-1.2053603451942467E-2</v>
      </c>
      <c r="I633" s="39"/>
      <c r="J633" s="47">
        <f t="shared" si="41"/>
        <v>138</v>
      </c>
      <c r="K633" s="49">
        <f t="shared" si="40"/>
        <v>7.5638842585514717E-8</v>
      </c>
      <c r="L633" s="17">
        <v>1.1492649564919763E-2</v>
      </c>
      <c r="M633" s="27"/>
      <c r="N633" s="49">
        <v>6.5698397369477254E-7</v>
      </c>
      <c r="O633" s="27">
        <v>1.3922188886274689E-2</v>
      </c>
      <c r="Q633" s="2"/>
      <c r="R633" s="24"/>
      <c r="S633" s="24"/>
      <c r="T633" s="24"/>
    </row>
    <row r="634" spans="1:20" x14ac:dyDescent="0.25">
      <c r="A634" s="2">
        <v>44487</v>
      </c>
      <c r="B634" s="20">
        <v>2720</v>
      </c>
      <c r="C634" s="20">
        <v>425</v>
      </c>
      <c r="D634" s="20">
        <v>19045</v>
      </c>
      <c r="E634" s="17">
        <f t="shared" si="38"/>
        <v>-6.5741417092768373E-3</v>
      </c>
      <c r="F634" s="17">
        <f t="shared" si="38"/>
        <v>-4.6838407494145251E-3</v>
      </c>
      <c r="G634" s="17">
        <f t="shared" si="38"/>
        <v>2.3684210526315752E-3</v>
      </c>
      <c r="H634" s="14">
        <f t="shared" si="39"/>
        <v>7.7177908748887205E-4</v>
      </c>
      <c r="I634" s="39"/>
      <c r="J634" s="47">
        <f t="shared" si="41"/>
        <v>137</v>
      </c>
      <c r="K634" s="49">
        <f t="shared" si="40"/>
        <v>7.4126065733804411E-8</v>
      </c>
      <c r="L634" s="17">
        <v>-3.1591369660044083E-3</v>
      </c>
      <c r="M634" s="27"/>
      <c r="N634" s="49">
        <v>1.914776204798581E-8</v>
      </c>
      <c r="O634" s="27">
        <v>1.3937502682326209E-2</v>
      </c>
      <c r="Q634" s="2"/>
      <c r="R634" s="24"/>
      <c r="S634" s="24"/>
      <c r="T634" s="24"/>
    </row>
    <row r="635" spans="1:20" x14ac:dyDescent="0.25">
      <c r="A635" s="2">
        <v>44484</v>
      </c>
      <c r="B635" s="20">
        <v>2738</v>
      </c>
      <c r="C635" s="20">
        <v>427</v>
      </c>
      <c r="D635" s="20">
        <v>19000</v>
      </c>
      <c r="E635" s="17">
        <f t="shared" si="38"/>
        <v>-1.0838150289017356E-2</v>
      </c>
      <c r="F635" s="17">
        <f t="shared" si="38"/>
        <v>4.7058823529411153E-3</v>
      </c>
      <c r="G635" s="17">
        <f t="shared" si="38"/>
        <v>-7.3145245559038674E-3</v>
      </c>
      <c r="H635" s="14">
        <f t="shared" si="39"/>
        <v>-7.2934893695526821E-3</v>
      </c>
      <c r="I635" s="39"/>
      <c r="J635" s="47">
        <f t="shared" si="41"/>
        <v>136</v>
      </c>
      <c r="K635" s="49">
        <f t="shared" si="40"/>
        <v>7.2643544419128326E-8</v>
      </c>
      <c r="L635" s="17">
        <v>6.931325783374547E-3</v>
      </c>
      <c r="M635" s="27"/>
      <c r="N635" s="49">
        <v>1.8031158040945786E-7</v>
      </c>
      <c r="O635" s="27">
        <v>1.4034096850065779E-2</v>
      </c>
      <c r="Q635" s="2"/>
      <c r="R635" s="24"/>
      <c r="S635" s="24"/>
      <c r="T635" s="24"/>
    </row>
    <row r="636" spans="1:20" x14ac:dyDescent="0.25">
      <c r="A636" s="2">
        <v>44483</v>
      </c>
      <c r="B636" s="20">
        <v>2768</v>
      </c>
      <c r="C636" s="20">
        <v>425</v>
      </c>
      <c r="D636" s="20">
        <v>19140</v>
      </c>
      <c r="E636" s="17">
        <f t="shared" si="38"/>
        <v>2.7468448403860535E-2</v>
      </c>
      <c r="F636" s="17">
        <f t="shared" si="38"/>
        <v>0</v>
      </c>
      <c r="G636" s="17">
        <f t="shared" si="38"/>
        <v>3.6706869428422273E-3</v>
      </c>
      <c r="H636" s="14">
        <f t="shared" si="39"/>
        <v>6.9338911288132927E-3</v>
      </c>
      <c r="I636" s="39"/>
      <c r="J636" s="47">
        <f t="shared" si="41"/>
        <v>135</v>
      </c>
      <c r="K636" s="49">
        <f t="shared" si="40"/>
        <v>7.1190673530745746E-8</v>
      </c>
      <c r="L636" s="17">
        <v>-2.412846945339104E-2</v>
      </c>
      <c r="M636" s="27"/>
      <c r="N636" s="49">
        <v>2.300199230029693E-5</v>
      </c>
      <c r="O636" s="27">
        <v>1.4037543000147252E-2</v>
      </c>
      <c r="Q636" s="2"/>
      <c r="R636" s="24"/>
      <c r="S636" s="24"/>
      <c r="T636" s="24"/>
    </row>
    <row r="637" spans="1:20" x14ac:dyDescent="0.25">
      <c r="A637" s="2">
        <v>44482</v>
      </c>
      <c r="B637" s="20">
        <v>2694</v>
      </c>
      <c r="C637" s="20">
        <v>425</v>
      </c>
      <c r="D637" s="20">
        <v>19070</v>
      </c>
      <c r="E637" s="17">
        <f t="shared" si="38"/>
        <v>-1.6788321167883202E-2</v>
      </c>
      <c r="F637" s="17">
        <f t="shared" si="38"/>
        <v>0</v>
      </c>
      <c r="G637" s="17">
        <f t="shared" si="38"/>
        <v>1.1402810925484008E-2</v>
      </c>
      <c r="H637" s="14">
        <f t="shared" si="39"/>
        <v>6.8451985656772119E-3</v>
      </c>
      <c r="I637" s="39"/>
      <c r="J637" s="47">
        <f t="shared" si="41"/>
        <v>134</v>
      </c>
      <c r="K637" s="49">
        <f t="shared" si="40"/>
        <v>6.976686006013083E-8</v>
      </c>
      <c r="L637" s="17">
        <v>-1.069017480122942E-2</v>
      </c>
      <c r="M637" s="27"/>
      <c r="N637" s="49">
        <v>9.0674009973989966E-9</v>
      </c>
      <c r="O637" s="27">
        <v>1.4137480483445423E-2</v>
      </c>
      <c r="Q637" s="2"/>
      <c r="R637" s="24"/>
      <c r="S637" s="24"/>
      <c r="T637" s="24"/>
    </row>
    <row r="638" spans="1:20" x14ac:dyDescent="0.25">
      <c r="A638" s="2">
        <v>44481</v>
      </c>
      <c r="B638" s="20">
        <v>2740</v>
      </c>
      <c r="C638" s="20">
        <v>425</v>
      </c>
      <c r="D638" s="20">
        <v>18855</v>
      </c>
      <c r="E638" s="17">
        <f t="shared" si="38"/>
        <v>1.1816838995568624E-2</v>
      </c>
      <c r="F638" s="17">
        <f t="shared" si="38"/>
        <v>0</v>
      </c>
      <c r="G638" s="17">
        <f t="shared" si="38"/>
        <v>3.9936102236421966E-3</v>
      </c>
      <c r="H638" s="14">
        <f t="shared" si="39"/>
        <v>4.9439148057654021E-3</v>
      </c>
      <c r="I638" s="39"/>
      <c r="J638" s="47">
        <f t="shared" si="41"/>
        <v>133</v>
      </c>
      <c r="K638" s="49">
        <f t="shared" si="40"/>
        <v>6.8371522858928213E-8</v>
      </c>
      <c r="L638" s="17">
        <v>1.8077849897611405E-2</v>
      </c>
      <c r="M638" s="27"/>
      <c r="N638" s="49">
        <v>8.3634819739530767E-9</v>
      </c>
      <c r="O638" s="27">
        <v>1.4139896008660956E-2</v>
      </c>
      <c r="Q638" s="2"/>
      <c r="R638" s="24"/>
      <c r="S638" s="24"/>
      <c r="T638" s="24"/>
    </row>
    <row r="639" spans="1:20" x14ac:dyDescent="0.25">
      <c r="A639" s="2">
        <v>44480</v>
      </c>
      <c r="B639" s="20">
        <v>2708</v>
      </c>
      <c r="C639" s="20">
        <v>425</v>
      </c>
      <c r="D639" s="20">
        <v>18780</v>
      </c>
      <c r="E639" s="17">
        <f t="shared" si="38"/>
        <v>8.941877794336861E-3</v>
      </c>
      <c r="F639" s="17">
        <f t="shared" si="38"/>
        <v>2.3584905660376521E-3</v>
      </c>
      <c r="G639" s="17">
        <f t="shared" si="38"/>
        <v>1.0220548682087216E-2</v>
      </c>
      <c r="H639" s="14">
        <f t="shared" si="39"/>
        <v>9.6911541205012934E-3</v>
      </c>
      <c r="I639" s="39"/>
      <c r="J639" s="47">
        <f t="shared" si="41"/>
        <v>132</v>
      </c>
      <c r="K639" s="49">
        <f t="shared" si="40"/>
        <v>6.7004092401749658E-8</v>
      </c>
      <c r="L639" s="17">
        <v>-8.0895326107210223E-3</v>
      </c>
      <c r="M639" s="27"/>
      <c r="N639" s="49">
        <v>3.5102314342717888E-8</v>
      </c>
      <c r="O639" s="27">
        <v>1.4173191363697697E-2</v>
      </c>
      <c r="Q639" s="2"/>
      <c r="R639" s="24"/>
      <c r="S639" s="24"/>
      <c r="T639" s="24"/>
    </row>
    <row r="640" spans="1:20" x14ac:dyDescent="0.25">
      <c r="A640" s="2">
        <v>44477</v>
      </c>
      <c r="B640" s="20">
        <v>2684</v>
      </c>
      <c r="C640" s="20">
        <v>424</v>
      </c>
      <c r="D640" s="20">
        <v>18590</v>
      </c>
      <c r="E640" s="17">
        <f t="shared" si="38"/>
        <v>1.4925373134329067E-3</v>
      </c>
      <c r="F640" s="17">
        <f t="shared" si="38"/>
        <v>-2.3529411764705577E-3</v>
      </c>
      <c r="G640" s="17">
        <f t="shared" si="38"/>
        <v>-2.6888948642111998E-4</v>
      </c>
      <c r="H640" s="14">
        <f t="shared" si="39"/>
        <v>-1.0697910011847645E-4</v>
      </c>
      <c r="I640" s="39"/>
      <c r="J640" s="47">
        <f t="shared" si="41"/>
        <v>131</v>
      </c>
      <c r="K640" s="49">
        <f t="shared" si="40"/>
        <v>6.5664010553714657E-8</v>
      </c>
      <c r="L640" s="17">
        <v>9.2774628157649489E-4</v>
      </c>
      <c r="M640" s="27"/>
      <c r="N640" s="49">
        <v>2.7603118100302576E-4</v>
      </c>
      <c r="O640" s="27">
        <v>1.4296655047853282E-2</v>
      </c>
      <c r="Q640" s="2"/>
      <c r="R640" s="24"/>
      <c r="S640" s="24"/>
      <c r="T640" s="24"/>
    </row>
    <row r="641" spans="1:20" x14ac:dyDescent="0.25">
      <c r="A641" s="2">
        <v>44476</v>
      </c>
      <c r="B641" s="20">
        <v>2680</v>
      </c>
      <c r="C641" s="20">
        <v>425</v>
      </c>
      <c r="D641" s="20">
        <v>18595</v>
      </c>
      <c r="E641" s="17">
        <f t="shared" si="38"/>
        <v>-2.9761904761904656E-3</v>
      </c>
      <c r="F641" s="17">
        <f t="shared" si="38"/>
        <v>1.1778563015312216E-3</v>
      </c>
      <c r="G641" s="17">
        <f t="shared" si="38"/>
        <v>1.3627691469065173E-2</v>
      </c>
      <c r="H641" s="14">
        <f t="shared" si="39"/>
        <v>1.0691470403684778E-2</v>
      </c>
      <c r="I641" s="39"/>
      <c r="J641" s="47">
        <f t="shared" si="41"/>
        <v>130</v>
      </c>
      <c r="K641" s="49">
        <f t="shared" si="40"/>
        <v>6.4350730342640357E-8</v>
      </c>
      <c r="L641" s="17">
        <v>1.6754536787047743E-2</v>
      </c>
      <c r="M641" s="27"/>
      <c r="N641" s="49">
        <v>2.3496010097579538E-3</v>
      </c>
      <c r="O641" s="27">
        <v>1.4300139505603424E-2</v>
      </c>
      <c r="Q641" s="2"/>
      <c r="R641" s="24"/>
      <c r="S641" s="24"/>
      <c r="T641" s="24"/>
    </row>
    <row r="642" spans="1:20" x14ac:dyDescent="0.25">
      <c r="A642" s="2">
        <v>44475</v>
      </c>
      <c r="B642" s="20">
        <v>2688</v>
      </c>
      <c r="C642" s="29">
        <v>424.5</v>
      </c>
      <c r="D642" s="20">
        <v>18345</v>
      </c>
      <c r="E642" s="17">
        <f t="shared" si="38"/>
        <v>1.0526315789473717E-2</v>
      </c>
      <c r="F642" s="17">
        <f t="shared" si="38"/>
        <v>5.924170616113722E-3</v>
      </c>
      <c r="G642" s="17">
        <f t="shared" si="38"/>
        <v>-4.0716612377850181E-3</v>
      </c>
      <c r="H642" s="14">
        <f t="shared" si="39"/>
        <v>-1.5318962598645904E-3</v>
      </c>
      <c r="I642" s="39"/>
      <c r="J642" s="47">
        <f t="shared" si="41"/>
        <v>129</v>
      </c>
      <c r="K642" s="49">
        <f t="shared" si="40"/>
        <v>6.3063715735787557E-8</v>
      </c>
      <c r="L642" s="17">
        <v>-4.6710841032324485E-3</v>
      </c>
      <c r="M642" s="27"/>
      <c r="N642" s="49">
        <v>4.7602167568809085E-5</v>
      </c>
      <c r="O642" s="27">
        <v>1.4397681440259691E-2</v>
      </c>
      <c r="Q642" s="2"/>
      <c r="R642" s="24"/>
      <c r="S642" s="24"/>
      <c r="T642" s="24"/>
    </row>
    <row r="643" spans="1:20" x14ac:dyDescent="0.25">
      <c r="A643" s="2">
        <v>44474</v>
      </c>
      <c r="B643" s="20">
        <v>2660</v>
      </c>
      <c r="C643" s="20">
        <v>422</v>
      </c>
      <c r="D643" s="20">
        <v>18420</v>
      </c>
      <c r="E643" s="17">
        <f t="shared" si="38"/>
        <v>2.0721412125863425E-2</v>
      </c>
      <c r="F643" s="17">
        <f t="shared" si="38"/>
        <v>-7.058823529411784E-3</v>
      </c>
      <c r="G643" s="17">
        <f t="shared" si="38"/>
        <v>-3.7858301784748916E-3</v>
      </c>
      <c r="H643" s="14">
        <f t="shared" si="39"/>
        <v>-4.0306123152973952E-4</v>
      </c>
      <c r="I643" s="39"/>
      <c r="J643" s="47">
        <f t="shared" si="41"/>
        <v>128</v>
      </c>
      <c r="K643" s="49">
        <f t="shared" si="40"/>
        <v>6.1802441421071802E-8</v>
      </c>
      <c r="L643" s="17">
        <v>-1.2053603451942467E-2</v>
      </c>
      <c r="M643" s="27"/>
      <c r="N643" s="49">
        <v>1.6631366064896372E-7</v>
      </c>
      <c r="O643" s="27">
        <v>1.4421238374080164E-2</v>
      </c>
      <c r="Q643" s="2"/>
      <c r="R643" s="24"/>
      <c r="S643" s="24"/>
      <c r="T643" s="24"/>
    </row>
    <row r="644" spans="1:20" x14ac:dyDescent="0.25">
      <c r="A644" s="2">
        <v>44473</v>
      </c>
      <c r="B644" s="20">
        <v>2606</v>
      </c>
      <c r="C644" s="20">
        <v>425</v>
      </c>
      <c r="D644" s="20">
        <v>18490</v>
      </c>
      <c r="E644" s="17">
        <f t="shared" si="38"/>
        <v>4.6260601387817513E-3</v>
      </c>
      <c r="F644" s="17">
        <f t="shared" si="38"/>
        <v>8.3036773428233346E-3</v>
      </c>
      <c r="G644" s="17">
        <f t="shared" si="38"/>
        <v>-1.0171306209850073E-2</v>
      </c>
      <c r="H644" s="14">
        <f t="shared" si="39"/>
        <v>-7.2303436516743926E-3</v>
      </c>
      <c r="I644" s="39"/>
      <c r="J644" s="47">
        <f t="shared" si="41"/>
        <v>127</v>
      </c>
      <c r="K644" s="49">
        <f t="shared" si="40"/>
        <v>6.0566392592650365E-8</v>
      </c>
      <c r="L644" s="17">
        <v>7.7177908748887205E-4</v>
      </c>
      <c r="M644" s="27"/>
      <c r="N644" s="49">
        <v>6.1932001531998402E-4</v>
      </c>
      <c r="O644" s="27">
        <v>1.4520047018492547E-2</v>
      </c>
      <c r="Q644" s="2"/>
      <c r="R644" s="24"/>
      <c r="S644" s="24"/>
      <c r="T644" s="24"/>
    </row>
    <row r="645" spans="1:20" x14ac:dyDescent="0.25">
      <c r="A645" s="2">
        <v>44470</v>
      </c>
      <c r="B645" s="20">
        <v>2594</v>
      </c>
      <c r="C645" s="29">
        <v>421.5</v>
      </c>
      <c r="D645" s="20">
        <v>18680</v>
      </c>
      <c r="E645" s="17">
        <f t="shared" si="38"/>
        <v>3.8699690402477227E-3</v>
      </c>
      <c r="F645" s="17">
        <f t="shared" si="38"/>
        <v>-4.7225501770956635E-3</v>
      </c>
      <c r="G645" s="17">
        <f t="shared" si="38"/>
        <v>2.637362637362628E-2</v>
      </c>
      <c r="H645" s="14">
        <f t="shared" si="39"/>
        <v>2.1769265582347444E-2</v>
      </c>
      <c r="I645" s="39"/>
      <c r="J645" s="47">
        <f t="shared" si="41"/>
        <v>126</v>
      </c>
      <c r="K645" s="49">
        <f t="shared" si="40"/>
        <v>5.9355064740797359E-8</v>
      </c>
      <c r="L645" s="17">
        <v>-7.2934893695526821E-3</v>
      </c>
      <c r="M645" s="27"/>
      <c r="N645" s="49">
        <v>7.5757736081501483E-5</v>
      </c>
      <c r="O645" s="27">
        <v>1.4559147726686799E-2</v>
      </c>
      <c r="Q645" s="2"/>
      <c r="R645" s="24"/>
      <c r="S645" s="24"/>
      <c r="T645" s="24"/>
    </row>
    <row r="646" spans="1:20" x14ac:dyDescent="0.25">
      <c r="A646" s="2">
        <v>44469</v>
      </c>
      <c r="B646" s="20">
        <v>2584</v>
      </c>
      <c r="C646" s="29">
        <v>423.5</v>
      </c>
      <c r="D646" s="20">
        <v>18200</v>
      </c>
      <c r="E646" s="17">
        <f t="shared" ref="E646:G709" si="42">+B646/B647-1</f>
        <v>1.8124507486209529E-2</v>
      </c>
      <c r="F646" s="17">
        <f t="shared" si="42"/>
        <v>3.5545023696681444E-3</v>
      </c>
      <c r="G646" s="17">
        <f t="shared" si="42"/>
        <v>2.4198086662915008E-2</v>
      </c>
      <c r="H646" s="14">
        <f t="shared" ref="H646:H709" si="43">+SUMPRODUCT(E646:G646,$K$9:$M$9)</f>
        <v>2.2417194023089206E-2</v>
      </c>
      <c r="I646" s="39"/>
      <c r="J646" s="47">
        <f t="shared" si="41"/>
        <v>125</v>
      </c>
      <c r="K646" s="49">
        <f t="shared" si="40"/>
        <v>5.8167963445981402E-8</v>
      </c>
      <c r="L646" s="17">
        <v>6.9338911288132927E-3</v>
      </c>
      <c r="M646" s="27"/>
      <c r="N646" s="49">
        <v>3.4436306835812086E-6</v>
      </c>
      <c r="O646" s="27">
        <v>1.4598594492364071E-2</v>
      </c>
      <c r="Q646" s="2"/>
      <c r="R646" s="24"/>
      <c r="S646" s="24"/>
      <c r="T646" s="24"/>
    </row>
    <row r="647" spans="1:20" x14ac:dyDescent="0.25">
      <c r="A647" s="2">
        <v>44468</v>
      </c>
      <c r="B647" s="20">
        <v>2538</v>
      </c>
      <c r="C647" s="20">
        <v>422</v>
      </c>
      <c r="D647" s="20">
        <v>17770</v>
      </c>
      <c r="E647" s="17">
        <f t="shared" si="42"/>
        <v>2.5040387722132573E-2</v>
      </c>
      <c r="F647" s="17">
        <f t="shared" si="42"/>
        <v>-8.2256169212691077E-3</v>
      </c>
      <c r="G647" s="17">
        <f t="shared" si="42"/>
        <v>1.2247223013386543E-2</v>
      </c>
      <c r="H647" s="14">
        <f t="shared" si="43"/>
        <v>1.3188729612741406E-2</v>
      </c>
      <c r="I647" s="39"/>
      <c r="J647" s="47">
        <f t="shared" si="41"/>
        <v>124</v>
      </c>
      <c r="K647" s="49">
        <f t="shared" si="40"/>
        <v>5.7004604177061781E-8</v>
      </c>
      <c r="L647" s="17">
        <v>6.8451985656772119E-3</v>
      </c>
      <c r="M647" s="27"/>
      <c r="N647" s="49">
        <v>1.1554999050158366E-8</v>
      </c>
      <c r="O647" s="27">
        <v>1.4765165608453111E-2</v>
      </c>
      <c r="Q647" s="2"/>
      <c r="R647" s="24"/>
      <c r="S647" s="24"/>
      <c r="T647" s="24"/>
    </row>
    <row r="648" spans="1:20" x14ac:dyDescent="0.25">
      <c r="A648" s="2">
        <v>44467</v>
      </c>
      <c r="B648" s="20">
        <v>2476</v>
      </c>
      <c r="C648" s="29">
        <v>425.5</v>
      </c>
      <c r="D648" s="20">
        <v>17555</v>
      </c>
      <c r="E648" s="17">
        <f t="shared" si="42"/>
        <v>5.6864337936637366E-3</v>
      </c>
      <c r="F648" s="17">
        <f t="shared" si="42"/>
        <v>-5.8411214953271173E-3</v>
      </c>
      <c r="G648" s="17">
        <f t="shared" si="42"/>
        <v>-5.6931397665815897E-4</v>
      </c>
      <c r="H648" s="14">
        <f t="shared" si="43"/>
        <v>9.9278567972295396E-5</v>
      </c>
      <c r="I648" s="39"/>
      <c r="J648" s="47">
        <f t="shared" si="41"/>
        <v>123</v>
      </c>
      <c r="K648" s="49">
        <f t="shared" si="40"/>
        <v>5.5864512093520538E-8</v>
      </c>
      <c r="L648" s="17">
        <v>4.9439148057654021E-3</v>
      </c>
      <c r="M648" s="27"/>
      <c r="N648" s="49">
        <v>4.0498163962284658E-5</v>
      </c>
      <c r="O648" s="27">
        <v>1.4801484451748417E-2</v>
      </c>
      <c r="Q648" s="2"/>
      <c r="R648" s="24"/>
      <c r="S648" s="24"/>
      <c r="T648" s="24"/>
    </row>
    <row r="649" spans="1:20" x14ac:dyDescent="0.25">
      <c r="A649" s="2">
        <v>44466</v>
      </c>
      <c r="B649" s="20">
        <v>2462</v>
      </c>
      <c r="C649" s="20">
        <v>428</v>
      </c>
      <c r="D649" s="20">
        <v>17565</v>
      </c>
      <c r="E649" s="17">
        <f t="shared" si="42"/>
        <v>8.1300813008122752E-4</v>
      </c>
      <c r="F649" s="17">
        <f t="shared" si="42"/>
        <v>8.2449941107185509E-3</v>
      </c>
      <c r="G649" s="17">
        <f t="shared" si="42"/>
        <v>3.714285714285781E-3</v>
      </c>
      <c r="H649" s="14">
        <f t="shared" si="43"/>
        <v>3.4958388108318936E-3</v>
      </c>
      <c r="I649" s="39"/>
      <c r="J649" s="47">
        <f t="shared" si="41"/>
        <v>122</v>
      </c>
      <c r="K649" s="49">
        <f t="shared" si="40"/>
        <v>5.4747221851650125E-8</v>
      </c>
      <c r="L649" s="17">
        <v>9.6911541205012934E-3</v>
      </c>
      <c r="M649" s="27"/>
      <c r="N649" s="49">
        <v>4.2101839353708935E-8</v>
      </c>
      <c r="O649" s="27">
        <v>1.4891638756370972E-2</v>
      </c>
      <c r="Q649" s="2"/>
      <c r="R649" s="24"/>
      <c r="S649" s="24"/>
      <c r="T649" s="24"/>
    </row>
    <row r="650" spans="1:20" x14ac:dyDescent="0.25">
      <c r="A650" s="2">
        <v>44463</v>
      </c>
      <c r="B650" s="20">
        <v>2460</v>
      </c>
      <c r="C650" s="29">
        <v>424.5</v>
      </c>
      <c r="D650" s="20">
        <v>17500</v>
      </c>
      <c r="E650" s="17">
        <f t="shared" si="42"/>
        <v>5.7236304170074082E-3</v>
      </c>
      <c r="F650" s="17">
        <f t="shared" si="42"/>
        <v>-5.8548009367681564E-3</v>
      </c>
      <c r="G650" s="17">
        <f t="shared" si="42"/>
        <v>-2.2073204805811653E-2</v>
      </c>
      <c r="H650" s="14">
        <f t="shared" si="43"/>
        <v>-1.736077278884059E-2</v>
      </c>
      <c r="I650" s="39"/>
      <c r="J650" s="47">
        <f t="shared" si="41"/>
        <v>121</v>
      </c>
      <c r="K650" s="49">
        <f t="shared" si="40"/>
        <v>5.3652277414617124E-8</v>
      </c>
      <c r="L650" s="17">
        <v>-1.0697910011847645E-4</v>
      </c>
      <c r="M650" s="27"/>
      <c r="N650" s="49">
        <v>5.8137518090807005E-9</v>
      </c>
      <c r="O650" s="27">
        <v>1.4988663704381358E-2</v>
      </c>
      <c r="Q650" s="2"/>
      <c r="R650" s="24"/>
      <c r="S650" s="24"/>
      <c r="T650" s="24"/>
    </row>
    <row r="651" spans="1:20" x14ac:dyDescent="0.25">
      <c r="A651" s="2">
        <v>44462</v>
      </c>
      <c r="B651" s="20">
        <v>2446</v>
      </c>
      <c r="C651" s="20">
        <v>427</v>
      </c>
      <c r="D651" s="20">
        <v>17895</v>
      </c>
      <c r="E651" s="17">
        <f t="shared" si="42"/>
        <v>1.4937759336099532E-2</v>
      </c>
      <c r="F651" s="17">
        <f t="shared" si="42"/>
        <v>-2.3364485981308691E-3</v>
      </c>
      <c r="G651" s="17">
        <f t="shared" si="42"/>
        <v>1.3881019830028318E-2</v>
      </c>
      <c r="H651" s="14">
        <f t="shared" si="43"/>
        <v>1.3320618029750637E-2</v>
      </c>
      <c r="I651" s="39"/>
      <c r="J651" s="47">
        <f t="shared" si="41"/>
        <v>120</v>
      </c>
      <c r="K651" s="49">
        <f t="shared" si="40"/>
        <v>5.2579231866324766E-8</v>
      </c>
      <c r="L651" s="17">
        <v>1.0691470403684778E-2</v>
      </c>
      <c r="M651" s="27"/>
      <c r="N651" s="49">
        <v>8.8860529774510164E-9</v>
      </c>
      <c r="O651" s="27">
        <v>1.499337961694221E-2</v>
      </c>
      <c r="Q651" s="2"/>
      <c r="R651" s="24"/>
      <c r="S651" s="24"/>
      <c r="T651" s="24"/>
    </row>
    <row r="652" spans="1:20" x14ac:dyDescent="0.25">
      <c r="A652" s="2">
        <v>44461</v>
      </c>
      <c r="B652" s="20">
        <v>2410</v>
      </c>
      <c r="C652" s="20">
        <v>428</v>
      </c>
      <c r="D652" s="20">
        <v>17650</v>
      </c>
      <c r="E652" s="17">
        <f t="shared" si="42"/>
        <v>1.9458544839255465E-2</v>
      </c>
      <c r="F652" s="17">
        <f t="shared" si="42"/>
        <v>-1.166861143523934E-3</v>
      </c>
      <c r="G652" s="17">
        <f t="shared" si="42"/>
        <v>1.4951121334100037E-2</v>
      </c>
      <c r="H652" s="14">
        <f t="shared" si="43"/>
        <v>1.4891638756370972E-2</v>
      </c>
      <c r="I652" s="39"/>
      <c r="J652" s="47">
        <f t="shared" si="41"/>
        <v>119</v>
      </c>
      <c r="K652" s="49">
        <f t="shared" si="40"/>
        <v>5.1527647228998269E-8</v>
      </c>
      <c r="L652" s="17">
        <v>-1.5318962598645904E-3</v>
      </c>
      <c r="M652" s="27"/>
      <c r="N652" s="49">
        <v>7.7142094795082657E-9</v>
      </c>
      <c r="O652" s="27">
        <v>1.4994809674423125E-2</v>
      </c>
      <c r="Q652" s="2"/>
      <c r="R652" s="24"/>
      <c r="S652" s="24"/>
      <c r="T652" s="24"/>
    </row>
    <row r="653" spans="1:20" x14ac:dyDescent="0.25">
      <c r="A653" s="2">
        <v>44460</v>
      </c>
      <c r="B653" s="20">
        <v>2364</v>
      </c>
      <c r="C653" s="29">
        <v>428.5</v>
      </c>
      <c r="D653" s="20">
        <v>17390</v>
      </c>
      <c r="E653" s="17">
        <f t="shared" si="42"/>
        <v>-5.887300252312877E-3</v>
      </c>
      <c r="F653" s="17">
        <f t="shared" si="42"/>
        <v>1.1806375442739103E-2</v>
      </c>
      <c r="G653" s="17">
        <f t="shared" si="42"/>
        <v>-7.98630918425558E-3</v>
      </c>
      <c r="H653" s="14">
        <f t="shared" si="43"/>
        <v>-6.8147333420410638E-3</v>
      </c>
      <c r="I653" s="39"/>
      <c r="J653" s="47">
        <f t="shared" si="41"/>
        <v>118</v>
      </c>
      <c r="K653" s="49">
        <f t="shared" si="40"/>
        <v>5.0497094284418314E-8</v>
      </c>
      <c r="L653" s="17">
        <v>-4.0306123152973952E-4</v>
      </c>
      <c r="M653" s="27"/>
      <c r="N653" s="49">
        <v>1.2283413110317729E-7</v>
      </c>
      <c r="O653" s="27">
        <v>1.5161795112863276E-2</v>
      </c>
      <c r="Q653" s="2"/>
      <c r="R653" s="24"/>
      <c r="S653" s="24"/>
      <c r="T653" s="24"/>
    </row>
    <row r="654" spans="1:20" x14ac:dyDescent="0.25">
      <c r="A654" s="2">
        <v>44459</v>
      </c>
      <c r="B654" s="20">
        <v>2378</v>
      </c>
      <c r="C654" s="29">
        <v>423.5</v>
      </c>
      <c r="D654" s="20">
        <v>17530</v>
      </c>
      <c r="E654" s="17">
        <f t="shared" si="42"/>
        <v>-2.3809523809523836E-2</v>
      </c>
      <c r="F654" s="17">
        <f t="shared" si="42"/>
        <v>-8.1967213114754189E-3</v>
      </c>
      <c r="G654" s="17">
        <f t="shared" si="42"/>
        <v>-3.2026504693539515E-2</v>
      </c>
      <c r="H654" s="14">
        <f t="shared" si="43"/>
        <v>-2.9797203576276902E-2</v>
      </c>
      <c r="I654" s="39"/>
      <c r="J654" s="47">
        <f t="shared" si="41"/>
        <v>117</v>
      </c>
      <c r="K654" s="49">
        <f t="shared" si="40"/>
        <v>4.9487152398729941E-8</v>
      </c>
      <c r="L654" s="17">
        <v>-7.2303436516743926E-3</v>
      </c>
      <c r="M654" s="27"/>
      <c r="N654" s="49">
        <v>1.0036442828206596E-7</v>
      </c>
      <c r="O654" s="27">
        <v>1.5174854589933093E-2</v>
      </c>
      <c r="Q654" s="2"/>
      <c r="R654" s="24"/>
      <c r="S654" s="24"/>
      <c r="T654" s="24"/>
    </row>
    <row r="655" spans="1:20" x14ac:dyDescent="0.25">
      <c r="A655" s="2">
        <v>44456</v>
      </c>
      <c r="B655" s="20">
        <v>2436</v>
      </c>
      <c r="C655" s="20">
        <v>427</v>
      </c>
      <c r="D655" s="20">
        <v>18110</v>
      </c>
      <c r="E655" s="17">
        <f t="shared" si="42"/>
        <v>-8.2034454470880647E-4</v>
      </c>
      <c r="F655" s="17">
        <f t="shared" si="42"/>
        <v>-2.0642201834862428E-2</v>
      </c>
      <c r="G655" s="17">
        <f t="shared" si="42"/>
        <v>-9.5706863549357424E-3</v>
      </c>
      <c r="H655" s="14">
        <f t="shared" si="43"/>
        <v>-8.7979177365342109E-3</v>
      </c>
      <c r="I655" s="39"/>
      <c r="J655" s="47">
        <f t="shared" si="41"/>
        <v>116</v>
      </c>
      <c r="K655" s="49">
        <f t="shared" si="40"/>
        <v>4.8497409350755333E-8</v>
      </c>
      <c r="L655" s="17">
        <v>2.1769265582347444E-2</v>
      </c>
      <c r="M655" s="27"/>
      <c r="N655" s="49">
        <v>3.4454340381566031E-5</v>
      </c>
      <c r="O655" s="27">
        <v>1.5340439725773562E-2</v>
      </c>
      <c r="Q655" s="2"/>
      <c r="R655" s="24"/>
      <c r="S655" s="24"/>
      <c r="T655" s="24"/>
    </row>
    <row r="656" spans="1:20" x14ac:dyDescent="0.25">
      <c r="A656" s="2">
        <v>44455</v>
      </c>
      <c r="B656" s="20">
        <v>2438</v>
      </c>
      <c r="C656" s="20">
        <v>436</v>
      </c>
      <c r="D656" s="20">
        <v>18285</v>
      </c>
      <c r="E656" s="17">
        <f t="shared" si="42"/>
        <v>-2.4549918166939522E-3</v>
      </c>
      <c r="F656" s="17">
        <f t="shared" si="42"/>
        <v>0</v>
      </c>
      <c r="G656" s="17">
        <f t="shared" si="42"/>
        <v>-2.7337342810274112E-4</v>
      </c>
      <c r="H656" s="14">
        <f t="shared" si="43"/>
        <v>-5.7529543852989748E-4</v>
      </c>
      <c r="I656" s="39"/>
      <c r="J656" s="47">
        <f t="shared" si="41"/>
        <v>115</v>
      </c>
      <c r="K656" s="49">
        <f t="shared" ref="K656:K719" si="44">+($K$13^($K$1-J656)*(1-$K$13))/(1-$K$13^$K$1)</f>
        <v>4.7527461163740228E-8</v>
      </c>
      <c r="L656" s="17">
        <v>2.2417194023089206E-2</v>
      </c>
      <c r="M656" s="27"/>
      <c r="N656" s="49">
        <v>2.593906141803376E-7</v>
      </c>
      <c r="O656" s="27">
        <v>1.5458573935203146E-2</v>
      </c>
      <c r="Q656" s="2"/>
      <c r="R656" s="24"/>
      <c r="S656" s="24"/>
      <c r="T656" s="24"/>
    </row>
    <row r="657" spans="1:20" x14ac:dyDescent="0.25">
      <c r="A657" s="2">
        <v>44454</v>
      </c>
      <c r="B657" s="20">
        <v>2444</v>
      </c>
      <c r="C657" s="20">
        <v>436</v>
      </c>
      <c r="D657" s="20">
        <v>18290</v>
      </c>
      <c r="E657" s="17">
        <f t="shared" si="42"/>
        <v>2.003338898163598E-2</v>
      </c>
      <c r="F657" s="17">
        <f t="shared" si="42"/>
        <v>9.2592592592593004E-3</v>
      </c>
      <c r="G657" s="17">
        <f t="shared" si="42"/>
        <v>-5.9782608695652106E-3</v>
      </c>
      <c r="H657" s="14">
        <f t="shared" si="43"/>
        <v>-1.565806678427659E-3</v>
      </c>
      <c r="I657" s="39"/>
      <c r="J657" s="47">
        <f t="shared" ref="J657:J720" si="45">+J656-1</f>
        <v>114</v>
      </c>
      <c r="K657" s="49">
        <f t="shared" si="44"/>
        <v>4.6576911940465435E-8</v>
      </c>
      <c r="L657" s="17">
        <v>1.3188729612741406E-2</v>
      </c>
      <c r="M657" s="27"/>
      <c r="N657" s="49">
        <v>2.5952645140966848E-6</v>
      </c>
      <c r="O657" s="27">
        <v>1.5504114753029992E-2</v>
      </c>
      <c r="Q657" s="2"/>
      <c r="R657" s="24"/>
      <c r="S657" s="24"/>
      <c r="T657" s="24"/>
    </row>
    <row r="658" spans="1:20" x14ac:dyDescent="0.25">
      <c r="A658" s="2">
        <v>44453</v>
      </c>
      <c r="B658" s="20">
        <v>2396</v>
      </c>
      <c r="C658" s="20">
        <v>432</v>
      </c>
      <c r="D658" s="20">
        <v>18400</v>
      </c>
      <c r="E658" s="17">
        <f t="shared" si="42"/>
        <v>-8.3402835696411159E-4</v>
      </c>
      <c r="F658" s="17">
        <f t="shared" si="42"/>
        <v>1.1587485515642815E-3</v>
      </c>
      <c r="G658" s="17">
        <f t="shared" si="42"/>
        <v>-1.6568679850347379E-2</v>
      </c>
      <c r="H658" s="14">
        <f t="shared" si="43"/>
        <v>-1.3525684829783219E-2</v>
      </c>
      <c r="I658" s="39"/>
      <c r="J658" s="47">
        <f t="shared" si="45"/>
        <v>113</v>
      </c>
      <c r="K658" s="49">
        <f t="shared" si="44"/>
        <v>4.5645373701656113E-8</v>
      </c>
      <c r="L658" s="17">
        <v>9.9278567972295396E-5</v>
      </c>
      <c r="M658" s="27"/>
      <c r="N658" s="49">
        <v>2.0397486295131552E-3</v>
      </c>
      <c r="O658" s="27">
        <v>1.5642589042571806E-2</v>
      </c>
      <c r="Q658" s="2"/>
      <c r="R658" s="24"/>
      <c r="S658" s="24"/>
      <c r="T658" s="24"/>
    </row>
    <row r="659" spans="1:20" x14ac:dyDescent="0.25">
      <c r="A659" s="2">
        <v>44452</v>
      </c>
      <c r="B659" s="20">
        <v>2398</v>
      </c>
      <c r="C659" s="29">
        <v>431.5</v>
      </c>
      <c r="D659" s="20">
        <v>18710</v>
      </c>
      <c r="E659" s="17">
        <f t="shared" si="42"/>
        <v>-8.3333333333335258E-4</v>
      </c>
      <c r="F659" s="17">
        <f t="shared" si="42"/>
        <v>-5.7603686635944173E-3</v>
      </c>
      <c r="G659" s="17">
        <f t="shared" si="42"/>
        <v>5.3475935828872778E-4</v>
      </c>
      <c r="H659" s="14">
        <f t="shared" si="43"/>
        <v>6.1335430863419631E-5</v>
      </c>
      <c r="I659" s="39"/>
      <c r="J659" s="47">
        <f t="shared" si="45"/>
        <v>112</v>
      </c>
      <c r="K659" s="49">
        <f t="shared" si="44"/>
        <v>4.4732466227622988E-8</v>
      </c>
      <c r="L659" s="17">
        <v>3.4958388108318936E-3</v>
      </c>
      <c r="M659" s="27"/>
      <c r="N659" s="49">
        <v>1.0246631321706028E-6</v>
      </c>
      <c r="O659" s="27">
        <v>1.578312586699103E-2</v>
      </c>
      <c r="Q659" s="2"/>
      <c r="R659" s="24"/>
      <c r="S659" s="24"/>
      <c r="T659" s="24"/>
    </row>
    <row r="660" spans="1:20" x14ac:dyDescent="0.25">
      <c r="A660" s="2">
        <v>44449</v>
      </c>
      <c r="B660" s="20">
        <v>2400</v>
      </c>
      <c r="C660" s="20">
        <v>434</v>
      </c>
      <c r="D660" s="20">
        <v>18700</v>
      </c>
      <c r="E660" s="17">
        <f t="shared" si="42"/>
        <v>0</v>
      </c>
      <c r="F660" s="17">
        <f t="shared" si="42"/>
        <v>-4.5871559633027248E-3</v>
      </c>
      <c r="G660" s="17">
        <f t="shared" si="42"/>
        <v>-2.666666666666706E-3</v>
      </c>
      <c r="H660" s="14">
        <f t="shared" si="43"/>
        <v>-2.3673079111592469E-3</v>
      </c>
      <c r="I660" s="39"/>
      <c r="J660" s="47">
        <f t="shared" si="45"/>
        <v>111</v>
      </c>
      <c r="K660" s="49">
        <f t="shared" si="44"/>
        <v>4.3837816903070536E-8</v>
      </c>
      <c r="L660" s="17">
        <v>-1.736077278884059E-2</v>
      </c>
      <c r="M660" s="27"/>
      <c r="N660" s="49">
        <v>1.1815533140461267E-4</v>
      </c>
      <c r="O660" s="27">
        <v>1.5948022982766059E-2</v>
      </c>
      <c r="Q660" s="2"/>
      <c r="R660" s="24"/>
      <c r="S660" s="24"/>
      <c r="T660" s="24"/>
    </row>
    <row r="661" spans="1:20" x14ac:dyDescent="0.25">
      <c r="A661" s="2">
        <v>44448</v>
      </c>
      <c r="B661" s="20">
        <v>2400</v>
      </c>
      <c r="C661" s="20">
        <v>436</v>
      </c>
      <c r="D661" s="20">
        <v>18750</v>
      </c>
      <c r="E661" s="17">
        <f t="shared" si="42"/>
        <v>-3.3222591362126463E-3</v>
      </c>
      <c r="F661" s="17">
        <f t="shared" si="42"/>
        <v>2.2988505747125743E-3</v>
      </c>
      <c r="G661" s="17">
        <f t="shared" si="42"/>
        <v>1.791530944625408E-2</v>
      </c>
      <c r="H661" s="14">
        <f t="shared" si="43"/>
        <v>1.4173191363697697E-2</v>
      </c>
      <c r="I661" s="39"/>
      <c r="J661" s="47">
        <f t="shared" si="45"/>
        <v>110</v>
      </c>
      <c r="K661" s="49">
        <f t="shared" si="44"/>
        <v>4.2961060565009115E-8</v>
      </c>
      <c r="L661" s="17">
        <v>1.3320618029750637E-2</v>
      </c>
      <c r="M661" s="27"/>
      <c r="N661" s="49">
        <v>5.7154020951621738E-3</v>
      </c>
      <c r="O661" s="27">
        <v>1.5948377463083578E-2</v>
      </c>
      <c r="Q661" s="2"/>
      <c r="R661" s="24"/>
      <c r="S661" s="24"/>
      <c r="T661" s="24"/>
    </row>
    <row r="662" spans="1:20" x14ac:dyDescent="0.25">
      <c r="A662" s="2">
        <v>44447</v>
      </c>
      <c r="B662" s="20">
        <v>2408</v>
      </c>
      <c r="C662" s="20">
        <v>435</v>
      </c>
      <c r="D662" s="20">
        <v>18420</v>
      </c>
      <c r="E662" s="17">
        <f t="shared" si="42"/>
        <v>3.3333333333334103E-3</v>
      </c>
      <c r="F662" s="17">
        <f t="shared" si="42"/>
        <v>-6.8493150684931781E-3</v>
      </c>
      <c r="G662" s="17">
        <f t="shared" si="42"/>
        <v>1.3590649633052898E-3</v>
      </c>
      <c r="H662" s="14">
        <f t="shared" si="43"/>
        <v>1.2825492196624031E-3</v>
      </c>
      <c r="I662" s="39"/>
      <c r="J662" s="47">
        <f t="shared" si="45"/>
        <v>109</v>
      </c>
      <c r="K662" s="49">
        <f t="shared" si="44"/>
        <v>4.2101839353708935E-8</v>
      </c>
      <c r="L662" s="17">
        <v>1.4891638756370972E-2</v>
      </c>
      <c r="M662" s="27"/>
      <c r="N662" s="49">
        <v>1.0886866146021244E-6</v>
      </c>
      <c r="O662" s="27">
        <v>1.6114390633865459E-2</v>
      </c>
      <c r="Q662" s="2"/>
      <c r="R662" s="24"/>
      <c r="S662" s="24"/>
      <c r="T662" s="24"/>
    </row>
    <row r="663" spans="1:20" x14ac:dyDescent="0.25">
      <c r="A663" s="2">
        <v>44446</v>
      </c>
      <c r="B663" s="20">
        <v>2400</v>
      </c>
      <c r="C663" s="20">
        <v>438</v>
      </c>
      <c r="D663" s="20">
        <v>18395</v>
      </c>
      <c r="E663" s="17">
        <f t="shared" si="42"/>
        <v>-4.1493775933609811E-3</v>
      </c>
      <c r="F663" s="17">
        <f t="shared" si="42"/>
        <v>9.2165898617511122E-3</v>
      </c>
      <c r="G663" s="17">
        <f t="shared" si="42"/>
        <v>2.9989094874591782E-3</v>
      </c>
      <c r="H663" s="14">
        <f t="shared" si="43"/>
        <v>2.2434358285760734E-3</v>
      </c>
      <c r="I663" s="39"/>
      <c r="J663" s="47">
        <f t="shared" si="45"/>
        <v>108</v>
      </c>
      <c r="K663" s="49">
        <f t="shared" si="44"/>
        <v>4.1259802566634757E-8</v>
      </c>
      <c r="L663" s="17">
        <v>-6.8147333420410638E-3</v>
      </c>
      <c r="M663" s="27"/>
      <c r="N663" s="49">
        <v>2.034416149732022E-8</v>
      </c>
      <c r="O663" s="27">
        <v>1.6315705064761786E-2</v>
      </c>
      <c r="Q663" s="2"/>
      <c r="R663" s="24"/>
      <c r="S663" s="24"/>
      <c r="T663" s="24"/>
    </row>
    <row r="664" spans="1:20" x14ac:dyDescent="0.25">
      <c r="A664" s="2">
        <v>44445</v>
      </c>
      <c r="B664" s="20">
        <v>2410</v>
      </c>
      <c r="C664" s="20">
        <v>434</v>
      </c>
      <c r="D664" s="20">
        <v>18340</v>
      </c>
      <c r="E664" s="17">
        <f t="shared" si="42"/>
        <v>-4.1322314049586639E-3</v>
      </c>
      <c r="F664" s="17">
        <f t="shared" si="42"/>
        <v>-9.1324200913242004E-3</v>
      </c>
      <c r="G664" s="17">
        <f t="shared" si="42"/>
        <v>1.8323153803442516E-2</v>
      </c>
      <c r="H664" s="14">
        <f t="shared" si="43"/>
        <v>1.3885678106089561E-2</v>
      </c>
      <c r="I664" s="39"/>
      <c r="J664" s="47">
        <f t="shared" si="45"/>
        <v>107</v>
      </c>
      <c r="K664" s="49">
        <f t="shared" si="44"/>
        <v>4.0434606515302067E-8</v>
      </c>
      <c r="L664" s="17">
        <v>-2.9797203576276902E-2</v>
      </c>
      <c r="M664" s="27"/>
      <c r="N664" s="49">
        <v>4.7652037065154303E-3</v>
      </c>
      <c r="O664" s="27">
        <v>1.6345776085404613E-2</v>
      </c>
      <c r="Q664" s="2"/>
      <c r="R664" s="24"/>
      <c r="S664" s="24"/>
      <c r="T664" s="24"/>
    </row>
    <row r="665" spans="1:20" x14ac:dyDescent="0.25">
      <c r="A665" s="2">
        <v>44442</v>
      </c>
      <c r="B665" s="20">
        <v>2420</v>
      </c>
      <c r="C665" s="20">
        <v>438</v>
      </c>
      <c r="D665" s="20">
        <v>18010</v>
      </c>
      <c r="E665" s="17">
        <f t="shared" si="42"/>
        <v>4.1493775933609811E-3</v>
      </c>
      <c r="F665" s="17">
        <f t="shared" si="42"/>
        <v>0</v>
      </c>
      <c r="G665" s="17">
        <f t="shared" si="42"/>
        <v>8.6810417250069438E-3</v>
      </c>
      <c r="H665" s="14">
        <f t="shared" si="43"/>
        <v>7.6475664237239021E-3</v>
      </c>
      <c r="I665" s="39"/>
      <c r="J665" s="47">
        <f t="shared" si="45"/>
        <v>106</v>
      </c>
      <c r="K665" s="49">
        <f t="shared" si="44"/>
        <v>3.9625914384996009E-8</v>
      </c>
      <c r="L665" s="17">
        <v>-8.7979177365342109E-3</v>
      </c>
      <c r="M665" s="27"/>
      <c r="N665" s="49">
        <v>8.5610153517741653E-3</v>
      </c>
      <c r="O665" s="27">
        <v>1.6642663065954549E-2</v>
      </c>
      <c r="Q665" s="2"/>
      <c r="R665" s="24"/>
      <c r="S665" s="24"/>
      <c r="T665" s="24"/>
    </row>
    <row r="666" spans="1:20" x14ac:dyDescent="0.25">
      <c r="A666" s="2">
        <v>44441</v>
      </c>
      <c r="B666" s="20">
        <v>2410</v>
      </c>
      <c r="C666" s="20">
        <v>438</v>
      </c>
      <c r="D666" s="20">
        <v>17855</v>
      </c>
      <c r="E666" s="17">
        <f t="shared" si="42"/>
        <v>-5.7755775577558177E-3</v>
      </c>
      <c r="F666" s="17">
        <f t="shared" si="42"/>
        <v>9.2165898617511122E-3</v>
      </c>
      <c r="G666" s="17">
        <f t="shared" si="42"/>
        <v>1.9640852974185385E-3</v>
      </c>
      <c r="H666" s="14">
        <f t="shared" si="43"/>
        <v>1.1689753429556841E-3</v>
      </c>
      <c r="I666" s="39"/>
      <c r="J666" s="47">
        <f t="shared" si="45"/>
        <v>105</v>
      </c>
      <c r="K666" s="49">
        <f t="shared" si="44"/>
        <v>3.8833396097296089E-8</v>
      </c>
      <c r="L666" s="17">
        <v>-5.7529543852989748E-4</v>
      </c>
      <c r="M666" s="27"/>
      <c r="N666" s="49">
        <v>8.7083319179019959E-9</v>
      </c>
      <c r="O666" s="27">
        <v>1.6658372856887104E-2</v>
      </c>
      <c r="Q666" s="2"/>
      <c r="R666" s="24"/>
      <c r="S666" s="24"/>
      <c r="T666" s="24"/>
    </row>
    <row r="667" spans="1:20" x14ac:dyDescent="0.25">
      <c r="A667" s="2">
        <v>44440</v>
      </c>
      <c r="B667" s="20">
        <v>2424</v>
      </c>
      <c r="C667" s="20">
        <v>434</v>
      </c>
      <c r="D667" s="20">
        <v>17820</v>
      </c>
      <c r="E667" s="17">
        <f t="shared" si="42"/>
        <v>0</v>
      </c>
      <c r="F667" s="17">
        <f t="shared" si="42"/>
        <v>6.9605568445476607E-3</v>
      </c>
      <c r="G667" s="17">
        <f t="shared" si="42"/>
        <v>-1.6806722689075571E-3</v>
      </c>
      <c r="H667" s="14">
        <f t="shared" si="43"/>
        <v>-1.0591997623698654E-3</v>
      </c>
      <c r="I667" s="39"/>
      <c r="J667" s="47">
        <f t="shared" si="45"/>
        <v>104</v>
      </c>
      <c r="K667" s="49">
        <f t="shared" si="44"/>
        <v>3.8056728175350174E-8</v>
      </c>
      <c r="L667" s="17">
        <v>-1.565806678427659E-3</v>
      </c>
      <c r="M667" s="27"/>
      <c r="N667" s="49">
        <v>6.4350730342640357E-8</v>
      </c>
      <c r="O667" s="27">
        <v>1.6754536787047743E-2</v>
      </c>
      <c r="Q667" s="2"/>
      <c r="R667" s="24"/>
      <c r="S667" s="24"/>
      <c r="T667" s="24"/>
    </row>
    <row r="668" spans="1:20" x14ac:dyDescent="0.25">
      <c r="A668" s="2">
        <v>44439</v>
      </c>
      <c r="B668" s="20">
        <v>2424</v>
      </c>
      <c r="C668" s="20">
        <v>431</v>
      </c>
      <c r="D668" s="20">
        <v>17850</v>
      </c>
      <c r="E668" s="17">
        <f t="shared" si="42"/>
        <v>1.6528925619834212E-3</v>
      </c>
      <c r="F668" s="17">
        <f t="shared" si="42"/>
        <v>-1.2600229095074411E-2</v>
      </c>
      <c r="G668" s="17">
        <f t="shared" si="42"/>
        <v>6.2006764374296086E-3</v>
      </c>
      <c r="H668" s="14">
        <f t="shared" si="43"/>
        <v>4.7202960969895177E-3</v>
      </c>
      <c r="I668" s="39"/>
      <c r="J668" s="47">
        <f t="shared" si="45"/>
        <v>103</v>
      </c>
      <c r="K668" s="49">
        <f t="shared" si="44"/>
        <v>3.7295593611843163E-8</v>
      </c>
      <c r="L668" s="17">
        <v>-1.3525684829783219E-2</v>
      </c>
      <c r="M668" s="27"/>
      <c r="N668" s="49">
        <v>1.1335762334466101E-6</v>
      </c>
      <c r="O668" s="27">
        <v>1.679702508221384E-2</v>
      </c>
      <c r="Q668" s="2"/>
      <c r="R668" s="24"/>
      <c r="S668" s="24"/>
      <c r="T668" s="24"/>
    </row>
    <row r="669" spans="1:20" x14ac:dyDescent="0.25">
      <c r="A669" s="2">
        <v>44438</v>
      </c>
      <c r="B669" s="20">
        <v>2420</v>
      </c>
      <c r="C669" s="29">
        <v>436.5</v>
      </c>
      <c r="D669" s="20">
        <v>17740</v>
      </c>
      <c r="E669" s="17">
        <f t="shared" si="42"/>
        <v>9.1743119266054496E-3</v>
      </c>
      <c r="F669" s="17">
        <f t="shared" si="42"/>
        <v>3.4482758620688614E-3</v>
      </c>
      <c r="G669" s="17">
        <f t="shared" si="42"/>
        <v>1.516452074391994E-2</v>
      </c>
      <c r="H669" s="14">
        <f t="shared" si="43"/>
        <v>1.3787820481407125E-2</v>
      </c>
      <c r="I669" s="39"/>
      <c r="J669" s="47">
        <f t="shared" si="45"/>
        <v>102</v>
      </c>
      <c r="K669" s="49">
        <f t="shared" si="44"/>
        <v>3.65496817396063E-8</v>
      </c>
      <c r="L669" s="17">
        <v>6.1335430863419631E-5</v>
      </c>
      <c r="M669" s="27"/>
      <c r="N669" s="49">
        <v>9.2524499973459151E-9</v>
      </c>
      <c r="O669" s="27">
        <v>1.6890804516657101E-2</v>
      </c>
      <c r="Q669" s="2"/>
      <c r="R669" s="24"/>
      <c r="S669" s="24"/>
      <c r="T669" s="24"/>
    </row>
    <row r="670" spans="1:20" x14ac:dyDescent="0.25">
      <c r="A670" s="2">
        <v>44435</v>
      </c>
      <c r="B670" s="20">
        <v>2398</v>
      </c>
      <c r="C670" s="20">
        <v>435</v>
      </c>
      <c r="D670" s="20">
        <v>17475</v>
      </c>
      <c r="E670" s="17">
        <f t="shared" si="42"/>
        <v>1.0961214165261302E-2</v>
      </c>
      <c r="F670" s="17">
        <f t="shared" si="42"/>
        <v>8.1112398609501923E-3</v>
      </c>
      <c r="G670" s="17">
        <f t="shared" si="42"/>
        <v>2.1034180543382908E-2</v>
      </c>
      <c r="H670" s="14">
        <f t="shared" si="43"/>
        <v>1.9016964658733829E-2</v>
      </c>
      <c r="I670" s="39"/>
      <c r="J670" s="47">
        <f t="shared" si="45"/>
        <v>101</v>
      </c>
      <c r="K670" s="49">
        <f t="shared" si="44"/>
        <v>3.5818688104814171E-8</v>
      </c>
      <c r="L670" s="17">
        <v>-2.3673079111592469E-3</v>
      </c>
      <c r="M670" s="27"/>
      <c r="N670" s="49">
        <v>7.8964079777476895E-3</v>
      </c>
      <c r="O670" s="27">
        <v>1.6989646246919475E-2</v>
      </c>
      <c r="Q670" s="2"/>
      <c r="R670" s="24"/>
      <c r="S670" s="24"/>
      <c r="T670" s="24"/>
    </row>
    <row r="671" spans="1:20" x14ac:dyDescent="0.25">
      <c r="A671" s="2">
        <v>44434</v>
      </c>
      <c r="B671" s="20">
        <v>2372</v>
      </c>
      <c r="C671" s="29">
        <v>431.5</v>
      </c>
      <c r="D671" s="20">
        <v>17115</v>
      </c>
      <c r="E671" s="17">
        <f t="shared" si="42"/>
        <v>-1.413133832086455E-2</v>
      </c>
      <c r="F671" s="17">
        <f t="shared" si="42"/>
        <v>2.3228803716608404E-3</v>
      </c>
      <c r="G671" s="17">
        <f t="shared" si="42"/>
        <v>-6.9625761531766361E-3</v>
      </c>
      <c r="H671" s="14">
        <f t="shared" si="43"/>
        <v>-7.5862227358476876E-3</v>
      </c>
      <c r="I671" s="39"/>
      <c r="J671" s="47">
        <f t="shared" si="45"/>
        <v>100</v>
      </c>
      <c r="K671" s="49">
        <f t="shared" si="44"/>
        <v>3.5102314342717888E-8</v>
      </c>
      <c r="L671" s="17">
        <v>1.4173191363697697E-2</v>
      </c>
      <c r="M671" s="27"/>
      <c r="N671" s="49">
        <v>2.9312478764082781E-5</v>
      </c>
      <c r="O671" s="27">
        <v>1.7212688376153425E-2</v>
      </c>
      <c r="Q671" s="2"/>
      <c r="R671" s="24"/>
      <c r="S671" s="24"/>
      <c r="T671" s="24"/>
    </row>
    <row r="672" spans="1:20" x14ac:dyDescent="0.25">
      <c r="A672" s="2">
        <v>44433</v>
      </c>
      <c r="B672" s="20">
        <v>2406</v>
      </c>
      <c r="C672" s="29">
        <v>430.5</v>
      </c>
      <c r="D672" s="20">
        <v>17235</v>
      </c>
      <c r="E672" s="17">
        <f t="shared" si="42"/>
        <v>2.4999999999999467E-3</v>
      </c>
      <c r="F672" s="17">
        <f t="shared" si="42"/>
        <v>-9.205983889528202E-3</v>
      </c>
      <c r="G672" s="17">
        <f t="shared" si="42"/>
        <v>-2.0738636363636376E-2</v>
      </c>
      <c r="H672" s="14">
        <f t="shared" si="43"/>
        <v>-1.6887977031701872E-2</v>
      </c>
      <c r="I672" s="39"/>
      <c r="J672" s="47">
        <f t="shared" si="45"/>
        <v>99</v>
      </c>
      <c r="K672" s="49">
        <f t="shared" si="44"/>
        <v>3.4400268055863533E-8</v>
      </c>
      <c r="L672" s="17">
        <v>1.2825492196624031E-3</v>
      </c>
      <c r="M672" s="27"/>
      <c r="N672" s="49">
        <v>1.3352162542986134E-2</v>
      </c>
      <c r="O672" s="27">
        <v>1.7248123743628375E-2</v>
      </c>
      <c r="Q672" s="2"/>
      <c r="R672" s="24"/>
      <c r="S672" s="24"/>
      <c r="T672" s="24"/>
    </row>
    <row r="673" spans="1:20" x14ac:dyDescent="0.25">
      <c r="A673" s="2">
        <v>44432</v>
      </c>
      <c r="B673" s="20">
        <v>2400</v>
      </c>
      <c r="C673" s="29">
        <v>434.5</v>
      </c>
      <c r="D673" s="20">
        <v>17600</v>
      </c>
      <c r="E673" s="17">
        <f t="shared" si="42"/>
        <v>-2.4937655860348684E-3</v>
      </c>
      <c r="F673" s="17">
        <f t="shared" si="42"/>
        <v>9.2915214866433615E-3</v>
      </c>
      <c r="G673" s="17">
        <f t="shared" si="42"/>
        <v>-1.0680157391793177E-2</v>
      </c>
      <c r="H673" s="14">
        <f t="shared" si="43"/>
        <v>-8.6247520847312544E-3</v>
      </c>
      <c r="I673" s="39"/>
      <c r="J673" s="47">
        <f t="shared" si="45"/>
        <v>98</v>
      </c>
      <c r="K673" s="49">
        <f t="shared" si="44"/>
        <v>3.3712262694746259E-8</v>
      </c>
      <c r="L673" s="17">
        <v>2.2434358285760734E-3</v>
      </c>
      <c r="M673" s="27"/>
      <c r="N673" s="49">
        <v>8.7220201763488632E-6</v>
      </c>
      <c r="O673" s="27">
        <v>1.7289262242464264E-2</v>
      </c>
      <c r="Q673" s="2"/>
      <c r="R673" s="24"/>
      <c r="S673" s="24"/>
      <c r="T673" s="24"/>
    </row>
    <row r="674" spans="1:20" x14ac:dyDescent="0.25">
      <c r="A674" s="2">
        <v>44431</v>
      </c>
      <c r="B674" s="20">
        <v>2406</v>
      </c>
      <c r="C674" s="29">
        <v>430.5</v>
      </c>
      <c r="D674" s="20">
        <v>17790</v>
      </c>
      <c r="E674" s="17">
        <f t="shared" si="42"/>
        <v>1.8628281117696766E-2</v>
      </c>
      <c r="F674" s="17">
        <f t="shared" si="42"/>
        <v>-1.1600928074245731E-3</v>
      </c>
      <c r="G674" s="17">
        <f t="shared" si="42"/>
        <v>2.818489289740711E-3</v>
      </c>
      <c r="H674" s="14">
        <f t="shared" si="43"/>
        <v>4.9187093605865158E-3</v>
      </c>
      <c r="I674" s="39"/>
      <c r="J674" s="47">
        <f t="shared" si="45"/>
        <v>97</v>
      </c>
      <c r="K674" s="49">
        <f t="shared" si="44"/>
        <v>3.3038017440851337E-8</v>
      </c>
      <c r="L674" s="17">
        <v>1.3885678106089561E-2</v>
      </c>
      <c r="M674" s="27"/>
      <c r="N674" s="49">
        <v>2.1637959807639011E-6</v>
      </c>
      <c r="O674" s="27">
        <v>1.7318078182749507E-2</v>
      </c>
      <c r="Q674" s="2"/>
      <c r="R674" s="24"/>
      <c r="S674" s="24"/>
      <c r="T674" s="24"/>
    </row>
    <row r="675" spans="1:20" x14ac:dyDescent="0.25">
      <c r="A675" s="2">
        <v>44427</v>
      </c>
      <c r="B675" s="20">
        <v>2362</v>
      </c>
      <c r="C675" s="20">
        <v>431</v>
      </c>
      <c r="D675" s="20">
        <v>17740</v>
      </c>
      <c r="E675" s="17">
        <f t="shared" si="42"/>
        <v>-1.9102990033222578E-2</v>
      </c>
      <c r="F675" s="17">
        <f t="shared" si="42"/>
        <v>-6.9124423963133896E-3</v>
      </c>
      <c r="G675" s="17">
        <f t="shared" si="42"/>
        <v>-1.4444444444444482E-2</v>
      </c>
      <c r="H675" s="14">
        <f t="shared" si="43"/>
        <v>-1.4783907054142533E-2</v>
      </c>
      <c r="I675" s="39"/>
      <c r="J675" s="47">
        <f t="shared" si="45"/>
        <v>96</v>
      </c>
      <c r="K675" s="49">
        <f t="shared" si="44"/>
        <v>3.2377257092034304E-8</v>
      </c>
      <c r="L675" s="17">
        <v>7.6475664237239021E-3</v>
      </c>
      <c r="M675" s="27"/>
      <c r="N675" s="49">
        <v>9.4462196983654199E-8</v>
      </c>
      <c r="O675" s="27">
        <v>1.7342540992296516E-2</v>
      </c>
      <c r="Q675" s="2"/>
      <c r="R675" s="24"/>
      <c r="S675" s="24"/>
      <c r="T675" s="24"/>
    </row>
    <row r="676" spans="1:20" x14ac:dyDescent="0.25">
      <c r="A676" s="2">
        <v>44426</v>
      </c>
      <c r="B676" s="20">
        <v>2408</v>
      </c>
      <c r="C676" s="20">
        <v>434</v>
      </c>
      <c r="D676" s="20">
        <v>18000</v>
      </c>
      <c r="E676" s="17">
        <f t="shared" si="42"/>
        <v>-2.4855012427505985E-3</v>
      </c>
      <c r="F676" s="17">
        <f t="shared" si="42"/>
        <v>9.302325581395321E-3</v>
      </c>
      <c r="G676" s="17">
        <f t="shared" si="42"/>
        <v>2.7397260273972712E-2</v>
      </c>
      <c r="H676" s="14">
        <f t="shared" si="43"/>
        <v>2.2302226702377879E-2</v>
      </c>
      <c r="I676" s="39"/>
      <c r="J676" s="47">
        <f t="shared" si="45"/>
        <v>95</v>
      </c>
      <c r="K676" s="49">
        <f t="shared" si="44"/>
        <v>3.1729711950193623E-8</v>
      </c>
      <c r="L676" s="17">
        <v>1.1689753429556841E-3</v>
      </c>
      <c r="M676" s="27"/>
      <c r="N676" s="49">
        <v>4.4779329336489338E-6</v>
      </c>
      <c r="O676" s="27">
        <v>1.7358838348686102E-2</v>
      </c>
      <c r="Q676" s="2"/>
      <c r="R676" s="24"/>
      <c r="S676" s="24"/>
      <c r="T676" s="24"/>
    </row>
    <row r="677" spans="1:20" x14ac:dyDescent="0.25">
      <c r="A677" s="2">
        <v>44425</v>
      </c>
      <c r="B677" s="20">
        <v>2414</v>
      </c>
      <c r="C677" s="20">
        <v>430</v>
      </c>
      <c r="D677" s="20">
        <v>17520</v>
      </c>
      <c r="E677" s="17">
        <f t="shared" si="42"/>
        <v>1.0041841004184038E-2</v>
      </c>
      <c r="F677" s="17">
        <f t="shared" si="42"/>
        <v>-9.2165898617511122E-3</v>
      </c>
      <c r="G677" s="17">
        <f t="shared" si="42"/>
        <v>5.0359712230215736E-2</v>
      </c>
      <c r="H677" s="14">
        <f t="shared" si="43"/>
        <v>4.1940723254592298E-2</v>
      </c>
      <c r="I677" s="39"/>
      <c r="J677" s="47">
        <f t="shared" si="45"/>
        <v>94</v>
      </c>
      <c r="K677" s="49">
        <f t="shared" si="44"/>
        <v>3.109511771118975E-8</v>
      </c>
      <c r="L677" s="17">
        <v>-1.0591997623698654E-3</v>
      </c>
      <c r="M677" s="27"/>
      <c r="N677" s="49">
        <v>4.3929716709779546E-4</v>
      </c>
      <c r="O677" s="27">
        <v>1.7394855979563296E-2</v>
      </c>
      <c r="Q677" s="2"/>
      <c r="R677" s="24"/>
      <c r="S677" s="24"/>
      <c r="T677" s="24"/>
    </row>
    <row r="678" spans="1:20" x14ac:dyDescent="0.25">
      <c r="A678" s="2">
        <v>44424</v>
      </c>
      <c r="B678" s="20">
        <v>2390</v>
      </c>
      <c r="C678" s="20">
        <v>434</v>
      </c>
      <c r="D678" s="20">
        <v>16680</v>
      </c>
      <c r="E678" s="17">
        <f t="shared" si="42"/>
        <v>-1.6460905349794275E-2</v>
      </c>
      <c r="F678" s="17">
        <f t="shared" si="42"/>
        <v>-4.5871559633027248E-3</v>
      </c>
      <c r="G678" s="17">
        <f t="shared" si="42"/>
        <v>0</v>
      </c>
      <c r="H678" s="14">
        <f t="shared" si="43"/>
        <v>-2.5702240412895519E-3</v>
      </c>
      <c r="I678" s="39"/>
      <c r="J678" s="47">
        <f t="shared" si="45"/>
        <v>93</v>
      </c>
      <c r="K678" s="49">
        <f t="shared" si="44"/>
        <v>3.0473215356965952E-8</v>
      </c>
      <c r="L678" s="17">
        <v>4.7202960969895177E-3</v>
      </c>
      <c r="M678" s="27"/>
      <c r="N678" s="49">
        <v>7.7222911228680666E-7</v>
      </c>
      <c r="O678" s="27">
        <v>1.7640779186455124E-2</v>
      </c>
      <c r="Q678" s="2"/>
      <c r="R678" s="24"/>
      <c r="S678" s="24"/>
      <c r="T678" s="24"/>
    </row>
    <row r="679" spans="1:20" x14ac:dyDescent="0.25">
      <c r="A679" s="2">
        <v>44421</v>
      </c>
      <c r="B679" s="20">
        <v>2430</v>
      </c>
      <c r="C679" s="20">
        <v>436</v>
      </c>
      <c r="D679" s="20">
        <v>16680</v>
      </c>
      <c r="E679" s="17">
        <f t="shared" si="42"/>
        <v>0</v>
      </c>
      <c r="F679" s="17">
        <f t="shared" si="42"/>
        <v>2.2988505747125743E-3</v>
      </c>
      <c r="G679" s="17">
        <f t="shared" si="42"/>
        <v>9.0009000900082015E-4</v>
      </c>
      <c r="H679" s="14">
        <f t="shared" si="43"/>
        <v>8.32018603578595E-4</v>
      </c>
      <c r="I679" s="39"/>
      <c r="J679" s="47">
        <f t="shared" si="45"/>
        <v>92</v>
      </c>
      <c r="K679" s="49">
        <f t="shared" si="44"/>
        <v>2.9863751049826626E-8</v>
      </c>
      <c r="L679" s="17">
        <v>1.3787820481407125E-2</v>
      </c>
      <c r="M679" s="27"/>
      <c r="N679" s="49">
        <v>6.8371522858928213E-8</v>
      </c>
      <c r="O679" s="27">
        <v>1.8077849897611405E-2</v>
      </c>
      <c r="Q679" s="2"/>
      <c r="R679" s="24"/>
      <c r="S679" s="24"/>
      <c r="T679" s="24"/>
    </row>
    <row r="680" spans="1:20" x14ac:dyDescent="0.25">
      <c r="A680" s="2">
        <v>44420</v>
      </c>
      <c r="B680" s="20">
        <v>2430</v>
      </c>
      <c r="C680" s="20">
        <v>435</v>
      </c>
      <c r="D680" s="20">
        <v>16665</v>
      </c>
      <c r="E680" s="17">
        <f t="shared" si="42"/>
        <v>-6.5412919051512919E-3</v>
      </c>
      <c r="F680" s="17">
        <f t="shared" si="42"/>
        <v>1.0452961672473782E-2</v>
      </c>
      <c r="G680" s="17">
        <f t="shared" si="42"/>
        <v>9.009009009008917E-4</v>
      </c>
      <c r="H680" s="14">
        <f t="shared" si="43"/>
        <v>2.49620477644238E-4</v>
      </c>
      <c r="I680" s="39"/>
      <c r="J680" s="47">
        <f t="shared" si="45"/>
        <v>91</v>
      </c>
      <c r="K680" s="49">
        <f t="shared" si="44"/>
        <v>2.9266476028830092E-8</v>
      </c>
      <c r="L680" s="17">
        <v>1.9016964658733829E-2</v>
      </c>
      <c r="M680" s="27"/>
      <c r="N680" s="49">
        <v>4.8573640376335798E-5</v>
      </c>
      <c r="O680" s="27">
        <v>1.8135125931524894E-2</v>
      </c>
      <c r="Q680" s="2"/>
      <c r="R680" s="24"/>
      <c r="S680" s="24"/>
      <c r="T680" s="24"/>
    </row>
    <row r="681" spans="1:20" x14ac:dyDescent="0.25">
      <c r="A681" s="2">
        <v>44419</v>
      </c>
      <c r="B681" s="20">
        <v>2446</v>
      </c>
      <c r="C681" s="29">
        <v>430.5</v>
      </c>
      <c r="D681" s="20">
        <v>16650</v>
      </c>
      <c r="E681" s="17">
        <f t="shared" si="42"/>
        <v>1.8318068276436339E-2</v>
      </c>
      <c r="F681" s="17">
        <f t="shared" si="42"/>
        <v>1.1750881316098694E-2</v>
      </c>
      <c r="G681" s="17">
        <f t="shared" si="42"/>
        <v>1.2158054711246091E-2</v>
      </c>
      <c r="H681" s="14">
        <f t="shared" si="43"/>
        <v>1.3026584138822621E-2</v>
      </c>
      <c r="I681" s="39"/>
      <c r="J681" s="47">
        <f t="shared" si="45"/>
        <v>90</v>
      </c>
      <c r="K681" s="49">
        <f t="shared" si="44"/>
        <v>2.8681146508253492E-8</v>
      </c>
      <c r="L681" s="17">
        <v>-7.5862227358476876E-3</v>
      </c>
      <c r="M681" s="27"/>
      <c r="N681" s="49">
        <v>1.3044080188270382E-8</v>
      </c>
      <c r="O681" s="27">
        <v>1.8337825160224641E-2</v>
      </c>
      <c r="Q681" s="2"/>
      <c r="R681" s="24"/>
      <c r="S681" s="24"/>
      <c r="T681" s="24"/>
    </row>
    <row r="682" spans="1:20" x14ac:dyDescent="0.25">
      <c r="A682" s="2">
        <v>44418</v>
      </c>
      <c r="B682" s="20">
        <v>2402</v>
      </c>
      <c r="C682" s="29">
        <v>425.5</v>
      </c>
      <c r="D682" s="20">
        <v>16450</v>
      </c>
      <c r="E682" s="17">
        <f t="shared" si="42"/>
        <v>-3.8430744595676525E-2</v>
      </c>
      <c r="F682" s="17">
        <f t="shared" si="42"/>
        <v>4.7225501770955525E-3</v>
      </c>
      <c r="G682" s="17">
        <f t="shared" si="42"/>
        <v>3.3546813052760527E-3</v>
      </c>
      <c r="H682" s="14">
        <f t="shared" si="43"/>
        <v>-2.5980899874794255E-3</v>
      </c>
      <c r="I682" s="39"/>
      <c r="J682" s="47">
        <f t="shared" si="45"/>
        <v>89</v>
      </c>
      <c r="K682" s="49">
        <f t="shared" si="44"/>
        <v>2.8107523578088422E-8</v>
      </c>
      <c r="L682" s="17">
        <v>-1.6887977031701872E-2</v>
      </c>
      <c r="M682" s="27"/>
      <c r="N682" s="49">
        <v>3.5194322254436523E-3</v>
      </c>
      <c r="O682" s="27">
        <v>1.8343484597980849E-2</v>
      </c>
      <c r="Q682" s="2"/>
      <c r="R682" s="24"/>
      <c r="S682" s="24"/>
      <c r="T682" s="24"/>
    </row>
    <row r="683" spans="1:20" x14ac:dyDescent="0.25">
      <c r="A683" s="2">
        <v>44417</v>
      </c>
      <c r="B683" s="20">
        <v>2498</v>
      </c>
      <c r="C683" s="29">
        <v>423.5</v>
      </c>
      <c r="D683" s="20">
        <v>16395</v>
      </c>
      <c r="E683" s="17">
        <f t="shared" si="42"/>
        <v>-1.1867088607594889E-2</v>
      </c>
      <c r="F683" s="17">
        <f t="shared" si="42"/>
        <v>2.3668639053253671E-3</v>
      </c>
      <c r="G683" s="17">
        <f t="shared" si="42"/>
        <v>-1.0561255280627679E-2</v>
      </c>
      <c r="H683" s="14">
        <f t="shared" si="43"/>
        <v>-1.0181205285773353E-2</v>
      </c>
      <c r="I683" s="39"/>
      <c r="J683" s="47">
        <f t="shared" si="45"/>
        <v>88</v>
      </c>
      <c r="K683" s="49">
        <f t="shared" si="44"/>
        <v>2.7545373106526655E-8</v>
      </c>
      <c r="L683" s="17">
        <v>-8.6247520847312544E-3</v>
      </c>
      <c r="M683" s="27"/>
      <c r="N683" s="49">
        <v>3.3747580699095843E-6</v>
      </c>
      <c r="O683" s="27">
        <v>1.8350903051529779E-2</v>
      </c>
      <c r="Q683" s="2"/>
      <c r="R683" s="24"/>
      <c r="S683" s="24"/>
      <c r="T683" s="24"/>
    </row>
    <row r="684" spans="1:20" x14ac:dyDescent="0.25">
      <c r="A684" s="2">
        <v>44414</v>
      </c>
      <c r="B684" s="20">
        <v>2528</v>
      </c>
      <c r="C684" s="29">
        <v>422.5</v>
      </c>
      <c r="D684" s="20">
        <v>16570</v>
      </c>
      <c r="E684" s="17">
        <f t="shared" si="42"/>
        <v>1.5261044176706928E-2</v>
      </c>
      <c r="F684" s="17">
        <f t="shared" si="42"/>
        <v>0</v>
      </c>
      <c r="G684" s="17">
        <f t="shared" si="42"/>
        <v>4.2424242424241587E-3</v>
      </c>
      <c r="H684" s="14">
        <f t="shared" si="43"/>
        <v>5.6416102647245774E-3</v>
      </c>
      <c r="I684" s="39"/>
      <c r="J684" s="47">
        <f t="shared" si="45"/>
        <v>87</v>
      </c>
      <c r="K684" s="49">
        <f t="shared" si="44"/>
        <v>2.699446564439612E-8</v>
      </c>
      <c r="L684" s="17">
        <v>4.9187093605865158E-3</v>
      </c>
      <c r="M684" s="27"/>
      <c r="N684" s="49">
        <v>1.4453239345975575E-5</v>
      </c>
      <c r="O684" s="27">
        <v>1.8398021207393481E-2</v>
      </c>
      <c r="Q684" s="2"/>
      <c r="R684" s="24"/>
      <c r="S684" s="24"/>
      <c r="T684" s="24"/>
    </row>
    <row r="685" spans="1:20" x14ac:dyDescent="0.25">
      <c r="A685" s="2">
        <v>44413</v>
      </c>
      <c r="B685" s="20">
        <v>2490</v>
      </c>
      <c r="C685" s="29">
        <v>422.5</v>
      </c>
      <c r="D685" s="20">
        <v>16500</v>
      </c>
      <c r="E685" s="17">
        <f t="shared" si="42"/>
        <v>0</v>
      </c>
      <c r="F685" s="17">
        <f t="shared" si="42"/>
        <v>-1.1820330969266601E-3</v>
      </c>
      <c r="G685" s="17">
        <f t="shared" si="42"/>
        <v>0</v>
      </c>
      <c r="H685" s="14">
        <f t="shared" si="43"/>
        <v>-5.1929028225395752E-5</v>
      </c>
      <c r="I685" s="39"/>
      <c r="J685" s="47">
        <f t="shared" si="45"/>
        <v>86</v>
      </c>
      <c r="K685" s="49">
        <f t="shared" si="44"/>
        <v>2.6454576331508196E-8</v>
      </c>
      <c r="L685" s="17">
        <v>-1.4783907054142533E-2</v>
      </c>
      <c r="M685" s="27"/>
      <c r="N685" s="49">
        <v>1.8804144580672781E-4</v>
      </c>
      <c r="O685" s="27">
        <v>1.8477068659536158E-2</v>
      </c>
      <c r="Q685" s="2"/>
      <c r="R685" s="24"/>
      <c r="S685" s="24"/>
      <c r="T685" s="24"/>
    </row>
    <row r="686" spans="1:20" x14ac:dyDescent="0.25">
      <c r="A686" s="2">
        <v>44412</v>
      </c>
      <c r="B686" s="20">
        <v>2490</v>
      </c>
      <c r="C686" s="20">
        <v>423</v>
      </c>
      <c r="D686" s="20">
        <v>16500</v>
      </c>
      <c r="E686" s="17">
        <f t="shared" si="42"/>
        <v>2.8075970272501971E-2</v>
      </c>
      <c r="F686" s="17">
        <f t="shared" si="42"/>
        <v>-3.5335689045936647E-3</v>
      </c>
      <c r="G686" s="17">
        <f t="shared" si="42"/>
        <v>-3.3222591362126463E-3</v>
      </c>
      <c r="H686" s="14">
        <f t="shared" si="43"/>
        <v>1.1866189887156835E-3</v>
      </c>
      <c r="I686" s="39"/>
      <c r="J686" s="47">
        <f t="shared" si="45"/>
        <v>85</v>
      </c>
      <c r="K686" s="49">
        <f t="shared" si="44"/>
        <v>2.5925484804878034E-8</v>
      </c>
      <c r="L686" s="17">
        <v>2.2302226702377879E-2</v>
      </c>
      <c r="M686" s="27"/>
      <c r="N686" s="49">
        <v>4.9564939159526327E-5</v>
      </c>
      <c r="O686" s="27">
        <v>1.8483838090984223E-2</v>
      </c>
      <c r="Q686" s="2"/>
      <c r="R686" s="24"/>
      <c r="S686" s="24"/>
      <c r="T686" s="24"/>
    </row>
    <row r="687" spans="1:20" x14ac:dyDescent="0.25">
      <c r="A687" s="2">
        <v>44411</v>
      </c>
      <c r="B687" s="20">
        <v>2422</v>
      </c>
      <c r="C687" s="29">
        <v>424.5</v>
      </c>
      <c r="D687" s="20">
        <v>16555</v>
      </c>
      <c r="E687" s="17">
        <f t="shared" si="42"/>
        <v>7.4875207986688785E-3</v>
      </c>
      <c r="F687" s="17">
        <f t="shared" si="42"/>
        <v>-2.3501762632197609E-3</v>
      </c>
      <c r="G687" s="17">
        <f t="shared" si="42"/>
        <v>-5.7057057057057214E-3</v>
      </c>
      <c r="H687" s="14">
        <f t="shared" si="43"/>
        <v>-3.6598038526927446E-3</v>
      </c>
      <c r="I687" s="39"/>
      <c r="J687" s="47">
        <f t="shared" si="45"/>
        <v>84</v>
      </c>
      <c r="K687" s="49">
        <f t="shared" si="44"/>
        <v>2.540697510878047E-8</v>
      </c>
      <c r="L687" s="17">
        <v>4.1940723254592298E-2</v>
      </c>
      <c r="M687" s="27"/>
      <c r="N687" s="49">
        <v>1.2816705076281033E-3</v>
      </c>
      <c r="O687" s="27">
        <v>1.8505340132735255E-2</v>
      </c>
      <c r="Q687" s="2"/>
      <c r="R687" s="24"/>
      <c r="S687" s="24"/>
      <c r="T687" s="24"/>
    </row>
    <row r="688" spans="1:20" x14ac:dyDescent="0.25">
      <c r="A688" s="2">
        <v>44410</v>
      </c>
      <c r="B688" s="20">
        <v>2404</v>
      </c>
      <c r="C688" s="29">
        <v>425.5</v>
      </c>
      <c r="D688" s="20">
        <v>16650</v>
      </c>
      <c r="E688" s="17">
        <f t="shared" si="42"/>
        <v>-2.4896265560165887E-3</v>
      </c>
      <c r="F688" s="17">
        <f t="shared" si="42"/>
        <v>-5.8411214953271173E-3</v>
      </c>
      <c r="G688" s="17">
        <f t="shared" si="42"/>
        <v>2.0846106683016563E-2</v>
      </c>
      <c r="H688" s="14">
        <f t="shared" si="43"/>
        <v>1.6315705064761786E-2</v>
      </c>
      <c r="I688" s="39"/>
      <c r="J688" s="47">
        <f t="shared" si="45"/>
        <v>83</v>
      </c>
      <c r="K688" s="49">
        <f t="shared" si="44"/>
        <v>2.4898835606604863E-8</v>
      </c>
      <c r="L688" s="17">
        <v>-2.5702240412895519E-3</v>
      </c>
      <c r="M688" s="27"/>
      <c r="N688" s="49">
        <v>1.5997870880518072E-4</v>
      </c>
      <c r="O688" s="27">
        <v>1.8643821606653233E-2</v>
      </c>
      <c r="Q688" s="2"/>
      <c r="R688" s="24"/>
      <c r="S688" s="24"/>
      <c r="T688" s="24"/>
    </row>
    <row r="689" spans="1:20" x14ac:dyDescent="0.25">
      <c r="A689" s="2">
        <v>44407</v>
      </c>
      <c r="B689" s="20">
        <v>2410</v>
      </c>
      <c r="C689" s="20">
        <v>428</v>
      </c>
      <c r="D689" s="20">
        <v>16310</v>
      </c>
      <c r="E689" s="17">
        <f t="shared" si="42"/>
        <v>1.0906040268456429E-2</v>
      </c>
      <c r="F689" s="17">
        <f t="shared" si="42"/>
        <v>-2.3310023310023631E-3</v>
      </c>
      <c r="G689" s="17">
        <f t="shared" si="42"/>
        <v>-6.1274509803921351E-4</v>
      </c>
      <c r="H689" s="14">
        <f t="shared" si="43"/>
        <v>9.6930563041291507E-4</v>
      </c>
      <c r="I689" s="39"/>
      <c r="J689" s="47">
        <f t="shared" si="45"/>
        <v>82</v>
      </c>
      <c r="K689" s="49">
        <f t="shared" si="44"/>
        <v>2.4400858894472767E-8</v>
      </c>
      <c r="L689" s="17">
        <v>8.32018603578595E-4</v>
      </c>
      <c r="M689" s="27"/>
      <c r="N689" s="49">
        <v>1.0052218687994081E-4</v>
      </c>
      <c r="O689" s="27">
        <v>1.8724144315240616E-2</v>
      </c>
      <c r="Q689" s="2"/>
      <c r="R689" s="24"/>
      <c r="S689" s="24"/>
      <c r="T689" s="24"/>
    </row>
    <row r="690" spans="1:20" x14ac:dyDescent="0.25">
      <c r="A690" s="2">
        <v>44406</v>
      </c>
      <c r="B690" s="20">
        <v>2384</v>
      </c>
      <c r="C690" s="20">
        <v>429</v>
      </c>
      <c r="D690" s="20">
        <v>16320</v>
      </c>
      <c r="E690" s="17">
        <f t="shared" si="42"/>
        <v>-8.382229673092878E-4</v>
      </c>
      <c r="F690" s="17">
        <f t="shared" si="42"/>
        <v>1.538461538461533E-2</v>
      </c>
      <c r="G690" s="17">
        <f t="shared" si="42"/>
        <v>2.6415094339622636E-2</v>
      </c>
      <c r="H690" s="14">
        <f t="shared" si="43"/>
        <v>2.2008789490742323E-2</v>
      </c>
      <c r="I690" s="39"/>
      <c r="J690" s="47">
        <f t="shared" si="45"/>
        <v>81</v>
      </c>
      <c r="K690" s="49">
        <f t="shared" si="44"/>
        <v>2.3912841716583305E-8</v>
      </c>
      <c r="L690" s="17">
        <v>2.49620477644238E-4</v>
      </c>
      <c r="M690" s="27"/>
      <c r="N690" s="49">
        <v>4.2145946536869075E-6</v>
      </c>
      <c r="O690" s="27">
        <v>1.8763664395191552E-2</v>
      </c>
      <c r="Q690" s="2"/>
      <c r="R690" s="24"/>
      <c r="S690" s="24"/>
      <c r="T690" s="24"/>
    </row>
    <row r="691" spans="1:20" x14ac:dyDescent="0.25">
      <c r="A691" s="2">
        <v>44405</v>
      </c>
      <c r="B691" s="20">
        <v>2386</v>
      </c>
      <c r="C691" s="29">
        <v>422.5</v>
      </c>
      <c r="D691" s="20">
        <v>15900</v>
      </c>
      <c r="E691" s="17">
        <f t="shared" si="42"/>
        <v>2.0530367835757124E-2</v>
      </c>
      <c r="F691" s="17">
        <f t="shared" si="42"/>
        <v>-9.3786635404454755E-3</v>
      </c>
      <c r="G691" s="17">
        <f t="shared" si="42"/>
        <v>1.4030612244897878E-2</v>
      </c>
      <c r="H691" s="14">
        <f t="shared" si="43"/>
        <v>1.3937502682326209E-2</v>
      </c>
      <c r="I691" s="39"/>
      <c r="J691" s="47">
        <f t="shared" si="45"/>
        <v>80</v>
      </c>
      <c r="K691" s="49">
        <f t="shared" si="44"/>
        <v>2.3434584882251635E-8</v>
      </c>
      <c r="L691" s="17">
        <v>1.3026584138822621E-2</v>
      </c>
      <c r="M691" s="27"/>
      <c r="N691" s="49">
        <v>2.9266476028830092E-8</v>
      </c>
      <c r="O691" s="27">
        <v>1.9016964658733829E-2</v>
      </c>
      <c r="Q691" s="2"/>
      <c r="R691" s="24"/>
      <c r="S691" s="24"/>
      <c r="T691" s="24"/>
    </row>
    <row r="692" spans="1:20" x14ac:dyDescent="0.25">
      <c r="A692" s="2">
        <v>44404</v>
      </c>
      <c r="B692" s="20">
        <v>2338</v>
      </c>
      <c r="C692" s="29">
        <v>426.5</v>
      </c>
      <c r="D692" s="20">
        <v>15680</v>
      </c>
      <c r="E692" s="17">
        <f t="shared" si="42"/>
        <v>-4.2589437819420262E-3</v>
      </c>
      <c r="F692" s="17">
        <f t="shared" si="42"/>
        <v>3.529411764705781E-3</v>
      </c>
      <c r="G692" s="17">
        <f t="shared" si="42"/>
        <v>3.5199999999999676E-3</v>
      </c>
      <c r="H692" s="14">
        <f t="shared" si="43"/>
        <v>2.4010343272308221E-3</v>
      </c>
      <c r="I692" s="39"/>
      <c r="J692" s="47">
        <f t="shared" si="45"/>
        <v>79</v>
      </c>
      <c r="K692" s="49">
        <f t="shared" si="44"/>
        <v>2.2965893184606607E-8</v>
      </c>
      <c r="L692" s="17">
        <v>-2.5980899874794255E-3</v>
      </c>
      <c r="M692" s="27"/>
      <c r="N692" s="49">
        <v>1.4763654086232879E-3</v>
      </c>
      <c r="O692" s="27">
        <v>1.9274432644139975E-2</v>
      </c>
      <c r="Q692" s="2"/>
      <c r="R692" s="24"/>
      <c r="S692" s="24"/>
      <c r="T692" s="24"/>
    </row>
    <row r="693" spans="1:20" x14ac:dyDescent="0.25">
      <c r="A693" s="2">
        <v>44403</v>
      </c>
      <c r="B693" s="20">
        <v>2348</v>
      </c>
      <c r="C693" s="20">
        <v>425</v>
      </c>
      <c r="D693" s="20">
        <v>15625</v>
      </c>
      <c r="E693" s="17">
        <f t="shared" si="42"/>
        <v>-9.2827004219409037E-3</v>
      </c>
      <c r="F693" s="17">
        <f t="shared" si="42"/>
        <v>-2.3474178403756207E-3</v>
      </c>
      <c r="G693" s="17">
        <f t="shared" si="42"/>
        <v>-1.5437933207309351E-2</v>
      </c>
      <c r="H693" s="14">
        <f t="shared" si="43"/>
        <v>-1.3977111833119348E-2</v>
      </c>
      <c r="I693" s="39"/>
      <c r="J693" s="47">
        <f t="shared" si="45"/>
        <v>78</v>
      </c>
      <c r="K693" s="49">
        <f t="shared" si="44"/>
        <v>2.2506575320914471E-8</v>
      </c>
      <c r="L693" s="17">
        <v>-1.0181205285773353E-2</v>
      </c>
      <c r="M693" s="27"/>
      <c r="N693" s="49">
        <v>1.4164174559056065E-5</v>
      </c>
      <c r="O693" s="27">
        <v>1.9674604876331485E-2</v>
      </c>
      <c r="Q693" s="2"/>
      <c r="R693" s="24"/>
      <c r="S693" s="24"/>
      <c r="T693" s="24"/>
    </row>
    <row r="694" spans="1:20" x14ac:dyDescent="0.25">
      <c r="A694" s="2">
        <v>44400</v>
      </c>
      <c r="B694" s="20">
        <v>2370</v>
      </c>
      <c r="C694" s="20">
        <v>426</v>
      </c>
      <c r="D694" s="20">
        <v>15870</v>
      </c>
      <c r="E694" s="17">
        <f t="shared" si="42"/>
        <v>-7.5376884422110324E-3</v>
      </c>
      <c r="F694" s="17">
        <f t="shared" si="42"/>
        <v>-4.6728971962616273E-3</v>
      </c>
      <c r="G694" s="17">
        <f t="shared" si="42"/>
        <v>-6.2972292191432189E-4</v>
      </c>
      <c r="H694" s="14">
        <f t="shared" si="43"/>
        <v>-1.8013940779749442E-3</v>
      </c>
      <c r="I694" s="39"/>
      <c r="J694" s="47">
        <f t="shared" si="45"/>
        <v>77</v>
      </c>
      <c r="K694" s="49">
        <f t="shared" si="44"/>
        <v>2.2056443814496186E-8</v>
      </c>
      <c r="L694" s="17">
        <v>5.6416102647245774E-3</v>
      </c>
      <c r="M694" s="27"/>
      <c r="N694" s="49">
        <v>1.5356313425927522E-5</v>
      </c>
      <c r="O694" s="27">
        <v>1.9774077786615378E-2</v>
      </c>
      <c r="Q694" s="2"/>
      <c r="R694" s="24"/>
      <c r="S694" s="24"/>
      <c r="T694" s="24"/>
    </row>
    <row r="695" spans="1:20" x14ac:dyDescent="0.25">
      <c r="A695" s="2">
        <v>44399</v>
      </c>
      <c r="B695" s="20">
        <v>2388</v>
      </c>
      <c r="C695" s="20">
        <v>428</v>
      </c>
      <c r="D695" s="20">
        <v>15880</v>
      </c>
      <c r="E695" s="17">
        <f t="shared" si="42"/>
        <v>1.3582342954159499E-2</v>
      </c>
      <c r="F695" s="17">
        <f t="shared" si="42"/>
        <v>2.3419203747072626E-3</v>
      </c>
      <c r="G695" s="17">
        <f t="shared" si="42"/>
        <v>-5.0125313283208017E-3</v>
      </c>
      <c r="H695" s="14">
        <f t="shared" si="43"/>
        <v>-2.0136594169812877E-3</v>
      </c>
      <c r="I695" s="39"/>
      <c r="J695" s="47">
        <f t="shared" si="45"/>
        <v>76</v>
      </c>
      <c r="K695" s="49">
        <f t="shared" si="44"/>
        <v>2.1615314938206256E-8</v>
      </c>
      <c r="L695" s="17">
        <v>-5.1929028225395752E-5</v>
      </c>
      <c r="M695" s="27"/>
      <c r="N695" s="49">
        <v>5.9479494271331263E-4</v>
      </c>
      <c r="O695" s="27">
        <v>2.0113993054263316E-2</v>
      </c>
      <c r="Q695" s="2"/>
      <c r="R695" s="24"/>
      <c r="S695" s="24"/>
      <c r="T695" s="24"/>
    </row>
    <row r="696" spans="1:20" x14ac:dyDescent="0.25">
      <c r="A696" s="2">
        <v>44398</v>
      </c>
      <c r="B696" s="20">
        <v>2356</v>
      </c>
      <c r="C696" s="20">
        <v>427</v>
      </c>
      <c r="D696" s="20">
        <v>15960</v>
      </c>
      <c r="E696" s="17">
        <f t="shared" si="42"/>
        <v>2.0797227036395194E-2</v>
      </c>
      <c r="F696" s="17">
        <f t="shared" si="42"/>
        <v>-5.8207217694994373E-3</v>
      </c>
      <c r="G696" s="17">
        <f t="shared" si="42"/>
        <v>-3.1230480949406836E-3</v>
      </c>
      <c r="H696" s="14">
        <f t="shared" si="43"/>
        <v>2.0053201506509046E-4</v>
      </c>
      <c r="I696" s="39"/>
      <c r="J696" s="47">
        <f t="shared" si="45"/>
        <v>75</v>
      </c>
      <c r="K696" s="49">
        <f t="shared" si="44"/>
        <v>2.1183008639442133E-8</v>
      </c>
      <c r="L696" s="17">
        <v>1.1866189887156835E-3</v>
      </c>
      <c r="M696" s="27"/>
      <c r="N696" s="49">
        <v>1.601463074260322E-2</v>
      </c>
      <c r="O696" s="27">
        <v>2.0276496051683982E-2</v>
      </c>
      <c r="Q696" s="2"/>
      <c r="R696" s="24"/>
      <c r="S696" s="24"/>
      <c r="T696" s="24"/>
    </row>
    <row r="697" spans="1:20" x14ac:dyDescent="0.25">
      <c r="A697" s="2">
        <v>44397</v>
      </c>
      <c r="B697" s="20">
        <v>2308</v>
      </c>
      <c r="C697" s="29">
        <v>429.5</v>
      </c>
      <c r="D697" s="20">
        <v>16010</v>
      </c>
      <c r="E697" s="17">
        <f t="shared" si="42"/>
        <v>2.6064291920069316E-3</v>
      </c>
      <c r="F697" s="17">
        <f t="shared" si="42"/>
        <v>-1.1627906976744429E-3</v>
      </c>
      <c r="G697" s="17">
        <f t="shared" si="42"/>
        <v>0</v>
      </c>
      <c r="H697" s="14">
        <f t="shared" si="43"/>
        <v>3.2397784993591736E-4</v>
      </c>
      <c r="I697" s="39"/>
      <c r="J697" s="47">
        <f t="shared" si="45"/>
        <v>74</v>
      </c>
      <c r="K697" s="49">
        <f t="shared" si="44"/>
        <v>2.075934846665329E-8</v>
      </c>
      <c r="L697" s="17">
        <v>-3.6598038526927446E-3</v>
      </c>
      <c r="M697" s="27"/>
      <c r="N697" s="49">
        <v>1.4725057719125985E-8</v>
      </c>
      <c r="O697" s="27">
        <v>2.0724400263108279E-2</v>
      </c>
      <c r="Q697" s="2"/>
      <c r="R697" s="24"/>
      <c r="S697" s="24"/>
      <c r="T697" s="24"/>
    </row>
    <row r="698" spans="1:20" x14ac:dyDescent="0.25">
      <c r="A698" s="2">
        <v>44396</v>
      </c>
      <c r="B698" s="20">
        <v>2302</v>
      </c>
      <c r="C698" s="20">
        <v>430</v>
      </c>
      <c r="D698" s="20">
        <v>16010</v>
      </c>
      <c r="E698" s="17">
        <f t="shared" si="42"/>
        <v>-3.842940685045948E-2</v>
      </c>
      <c r="F698" s="17">
        <f t="shared" si="42"/>
        <v>9.3896713615022609E-3</v>
      </c>
      <c r="G698" s="17">
        <f t="shared" si="42"/>
        <v>-2.4922118380061864E-3</v>
      </c>
      <c r="H698" s="14">
        <f t="shared" si="43"/>
        <v>-7.1415296360555578E-3</v>
      </c>
      <c r="I698" s="39"/>
      <c r="J698" s="47">
        <f t="shared" si="45"/>
        <v>73</v>
      </c>
      <c r="K698" s="49">
        <f t="shared" si="44"/>
        <v>2.034416149732022E-8</v>
      </c>
      <c r="L698" s="17">
        <v>1.6315705064761786E-2</v>
      </c>
      <c r="M698" s="27"/>
      <c r="N698" s="49">
        <v>1.598949752803782E-5</v>
      </c>
      <c r="O698" s="27">
        <v>2.1416300550778415E-2</v>
      </c>
      <c r="Q698" s="2"/>
      <c r="R698" s="24"/>
      <c r="S698" s="24"/>
      <c r="T698" s="24"/>
    </row>
    <row r="699" spans="1:20" x14ac:dyDescent="0.25">
      <c r="A699" s="2">
        <v>44393</v>
      </c>
      <c r="B699" s="20">
        <v>2394</v>
      </c>
      <c r="C699" s="20">
        <v>426</v>
      </c>
      <c r="D699" s="20">
        <v>16050</v>
      </c>
      <c r="E699" s="17">
        <f t="shared" si="42"/>
        <v>1.6736401673640433E-3</v>
      </c>
      <c r="F699" s="17">
        <f t="shared" si="42"/>
        <v>-2.3419203747072626E-3</v>
      </c>
      <c r="G699" s="17">
        <f t="shared" si="42"/>
        <v>1.5822784810126667E-2</v>
      </c>
      <c r="H699" s="14">
        <f t="shared" si="43"/>
        <v>1.298873158662831E-2</v>
      </c>
      <c r="I699" s="39"/>
      <c r="J699" s="47">
        <f t="shared" si="45"/>
        <v>72</v>
      </c>
      <c r="K699" s="49">
        <f t="shared" si="44"/>
        <v>1.9937278267373819E-8</v>
      </c>
      <c r="L699" s="17">
        <v>9.6930563041291507E-4</v>
      </c>
      <c r="M699" s="27"/>
      <c r="N699" s="49">
        <v>2.8696166201575949E-7</v>
      </c>
      <c r="O699" s="27">
        <v>2.1663461015735786E-2</v>
      </c>
      <c r="Q699" s="2"/>
      <c r="R699" s="24"/>
      <c r="S699" s="24"/>
      <c r="T699" s="24"/>
    </row>
    <row r="700" spans="1:20" x14ac:dyDescent="0.25">
      <c r="A700" s="2">
        <v>44392</v>
      </c>
      <c r="B700" s="20">
        <v>2390</v>
      </c>
      <c r="C700" s="20">
        <v>427</v>
      </c>
      <c r="D700" s="20">
        <v>15800</v>
      </c>
      <c r="E700" s="17">
        <f t="shared" si="42"/>
        <v>-4.9958368026644662E-3</v>
      </c>
      <c r="F700" s="17">
        <f t="shared" si="42"/>
        <v>7.0754716981131782E-3</v>
      </c>
      <c r="G700" s="17">
        <f t="shared" si="42"/>
        <v>1.4771997430957029E-2</v>
      </c>
      <c r="H700" s="14">
        <f t="shared" si="43"/>
        <v>1.1589310238351181E-2</v>
      </c>
      <c r="I700" s="39"/>
      <c r="J700" s="47">
        <f t="shared" si="45"/>
        <v>71</v>
      </c>
      <c r="K700" s="49">
        <f t="shared" si="44"/>
        <v>1.953853270202634E-8</v>
      </c>
      <c r="L700" s="17">
        <v>2.2008789490742323E-2</v>
      </c>
      <c r="M700" s="27"/>
      <c r="N700" s="49">
        <v>4.8497409350755333E-8</v>
      </c>
      <c r="O700" s="27">
        <v>2.1769265582347444E-2</v>
      </c>
      <c r="Q700" s="2"/>
      <c r="R700" s="24"/>
      <c r="S700" s="24"/>
      <c r="T700" s="24"/>
    </row>
    <row r="701" spans="1:20" x14ac:dyDescent="0.25">
      <c r="A701" s="2">
        <v>44391</v>
      </c>
      <c r="B701" s="20">
        <v>2402</v>
      </c>
      <c r="C701" s="20">
        <v>424</v>
      </c>
      <c r="D701" s="20">
        <v>15570</v>
      </c>
      <c r="E701" s="17">
        <f t="shared" si="42"/>
        <v>-5.7947019867549132E-3</v>
      </c>
      <c r="F701" s="17">
        <f t="shared" si="42"/>
        <v>-4.6948356807511304E-3</v>
      </c>
      <c r="G701" s="17">
        <f t="shared" si="42"/>
        <v>-8.9115213239974178E-3</v>
      </c>
      <c r="H701" s="14">
        <f t="shared" si="43"/>
        <v>-8.2777681167002602E-3</v>
      </c>
      <c r="I701" s="39"/>
      <c r="J701" s="47">
        <f t="shared" si="45"/>
        <v>70</v>
      </c>
      <c r="K701" s="49">
        <f t="shared" si="44"/>
        <v>1.914776204798581E-8</v>
      </c>
      <c r="L701" s="17">
        <v>1.3937502682326209E-2</v>
      </c>
      <c r="M701" s="27"/>
      <c r="N701" s="49">
        <v>1.953853270202634E-8</v>
      </c>
      <c r="O701" s="27">
        <v>2.2008789490742323E-2</v>
      </c>
      <c r="Q701" s="2"/>
      <c r="R701" s="24"/>
      <c r="S701" s="24"/>
      <c r="T701" s="24"/>
    </row>
    <row r="702" spans="1:20" x14ac:dyDescent="0.25">
      <c r="A702" s="2">
        <v>44390</v>
      </c>
      <c r="B702" s="20">
        <v>2416</v>
      </c>
      <c r="C702" s="20">
        <v>426</v>
      </c>
      <c r="D702" s="20">
        <v>15710</v>
      </c>
      <c r="E702" s="17">
        <f t="shared" si="42"/>
        <v>2.1996615905245376E-2</v>
      </c>
      <c r="F702" s="17">
        <f t="shared" si="42"/>
        <v>2.3529411764706687E-3</v>
      </c>
      <c r="G702" s="17">
        <f t="shared" si="42"/>
        <v>-1.8431740081224612E-2</v>
      </c>
      <c r="H702" s="14">
        <f t="shared" si="43"/>
        <v>-1.1701044355359343E-2</v>
      </c>
      <c r="I702" s="39"/>
      <c r="J702" s="47">
        <f t="shared" si="45"/>
        <v>69</v>
      </c>
      <c r="K702" s="49">
        <f t="shared" si="44"/>
        <v>1.8764806807026093E-8</v>
      </c>
      <c r="L702" s="17">
        <v>2.4010343272308221E-3</v>
      </c>
      <c r="M702" s="27"/>
      <c r="N702" s="49">
        <v>2.5925484804878034E-8</v>
      </c>
      <c r="O702" s="27">
        <v>2.2302226702377879E-2</v>
      </c>
      <c r="Q702" s="2"/>
      <c r="R702" s="24"/>
      <c r="S702" s="24"/>
      <c r="T702" s="24"/>
    </row>
    <row r="703" spans="1:20" x14ac:dyDescent="0.25">
      <c r="A703" s="2">
        <v>44389</v>
      </c>
      <c r="B703" s="20">
        <v>2364</v>
      </c>
      <c r="C703" s="20">
        <v>425</v>
      </c>
      <c r="D703" s="20">
        <v>16005</v>
      </c>
      <c r="E703" s="17">
        <f t="shared" si="42"/>
        <v>-5.887300252312877E-3</v>
      </c>
      <c r="F703" s="17">
        <f t="shared" si="42"/>
        <v>8.3036773428233346E-3</v>
      </c>
      <c r="G703" s="17">
        <f t="shared" si="42"/>
        <v>-1.1121408711770142E-2</v>
      </c>
      <c r="H703" s="14">
        <f t="shared" si="43"/>
        <v>-9.5148457494650916E-3</v>
      </c>
      <c r="I703" s="39"/>
      <c r="J703" s="47">
        <f t="shared" si="45"/>
        <v>68</v>
      </c>
      <c r="K703" s="49">
        <f t="shared" si="44"/>
        <v>1.8389510670885574E-8</v>
      </c>
      <c r="L703" s="17">
        <v>-1.3977111833119348E-2</v>
      </c>
      <c r="M703" s="27"/>
      <c r="N703" s="49">
        <v>4.7527461163740228E-8</v>
      </c>
      <c r="O703" s="27">
        <v>2.2417194023089206E-2</v>
      </c>
      <c r="Q703" s="2"/>
      <c r="R703" s="24"/>
      <c r="S703" s="24"/>
      <c r="T703" s="24"/>
    </row>
    <row r="704" spans="1:20" x14ac:dyDescent="0.25">
      <c r="A704" s="2">
        <v>44386</v>
      </c>
      <c r="B704" s="20">
        <v>2378</v>
      </c>
      <c r="C704" s="29">
        <v>421.5</v>
      </c>
      <c r="D704" s="20">
        <v>16185</v>
      </c>
      <c r="E704" s="17">
        <f t="shared" si="42"/>
        <v>4.222972972973027E-3</v>
      </c>
      <c r="F704" s="17">
        <f t="shared" si="42"/>
        <v>-1.0563380281690127E-2</v>
      </c>
      <c r="G704" s="17">
        <f t="shared" si="42"/>
        <v>2.5340513145391208E-2</v>
      </c>
      <c r="H704" s="14">
        <f t="shared" si="43"/>
        <v>2.0724400263108279E-2</v>
      </c>
      <c r="I704" s="39"/>
      <c r="J704" s="47">
        <f t="shared" si="45"/>
        <v>67</v>
      </c>
      <c r="K704" s="49">
        <f t="shared" si="44"/>
        <v>1.8021720457467861E-8</v>
      </c>
      <c r="L704" s="17">
        <v>-1.8013940779749442E-3</v>
      </c>
      <c r="M704" s="27"/>
      <c r="N704" s="49">
        <v>2.4911874585879622E-7</v>
      </c>
      <c r="O704" s="27">
        <v>2.2429775013341986E-2</v>
      </c>
      <c r="Q704" s="2"/>
      <c r="R704" s="24"/>
      <c r="S704" s="24"/>
      <c r="T704" s="24"/>
    </row>
    <row r="705" spans="1:20" x14ac:dyDescent="0.25">
      <c r="A705" s="2">
        <v>44385</v>
      </c>
      <c r="B705" s="20">
        <v>2368</v>
      </c>
      <c r="C705" s="20">
        <v>426</v>
      </c>
      <c r="D705" s="20">
        <v>15785</v>
      </c>
      <c r="E705" s="17">
        <f t="shared" si="42"/>
        <v>-1.4154870940882636E-2</v>
      </c>
      <c r="F705" s="17">
        <f t="shared" si="42"/>
        <v>2.3529411764706687E-3</v>
      </c>
      <c r="G705" s="17">
        <f t="shared" si="42"/>
        <v>2.2222222222221255E-3</v>
      </c>
      <c r="H705" s="14">
        <f t="shared" si="43"/>
        <v>-1.2867588025842081E-4</v>
      </c>
      <c r="I705" s="39"/>
      <c r="J705" s="47">
        <f t="shared" si="45"/>
        <v>66</v>
      </c>
      <c r="K705" s="49">
        <f t="shared" si="44"/>
        <v>1.7661286048318505E-8</v>
      </c>
      <c r="L705" s="17">
        <v>-2.0136594169812877E-3</v>
      </c>
      <c r="M705" s="27"/>
      <c r="N705" s="49">
        <v>3.5874989984970882E-5</v>
      </c>
      <c r="O705" s="27">
        <v>2.2440691522342252E-2</v>
      </c>
      <c r="Q705" s="2"/>
      <c r="R705" s="24"/>
      <c r="S705" s="24"/>
      <c r="T705" s="24"/>
    </row>
    <row r="706" spans="1:20" x14ac:dyDescent="0.25">
      <c r="A706" s="2">
        <v>44384</v>
      </c>
      <c r="B706" s="20">
        <v>2402</v>
      </c>
      <c r="C706" s="20">
        <v>425</v>
      </c>
      <c r="D706" s="20">
        <v>15750</v>
      </c>
      <c r="E706" s="17">
        <f t="shared" si="42"/>
        <v>1.6680567139282232E-3</v>
      </c>
      <c r="F706" s="17">
        <f t="shared" si="42"/>
        <v>-3.5169988276670949E-3</v>
      </c>
      <c r="G706" s="17">
        <f t="shared" si="42"/>
        <v>-4.1100221308884022E-3</v>
      </c>
      <c r="H706" s="14">
        <f t="shared" si="43"/>
        <v>-3.2525119771305401E-3</v>
      </c>
      <c r="I706" s="39"/>
      <c r="J706" s="47">
        <f t="shared" si="45"/>
        <v>65</v>
      </c>
      <c r="K706" s="49">
        <f t="shared" si="44"/>
        <v>1.7308060327352136E-8</v>
      </c>
      <c r="L706" s="17">
        <v>2.0053201506509046E-4</v>
      </c>
      <c r="M706" s="27"/>
      <c r="N706" s="49">
        <v>1.565330868935194E-7</v>
      </c>
      <c r="O706" s="27">
        <v>2.2480819266485395E-2</v>
      </c>
      <c r="Q706" s="2"/>
      <c r="R706" s="24"/>
      <c r="S706" s="24"/>
      <c r="T706" s="24"/>
    </row>
    <row r="707" spans="1:20" x14ac:dyDescent="0.25">
      <c r="A707" s="2">
        <v>44383</v>
      </c>
      <c r="B707" s="20">
        <v>2398</v>
      </c>
      <c r="C707" s="29">
        <v>426.5</v>
      </c>
      <c r="D707" s="20">
        <v>15815</v>
      </c>
      <c r="E707" s="17">
        <f t="shared" si="42"/>
        <v>8.410428931875602E-3</v>
      </c>
      <c r="F707" s="17">
        <f t="shared" si="42"/>
        <v>3.529411764705781E-3</v>
      </c>
      <c r="G707" s="17">
        <f t="shared" si="42"/>
        <v>-9.0852130325814739E-3</v>
      </c>
      <c r="H707" s="14">
        <f t="shared" si="43"/>
        <v>-6.0134294143530838E-3</v>
      </c>
      <c r="I707" s="39"/>
      <c r="J707" s="47">
        <f t="shared" si="45"/>
        <v>64</v>
      </c>
      <c r="K707" s="49">
        <f t="shared" si="44"/>
        <v>1.696189912080509E-8</v>
      </c>
      <c r="L707" s="17">
        <v>3.2397784993591736E-4</v>
      </c>
      <c r="M707" s="27"/>
      <c r="N707" s="49">
        <v>5.5923037476375184E-6</v>
      </c>
      <c r="O707" s="27">
        <v>2.2570279617419371E-2</v>
      </c>
      <c r="Q707" s="2"/>
      <c r="R707" s="24"/>
      <c r="S707" s="24"/>
      <c r="T707" s="24"/>
    </row>
    <row r="708" spans="1:20" x14ac:dyDescent="0.25">
      <c r="A708" s="2">
        <v>44382</v>
      </c>
      <c r="B708" s="20">
        <v>2378</v>
      </c>
      <c r="C708" s="20">
        <v>425</v>
      </c>
      <c r="D708" s="20">
        <v>15960</v>
      </c>
      <c r="E708" s="17">
        <f t="shared" si="42"/>
        <v>-8.4033613445377853E-4</v>
      </c>
      <c r="F708" s="17">
        <f t="shared" si="42"/>
        <v>2.3584905660376521E-3</v>
      </c>
      <c r="G708" s="17">
        <f t="shared" si="42"/>
        <v>-8.0795525170913596E-3</v>
      </c>
      <c r="H708" s="14">
        <f t="shared" si="43"/>
        <v>-6.5792757172528664E-3</v>
      </c>
      <c r="I708" s="39"/>
      <c r="J708" s="47">
        <f t="shared" si="45"/>
        <v>63</v>
      </c>
      <c r="K708" s="49">
        <f t="shared" si="44"/>
        <v>1.6622661138388988E-8</v>
      </c>
      <c r="L708" s="17">
        <v>-7.1415296360555578E-3</v>
      </c>
      <c r="M708" s="27"/>
      <c r="N708" s="49">
        <v>5.5893767124835686E-7</v>
      </c>
      <c r="O708" s="27">
        <v>2.27156919936084E-2</v>
      </c>
      <c r="Q708" s="2"/>
      <c r="R708" s="24"/>
      <c r="S708" s="24"/>
      <c r="T708" s="24"/>
    </row>
    <row r="709" spans="1:20" x14ac:dyDescent="0.25">
      <c r="A709" s="2">
        <v>44379</v>
      </c>
      <c r="B709" s="20">
        <v>2380</v>
      </c>
      <c r="C709" s="20">
        <v>424</v>
      </c>
      <c r="D709" s="20">
        <v>16090</v>
      </c>
      <c r="E709" s="17">
        <f t="shared" si="42"/>
        <v>2.5273799494522908E-3</v>
      </c>
      <c r="F709" s="17">
        <f t="shared" si="42"/>
        <v>-1.3953488372092981E-2</v>
      </c>
      <c r="G709" s="17">
        <f t="shared" si="42"/>
        <v>-1.2277470841006721E-2</v>
      </c>
      <c r="H709" s="14">
        <f t="shared" si="43"/>
        <v>-1.0220704212926257E-2</v>
      </c>
      <c r="I709" s="39"/>
      <c r="J709" s="47">
        <f t="shared" si="45"/>
        <v>62</v>
      </c>
      <c r="K709" s="49">
        <f t="shared" si="44"/>
        <v>1.6290207915621211E-8</v>
      </c>
      <c r="L709" s="17">
        <v>1.298873158662831E-2</v>
      </c>
      <c r="M709" s="27"/>
      <c r="N709" s="49">
        <v>2.2989952961392588E-6</v>
      </c>
      <c r="O709" s="27">
        <v>2.2848516362535154E-2</v>
      </c>
      <c r="Q709" s="2"/>
      <c r="R709" s="24"/>
      <c r="S709" s="24"/>
      <c r="T709" s="24"/>
    </row>
    <row r="710" spans="1:20" x14ac:dyDescent="0.25">
      <c r="A710" s="2">
        <v>44378</v>
      </c>
      <c r="B710" s="20">
        <v>2374</v>
      </c>
      <c r="C710" s="20">
        <v>430</v>
      </c>
      <c r="D710" s="20">
        <v>16290</v>
      </c>
      <c r="E710" s="17">
        <f t="shared" ref="E710:G746" si="46">+B710/B711-1</f>
        <v>6.785411365564098E-3</v>
      </c>
      <c r="F710" s="17">
        <f t="shared" si="46"/>
        <v>7.0257611241217877E-3</v>
      </c>
      <c r="G710" s="17">
        <f t="shared" si="46"/>
        <v>2.0996552804763313E-2</v>
      </c>
      <c r="H710" s="14">
        <f t="shared" ref="H710:H760" si="47">+SUMPRODUCT(E710:G710,$K$9:$M$9)</f>
        <v>1.8337825160224641E-2</v>
      </c>
      <c r="I710" s="39"/>
      <c r="J710" s="47">
        <f t="shared" si="45"/>
        <v>61</v>
      </c>
      <c r="K710" s="49">
        <f t="shared" si="44"/>
        <v>1.5964403757308785E-8</v>
      </c>
      <c r="L710" s="17">
        <v>1.1589310238351181E-2</v>
      </c>
      <c r="M710" s="27"/>
      <c r="N710" s="49">
        <v>1.8040600566681146E-6</v>
      </c>
      <c r="O710" s="27">
        <v>2.2974668246344927E-2</v>
      </c>
      <c r="Q710" s="2"/>
      <c r="R710" s="24"/>
      <c r="S710" s="24"/>
      <c r="T710" s="24"/>
    </row>
    <row r="711" spans="1:20" x14ac:dyDescent="0.25">
      <c r="A711" s="2">
        <v>44377</v>
      </c>
      <c r="B711" s="20">
        <v>2358</v>
      </c>
      <c r="C711" s="20">
        <v>427</v>
      </c>
      <c r="D711" s="20">
        <v>15955</v>
      </c>
      <c r="E711" s="17">
        <f t="shared" si="46"/>
        <v>-7.575757575757569E-3</v>
      </c>
      <c r="F711" s="17">
        <f t="shared" si="46"/>
        <v>0</v>
      </c>
      <c r="G711" s="17">
        <f t="shared" si="46"/>
        <v>-1.9662058371735736E-2</v>
      </c>
      <c r="H711" s="14">
        <f t="shared" si="47"/>
        <v>-1.7059063840712037E-2</v>
      </c>
      <c r="I711" s="39"/>
      <c r="J711" s="47">
        <f t="shared" si="45"/>
        <v>60</v>
      </c>
      <c r="K711" s="49">
        <f t="shared" si="44"/>
        <v>1.5645115682162609E-8</v>
      </c>
      <c r="L711" s="17">
        <v>-8.2777681167002602E-3</v>
      </c>
      <c r="M711" s="27"/>
      <c r="N711" s="49">
        <v>4.0476967054009054E-6</v>
      </c>
      <c r="O711" s="27">
        <v>2.2987376260280391E-2</v>
      </c>
      <c r="Q711" s="2"/>
      <c r="R711" s="24"/>
      <c r="S711" s="24"/>
      <c r="T711" s="24"/>
    </row>
    <row r="712" spans="1:20" x14ac:dyDescent="0.25">
      <c r="A712" s="2">
        <v>44376</v>
      </c>
      <c r="B712" s="20">
        <v>2376</v>
      </c>
      <c r="C712" s="20">
        <v>427</v>
      </c>
      <c r="D712" s="20">
        <v>16275</v>
      </c>
      <c r="E712" s="17">
        <f t="shared" si="46"/>
        <v>-1.0000000000000009E-2</v>
      </c>
      <c r="F712" s="17">
        <f t="shared" si="46"/>
        <v>4.7058823529411153E-3</v>
      </c>
      <c r="G712" s="17">
        <f t="shared" si="46"/>
        <v>-1.3636363636363669E-2</v>
      </c>
      <c r="H712" s="14">
        <f t="shared" si="47"/>
        <v>-1.2307285207624103E-2</v>
      </c>
      <c r="I712" s="39"/>
      <c r="J712" s="47">
        <f t="shared" si="45"/>
        <v>59</v>
      </c>
      <c r="K712" s="49">
        <f t="shared" si="44"/>
        <v>1.5332213368519352E-8</v>
      </c>
      <c r="L712" s="17">
        <v>-1.1701044355359343E-2</v>
      </c>
      <c r="M712" s="27"/>
      <c r="N712" s="49">
        <v>6.9839949970747963E-6</v>
      </c>
      <c r="O712" s="27">
        <v>2.3363165807755958E-2</v>
      </c>
      <c r="Q712" s="2"/>
      <c r="R712" s="24"/>
      <c r="S712" s="24"/>
      <c r="T712" s="24"/>
    </row>
    <row r="713" spans="1:20" x14ac:dyDescent="0.25">
      <c r="A713" s="2">
        <v>44375</v>
      </c>
      <c r="B713" s="20">
        <v>2400</v>
      </c>
      <c r="C713" s="20">
        <v>425</v>
      </c>
      <c r="D713" s="20">
        <v>16500</v>
      </c>
      <c r="E713" s="17">
        <f t="shared" si="46"/>
        <v>8.3402835696411159E-4</v>
      </c>
      <c r="F713" s="17">
        <f t="shared" si="46"/>
        <v>2.3584905660376521E-3</v>
      </c>
      <c r="G713" s="17">
        <f t="shared" si="46"/>
        <v>-1.4925373134328401E-2</v>
      </c>
      <c r="H713" s="14">
        <f t="shared" si="47"/>
        <v>-1.1898303289403405E-2</v>
      </c>
      <c r="I713" s="39"/>
      <c r="J713" s="47">
        <f t="shared" si="45"/>
        <v>58</v>
      </c>
      <c r="K713" s="49">
        <f t="shared" si="44"/>
        <v>1.5025569101148965E-8</v>
      </c>
      <c r="L713" s="17">
        <v>-9.5148457494650916E-3</v>
      </c>
      <c r="M713" s="27"/>
      <c r="N713" s="49">
        <v>3.1762952973343414E-6</v>
      </c>
      <c r="O713" s="27">
        <v>2.3637217224719894E-2</v>
      </c>
      <c r="Q713" s="2"/>
      <c r="R713" s="24"/>
      <c r="S713" s="24"/>
      <c r="T713" s="24"/>
    </row>
    <row r="714" spans="1:20" x14ac:dyDescent="0.25">
      <c r="A714" s="2">
        <v>44372</v>
      </c>
      <c r="B714" s="20">
        <v>2398</v>
      </c>
      <c r="C714" s="20">
        <v>424</v>
      </c>
      <c r="D714" s="20">
        <v>16750</v>
      </c>
      <c r="E714" s="17">
        <f t="shared" si="46"/>
        <v>-8.3333333333335258E-4</v>
      </c>
      <c r="F714" s="17">
        <f t="shared" si="46"/>
        <v>0</v>
      </c>
      <c r="G714" s="17">
        <f t="shared" si="46"/>
        <v>4.7990401919615344E-3</v>
      </c>
      <c r="H714" s="14">
        <f t="shared" si="47"/>
        <v>3.7777182734701304E-3</v>
      </c>
      <c r="I714" s="39"/>
      <c r="J714" s="47">
        <f t="shared" si="45"/>
        <v>57</v>
      </c>
      <c r="K714" s="49">
        <f t="shared" si="44"/>
        <v>1.4725057719125985E-8</v>
      </c>
      <c r="L714" s="17">
        <v>2.0724400263108279E-2</v>
      </c>
      <c r="M714" s="27"/>
      <c r="N714" s="49">
        <v>3.5139088607971515E-6</v>
      </c>
      <c r="O714" s="27">
        <v>2.385095513930445E-2</v>
      </c>
      <c r="Q714" s="2"/>
      <c r="R714" s="24"/>
      <c r="S714" s="24"/>
      <c r="T714" s="24"/>
    </row>
    <row r="715" spans="1:20" x14ac:dyDescent="0.25">
      <c r="A715" s="2">
        <v>44371</v>
      </c>
      <c r="B715" s="20">
        <v>2400</v>
      </c>
      <c r="C715" s="20">
        <v>424</v>
      </c>
      <c r="D715" s="20">
        <v>16670</v>
      </c>
      <c r="E715" s="17">
        <f t="shared" si="46"/>
        <v>-1.6638935108153063E-3</v>
      </c>
      <c r="F715" s="17">
        <f t="shared" si="46"/>
        <v>-2.3529411764705577E-3</v>
      </c>
      <c r="G715" s="17">
        <f t="shared" si="46"/>
        <v>5.4282267792520322E-3</v>
      </c>
      <c r="H715" s="14">
        <f t="shared" si="47"/>
        <v>4.0658386279593464E-3</v>
      </c>
      <c r="I715" s="39"/>
      <c r="J715" s="47">
        <f t="shared" si="45"/>
        <v>56</v>
      </c>
      <c r="K715" s="49">
        <f t="shared" si="44"/>
        <v>1.4430556564743464E-8</v>
      </c>
      <c r="L715" s="17">
        <v>-1.2867588025842081E-4</v>
      </c>
      <c r="M715" s="27"/>
      <c r="N715" s="49">
        <v>1.3324230171717854E-6</v>
      </c>
      <c r="O715" s="27">
        <v>2.3941013691998549E-2</v>
      </c>
      <c r="Q715" s="2"/>
      <c r="R715" s="24"/>
      <c r="S715" s="24"/>
      <c r="T715" s="24"/>
    </row>
    <row r="716" spans="1:20" x14ac:dyDescent="0.25">
      <c r="A716" s="2">
        <v>44370</v>
      </c>
      <c r="B716" s="20">
        <v>2404</v>
      </c>
      <c r="C716" s="20">
        <v>425</v>
      </c>
      <c r="D716" s="20">
        <v>16580</v>
      </c>
      <c r="E716" s="17">
        <f t="shared" si="46"/>
        <v>1.0933557611438216E-2</v>
      </c>
      <c r="F716" s="17">
        <f t="shared" si="46"/>
        <v>0</v>
      </c>
      <c r="G716" s="17">
        <f t="shared" si="46"/>
        <v>1.6242721422004225E-2</v>
      </c>
      <c r="H716" s="14">
        <f t="shared" si="47"/>
        <v>1.4765165608453111E-2</v>
      </c>
      <c r="I716" s="39"/>
      <c r="J716" s="47">
        <f t="shared" si="45"/>
        <v>55</v>
      </c>
      <c r="K716" s="49">
        <f t="shared" si="44"/>
        <v>1.4141945433448594E-8</v>
      </c>
      <c r="L716" s="17">
        <v>-3.2525119771305401E-3</v>
      </c>
      <c r="M716" s="27"/>
      <c r="N716" s="49">
        <v>6.8335736918112386E-9</v>
      </c>
      <c r="O716" s="27">
        <v>2.4270089325097804E-2</v>
      </c>
      <c r="Q716" s="2"/>
      <c r="R716" s="24"/>
      <c r="S716" s="24"/>
      <c r="T716" s="24"/>
    </row>
    <row r="717" spans="1:20" x14ac:dyDescent="0.25">
      <c r="A717" s="2">
        <v>44369</v>
      </c>
      <c r="B717" s="20">
        <v>2378</v>
      </c>
      <c r="C717" s="20">
        <v>425</v>
      </c>
      <c r="D717" s="20">
        <v>16315</v>
      </c>
      <c r="E717" s="17">
        <f t="shared" si="46"/>
        <v>1.6239316239316182E-2</v>
      </c>
      <c r="F717" s="17">
        <f t="shared" si="46"/>
        <v>1.1778563015312216E-3</v>
      </c>
      <c r="G717" s="17">
        <f t="shared" si="46"/>
        <v>-1.1212121212121229E-2</v>
      </c>
      <c r="H717" s="14">
        <f t="shared" si="47"/>
        <v>-6.7175817176280414E-3</v>
      </c>
      <c r="I717" s="39"/>
      <c r="J717" s="47">
        <f t="shared" si="45"/>
        <v>54</v>
      </c>
      <c r="K717" s="49">
        <f t="shared" si="44"/>
        <v>1.3859106524779624E-8</v>
      </c>
      <c r="L717" s="17">
        <v>-6.0134294143530838E-3</v>
      </c>
      <c r="M717" s="27"/>
      <c r="N717" s="49">
        <v>2.5979833931059974E-4</v>
      </c>
      <c r="O717" s="27">
        <v>2.4308376700518761E-2</v>
      </c>
      <c r="Q717" s="2"/>
      <c r="R717" s="24"/>
      <c r="S717" s="24"/>
      <c r="T717" s="24"/>
    </row>
    <row r="718" spans="1:20" x14ac:dyDescent="0.25">
      <c r="A718" s="2">
        <v>44368</v>
      </c>
      <c r="B718" s="20">
        <v>2340</v>
      </c>
      <c r="C718" s="29">
        <v>424.5</v>
      </c>
      <c r="D718" s="20">
        <v>16500</v>
      </c>
      <c r="E718" s="17">
        <f t="shared" si="46"/>
        <v>8.6206896551723755E-3</v>
      </c>
      <c r="F718" s="17">
        <f t="shared" si="46"/>
        <v>5.924170616113722E-3</v>
      </c>
      <c r="G718" s="17">
        <f t="shared" si="46"/>
        <v>7.0186145865120952E-3</v>
      </c>
      <c r="H718" s="14">
        <f t="shared" si="47"/>
        <v>7.201069885823419E-3</v>
      </c>
      <c r="I718" s="39"/>
      <c r="J718" s="47">
        <f t="shared" si="45"/>
        <v>53</v>
      </c>
      <c r="K718" s="49">
        <f t="shared" si="44"/>
        <v>1.3581924394284031E-8</v>
      </c>
      <c r="L718" s="17">
        <v>-6.5792757172528664E-3</v>
      </c>
      <c r="M718" s="27"/>
      <c r="N718" s="49">
        <v>2.1194101720861314E-7</v>
      </c>
      <c r="O718" s="27">
        <v>2.4599962429183997E-2</v>
      </c>
      <c r="Q718" s="2"/>
      <c r="R718" s="24"/>
      <c r="S718" s="24"/>
      <c r="T718" s="24"/>
    </row>
    <row r="719" spans="1:20" x14ac:dyDescent="0.25">
      <c r="A719" s="2">
        <v>44365</v>
      </c>
      <c r="B719" s="20">
        <v>2320</v>
      </c>
      <c r="C719" s="20">
        <v>422</v>
      </c>
      <c r="D719" s="20">
        <v>16385</v>
      </c>
      <c r="E719" s="17">
        <f t="shared" si="46"/>
        <v>-3.0910609857978333E-2</v>
      </c>
      <c r="F719" s="17">
        <f t="shared" si="46"/>
        <v>7.1599045346062429E-3</v>
      </c>
      <c r="G719" s="17">
        <f t="shared" si="46"/>
        <v>-2.2666269012824314E-2</v>
      </c>
      <c r="H719" s="14">
        <f t="shared" si="47"/>
        <v>-2.2542295950530235E-2</v>
      </c>
      <c r="I719" s="39"/>
      <c r="J719" s="47">
        <f t="shared" si="45"/>
        <v>52</v>
      </c>
      <c r="K719" s="49">
        <f t="shared" si="44"/>
        <v>1.3310285906398349E-8</v>
      </c>
      <c r="L719" s="17">
        <v>-1.0220704212926257E-2</v>
      </c>
      <c r="M719" s="27"/>
      <c r="N719" s="49">
        <v>1.2315609596795039E-2</v>
      </c>
      <c r="O719" s="27">
        <v>2.4940618233825484E-2</v>
      </c>
      <c r="Q719" s="2"/>
      <c r="R719" s="24"/>
      <c r="S719" s="24"/>
      <c r="T719" s="24"/>
    </row>
    <row r="720" spans="1:20" x14ac:dyDescent="0.25">
      <c r="A720" s="2">
        <v>44364</v>
      </c>
      <c r="B720" s="20">
        <v>2394</v>
      </c>
      <c r="C720" s="20">
        <v>419</v>
      </c>
      <c r="D720" s="20">
        <v>16765</v>
      </c>
      <c r="E720" s="17">
        <f t="shared" si="46"/>
        <v>-8.2850041425021059E-3</v>
      </c>
      <c r="F720" s="17">
        <f t="shared" si="46"/>
        <v>-2.3809523809523725E-3</v>
      </c>
      <c r="G720" s="17">
        <f t="shared" si="46"/>
        <v>1.6060606060606109E-2</v>
      </c>
      <c r="H720" s="14">
        <f t="shared" si="47"/>
        <v>1.1747132972670542E-2</v>
      </c>
      <c r="I720" s="39"/>
      <c r="J720" s="47">
        <f t="shared" si="45"/>
        <v>51</v>
      </c>
      <c r="K720" s="49">
        <f t="shared" ref="K720:K770" si="48">+($K$13^($K$1-J720)*(1-$K$13))/(1-$K$13^$K$1)</f>
        <v>1.3044080188270382E-8</v>
      </c>
      <c r="L720" s="17">
        <v>1.8337825160224641E-2</v>
      </c>
      <c r="M720" s="27"/>
      <c r="N720" s="49">
        <v>1.99477189868609E-7</v>
      </c>
      <c r="O720" s="27">
        <v>2.5021711606339186E-2</v>
      </c>
      <c r="Q720" s="2"/>
      <c r="R720" s="24"/>
      <c r="S720" s="24"/>
      <c r="T720" s="24"/>
    </row>
    <row r="721" spans="1:20" x14ac:dyDescent="0.25">
      <c r="A721" s="2">
        <v>44363</v>
      </c>
      <c r="B721" s="20">
        <v>2414</v>
      </c>
      <c r="C721" s="20">
        <v>420</v>
      </c>
      <c r="D721" s="20">
        <v>16500</v>
      </c>
      <c r="E721" s="17">
        <f t="shared" si="46"/>
        <v>-1.2274959083469761E-2</v>
      </c>
      <c r="F721" s="17">
        <f t="shared" si="46"/>
        <v>-9.4339622641509413E-3</v>
      </c>
      <c r="G721" s="17">
        <f t="shared" si="46"/>
        <v>-1.7857142857142905E-2</v>
      </c>
      <c r="H721" s="14">
        <f t="shared" si="47"/>
        <v>-1.6683827590395325E-2</v>
      </c>
      <c r="I721" s="39"/>
      <c r="J721" s="47">
        <f t="shared" ref="J721:J770" si="49">+J720-1</f>
        <v>50</v>
      </c>
      <c r="K721" s="49">
        <f t="shared" si="48"/>
        <v>1.2783198584504973E-8</v>
      </c>
      <c r="L721" s="17">
        <v>-1.7059063840712037E-2</v>
      </c>
      <c r="M721" s="27"/>
      <c r="N721" s="49">
        <v>7.1227954539841525E-7</v>
      </c>
      <c r="O721" s="27">
        <v>2.50941491946239E-2</v>
      </c>
      <c r="Q721" s="2"/>
      <c r="R721" s="24"/>
      <c r="S721" s="24"/>
      <c r="T721" s="24"/>
    </row>
    <row r="722" spans="1:20" x14ac:dyDescent="0.25">
      <c r="A722" s="2">
        <v>44362</v>
      </c>
      <c r="B722" s="20">
        <v>2444</v>
      </c>
      <c r="C722" s="20">
        <v>424</v>
      </c>
      <c r="D722" s="20">
        <v>16800</v>
      </c>
      <c r="E722" s="17">
        <f t="shared" si="46"/>
        <v>7.4196207749381848E-3</v>
      </c>
      <c r="F722" s="17">
        <f t="shared" si="46"/>
        <v>0</v>
      </c>
      <c r="G722" s="17">
        <f t="shared" si="46"/>
        <v>1.0222489476849006E-2</v>
      </c>
      <c r="H722" s="14">
        <f t="shared" si="47"/>
        <v>9.3700666066233677E-3</v>
      </c>
      <c r="I722" s="39"/>
      <c r="J722" s="47">
        <f t="shared" si="49"/>
        <v>49</v>
      </c>
      <c r="K722" s="49">
        <f t="shared" si="48"/>
        <v>1.2527534612814876E-8</v>
      </c>
      <c r="L722" s="17">
        <v>-1.2307285207624103E-2</v>
      </c>
      <c r="M722" s="27"/>
      <c r="N722" s="49">
        <v>2.441363709416203E-7</v>
      </c>
      <c r="O722" s="27">
        <v>2.5127969604791186E-2</v>
      </c>
      <c r="Q722" s="2"/>
      <c r="R722" s="24"/>
      <c r="S722" s="24"/>
      <c r="T722" s="24"/>
    </row>
    <row r="723" spans="1:20" x14ac:dyDescent="0.25">
      <c r="A723" s="2">
        <v>44361</v>
      </c>
      <c r="B723" s="20">
        <v>2426</v>
      </c>
      <c r="C723" s="20">
        <v>424</v>
      </c>
      <c r="D723" s="20">
        <v>16630</v>
      </c>
      <c r="E723" s="17">
        <f t="shared" si="46"/>
        <v>-4.9220672682526168E-3</v>
      </c>
      <c r="F723" s="17">
        <f t="shared" si="46"/>
        <v>3.5502958579882726E-3</v>
      </c>
      <c r="G723" s="17">
        <f t="shared" si="46"/>
        <v>4.2270531400965261E-3</v>
      </c>
      <c r="H723" s="14">
        <f t="shared" si="47"/>
        <v>2.880776214031904E-3</v>
      </c>
      <c r="I723" s="39"/>
      <c r="J723" s="47">
        <f t="shared" si="49"/>
        <v>48</v>
      </c>
      <c r="K723" s="49">
        <f t="shared" si="48"/>
        <v>1.2276983920558576E-8</v>
      </c>
      <c r="L723" s="17">
        <v>-1.1898303289403405E-2</v>
      </c>
      <c r="M723" s="27"/>
      <c r="N723" s="49">
        <v>1.731712418252433E-7</v>
      </c>
      <c r="O723" s="27">
        <v>2.5631264510660518E-2</v>
      </c>
      <c r="Q723" s="2"/>
      <c r="R723" s="24"/>
      <c r="S723" s="24"/>
      <c r="T723" s="24"/>
    </row>
    <row r="724" spans="1:20" x14ac:dyDescent="0.25">
      <c r="A724" s="2">
        <v>44358</v>
      </c>
      <c r="B724" s="20">
        <v>2438</v>
      </c>
      <c r="C724" s="29">
        <v>422.5</v>
      </c>
      <c r="D724" s="20">
        <v>16560</v>
      </c>
      <c r="E724" s="17">
        <f t="shared" si="46"/>
        <v>2.0938023450586263E-2</v>
      </c>
      <c r="F724" s="17">
        <f t="shared" si="46"/>
        <v>-1.1820330969266601E-3</v>
      </c>
      <c r="G724" s="17">
        <f t="shared" si="46"/>
        <v>-7.194244604316502E-3</v>
      </c>
      <c r="H724" s="14">
        <f t="shared" si="47"/>
        <v>-2.8819222840411034E-3</v>
      </c>
      <c r="I724" s="39"/>
      <c r="J724" s="47">
        <f t="shared" si="49"/>
        <v>47</v>
      </c>
      <c r="K724" s="49">
        <f t="shared" si="48"/>
        <v>1.2031444242147406E-8</v>
      </c>
      <c r="L724" s="17">
        <v>3.7777182734701304E-3</v>
      </c>
      <c r="M724" s="27"/>
      <c r="N724" s="49">
        <v>3.2411176503411646E-6</v>
      </c>
      <c r="O724" s="27">
        <v>2.6273787525276829E-2</v>
      </c>
      <c r="Q724" s="2"/>
      <c r="R724" s="24"/>
      <c r="S724" s="24"/>
      <c r="T724" s="24"/>
    </row>
    <row r="725" spans="1:20" x14ac:dyDescent="0.25">
      <c r="A725" s="2">
        <v>44357</v>
      </c>
      <c r="B725" s="20">
        <v>2388</v>
      </c>
      <c r="C725" s="20">
        <v>423</v>
      </c>
      <c r="D725" s="20">
        <v>16680</v>
      </c>
      <c r="E725" s="17">
        <f t="shared" si="46"/>
        <v>-1.6722408026755842E-3</v>
      </c>
      <c r="F725" s="17">
        <f t="shared" si="46"/>
        <v>2.4213075060532718E-2</v>
      </c>
      <c r="G725" s="17">
        <f t="shared" si="46"/>
        <v>-1.4965579167913745E-3</v>
      </c>
      <c r="H725" s="14">
        <f t="shared" si="47"/>
        <v>-3.9236392576252335E-4</v>
      </c>
      <c r="I725" s="39"/>
      <c r="J725" s="47">
        <f t="shared" si="49"/>
        <v>46</v>
      </c>
      <c r="K725" s="49">
        <f t="shared" si="48"/>
        <v>1.1790815357304454E-8</v>
      </c>
      <c r="L725" s="17">
        <v>4.0658386279593464E-3</v>
      </c>
      <c r="M725" s="27"/>
      <c r="N725" s="49">
        <v>5.6974767728990852E-9</v>
      </c>
      <c r="O725" s="27">
        <v>2.7282630086112442E-2</v>
      </c>
      <c r="Q725" s="2"/>
      <c r="R725" s="24"/>
      <c r="S725" s="24"/>
      <c r="T725" s="24"/>
    </row>
    <row r="726" spans="1:20" x14ac:dyDescent="0.25">
      <c r="A726" s="2">
        <v>44356</v>
      </c>
      <c r="B726" s="20">
        <v>2392</v>
      </c>
      <c r="C726" s="20">
        <v>413</v>
      </c>
      <c r="D726" s="20">
        <v>16705</v>
      </c>
      <c r="E726" s="17">
        <f t="shared" si="46"/>
        <v>1.6750418760469454E-3</v>
      </c>
      <c r="F726" s="17">
        <f t="shared" si="46"/>
        <v>1.4742014742014753E-2</v>
      </c>
      <c r="G726" s="17">
        <f t="shared" si="46"/>
        <v>-1.4744913005013238E-2</v>
      </c>
      <c r="H726" s="14">
        <f t="shared" si="47"/>
        <v>-1.1086685953811943E-2</v>
      </c>
      <c r="I726" s="39"/>
      <c r="J726" s="47">
        <f t="shared" si="49"/>
        <v>45</v>
      </c>
      <c r="K726" s="49">
        <f t="shared" si="48"/>
        <v>1.1554999050158366E-8</v>
      </c>
      <c r="L726" s="17">
        <v>1.4765165608453111E-2</v>
      </c>
      <c r="M726" s="27"/>
      <c r="N726" s="49">
        <v>5.0629453995735523E-3</v>
      </c>
      <c r="O726" s="27">
        <v>2.7438522671248716E-2</v>
      </c>
      <c r="Q726" s="2"/>
      <c r="R726" s="24"/>
      <c r="S726" s="24"/>
      <c r="T726" s="24"/>
    </row>
    <row r="727" spans="1:20" x14ac:dyDescent="0.25">
      <c r="A727" s="2">
        <v>44355</v>
      </c>
      <c r="B727" s="20">
        <v>2388</v>
      </c>
      <c r="C727" s="20">
        <v>407</v>
      </c>
      <c r="D727" s="20">
        <v>16955</v>
      </c>
      <c r="E727" s="17">
        <f t="shared" si="46"/>
        <v>-8.3682008368202165E-4</v>
      </c>
      <c r="F727" s="17">
        <f t="shared" si="46"/>
        <v>-2.450980392156854E-3</v>
      </c>
      <c r="G727" s="17">
        <f t="shared" si="46"/>
        <v>2.1077988557663296E-2</v>
      </c>
      <c r="H727" s="14">
        <f t="shared" si="47"/>
        <v>1.6890804516657101E-2</v>
      </c>
      <c r="I727" s="39"/>
      <c r="J727" s="47">
        <f t="shared" si="49"/>
        <v>44</v>
      </c>
      <c r="K727" s="49">
        <f t="shared" si="48"/>
        <v>1.13238990691552E-8</v>
      </c>
      <c r="L727" s="17">
        <v>-6.7175817176280414E-3</v>
      </c>
      <c r="M727" s="27"/>
      <c r="N727" s="49">
        <v>6.8514854123553697E-4</v>
      </c>
      <c r="O727" s="27">
        <v>2.7691835430354909E-2</v>
      </c>
      <c r="Q727" s="2"/>
      <c r="R727" s="24"/>
      <c r="S727" s="24"/>
      <c r="T727" s="24"/>
    </row>
    <row r="728" spans="1:20" x14ac:dyDescent="0.25">
      <c r="A728" s="2">
        <v>44354</v>
      </c>
      <c r="B728" s="20">
        <v>2390</v>
      </c>
      <c r="C728" s="20">
        <v>408</v>
      </c>
      <c r="D728" s="20">
        <v>16605</v>
      </c>
      <c r="E728" s="17">
        <f t="shared" si="46"/>
        <v>-1.2396694214875992E-2</v>
      </c>
      <c r="F728" s="17">
        <f t="shared" si="46"/>
        <v>4.9261083743843415E-3</v>
      </c>
      <c r="G728" s="17">
        <f t="shared" si="46"/>
        <v>1.9337016574585641E-2</v>
      </c>
      <c r="H728" s="14">
        <f t="shared" si="47"/>
        <v>1.4137480483445423E-2</v>
      </c>
      <c r="I728" s="39"/>
      <c r="J728" s="47">
        <f t="shared" si="49"/>
        <v>43</v>
      </c>
      <c r="K728" s="49">
        <f t="shared" si="48"/>
        <v>1.1097421087772094E-8</v>
      </c>
      <c r="L728" s="17">
        <v>7.201069885823419E-3</v>
      </c>
      <c r="M728" s="27"/>
      <c r="N728" s="49">
        <v>1.806895782332014E-3</v>
      </c>
      <c r="O728" s="27">
        <v>2.7838697298016149E-2</v>
      </c>
      <c r="Q728" s="2"/>
      <c r="R728" s="24"/>
      <c r="S728" s="24"/>
      <c r="T728" s="24"/>
    </row>
    <row r="729" spans="1:20" x14ac:dyDescent="0.25">
      <c r="A729" s="2">
        <v>44351</v>
      </c>
      <c r="B729" s="20">
        <v>2420</v>
      </c>
      <c r="C729" s="20">
        <v>406</v>
      </c>
      <c r="D729" s="20">
        <v>16290</v>
      </c>
      <c r="E729" s="17">
        <f t="shared" si="46"/>
        <v>1.0860484544695126E-2</v>
      </c>
      <c r="F729" s="17">
        <f t="shared" si="46"/>
        <v>0</v>
      </c>
      <c r="G729" s="17">
        <f t="shared" si="46"/>
        <v>1.6536661466458602E-2</v>
      </c>
      <c r="H729" s="14">
        <f t="shared" si="47"/>
        <v>1.499337961694221E-2</v>
      </c>
      <c r="I729" s="39"/>
      <c r="J729" s="47">
        <f t="shared" si="49"/>
        <v>42</v>
      </c>
      <c r="K729" s="49">
        <f t="shared" si="48"/>
        <v>1.0875472666016653E-8</v>
      </c>
      <c r="L729" s="17">
        <v>-2.2542295950530235E-2</v>
      </c>
      <c r="M729" s="27"/>
      <c r="N729" s="49">
        <v>1.0881167914779925E-7</v>
      </c>
      <c r="O729" s="27">
        <v>2.7851623622992032E-2</v>
      </c>
      <c r="Q729" s="2"/>
      <c r="R729" s="24"/>
      <c r="S729" s="24"/>
      <c r="T729" s="24"/>
    </row>
    <row r="730" spans="1:20" x14ac:dyDescent="0.25">
      <c r="A730" s="2">
        <v>44350</v>
      </c>
      <c r="B730" s="20">
        <v>2394</v>
      </c>
      <c r="C730" s="20">
        <v>406</v>
      </c>
      <c r="D730" s="20">
        <v>16025</v>
      </c>
      <c r="E730" s="17">
        <f t="shared" si="46"/>
        <v>5.8823529411764497E-3</v>
      </c>
      <c r="F730" s="17">
        <f t="shared" si="46"/>
        <v>1.2330456226881115E-3</v>
      </c>
      <c r="G730" s="17">
        <f t="shared" si="46"/>
        <v>1.9402035623409697E-2</v>
      </c>
      <c r="H730" s="14">
        <f t="shared" si="47"/>
        <v>1.6658372856887104E-2</v>
      </c>
      <c r="I730" s="39"/>
      <c r="J730" s="47">
        <f t="shared" si="49"/>
        <v>41</v>
      </c>
      <c r="K730" s="49">
        <f t="shared" si="48"/>
        <v>1.0657963212696319E-8</v>
      </c>
      <c r="L730" s="17">
        <v>1.1747132972670542E-2</v>
      </c>
      <c r="M730" s="27"/>
      <c r="N730" s="49">
        <v>6.9949728432814945E-3</v>
      </c>
      <c r="O730" s="27">
        <v>2.7875402538713727E-2</v>
      </c>
      <c r="Q730" s="2"/>
      <c r="R730" s="24"/>
      <c r="S730" s="24"/>
      <c r="T730" s="24"/>
    </row>
    <row r="731" spans="1:20" x14ac:dyDescent="0.25">
      <c r="A731" s="2">
        <v>44349</v>
      </c>
      <c r="B731" s="20">
        <v>2380</v>
      </c>
      <c r="C731" s="29">
        <v>405.5</v>
      </c>
      <c r="D731" s="20">
        <v>15720</v>
      </c>
      <c r="E731" s="17">
        <f t="shared" si="46"/>
        <v>2.1459227467811148E-2</v>
      </c>
      <c r="F731" s="17">
        <f t="shared" si="46"/>
        <v>8.7064676616914749E-3</v>
      </c>
      <c r="G731" s="17">
        <f t="shared" si="46"/>
        <v>-9.1396155058304229E-3</v>
      </c>
      <c r="H731" s="14">
        <f t="shared" si="47"/>
        <v>-3.952471347024842E-3</v>
      </c>
      <c r="I731" s="39"/>
      <c r="J731" s="47">
        <f t="shared" si="49"/>
        <v>40</v>
      </c>
      <c r="K731" s="49">
        <f t="shared" si="48"/>
        <v>1.0444803948442391E-8</v>
      </c>
      <c r="L731" s="17">
        <v>-1.6683827590395325E-2</v>
      </c>
      <c r="M731" s="27"/>
      <c r="N731" s="49">
        <v>2.4951032507390002E-4</v>
      </c>
      <c r="O731" s="27">
        <v>2.8053990025202473E-2</v>
      </c>
      <c r="Q731" s="2"/>
      <c r="R731" s="24"/>
      <c r="S731" s="24"/>
      <c r="T731" s="24"/>
    </row>
    <row r="732" spans="1:20" x14ac:dyDescent="0.25">
      <c r="A732" s="2">
        <v>44348</v>
      </c>
      <c r="B732" s="20">
        <v>2330</v>
      </c>
      <c r="C732" s="20">
        <v>402</v>
      </c>
      <c r="D732" s="20">
        <v>15865</v>
      </c>
      <c r="E732" s="17">
        <f t="shared" si="46"/>
        <v>8.6580086580085869E-3</v>
      </c>
      <c r="F732" s="17">
        <f t="shared" si="46"/>
        <v>-2.4813895781637951E-3</v>
      </c>
      <c r="G732" s="17">
        <f t="shared" si="46"/>
        <v>1.6010246557796926E-2</v>
      </c>
      <c r="H732" s="14">
        <f t="shared" si="47"/>
        <v>1.4139896008660956E-2</v>
      </c>
      <c r="I732" s="39"/>
      <c r="J732" s="47">
        <f t="shared" si="49"/>
        <v>39</v>
      </c>
      <c r="K732" s="49">
        <f t="shared" si="48"/>
        <v>1.0235907869473543E-8</v>
      </c>
      <c r="L732" s="17">
        <v>9.3700666066233677E-3</v>
      </c>
      <c r="M732" s="27"/>
      <c r="N732" s="49">
        <v>6.5629641736155134E-9</v>
      </c>
      <c r="O732" s="27">
        <v>2.8698564012795014E-2</v>
      </c>
      <c r="Q732" s="2"/>
      <c r="R732" s="24"/>
      <c r="S732" s="24"/>
      <c r="T732" s="24"/>
    </row>
    <row r="733" spans="1:20" x14ac:dyDescent="0.25">
      <c r="A733" s="2">
        <v>44347</v>
      </c>
      <c r="B733" s="20">
        <v>2310</v>
      </c>
      <c r="C733" s="20">
        <v>403</v>
      </c>
      <c r="D733" s="20">
        <v>15615</v>
      </c>
      <c r="E733" s="17">
        <f t="shared" si="46"/>
        <v>6.9747166521361148E-3</v>
      </c>
      <c r="F733" s="17">
        <f t="shared" si="46"/>
        <v>-9.8280098280097983E-3</v>
      </c>
      <c r="G733" s="17">
        <f t="shared" si="46"/>
        <v>-4.7801147227533036E-3</v>
      </c>
      <c r="H733" s="14">
        <f t="shared" si="47"/>
        <v>-3.3103748139945693E-3</v>
      </c>
      <c r="I733" s="39"/>
      <c r="J733" s="47">
        <f t="shared" si="49"/>
        <v>38</v>
      </c>
      <c r="K733" s="49">
        <f t="shared" si="48"/>
        <v>1.0031189712084073E-8</v>
      </c>
      <c r="L733" s="17">
        <v>2.880776214031904E-3</v>
      </c>
      <c r="M733" s="27"/>
      <c r="N733" s="49">
        <v>9.0769002858556991E-7</v>
      </c>
      <c r="O733" s="27">
        <v>2.8918374316345578E-2</v>
      </c>
      <c r="Q733" s="2"/>
      <c r="R733" s="24"/>
      <c r="S733" s="24"/>
      <c r="T733" s="24"/>
    </row>
    <row r="734" spans="1:20" x14ac:dyDescent="0.25">
      <c r="A734" s="2">
        <v>44344</v>
      </c>
      <c r="B734" s="20">
        <v>2294</v>
      </c>
      <c r="C734" s="20">
        <v>407</v>
      </c>
      <c r="D734" s="20">
        <v>15690</v>
      </c>
      <c r="E734" s="17">
        <f t="shared" si="46"/>
        <v>1.3250883392226243E-2</v>
      </c>
      <c r="F734" s="17">
        <f t="shared" si="46"/>
        <v>7.4257425742574323E-3</v>
      </c>
      <c r="G734" s="17">
        <f t="shared" si="46"/>
        <v>1.0953608247422641E-2</v>
      </c>
      <c r="H734" s="14">
        <f t="shared" si="47"/>
        <v>1.1129196887373495E-2</v>
      </c>
      <c r="I734" s="39"/>
      <c r="J734" s="47">
        <f t="shared" si="49"/>
        <v>37</v>
      </c>
      <c r="K734" s="49">
        <f t="shared" si="48"/>
        <v>9.8305659178423911E-9</v>
      </c>
      <c r="L734" s="17">
        <v>-2.8819222840411034E-3</v>
      </c>
      <c r="M734" s="27"/>
      <c r="N734" s="49">
        <v>1.4755926727981036E-4</v>
      </c>
      <c r="O734" s="27">
        <v>2.9509977090800575E-2</v>
      </c>
      <c r="Q734" s="2"/>
      <c r="R734" s="24"/>
      <c r="S734" s="24"/>
      <c r="T734" s="24"/>
    </row>
    <row r="735" spans="1:20" x14ac:dyDescent="0.25">
      <c r="A735" s="2">
        <v>44343</v>
      </c>
      <c r="B735" s="20">
        <v>2264</v>
      </c>
      <c r="C735" s="20">
        <v>404</v>
      </c>
      <c r="D735" s="20">
        <v>15520</v>
      </c>
      <c r="E735" s="17">
        <f t="shared" si="46"/>
        <v>-2.6431718061673548E-3</v>
      </c>
      <c r="F735" s="17">
        <f t="shared" si="46"/>
        <v>-2.4691358024691024E-3</v>
      </c>
      <c r="G735" s="17">
        <f t="shared" si="46"/>
        <v>-1.3663806800127132E-2</v>
      </c>
      <c r="H735" s="14">
        <f t="shared" si="47"/>
        <v>-1.1586148995695853E-2</v>
      </c>
      <c r="I735" s="39"/>
      <c r="J735" s="47">
        <f t="shared" si="49"/>
        <v>36</v>
      </c>
      <c r="K735" s="49">
        <f t="shared" si="48"/>
        <v>9.6339545994855425E-9</v>
      </c>
      <c r="L735" s="17">
        <v>-3.9236392576252335E-4</v>
      </c>
      <c r="M735" s="27"/>
      <c r="N735" s="49">
        <v>1.3880891067874942E-5</v>
      </c>
      <c r="O735" s="27">
        <v>2.9794352822289726E-2</v>
      </c>
      <c r="Q735" s="2"/>
      <c r="R735" s="24"/>
      <c r="S735" s="24"/>
      <c r="T735" s="24"/>
    </row>
    <row r="736" spans="1:20" x14ac:dyDescent="0.25">
      <c r="A736" s="2">
        <v>44342</v>
      </c>
      <c r="B736" s="20">
        <v>2270</v>
      </c>
      <c r="C736" s="20">
        <v>405</v>
      </c>
      <c r="D736" s="20">
        <v>15735</v>
      </c>
      <c r="E736" s="17">
        <f t="shared" si="46"/>
        <v>7.0984915705412099E-3</v>
      </c>
      <c r="F736" s="17">
        <f t="shared" si="46"/>
        <v>7.4626865671640896E-3</v>
      </c>
      <c r="G736" s="17">
        <f t="shared" si="46"/>
        <v>1.6801292407108148E-2</v>
      </c>
      <c r="H736" s="14">
        <f t="shared" si="47"/>
        <v>1.4994809674423125E-2</v>
      </c>
      <c r="I736" s="39"/>
      <c r="J736" s="47">
        <f t="shared" si="49"/>
        <v>35</v>
      </c>
      <c r="K736" s="49">
        <f t="shared" si="48"/>
        <v>9.4412755074958314E-9</v>
      </c>
      <c r="L736" s="17">
        <v>-1.1086685953811943E-2</v>
      </c>
      <c r="M736" s="27"/>
      <c r="N736" s="49">
        <v>2.3014037943941496E-4</v>
      </c>
      <c r="O736" s="27">
        <v>2.9898628253824604E-2</v>
      </c>
      <c r="Q736" s="2"/>
      <c r="R736" s="24"/>
      <c r="S736" s="24"/>
      <c r="T736" s="24"/>
    </row>
    <row r="737" spans="1:20" x14ac:dyDescent="0.25">
      <c r="A737" s="2">
        <v>44341</v>
      </c>
      <c r="B737" s="20">
        <v>2254</v>
      </c>
      <c r="C737" s="20">
        <v>402</v>
      </c>
      <c r="D737" s="20">
        <v>15475</v>
      </c>
      <c r="E737" s="17">
        <f t="shared" si="46"/>
        <v>-8.7950747581354571E-3</v>
      </c>
      <c r="F737" s="17">
        <f t="shared" si="46"/>
        <v>2.4937655860348684E-3</v>
      </c>
      <c r="G737" s="17">
        <f t="shared" si="46"/>
        <v>-8.6483023702754735E-3</v>
      </c>
      <c r="H737" s="14">
        <f t="shared" si="47"/>
        <v>-8.1799298518411574E-3</v>
      </c>
      <c r="I737" s="39"/>
      <c r="J737" s="47">
        <f t="shared" si="49"/>
        <v>34</v>
      </c>
      <c r="K737" s="49">
        <f t="shared" si="48"/>
        <v>9.2524499973459151E-9</v>
      </c>
      <c r="L737" s="17">
        <v>1.6890804516657101E-2</v>
      </c>
      <c r="M737" s="27"/>
      <c r="N737" s="49">
        <v>7.7182492434198691E-8</v>
      </c>
      <c r="O737" s="27">
        <v>2.9962970920324176E-2</v>
      </c>
      <c r="Q737" s="2"/>
      <c r="R737" s="24"/>
      <c r="S737" s="24"/>
      <c r="T737" s="24"/>
    </row>
    <row r="738" spans="1:20" x14ac:dyDescent="0.25">
      <c r="A738" s="2">
        <v>44337</v>
      </c>
      <c r="B738" s="20">
        <v>2274</v>
      </c>
      <c r="C738" s="20">
        <v>401</v>
      </c>
      <c r="D738" s="20">
        <v>15610</v>
      </c>
      <c r="E738" s="17">
        <f t="shared" si="46"/>
        <v>-5.2493438320210251E-3</v>
      </c>
      <c r="F738" s="17">
        <f t="shared" si="46"/>
        <v>-1.4742014742014753E-2</v>
      </c>
      <c r="G738" s="17">
        <f t="shared" si="46"/>
        <v>7.7469335054873856E-3</v>
      </c>
      <c r="H738" s="14">
        <f t="shared" si="47"/>
        <v>4.8888038136080149E-3</v>
      </c>
      <c r="I738" s="39"/>
      <c r="J738" s="47">
        <f t="shared" si="49"/>
        <v>33</v>
      </c>
      <c r="K738" s="49">
        <f t="shared" si="48"/>
        <v>9.0674009973989966E-9</v>
      </c>
      <c r="L738" s="17">
        <v>1.4137480483445423E-2</v>
      </c>
      <c r="M738" s="27"/>
      <c r="N738" s="49">
        <v>1.7716851741100714E-2</v>
      </c>
      <c r="O738" s="27">
        <v>3.0604283757954889E-2</v>
      </c>
      <c r="Q738" s="2"/>
      <c r="R738" s="24"/>
      <c r="S738" s="24"/>
      <c r="T738" s="24"/>
    </row>
    <row r="739" spans="1:20" x14ac:dyDescent="0.25">
      <c r="A739" s="2">
        <v>44336</v>
      </c>
      <c r="B739" s="20">
        <v>2286</v>
      </c>
      <c r="C739" s="20">
        <v>407</v>
      </c>
      <c r="D739" s="20">
        <v>15490</v>
      </c>
      <c r="E739" s="17">
        <f t="shared" si="46"/>
        <v>1.6000000000000014E-2</v>
      </c>
      <c r="F739" s="17">
        <f t="shared" si="46"/>
        <v>-1.927710843373498E-2</v>
      </c>
      <c r="G739" s="17">
        <f t="shared" si="46"/>
        <v>4.6268152651131267E-2</v>
      </c>
      <c r="H739" s="14">
        <f t="shared" si="47"/>
        <v>3.9033076092944624E-2</v>
      </c>
      <c r="I739" s="39"/>
      <c r="J739" s="47">
        <f t="shared" si="49"/>
        <v>32</v>
      </c>
      <c r="K739" s="49">
        <f t="shared" si="48"/>
        <v>8.8860529774510164E-9</v>
      </c>
      <c r="L739" s="17">
        <v>1.499337961694221E-2</v>
      </c>
      <c r="M739" s="27"/>
      <c r="N739" s="49">
        <v>2.8726229188801125E-5</v>
      </c>
      <c r="O739" s="27">
        <v>3.0727734450004679E-2</v>
      </c>
      <c r="Q739" s="2"/>
      <c r="R739" s="24"/>
      <c r="S739" s="24"/>
      <c r="T739" s="24"/>
    </row>
    <row r="740" spans="1:20" x14ac:dyDescent="0.25">
      <c r="A740" s="2">
        <v>44335</v>
      </c>
      <c r="B740" s="20">
        <v>2250</v>
      </c>
      <c r="C740" s="20">
        <v>415</v>
      </c>
      <c r="D740" s="20">
        <v>14805</v>
      </c>
      <c r="E740" s="17">
        <f t="shared" si="46"/>
        <v>-1.2291483757682187E-2</v>
      </c>
      <c r="F740" s="17">
        <f t="shared" si="46"/>
        <v>6.0606060606060996E-3</v>
      </c>
      <c r="G740" s="17">
        <f t="shared" si="46"/>
        <v>-1.7258546299369404E-2</v>
      </c>
      <c r="H740" s="14">
        <f t="shared" si="47"/>
        <v>-1.5519336914903172E-2</v>
      </c>
      <c r="I740" s="39"/>
      <c r="J740" s="47">
        <f t="shared" si="49"/>
        <v>31</v>
      </c>
      <c r="K740" s="49">
        <f t="shared" si="48"/>
        <v>8.7083319179019959E-9</v>
      </c>
      <c r="L740" s="17">
        <v>1.6658372856887104E-2</v>
      </c>
      <c r="M740" s="27"/>
      <c r="N740" s="49">
        <v>2.1649291137101066E-5</v>
      </c>
      <c r="O740" s="27">
        <v>3.1532186472184025E-2</v>
      </c>
      <c r="Q740" s="2"/>
      <c r="R740" s="24"/>
      <c r="S740" s="24"/>
      <c r="T740" s="24"/>
    </row>
    <row r="741" spans="1:20" x14ac:dyDescent="0.25">
      <c r="A741" s="2">
        <v>44334</v>
      </c>
      <c r="B741" s="20">
        <v>2278</v>
      </c>
      <c r="C741" s="29">
        <v>412.5</v>
      </c>
      <c r="D741" s="20">
        <v>15065</v>
      </c>
      <c r="E741" s="17">
        <f t="shared" si="46"/>
        <v>0</v>
      </c>
      <c r="F741" s="17">
        <f t="shared" si="46"/>
        <v>1.2135922330096527E-3</v>
      </c>
      <c r="G741" s="17">
        <f t="shared" si="46"/>
        <v>1.3293452974409981E-3</v>
      </c>
      <c r="H741" s="14">
        <f t="shared" si="47"/>
        <v>1.1329691062904042E-3</v>
      </c>
      <c r="I741" s="39"/>
      <c r="J741" s="47">
        <f t="shared" si="49"/>
        <v>30</v>
      </c>
      <c r="K741" s="49">
        <f t="shared" si="48"/>
        <v>8.5341652795439544E-9</v>
      </c>
      <c r="L741" s="17">
        <v>-3.952471347024842E-3</v>
      </c>
      <c r="M741" s="27"/>
      <c r="N741" s="49">
        <v>8.9046813355382693E-5</v>
      </c>
      <c r="O741" s="27">
        <v>3.2650167289972325E-2</v>
      </c>
      <c r="Q741" s="2"/>
      <c r="R741" s="24"/>
      <c r="S741" s="24"/>
      <c r="T741" s="24"/>
    </row>
    <row r="742" spans="1:20" x14ac:dyDescent="0.25">
      <c r="A742" s="2">
        <v>44333</v>
      </c>
      <c r="B742" s="20">
        <v>2278</v>
      </c>
      <c r="C742" s="20">
        <v>412</v>
      </c>
      <c r="D742" s="20">
        <v>15045</v>
      </c>
      <c r="E742" s="17">
        <f t="shared" si="46"/>
        <v>-2.6269702276707774E-3</v>
      </c>
      <c r="F742" s="17">
        <f t="shared" si="46"/>
        <v>-2.421307506053294E-3</v>
      </c>
      <c r="G742" s="17">
        <f t="shared" si="46"/>
        <v>3.0479452054794631E-2</v>
      </c>
      <c r="H742" s="14">
        <f t="shared" si="47"/>
        <v>2.4270089325097804E-2</v>
      </c>
      <c r="I742" s="39"/>
      <c r="J742" s="47">
        <f t="shared" si="49"/>
        <v>29</v>
      </c>
      <c r="K742" s="49">
        <f t="shared" si="48"/>
        <v>8.3634819739530767E-9</v>
      </c>
      <c r="L742" s="17">
        <v>1.4139896008660956E-2</v>
      </c>
      <c r="M742" s="27"/>
      <c r="N742" s="49">
        <v>1.2803291953436245E-5</v>
      </c>
      <c r="O742" s="27">
        <v>3.4414754225373038E-2</v>
      </c>
      <c r="Q742" s="2"/>
      <c r="R742" s="24"/>
      <c r="S742" s="24"/>
      <c r="T742" s="24"/>
    </row>
    <row r="743" spans="1:20" x14ac:dyDescent="0.25">
      <c r="A743" s="2">
        <v>44330</v>
      </c>
      <c r="B743" s="20">
        <v>2284</v>
      </c>
      <c r="C743" s="20">
        <v>413</v>
      </c>
      <c r="D743" s="20">
        <v>14600</v>
      </c>
      <c r="E743" s="17">
        <f t="shared" si="46"/>
        <v>1.0619469026548645E-2</v>
      </c>
      <c r="F743" s="17">
        <f t="shared" si="46"/>
        <v>-3.6188178528346882E-3</v>
      </c>
      <c r="G743" s="17">
        <f t="shared" si="46"/>
        <v>1.388888888888884E-2</v>
      </c>
      <c r="H743" s="14">
        <f t="shared" si="47"/>
        <v>1.2649276100013037E-2</v>
      </c>
      <c r="I743" s="39"/>
      <c r="J743" s="47">
        <f t="shared" si="49"/>
        <v>28</v>
      </c>
      <c r="K743" s="49">
        <f t="shared" si="48"/>
        <v>8.1962123344740152E-9</v>
      </c>
      <c r="L743" s="17">
        <v>-3.3103748139945693E-3</v>
      </c>
      <c r="M743" s="27"/>
      <c r="N743" s="49">
        <v>3.5856212865277061E-6</v>
      </c>
      <c r="O743" s="27">
        <v>3.4667227149487556E-2</v>
      </c>
      <c r="Q743" s="2"/>
      <c r="R743" s="24"/>
      <c r="S743" s="24"/>
      <c r="T743" s="24"/>
    </row>
    <row r="744" spans="1:20" x14ac:dyDescent="0.25">
      <c r="A744" s="2">
        <v>44329</v>
      </c>
      <c r="B744" s="20">
        <v>2260</v>
      </c>
      <c r="C744" s="29">
        <v>414.5</v>
      </c>
      <c r="D744" s="20">
        <v>14400</v>
      </c>
      <c r="E744" s="17">
        <f t="shared" si="46"/>
        <v>2.7272727272727337E-2</v>
      </c>
      <c r="F744" s="17">
        <f t="shared" si="46"/>
        <v>8.5158150851580849E-3</v>
      </c>
      <c r="G744" s="17">
        <f t="shared" si="46"/>
        <v>3.0042918454935563E-2</v>
      </c>
      <c r="H744" s="14">
        <f t="shared" si="47"/>
        <v>2.8698564012795014E-2</v>
      </c>
      <c r="I744" s="39"/>
      <c r="J744" s="47">
        <f t="shared" si="49"/>
        <v>27</v>
      </c>
      <c r="K744" s="49">
        <f t="shared" si="48"/>
        <v>8.0322880877845338E-9</v>
      </c>
      <c r="L744" s="17">
        <v>1.1129196887373495E-2</v>
      </c>
      <c r="M744" s="27"/>
      <c r="N744" s="49">
        <v>1.2547226114367517E-5</v>
      </c>
      <c r="O744" s="27">
        <v>3.4856212336642836E-2</v>
      </c>
      <c r="Q744" s="2"/>
      <c r="R744" s="24"/>
      <c r="S744" s="24"/>
      <c r="T744" s="24"/>
    </row>
    <row r="745" spans="1:20" x14ac:dyDescent="0.25">
      <c r="A745" s="2">
        <v>44328</v>
      </c>
      <c r="B745" s="20">
        <v>2200</v>
      </c>
      <c r="C745" s="20">
        <v>411</v>
      </c>
      <c r="D745" s="20">
        <v>13980</v>
      </c>
      <c r="E745" s="17">
        <f t="shared" si="46"/>
        <v>-3.6231884057971175E-3</v>
      </c>
      <c r="F745" s="17">
        <f t="shared" si="46"/>
        <v>-1.674641148325362E-2</v>
      </c>
      <c r="G745" s="17">
        <f t="shared" si="46"/>
        <v>-1.0615711252653925E-2</v>
      </c>
      <c r="H745" s="14">
        <f t="shared" si="47"/>
        <v>-9.8788306415663642E-3</v>
      </c>
      <c r="I745" s="39"/>
      <c r="J745" s="47">
        <f t="shared" si="49"/>
        <v>26</v>
      </c>
      <c r="K745" s="49">
        <f t="shared" si="48"/>
        <v>7.8716423260288438E-9</v>
      </c>
      <c r="L745" s="17">
        <v>-1.1586148995695853E-2</v>
      </c>
      <c r="M745" s="27"/>
      <c r="N745" s="49">
        <v>8.5431059338450967E-7</v>
      </c>
      <c r="O745" s="27">
        <v>3.5123025643334659E-2</v>
      </c>
      <c r="Q745" s="2"/>
      <c r="R745" s="24"/>
      <c r="S745" s="24"/>
      <c r="T745" s="24"/>
    </row>
    <row r="746" spans="1:20" x14ac:dyDescent="0.25">
      <c r="A746" s="2">
        <v>44327</v>
      </c>
      <c r="B746" s="20">
        <v>2208</v>
      </c>
      <c r="C746" s="20">
        <v>418</v>
      </c>
      <c r="D746" s="20">
        <v>14130</v>
      </c>
      <c r="E746" s="17">
        <f t="shared" si="46"/>
        <v>-1.6042780748663055E-2</v>
      </c>
      <c r="F746" s="17">
        <f t="shared" si="46"/>
        <v>0</v>
      </c>
      <c r="G746" s="17">
        <f t="shared" si="46"/>
        <v>1.4721723518851038E-2</v>
      </c>
      <c r="H746" s="14">
        <f t="shared" si="47"/>
        <v>9.6480001676206E-3</v>
      </c>
      <c r="I746" s="39"/>
      <c r="J746" s="47">
        <f t="shared" si="49"/>
        <v>25</v>
      </c>
      <c r="K746" s="49">
        <f t="shared" si="48"/>
        <v>7.7142094795082657E-9</v>
      </c>
      <c r="L746" s="17">
        <v>1.4994809674423125E-2</v>
      </c>
      <c r="M746" s="27"/>
      <c r="N746" s="49">
        <v>1.5057068089776565E-4</v>
      </c>
      <c r="O746" s="27">
        <v>3.5295231918023771E-2</v>
      </c>
      <c r="Q746" s="2"/>
      <c r="R746" s="24"/>
      <c r="S746" s="24"/>
      <c r="T746" s="24"/>
    </row>
    <row r="747" spans="1:20" x14ac:dyDescent="0.25">
      <c r="A747" s="2">
        <v>44326</v>
      </c>
      <c r="B747" s="20">
        <v>2244</v>
      </c>
      <c r="C747" s="20">
        <v>418</v>
      </c>
      <c r="D747" s="20">
        <v>13925</v>
      </c>
      <c r="E747" s="17">
        <f t="shared" ref="E747:G760" si="50">+B747/B748-1</f>
        <v>2.0928116469517644E-2</v>
      </c>
      <c r="F747" s="17">
        <f t="shared" si="50"/>
        <v>2.2004889975550057E-2</v>
      </c>
      <c r="G747" s="17">
        <f t="shared" si="50"/>
        <v>3.6036036036035668E-3</v>
      </c>
      <c r="H747" s="14">
        <f t="shared" si="47"/>
        <v>6.9049813560215015E-3</v>
      </c>
      <c r="I747" s="39"/>
      <c r="J747" s="47">
        <f t="shared" si="49"/>
        <v>24</v>
      </c>
      <c r="K747" s="49">
        <f t="shared" si="48"/>
        <v>7.5599252899181015E-9</v>
      </c>
      <c r="L747" s="17">
        <v>-8.1799298518411574E-3</v>
      </c>
      <c r="M747" s="27"/>
      <c r="N747" s="49">
        <v>1.9958165173925948E-6</v>
      </c>
      <c r="O747" s="27">
        <v>3.564980259028741E-2</v>
      </c>
      <c r="Q747" s="2"/>
      <c r="R747" s="24"/>
      <c r="S747" s="24"/>
      <c r="T747" s="24"/>
    </row>
    <row r="748" spans="1:20" x14ac:dyDescent="0.25">
      <c r="A748" s="2">
        <v>44323</v>
      </c>
      <c r="B748" s="20">
        <v>2198</v>
      </c>
      <c r="C748" s="20">
        <v>409</v>
      </c>
      <c r="D748" s="20">
        <v>13875</v>
      </c>
      <c r="E748" s="17">
        <f t="shared" si="50"/>
        <v>2.0427112349117982E-2</v>
      </c>
      <c r="F748" s="17">
        <f t="shared" si="50"/>
        <v>-3.6540803897685548E-3</v>
      </c>
      <c r="G748" s="17">
        <f t="shared" si="50"/>
        <v>-2.4947294448348534E-2</v>
      </c>
      <c r="H748" s="14">
        <f t="shared" si="47"/>
        <v>-1.7482528074385623E-2</v>
      </c>
      <c r="I748" s="39"/>
      <c r="J748" s="47">
        <f t="shared" si="49"/>
        <v>23</v>
      </c>
      <c r="K748" s="49">
        <f t="shared" si="48"/>
        <v>7.4087267841197379E-9</v>
      </c>
      <c r="L748" s="17">
        <v>4.8888038136080149E-3</v>
      </c>
      <c r="M748" s="27"/>
      <c r="N748" s="49">
        <v>9.6490978050576779E-6</v>
      </c>
      <c r="O748" s="27">
        <v>3.600576179311997E-2</v>
      </c>
      <c r="Q748" s="2"/>
      <c r="R748" s="24"/>
      <c r="S748" s="24"/>
      <c r="T748" s="24"/>
    </row>
    <row r="749" spans="1:20" x14ac:dyDescent="0.25">
      <c r="A749" s="2">
        <v>44322</v>
      </c>
      <c r="B749" s="20">
        <v>2154</v>
      </c>
      <c r="C749" s="87">
        <v>410.5</v>
      </c>
      <c r="D749" s="20">
        <v>14230</v>
      </c>
      <c r="E749" s="17">
        <f t="shared" si="50"/>
        <v>-2.7777777777777679E-3</v>
      </c>
      <c r="F749" s="17">
        <f t="shared" si="50"/>
        <v>1.2195121951219523E-3</v>
      </c>
      <c r="G749" s="17">
        <f t="shared" si="50"/>
        <v>8.1473609635140942E-3</v>
      </c>
      <c r="H749" s="14">
        <f t="shared" si="47"/>
        <v>6.2708947909711401E-3</v>
      </c>
      <c r="I749" s="39"/>
      <c r="J749" s="47">
        <f t="shared" si="49"/>
        <v>22</v>
      </c>
      <c r="K749" s="49">
        <f t="shared" si="48"/>
        <v>7.2605522484373425E-9</v>
      </c>
      <c r="L749" s="17">
        <v>3.9033076092944624E-2</v>
      </c>
      <c r="M749" s="27"/>
      <c r="N749" s="49">
        <v>8.2090956138181398E-6</v>
      </c>
      <c r="O749" s="27">
        <v>3.6451962753594469E-2</v>
      </c>
      <c r="Q749" s="2"/>
      <c r="R749" s="24"/>
      <c r="S749" s="24"/>
      <c r="T749" s="24"/>
    </row>
    <row r="750" spans="1:20" x14ac:dyDescent="0.25">
      <c r="A750" s="2">
        <v>44321</v>
      </c>
      <c r="B750" s="20">
        <v>2160</v>
      </c>
      <c r="C750" s="20">
        <v>410</v>
      </c>
      <c r="D750" s="20">
        <v>14115</v>
      </c>
      <c r="E750" s="17">
        <f t="shared" si="50"/>
        <v>9.3457943925232545E-3</v>
      </c>
      <c r="F750" s="17">
        <f t="shared" si="50"/>
        <v>-2.4330900243308973E-3</v>
      </c>
      <c r="G750" s="17">
        <f t="shared" si="50"/>
        <v>1.6930835734870309E-2</v>
      </c>
      <c r="H750" s="14">
        <f t="shared" si="47"/>
        <v>1.4988663704381358E-2</v>
      </c>
      <c r="I750" s="39"/>
      <c r="J750" s="47">
        <f t="shared" si="49"/>
        <v>21</v>
      </c>
      <c r="K750" s="49">
        <f t="shared" si="48"/>
        <v>7.1153412034685957E-9</v>
      </c>
      <c r="L750" s="17">
        <v>-1.5519336914903172E-2</v>
      </c>
      <c r="M750" s="27"/>
      <c r="N750" s="49">
        <v>8.552055954650953E-5</v>
      </c>
      <c r="O750" s="27">
        <v>3.6603528715642805E-2</v>
      </c>
      <c r="Q750" s="2"/>
    </row>
    <row r="751" spans="1:20" x14ac:dyDescent="0.25">
      <c r="A751" s="2">
        <v>44320</v>
      </c>
      <c r="B751" s="20">
        <v>2140</v>
      </c>
      <c r="C751" s="20">
        <v>411</v>
      </c>
      <c r="D751" s="20">
        <v>13880</v>
      </c>
      <c r="E751" s="17">
        <f t="shared" si="50"/>
        <v>3.5818005808325282E-2</v>
      </c>
      <c r="F751" s="17">
        <f t="shared" si="50"/>
        <v>-9.6385542168674343E-3</v>
      </c>
      <c r="G751" s="17">
        <f t="shared" si="50"/>
        <v>2.7767493520918229E-2</v>
      </c>
      <c r="H751" s="14">
        <f t="shared" si="47"/>
        <v>2.7282630086112442E-2</v>
      </c>
      <c r="I751" s="39"/>
      <c r="J751" s="47">
        <f t="shared" si="49"/>
        <v>20</v>
      </c>
      <c r="K751" s="49">
        <f t="shared" si="48"/>
        <v>6.9730343793992224E-9</v>
      </c>
      <c r="L751" s="17">
        <v>1.1329691062904042E-3</v>
      </c>
      <c r="M751" s="27"/>
      <c r="N751" s="49">
        <v>1.9548764607123676E-7</v>
      </c>
      <c r="O751" s="27">
        <v>3.7251966868216073E-2</v>
      </c>
      <c r="Q751" s="2"/>
    </row>
    <row r="752" spans="1:20" x14ac:dyDescent="0.25">
      <c r="A752" s="2">
        <v>44319</v>
      </c>
      <c r="B752" s="20">
        <v>2066</v>
      </c>
      <c r="C752" s="20">
        <v>415</v>
      </c>
      <c r="D752" s="20">
        <v>13505</v>
      </c>
      <c r="E752" s="17">
        <f t="shared" si="50"/>
        <v>-1.9323671497584183E-3</v>
      </c>
      <c r="F752" s="17">
        <f t="shared" si="50"/>
        <v>0</v>
      </c>
      <c r="G752" s="17">
        <f t="shared" si="50"/>
        <v>2.5983667409057443E-3</v>
      </c>
      <c r="H752" s="14">
        <f t="shared" si="47"/>
        <v>1.8322491211925473E-3</v>
      </c>
      <c r="I752" s="39"/>
      <c r="J752" s="47">
        <f t="shared" si="49"/>
        <v>19</v>
      </c>
      <c r="K752" s="49">
        <f t="shared" si="48"/>
        <v>6.8335736918112386E-9</v>
      </c>
      <c r="L752" s="17">
        <v>2.4270089325097804E-2</v>
      </c>
      <c r="M752" s="27"/>
      <c r="N752" s="49">
        <v>4.6601303257355488E-7</v>
      </c>
      <c r="O752" s="27">
        <v>3.7569538262642102E-2</v>
      </c>
      <c r="Q752" s="2"/>
    </row>
    <row r="753" spans="1:17" x14ac:dyDescent="0.25">
      <c r="A753" s="2">
        <v>44316</v>
      </c>
      <c r="B753" s="20">
        <v>2070</v>
      </c>
      <c r="C753" s="20">
        <v>415</v>
      </c>
      <c r="D753" s="20">
        <v>13470</v>
      </c>
      <c r="E753" s="17">
        <f t="shared" si="50"/>
        <v>-1.9886363636363646E-2</v>
      </c>
      <c r="F753" s="17">
        <f t="shared" si="50"/>
        <v>-2.4038461538461453E-3</v>
      </c>
      <c r="G753" s="17">
        <f t="shared" si="50"/>
        <v>-2.9607698001480331E-3</v>
      </c>
      <c r="H753" s="14">
        <f t="shared" si="47"/>
        <v>-5.3718723771471666E-3</v>
      </c>
      <c r="I753" s="39"/>
      <c r="J753" s="47">
        <f t="shared" si="49"/>
        <v>18</v>
      </c>
      <c r="K753" s="49">
        <f t="shared" si="48"/>
        <v>6.6969022179750142E-9</v>
      </c>
      <c r="L753" s="17">
        <v>1.2649276100013037E-2</v>
      </c>
      <c r="M753" s="27"/>
      <c r="N753" s="49">
        <v>1.387362575147632E-6</v>
      </c>
      <c r="O753" s="27">
        <v>3.7777112244409855E-2</v>
      </c>
      <c r="Q753" s="2"/>
    </row>
    <row r="754" spans="1:17" x14ac:dyDescent="0.25">
      <c r="A754" s="2">
        <v>44315</v>
      </c>
      <c r="B754" s="20">
        <v>2112</v>
      </c>
      <c r="C754" s="20">
        <v>416</v>
      </c>
      <c r="D754" s="20">
        <v>13510</v>
      </c>
      <c r="E754" s="17">
        <f t="shared" si="50"/>
        <v>3.8022813688212143E-3</v>
      </c>
      <c r="F754" s="17">
        <f t="shared" si="50"/>
        <v>-9.52380952380949E-3</v>
      </c>
      <c r="G754" s="17">
        <f t="shared" si="50"/>
        <v>8.208955223880654E-3</v>
      </c>
      <c r="H754" s="14">
        <f t="shared" si="47"/>
        <v>6.7958059343371357E-3</v>
      </c>
      <c r="I754" s="39"/>
      <c r="J754" s="47">
        <f t="shared" si="49"/>
        <v>17</v>
      </c>
      <c r="K754" s="49">
        <f t="shared" si="48"/>
        <v>6.5629641736155134E-9</v>
      </c>
      <c r="L754" s="17">
        <v>2.8698564012795014E-2</v>
      </c>
      <c r="M754" s="27"/>
      <c r="N754" s="49">
        <v>2.8756323670937299E-3</v>
      </c>
      <c r="O754" s="27">
        <v>3.812539033500198E-2</v>
      </c>
    </row>
    <row r="755" spans="1:17" x14ac:dyDescent="0.25">
      <c r="A755" s="2">
        <v>44314</v>
      </c>
      <c r="B755" s="20">
        <v>2104</v>
      </c>
      <c r="C755" s="20">
        <v>420</v>
      </c>
      <c r="D755" s="20">
        <v>13400</v>
      </c>
      <c r="E755" s="17">
        <f t="shared" si="50"/>
        <v>2.3346303501945442E-2</v>
      </c>
      <c r="F755" s="17">
        <f t="shared" si="50"/>
        <v>0</v>
      </c>
      <c r="G755" s="17">
        <f t="shared" si="50"/>
        <v>7.468259895444529E-4</v>
      </c>
      <c r="H755" s="14">
        <f t="shared" si="47"/>
        <v>3.9660497244799371E-3</v>
      </c>
      <c r="I755" s="39"/>
      <c r="J755" s="47">
        <f t="shared" si="49"/>
        <v>16</v>
      </c>
      <c r="K755" s="49">
        <f t="shared" si="48"/>
        <v>6.431704890143202E-9</v>
      </c>
      <c r="L755" s="17">
        <v>-9.8788306415663642E-3</v>
      </c>
      <c r="M755" s="27"/>
      <c r="N755" s="49">
        <v>1.0241268192047545E-7</v>
      </c>
      <c r="O755" s="27">
        <v>3.8437417970887684E-2</v>
      </c>
    </row>
    <row r="756" spans="1:17" x14ac:dyDescent="0.25">
      <c r="A756" s="2">
        <v>44313</v>
      </c>
      <c r="B756" s="20">
        <v>2056</v>
      </c>
      <c r="C756" s="20">
        <v>420</v>
      </c>
      <c r="D756" s="20">
        <v>13390</v>
      </c>
      <c r="E756" s="17">
        <f t="shared" si="50"/>
        <v>-1.9417475728155109E-3</v>
      </c>
      <c r="F756" s="17">
        <f t="shared" si="50"/>
        <v>2.3866348448686736E-3</v>
      </c>
      <c r="G756" s="17">
        <f t="shared" si="50"/>
        <v>1.1214953271028172E-3</v>
      </c>
      <c r="H756" s="14">
        <f t="shared" si="47"/>
        <v>7.3627900641032979E-4</v>
      </c>
      <c r="I756" s="39"/>
      <c r="J756" s="47">
        <f t="shared" si="49"/>
        <v>15</v>
      </c>
      <c r="K756" s="49">
        <f t="shared" si="48"/>
        <v>6.3030707923403386E-9</v>
      </c>
      <c r="L756" s="17">
        <v>9.6480001676206E-3</v>
      </c>
      <c r="M756" s="27"/>
      <c r="N756" s="49">
        <v>7.2605522484373425E-9</v>
      </c>
      <c r="O756" s="27">
        <v>3.9033076092944624E-2</v>
      </c>
    </row>
    <row r="757" spans="1:17" x14ac:dyDescent="0.25">
      <c r="A757" s="2">
        <v>44312</v>
      </c>
      <c r="B757" s="20">
        <v>2060</v>
      </c>
      <c r="C757" s="20">
        <v>419</v>
      </c>
      <c r="D757" s="20">
        <v>13375</v>
      </c>
      <c r="E757" s="17">
        <f t="shared" si="50"/>
        <v>1.7786561264822032E-2</v>
      </c>
      <c r="F757" s="17">
        <f t="shared" si="50"/>
        <v>9.6385542168675453E-3</v>
      </c>
      <c r="G757" s="17">
        <f t="shared" si="50"/>
        <v>1.325757575757569E-2</v>
      </c>
      <c r="H757" s="14">
        <f t="shared" si="47"/>
        <v>1.3750299747252684E-2</v>
      </c>
      <c r="I757" s="39"/>
      <c r="J757" s="47">
        <f t="shared" si="49"/>
        <v>14</v>
      </c>
      <c r="K757" s="49">
        <f t="shared" si="48"/>
        <v>6.1770093764935306E-9</v>
      </c>
      <c r="L757" s="17">
        <v>6.9049813560215015E-3</v>
      </c>
      <c r="M757" s="27"/>
      <c r="N757" s="49">
        <v>5.9417246934074219E-6</v>
      </c>
      <c r="O757" s="27">
        <v>3.9595990719054175E-2</v>
      </c>
    </row>
    <row r="758" spans="1:17" x14ac:dyDescent="0.25">
      <c r="A758" s="2">
        <v>44309</v>
      </c>
      <c r="B758" s="20">
        <v>2024</v>
      </c>
      <c r="C758" s="20">
        <v>415</v>
      </c>
      <c r="D758" s="20">
        <v>13200</v>
      </c>
      <c r="E758" s="17">
        <f t="shared" si="50"/>
        <v>-1.0752688172043001E-2</v>
      </c>
      <c r="F758" s="17">
        <f t="shared" si="50"/>
        <v>2.4154589371980784E-3</v>
      </c>
      <c r="G758" s="17">
        <f t="shared" si="50"/>
        <v>5.7142857142857828E-3</v>
      </c>
      <c r="H758" s="14">
        <f t="shared" si="47"/>
        <v>3.1997872426038944E-3</v>
      </c>
      <c r="I758" s="39"/>
      <c r="J758" s="47">
        <f t="shared" si="49"/>
        <v>13</v>
      </c>
      <c r="K758" s="49">
        <f t="shared" si="48"/>
        <v>6.0534691889636607E-9</v>
      </c>
      <c r="L758" s="17">
        <v>-1.7482528074385623E-2</v>
      </c>
      <c r="M758" s="27"/>
      <c r="N758" s="49">
        <v>3.664548339695599E-3</v>
      </c>
      <c r="O758" s="27">
        <v>3.9604484109882043E-2</v>
      </c>
    </row>
    <row r="759" spans="1:17" x14ac:dyDescent="0.25">
      <c r="A759" s="2">
        <v>44308</v>
      </c>
      <c r="B759" s="20">
        <v>2046</v>
      </c>
      <c r="C759" s="20">
        <v>414</v>
      </c>
      <c r="D759" s="20">
        <v>13125</v>
      </c>
      <c r="E759" s="17">
        <f t="shared" si="50"/>
        <v>0</v>
      </c>
      <c r="F759" s="17">
        <f t="shared" si="50"/>
        <v>0</v>
      </c>
      <c r="G759" s="17">
        <f t="shared" si="50"/>
        <v>3.8109756097570724E-4</v>
      </c>
      <c r="H759" s="14">
        <f t="shared" si="47"/>
        <v>3.0951579200604805E-4</v>
      </c>
      <c r="I759" s="39"/>
      <c r="J759" s="47">
        <f t="shared" si="49"/>
        <v>12</v>
      </c>
      <c r="K759" s="49">
        <f t="shared" si="48"/>
        <v>5.9323998051843874E-9</v>
      </c>
      <c r="L759" s="17">
        <v>6.2708947909711401E-3</v>
      </c>
      <c r="M759" s="27"/>
      <c r="N759" s="49">
        <v>2.540697510878047E-8</v>
      </c>
      <c r="O759" s="27">
        <v>4.1940723254592298E-2</v>
      </c>
    </row>
    <row r="760" spans="1:17" x14ac:dyDescent="0.25">
      <c r="A760" s="2">
        <v>44307</v>
      </c>
      <c r="B760" s="20">
        <v>2046</v>
      </c>
      <c r="C760" s="20">
        <v>414</v>
      </c>
      <c r="D760" s="20">
        <v>13120</v>
      </c>
      <c r="E760" s="17">
        <f t="shared" si="50"/>
        <v>9.7847358121327943E-4</v>
      </c>
      <c r="F760" s="17">
        <f t="shared" si="50"/>
        <v>-9.5693779904306719E-3</v>
      </c>
      <c r="G760" s="17">
        <f t="shared" si="50"/>
        <v>-3.418154196733747E-3</v>
      </c>
      <c r="H760" s="14">
        <f t="shared" si="47"/>
        <v>-3.0557209022366084E-3</v>
      </c>
      <c r="I760" s="39"/>
      <c r="J760" s="47">
        <f t="shared" si="49"/>
        <v>11</v>
      </c>
      <c r="K760" s="49">
        <f t="shared" si="48"/>
        <v>5.8137518090807005E-9</v>
      </c>
      <c r="L760" s="17">
        <v>1.4988663704381358E-2</v>
      </c>
      <c r="M760" s="27"/>
      <c r="N760" s="49">
        <v>4.7552350262607637E-7</v>
      </c>
      <c r="O760" s="27">
        <v>4.4580650661009781E-2</v>
      </c>
    </row>
    <row r="761" spans="1:17" x14ac:dyDescent="0.25">
      <c r="A761" s="2">
        <v>44306</v>
      </c>
      <c r="B761" s="20">
        <v>2044</v>
      </c>
      <c r="C761" s="20">
        <v>418</v>
      </c>
      <c r="D761" s="20">
        <v>13165</v>
      </c>
      <c r="E761" s="17"/>
      <c r="F761" s="17"/>
      <c r="G761" s="17"/>
      <c r="H761" s="14"/>
      <c r="I761" s="39"/>
      <c r="J761" s="47">
        <f t="shared" si="49"/>
        <v>10</v>
      </c>
      <c r="K761" s="49">
        <f t="shared" si="48"/>
        <v>5.6974767728990852E-9</v>
      </c>
      <c r="L761" s="17">
        <v>2.7282630086112442E-2</v>
      </c>
      <c r="M761" s="27"/>
      <c r="N761" s="49">
        <v>1.0669128823100819E-6</v>
      </c>
      <c r="O761" s="27">
        <v>4.4820761471809883E-2</v>
      </c>
    </row>
    <row r="762" spans="1:17" x14ac:dyDescent="0.25">
      <c r="A762" s="2"/>
      <c r="B762" s="31"/>
      <c r="C762" s="31"/>
      <c r="D762" s="31"/>
      <c r="E762" s="17"/>
      <c r="F762" s="17"/>
      <c r="G762" s="17"/>
      <c r="H762" s="14"/>
      <c r="I762" s="39"/>
      <c r="J762" s="47">
        <f t="shared" si="49"/>
        <v>9</v>
      </c>
      <c r="K762" s="49">
        <f t="shared" si="48"/>
        <v>5.5835272374411033E-9</v>
      </c>
      <c r="L762" s="17">
        <v>1.8322491211925473E-3</v>
      </c>
      <c r="M762" s="27"/>
      <c r="N762" s="49">
        <v>1.0046957314720615E-5</v>
      </c>
      <c r="O762" s="27">
        <v>4.6076286626877107E-2</v>
      </c>
    </row>
    <row r="763" spans="1:17" x14ac:dyDescent="0.25">
      <c r="A763" s="2"/>
      <c r="B763" s="31"/>
      <c r="C763" s="31"/>
      <c r="D763" s="31"/>
      <c r="E763" s="17"/>
      <c r="F763" s="17"/>
      <c r="G763" s="17"/>
      <c r="H763" s="14"/>
      <c r="I763" s="39"/>
      <c r="J763" s="47">
        <f t="shared" si="49"/>
        <v>8</v>
      </c>
      <c r="K763" s="49">
        <f t="shared" si="48"/>
        <v>5.4718566926922811E-9</v>
      </c>
      <c r="L763" s="17">
        <v>-5.3718723771471666E-3</v>
      </c>
      <c r="M763" s="27"/>
      <c r="N763" s="49">
        <v>1.4171592029552988E-4</v>
      </c>
      <c r="O763" s="27">
        <v>4.8432833685325159E-2</v>
      </c>
    </row>
    <row r="764" spans="1:17" x14ac:dyDescent="0.25">
      <c r="A764" s="2"/>
      <c r="B764" s="31"/>
      <c r="C764" s="31"/>
      <c r="D764" s="31"/>
      <c r="E764" s="17"/>
      <c r="F764" s="17"/>
      <c r="G764" s="17"/>
      <c r="H764" s="14"/>
      <c r="I764" s="39"/>
      <c r="J764" s="47">
        <f t="shared" si="49"/>
        <v>7</v>
      </c>
      <c r="K764" s="49">
        <f t="shared" si="48"/>
        <v>5.3624195588384356E-9</v>
      </c>
      <c r="L764" s="17">
        <v>6.7958059343371357E-3</v>
      </c>
      <c r="M764" s="27"/>
      <c r="N764" s="49">
        <v>3.733466562398695E-6</v>
      </c>
      <c r="O764" s="27">
        <v>4.9135603843524951E-2</v>
      </c>
    </row>
    <row r="765" spans="1:17" x14ac:dyDescent="0.25">
      <c r="A765" s="2"/>
      <c r="B765" s="31"/>
      <c r="C765" s="31"/>
      <c r="D765" s="31"/>
      <c r="E765" s="17"/>
      <c r="F765" s="17"/>
      <c r="G765" s="17"/>
      <c r="H765" s="14"/>
      <c r="I765" s="39"/>
      <c r="J765" s="47">
        <f t="shared" si="49"/>
        <v>6</v>
      </c>
      <c r="K765" s="49">
        <f t="shared" si="48"/>
        <v>5.2551711676616673E-9</v>
      </c>
      <c r="L765" s="17">
        <v>3.9660497244799371E-3</v>
      </c>
      <c r="M765" s="27"/>
      <c r="N765" s="49">
        <v>1.2044048753565802E-6</v>
      </c>
      <c r="O765" s="27">
        <v>5.378717406696449E-2</v>
      </c>
    </row>
    <row r="766" spans="1:17" x14ac:dyDescent="0.25">
      <c r="A766" s="2"/>
      <c r="B766" s="31"/>
      <c r="C766" s="31"/>
      <c r="D766" s="31"/>
      <c r="E766" s="17"/>
      <c r="F766" s="17"/>
      <c r="G766" s="17"/>
      <c r="H766" s="14"/>
      <c r="I766" s="39"/>
      <c r="J766" s="47">
        <f t="shared" si="49"/>
        <v>5</v>
      </c>
      <c r="K766" s="49">
        <f t="shared" si="48"/>
        <v>5.1500677443084331E-9</v>
      </c>
      <c r="L766" s="17">
        <v>7.3627900641032979E-4</v>
      </c>
      <c r="M766" s="27"/>
      <c r="N766" s="49">
        <v>4.4755891648364205E-7</v>
      </c>
      <c r="O766" s="27">
        <v>7.2083777028452936E-2</v>
      </c>
    </row>
    <row r="767" spans="1:17" x14ac:dyDescent="0.25">
      <c r="A767" s="2"/>
      <c r="B767" s="31"/>
      <c r="C767" s="31"/>
      <c r="D767" s="31"/>
      <c r="E767" s="17"/>
      <c r="F767" s="17"/>
      <c r="G767" s="17"/>
      <c r="H767" s="14"/>
      <c r="I767" s="39"/>
      <c r="J767" s="47">
        <f t="shared" si="49"/>
        <v>4</v>
      </c>
      <c r="K767" s="49">
        <f t="shared" si="48"/>
        <v>5.0470663894222643E-9</v>
      </c>
      <c r="L767" s="17">
        <v>1.3750299747252684E-2</v>
      </c>
      <c r="M767" s="27"/>
      <c r="N767" s="49">
        <v>4.1281409428861057E-7</v>
      </c>
      <c r="O767" s="27">
        <v>7.3571221882359358E-2</v>
      </c>
    </row>
    <row r="768" spans="1:17" x14ac:dyDescent="0.25">
      <c r="A768" s="2"/>
      <c r="B768" s="31"/>
      <c r="C768" s="31"/>
      <c r="D768" s="31"/>
      <c r="E768" s="17"/>
      <c r="F768" s="17"/>
      <c r="G768" s="17"/>
      <c r="H768" s="14"/>
      <c r="I768" s="39"/>
      <c r="J768" s="47">
        <f t="shared" si="49"/>
        <v>3</v>
      </c>
      <c r="K768" s="49">
        <f t="shared" si="48"/>
        <v>4.9461250616338199E-9</v>
      </c>
      <c r="L768" s="17">
        <v>3.1997872426038944E-3</v>
      </c>
      <c r="M768" s="27"/>
      <c r="N768" s="49">
        <v>4.3860773815396918E-7</v>
      </c>
      <c r="O768" s="27">
        <v>8.2142827715440347E-2</v>
      </c>
    </row>
    <row r="769" spans="1:15" x14ac:dyDescent="0.25">
      <c r="A769" s="2"/>
      <c r="B769" s="31"/>
      <c r="C769" s="31"/>
      <c r="D769" s="31"/>
      <c r="E769" s="17"/>
      <c r="F769" s="17"/>
      <c r="G769" s="17"/>
      <c r="H769" s="14"/>
      <c r="I769" s="39"/>
      <c r="J769" s="47">
        <f t="shared" si="49"/>
        <v>2</v>
      </c>
      <c r="K769" s="49">
        <f t="shared" si="48"/>
        <v>4.8472025604011423E-9</v>
      </c>
      <c r="L769" s="17">
        <v>3.0951579200604805E-4</v>
      </c>
      <c r="M769" s="27"/>
      <c r="N769" s="49">
        <v>5.7034456249832339E-7</v>
      </c>
      <c r="O769" s="27">
        <v>8.3713769791436424E-2</v>
      </c>
    </row>
    <row r="770" spans="1:15" x14ac:dyDescent="0.25">
      <c r="A770" s="2"/>
      <c r="B770" s="31"/>
      <c r="C770" s="31"/>
      <c r="D770" s="31"/>
      <c r="E770" s="17"/>
      <c r="F770" s="17"/>
      <c r="G770" s="17"/>
      <c r="H770" s="14"/>
      <c r="I770" s="39"/>
      <c r="J770" s="47">
        <f t="shared" si="49"/>
        <v>1</v>
      </c>
      <c r="K770" s="49">
        <f t="shared" si="48"/>
        <v>4.7502585091931191E-9</v>
      </c>
      <c r="L770" s="17">
        <v>-3.0557209022366084E-3</v>
      </c>
      <c r="M770" s="27"/>
      <c r="N770" s="49">
        <v>3.807665765710522E-7</v>
      </c>
      <c r="O770" s="27">
        <v>0.11600161562363188</v>
      </c>
    </row>
    <row r="771" spans="1:15" x14ac:dyDescent="0.25">
      <c r="A771" s="2"/>
      <c r="B771" s="31"/>
      <c r="C771" s="31"/>
      <c r="D771" s="31"/>
      <c r="E771" s="17"/>
      <c r="F771" s="17"/>
      <c r="G771" s="17"/>
      <c r="H771" s="14"/>
      <c r="I771" s="39"/>
      <c r="J771" s="47"/>
      <c r="K771" s="49"/>
      <c r="L771" s="17"/>
      <c r="M771" s="27"/>
      <c r="N771" s="49"/>
      <c r="O771" s="27"/>
    </row>
    <row r="772" spans="1:15" x14ac:dyDescent="0.25">
      <c r="A772" s="2"/>
      <c r="B772" s="31"/>
      <c r="C772" s="31"/>
      <c r="D772" s="31"/>
      <c r="E772" s="17"/>
      <c r="F772" s="17"/>
      <c r="G772" s="17"/>
      <c r="H772" s="14"/>
      <c r="I772" s="39"/>
      <c r="J772" s="47"/>
      <c r="K772" s="49"/>
      <c r="L772" s="17"/>
      <c r="M772" s="27"/>
      <c r="N772" s="49"/>
      <c r="O772" s="27"/>
    </row>
    <row r="773" spans="1:15" x14ac:dyDescent="0.25">
      <c r="A773" s="2"/>
      <c r="B773" s="31"/>
      <c r="C773" s="31"/>
      <c r="D773" s="31"/>
      <c r="E773" s="17"/>
      <c r="F773" s="17"/>
      <c r="G773" s="17"/>
      <c r="H773" s="14"/>
      <c r="I773" s="39"/>
      <c r="J773" s="47"/>
      <c r="K773" s="49"/>
      <c r="L773" s="17"/>
      <c r="M773" s="27"/>
      <c r="N773" s="49"/>
      <c r="O773" s="27"/>
    </row>
    <row r="774" spans="1:15" x14ac:dyDescent="0.25">
      <c r="A774" s="2"/>
      <c r="B774" s="31"/>
      <c r="C774" s="31"/>
      <c r="D774" s="31"/>
      <c r="E774" s="17"/>
      <c r="F774" s="17"/>
      <c r="G774" s="17"/>
      <c r="H774" s="14"/>
      <c r="I774" s="39"/>
      <c r="J774" s="47"/>
      <c r="K774" s="49"/>
      <c r="L774" s="17"/>
      <c r="M774" s="27"/>
      <c r="N774" s="49"/>
      <c r="O774" s="27"/>
    </row>
    <row r="775" spans="1:15" x14ac:dyDescent="0.25">
      <c r="A775" s="2"/>
      <c r="E775" s="1"/>
      <c r="F775" s="1"/>
      <c r="G775" s="1"/>
      <c r="I775" s="39"/>
      <c r="J775" s="47"/>
      <c r="K775" s="49"/>
      <c r="L775" s="17"/>
      <c r="M775" s="27"/>
      <c r="N775" s="49"/>
      <c r="O775" s="27"/>
    </row>
    <row r="776" spans="1:15" x14ac:dyDescent="0.25">
      <c r="A776" s="2"/>
      <c r="E776" s="1"/>
      <c r="F776" s="1"/>
      <c r="G776" s="1"/>
      <c r="I776" s="39"/>
      <c r="J776" s="47"/>
      <c r="K776" s="49"/>
      <c r="L776" s="17"/>
      <c r="M776" s="27"/>
      <c r="N776" s="49"/>
      <c r="O776" s="27"/>
    </row>
    <row r="777" spans="1:15" x14ac:dyDescent="0.25">
      <c r="A777" s="2"/>
      <c r="E777" s="1"/>
      <c r="F777" s="1"/>
      <c r="G777" s="1"/>
      <c r="I777" s="39"/>
      <c r="J777" s="47"/>
      <c r="K777" s="49"/>
      <c r="L777" s="17"/>
      <c r="M777" s="27"/>
      <c r="N777" s="49"/>
      <c r="O777" s="27"/>
    </row>
    <row r="778" spans="1:15" x14ac:dyDescent="0.25">
      <c r="A778" s="2"/>
      <c r="E778" s="1"/>
      <c r="F778" s="1"/>
      <c r="G778" s="1"/>
      <c r="I778" s="39"/>
      <c r="J778" s="47"/>
      <c r="K778" s="49"/>
      <c r="L778" s="17"/>
      <c r="M778" s="27"/>
      <c r="N778" s="49"/>
      <c r="O778" s="27"/>
    </row>
    <row r="779" spans="1:15" x14ac:dyDescent="0.25">
      <c r="A779" s="2"/>
      <c r="E779" s="1"/>
      <c r="F779" s="1"/>
      <c r="G779" s="1"/>
      <c r="I779" s="39"/>
      <c r="J779" s="47"/>
      <c r="K779" s="49"/>
      <c r="L779" s="17"/>
      <c r="M779" s="27"/>
      <c r="N779" s="49"/>
      <c r="O779" s="27"/>
    </row>
    <row r="780" spans="1:15" x14ac:dyDescent="0.25">
      <c r="A780" s="2"/>
      <c r="E780" s="1"/>
      <c r="F780" s="1"/>
      <c r="G780" s="1"/>
      <c r="I780" s="39"/>
      <c r="J780" s="47"/>
      <c r="K780" s="49"/>
      <c r="L780" s="17"/>
      <c r="M780" s="27"/>
      <c r="N780" s="49"/>
      <c r="O780" s="27"/>
    </row>
    <row r="781" spans="1:15" x14ac:dyDescent="0.25">
      <c r="A781" s="2"/>
      <c r="E781" s="1"/>
      <c r="F781" s="1"/>
      <c r="G781" s="1"/>
      <c r="I781" s="39"/>
      <c r="J781" s="47"/>
      <c r="K781" s="49"/>
      <c r="L781" s="17"/>
      <c r="M781" s="27"/>
      <c r="N781" s="49"/>
      <c r="O781" s="27"/>
    </row>
    <row r="782" spans="1:15" x14ac:dyDescent="0.25">
      <c r="A782" s="2"/>
      <c r="E782" s="1"/>
      <c r="F782" s="1"/>
      <c r="G782" s="1"/>
      <c r="I782" s="39"/>
      <c r="J782" s="47"/>
      <c r="K782" s="49"/>
      <c r="L782" s="17"/>
      <c r="M782" s="27"/>
      <c r="N782" s="49"/>
      <c r="O782" s="27"/>
    </row>
    <row r="783" spans="1:15" x14ac:dyDescent="0.25">
      <c r="A783" s="2"/>
      <c r="E783" s="1"/>
      <c r="F783" s="1"/>
      <c r="G783" s="1"/>
      <c r="I783" s="39"/>
      <c r="J783" s="47"/>
      <c r="K783" s="49"/>
      <c r="L783" s="17"/>
      <c r="M783" s="27"/>
      <c r="N783" s="49"/>
      <c r="O783" s="27"/>
    </row>
    <row r="784" spans="1:15" x14ac:dyDescent="0.25">
      <c r="A784" s="2"/>
      <c r="E784" s="1"/>
      <c r="F784" s="1"/>
      <c r="G784" s="1"/>
      <c r="J784" s="47"/>
    </row>
    <row r="785" spans="1:10" x14ac:dyDescent="0.25">
      <c r="A785" s="2"/>
      <c r="E785" s="1"/>
      <c r="F785" s="1"/>
      <c r="G785" s="1"/>
      <c r="J785" s="47"/>
    </row>
    <row r="786" spans="1:10" x14ac:dyDescent="0.25">
      <c r="A786" s="2"/>
      <c r="E786" s="1"/>
      <c r="F786" s="1"/>
      <c r="G786" s="1"/>
      <c r="J786" s="47"/>
    </row>
    <row r="787" spans="1:10" x14ac:dyDescent="0.25">
      <c r="A787" s="2"/>
      <c r="E787" s="1"/>
      <c r="F787" s="1"/>
      <c r="G787" s="1"/>
      <c r="J787" s="47"/>
    </row>
    <row r="788" spans="1:10" x14ac:dyDescent="0.25">
      <c r="A788" s="2"/>
      <c r="E788" s="1"/>
      <c r="F788" s="1"/>
      <c r="G788" s="1"/>
      <c r="J788" s="47"/>
    </row>
    <row r="789" spans="1:10" x14ac:dyDescent="0.25">
      <c r="A789" s="2"/>
      <c r="E789" s="1"/>
      <c r="F789" s="1"/>
      <c r="G789" s="1"/>
      <c r="J789" s="47"/>
    </row>
    <row r="790" spans="1:10" x14ac:dyDescent="0.25">
      <c r="A790" s="2"/>
      <c r="E790" s="1"/>
      <c r="F790" s="1"/>
      <c r="G790" s="1"/>
      <c r="J790" s="47"/>
    </row>
    <row r="791" spans="1:10" x14ac:dyDescent="0.25">
      <c r="A791" s="2"/>
      <c r="E791" s="1"/>
      <c r="F791" s="1"/>
      <c r="G791" s="1"/>
      <c r="J791" s="47"/>
    </row>
    <row r="792" spans="1:10" x14ac:dyDescent="0.25">
      <c r="A792" s="2"/>
      <c r="E792" s="1"/>
      <c r="F792" s="1"/>
      <c r="G792" s="1"/>
      <c r="J792" s="47"/>
    </row>
    <row r="793" spans="1:10" x14ac:dyDescent="0.25">
      <c r="A793" s="2"/>
      <c r="E793" s="1"/>
      <c r="F793" s="1"/>
      <c r="G793" s="1"/>
      <c r="J793" s="47"/>
    </row>
    <row r="794" spans="1:10" x14ac:dyDescent="0.25">
      <c r="A794" s="2"/>
      <c r="E794" s="1"/>
      <c r="F794" s="1"/>
      <c r="G794" s="1"/>
      <c r="J794" s="47"/>
    </row>
    <row r="795" spans="1:10" x14ac:dyDescent="0.25">
      <c r="A795" s="2"/>
      <c r="E795" s="1"/>
      <c r="F795" s="1"/>
      <c r="G795" s="1"/>
      <c r="J795" s="47"/>
    </row>
    <row r="796" spans="1:10" x14ac:dyDescent="0.25">
      <c r="A796" s="2"/>
      <c r="E796" s="1"/>
      <c r="F796" s="1"/>
      <c r="G796" s="1"/>
      <c r="J796" s="47"/>
    </row>
    <row r="797" spans="1:10" x14ac:dyDescent="0.25">
      <c r="A797" s="2"/>
      <c r="E797" s="1"/>
      <c r="F797" s="1"/>
      <c r="G797" s="1"/>
      <c r="J797" s="47"/>
    </row>
    <row r="798" spans="1:10" x14ac:dyDescent="0.25">
      <c r="A798" s="2"/>
      <c r="E798" s="1"/>
      <c r="F798" s="1"/>
      <c r="G798" s="1"/>
      <c r="J798" s="47"/>
    </row>
    <row r="799" spans="1:10" x14ac:dyDescent="0.25">
      <c r="A799" s="2"/>
      <c r="E799" s="1"/>
      <c r="F799" s="1"/>
      <c r="G799" s="1"/>
      <c r="J799" s="47"/>
    </row>
    <row r="800" spans="1:10" x14ac:dyDescent="0.25">
      <c r="A800" s="2"/>
      <c r="E800" s="1"/>
      <c r="F800" s="1"/>
      <c r="G800" s="1"/>
      <c r="J800" s="47"/>
    </row>
    <row r="801" spans="1:10" x14ac:dyDescent="0.25">
      <c r="A801" s="2"/>
      <c r="E801" s="1"/>
      <c r="F801" s="1"/>
      <c r="G801" s="1"/>
      <c r="J801" s="47"/>
    </row>
    <row r="802" spans="1:10" x14ac:dyDescent="0.25">
      <c r="A802" s="2"/>
      <c r="E802" s="1"/>
      <c r="F802" s="1"/>
      <c r="G802" s="1"/>
      <c r="J802" s="47"/>
    </row>
    <row r="803" spans="1:10" x14ac:dyDescent="0.25">
      <c r="A803" s="2"/>
      <c r="E803" s="1"/>
      <c r="F803" s="1"/>
      <c r="G803" s="1"/>
      <c r="J803" s="47"/>
    </row>
    <row r="804" spans="1:10" x14ac:dyDescent="0.25">
      <c r="A804" s="2"/>
      <c r="E804" s="1"/>
      <c r="F804" s="1"/>
      <c r="G804" s="1"/>
      <c r="J804" s="47"/>
    </row>
    <row r="805" spans="1:10" x14ac:dyDescent="0.25">
      <c r="A805" s="2"/>
      <c r="E805" s="1"/>
      <c r="F805" s="1"/>
      <c r="G805" s="1"/>
      <c r="J805" s="47"/>
    </row>
    <row r="806" spans="1:10" x14ac:dyDescent="0.25">
      <c r="A806" s="2"/>
      <c r="E806" s="1"/>
      <c r="F806" s="1"/>
      <c r="G806" s="1"/>
      <c r="J806" s="47"/>
    </row>
    <row r="807" spans="1:10" x14ac:dyDescent="0.25">
      <c r="A807" s="2"/>
      <c r="E807" s="1"/>
      <c r="F807" s="1"/>
      <c r="G807" s="1"/>
      <c r="J807" s="47"/>
    </row>
    <row r="808" spans="1:10" x14ac:dyDescent="0.25">
      <c r="A808" s="2"/>
      <c r="E808" s="1"/>
      <c r="F808" s="1"/>
      <c r="G808" s="1"/>
      <c r="J808" s="47"/>
    </row>
    <row r="809" spans="1:10" x14ac:dyDescent="0.25">
      <c r="A809" s="2"/>
      <c r="E809" s="1"/>
      <c r="F809" s="1"/>
      <c r="G809" s="1"/>
      <c r="J809" s="47"/>
    </row>
    <row r="810" spans="1:10" x14ac:dyDescent="0.25">
      <c r="A810" s="2"/>
      <c r="E810" s="1"/>
      <c r="F810" s="1"/>
      <c r="G810" s="1"/>
      <c r="J810" s="47"/>
    </row>
    <row r="811" spans="1:10" x14ac:dyDescent="0.25">
      <c r="A811" s="2"/>
      <c r="E811" s="1"/>
      <c r="F811" s="1"/>
      <c r="G811" s="1"/>
      <c r="J811" s="47"/>
    </row>
    <row r="812" spans="1:10" x14ac:dyDescent="0.25">
      <c r="A812" s="2"/>
      <c r="E812" s="1"/>
      <c r="F812" s="1"/>
      <c r="G812" s="1"/>
      <c r="J812" s="47"/>
    </row>
    <row r="813" spans="1:10" x14ac:dyDescent="0.25">
      <c r="A813" s="2"/>
      <c r="E813" s="1"/>
      <c r="F813" s="1"/>
      <c r="G813" s="1"/>
      <c r="J813" s="47"/>
    </row>
    <row r="814" spans="1:10" x14ac:dyDescent="0.25">
      <c r="A814" s="2"/>
      <c r="E814" s="1"/>
      <c r="F814" s="1"/>
      <c r="G814" s="1"/>
      <c r="J814" s="47"/>
    </row>
    <row r="815" spans="1:10" x14ac:dyDescent="0.25">
      <c r="A815" s="2"/>
      <c r="E815" s="1"/>
      <c r="F815" s="1"/>
      <c r="G815" s="1"/>
    </row>
    <row r="816" spans="1:10" x14ac:dyDescent="0.25">
      <c r="A816" s="2"/>
      <c r="E816" s="1"/>
      <c r="F816" s="1"/>
      <c r="G816" s="1"/>
    </row>
    <row r="817" spans="1:7" x14ac:dyDescent="0.25">
      <c r="A817" s="2"/>
      <c r="E817" s="1"/>
      <c r="F817" s="1"/>
      <c r="G817" s="1"/>
    </row>
    <row r="818" spans="1:7" x14ac:dyDescent="0.25">
      <c r="A818" s="2"/>
      <c r="E818" s="1"/>
      <c r="F818" s="1"/>
      <c r="G818" s="1"/>
    </row>
    <row r="819" spans="1:7" x14ac:dyDescent="0.25">
      <c r="A819" s="2"/>
      <c r="E819" s="1"/>
      <c r="F819" s="1"/>
      <c r="G819" s="1"/>
    </row>
    <row r="820" spans="1:7" x14ac:dyDescent="0.25">
      <c r="A820" s="2"/>
      <c r="E820" s="1"/>
      <c r="F820" s="1"/>
      <c r="G820" s="1"/>
    </row>
    <row r="821" spans="1:7" x14ac:dyDescent="0.25">
      <c r="A821" s="2"/>
      <c r="E821" s="1"/>
      <c r="F821" s="1"/>
      <c r="G821" s="1"/>
    </row>
    <row r="822" spans="1:7" x14ac:dyDescent="0.25">
      <c r="A822" s="2"/>
      <c r="E822" s="1"/>
      <c r="F822" s="1"/>
      <c r="G822" s="1"/>
    </row>
    <row r="823" spans="1:7" x14ac:dyDescent="0.25">
      <c r="A823" s="2"/>
      <c r="E823" s="1"/>
      <c r="F823" s="1"/>
      <c r="G823" s="1"/>
    </row>
    <row r="824" spans="1:7" x14ac:dyDescent="0.25">
      <c r="A824" s="2"/>
      <c r="E824" s="1"/>
      <c r="F824" s="1"/>
      <c r="G824" s="1"/>
    </row>
    <row r="825" spans="1:7" x14ac:dyDescent="0.25">
      <c r="A825" s="2"/>
      <c r="E825" s="1"/>
      <c r="F825" s="1"/>
      <c r="G825" s="1"/>
    </row>
    <row r="826" spans="1:7" x14ac:dyDescent="0.25">
      <c r="A826" s="2"/>
      <c r="E826" s="1"/>
      <c r="F826" s="1"/>
      <c r="G826" s="1"/>
    </row>
    <row r="827" spans="1:7" x14ac:dyDescent="0.25">
      <c r="A827" s="2"/>
      <c r="E827" s="1"/>
      <c r="F827" s="1"/>
      <c r="G827" s="1"/>
    </row>
    <row r="828" spans="1:7" x14ac:dyDescent="0.25">
      <c r="A828" s="2"/>
      <c r="E828" s="1"/>
      <c r="F828" s="1"/>
      <c r="G828" s="1"/>
    </row>
    <row r="829" spans="1:7" x14ac:dyDescent="0.25">
      <c r="A829" s="2"/>
      <c r="E829" s="1"/>
      <c r="F829" s="1"/>
      <c r="G829" s="1"/>
    </row>
    <row r="830" spans="1:7" x14ac:dyDescent="0.25">
      <c r="A830" s="2"/>
      <c r="E830" s="1"/>
      <c r="F830" s="1"/>
      <c r="G830" s="1"/>
    </row>
    <row r="831" spans="1:7" x14ac:dyDescent="0.25">
      <c r="A831" s="2"/>
      <c r="E831" s="1"/>
      <c r="F831" s="1"/>
      <c r="G831" s="1"/>
    </row>
    <row r="832" spans="1:7" x14ac:dyDescent="0.25">
      <c r="A832" s="2"/>
      <c r="E832" s="1"/>
      <c r="F832" s="1"/>
      <c r="G832" s="1"/>
    </row>
    <row r="833" spans="1:7" x14ac:dyDescent="0.25">
      <c r="A833" s="2"/>
      <c r="E833" s="1"/>
      <c r="F833" s="1"/>
      <c r="G833" s="1"/>
    </row>
    <row r="834" spans="1:7" x14ac:dyDescent="0.25">
      <c r="A834" s="2"/>
      <c r="E834" s="1"/>
      <c r="F834" s="1"/>
      <c r="G834" s="1"/>
    </row>
    <row r="835" spans="1:7" x14ac:dyDescent="0.25">
      <c r="A835" s="2"/>
      <c r="E835" s="1"/>
      <c r="F835" s="1"/>
      <c r="G835" s="1"/>
    </row>
    <row r="836" spans="1:7" x14ac:dyDescent="0.25">
      <c r="A836" s="2"/>
      <c r="E836" s="1"/>
      <c r="F836" s="1"/>
      <c r="G836" s="1"/>
    </row>
    <row r="837" spans="1:7" x14ac:dyDescent="0.25">
      <c r="A837" s="2"/>
      <c r="E837" s="1"/>
      <c r="F837" s="1"/>
      <c r="G837" s="1"/>
    </row>
    <row r="838" spans="1:7" x14ac:dyDescent="0.25">
      <c r="A838" s="2"/>
      <c r="E838" s="1"/>
      <c r="F838" s="1"/>
      <c r="G838" s="1"/>
    </row>
    <row r="839" spans="1:7" x14ac:dyDescent="0.25">
      <c r="A839" s="2"/>
      <c r="E839" s="1"/>
      <c r="F839" s="1"/>
      <c r="G839" s="1"/>
    </row>
    <row r="840" spans="1:7" x14ac:dyDescent="0.25">
      <c r="A840" s="2"/>
      <c r="E840" s="1"/>
      <c r="F840" s="1"/>
      <c r="G840" s="1"/>
    </row>
    <row r="841" spans="1:7" x14ac:dyDescent="0.25">
      <c r="A841" s="2"/>
      <c r="E841" s="1"/>
      <c r="F841" s="1"/>
      <c r="G841" s="1"/>
    </row>
    <row r="842" spans="1:7" x14ac:dyDescent="0.25">
      <c r="A842" s="2"/>
      <c r="E842" s="1"/>
      <c r="F842" s="1"/>
      <c r="G842" s="1"/>
    </row>
    <row r="843" spans="1:7" x14ac:dyDescent="0.25">
      <c r="A843" s="2"/>
      <c r="E843" s="1"/>
      <c r="F843" s="1"/>
      <c r="G843" s="1"/>
    </row>
    <row r="844" spans="1:7" x14ac:dyDescent="0.25">
      <c r="A844" s="2"/>
      <c r="E844" s="1"/>
      <c r="F844" s="1"/>
      <c r="G844" s="1"/>
    </row>
    <row r="845" spans="1:7" x14ac:dyDescent="0.25">
      <c r="A845" s="2"/>
      <c r="E845" s="1"/>
      <c r="F845" s="1"/>
      <c r="G845" s="1"/>
    </row>
    <row r="846" spans="1:7" x14ac:dyDescent="0.25">
      <c r="A846" s="2"/>
      <c r="E846" s="1"/>
      <c r="F846" s="1"/>
      <c r="G846" s="1"/>
    </row>
    <row r="847" spans="1:7" x14ac:dyDescent="0.25">
      <c r="A847" s="2"/>
      <c r="E847" s="1"/>
      <c r="F847" s="1"/>
      <c r="G847" s="1"/>
    </row>
    <row r="848" spans="1:7" x14ac:dyDescent="0.25">
      <c r="A848" s="2"/>
      <c r="E848" s="1"/>
      <c r="F848" s="1"/>
      <c r="G848" s="1"/>
    </row>
    <row r="849" spans="1:7" x14ac:dyDescent="0.25">
      <c r="A849" s="2"/>
      <c r="E849" s="1"/>
      <c r="F849" s="1"/>
      <c r="G849" s="1"/>
    </row>
    <row r="850" spans="1:7" x14ac:dyDescent="0.25">
      <c r="A850" s="2"/>
      <c r="E850" s="1"/>
      <c r="F850" s="1"/>
      <c r="G850" s="1"/>
    </row>
    <row r="851" spans="1:7" x14ac:dyDescent="0.25">
      <c r="A851" s="2"/>
      <c r="E851" s="1"/>
      <c r="F851" s="1"/>
      <c r="G851" s="1"/>
    </row>
    <row r="852" spans="1:7" x14ac:dyDescent="0.25">
      <c r="A852" s="2"/>
      <c r="E852" s="1"/>
      <c r="F852" s="1"/>
      <c r="G852" s="1"/>
    </row>
    <row r="853" spans="1:7" x14ac:dyDescent="0.25">
      <c r="A853" s="2"/>
      <c r="E853" s="1"/>
      <c r="F853" s="1"/>
      <c r="G853" s="1"/>
    </row>
    <row r="854" spans="1:7" x14ac:dyDescent="0.25">
      <c r="A854" s="2"/>
      <c r="E854" s="1"/>
      <c r="F854" s="1"/>
      <c r="G854" s="1"/>
    </row>
    <row r="855" spans="1:7" x14ac:dyDescent="0.25">
      <c r="A855" s="2"/>
      <c r="E855" s="1"/>
      <c r="F855" s="1"/>
      <c r="G855" s="1"/>
    </row>
    <row r="856" spans="1:7" x14ac:dyDescent="0.25">
      <c r="A856" s="2"/>
      <c r="E856" s="1"/>
      <c r="F856" s="1"/>
      <c r="G856" s="1"/>
    </row>
    <row r="857" spans="1:7" x14ac:dyDescent="0.25">
      <c r="A857" s="2"/>
      <c r="E857" s="1"/>
      <c r="F857" s="1"/>
      <c r="G857" s="1"/>
    </row>
    <row r="858" spans="1:7" x14ac:dyDescent="0.25">
      <c r="A858" s="2"/>
      <c r="E858" s="1"/>
      <c r="F858" s="1"/>
      <c r="G858" s="1"/>
    </row>
    <row r="859" spans="1:7" x14ac:dyDescent="0.25">
      <c r="A859" s="2"/>
      <c r="E859" s="1"/>
      <c r="F859" s="1"/>
      <c r="G859" s="1"/>
    </row>
    <row r="860" spans="1:7" x14ac:dyDescent="0.25">
      <c r="A860" s="2"/>
      <c r="E860" s="1"/>
      <c r="F860" s="1"/>
      <c r="G860" s="1"/>
    </row>
    <row r="861" spans="1:7" x14ac:dyDescent="0.25">
      <c r="A861" s="2"/>
      <c r="E861" s="1"/>
      <c r="F861" s="1"/>
      <c r="G861" s="1"/>
    </row>
    <row r="862" spans="1:7" x14ac:dyDescent="0.25">
      <c r="A862" s="2"/>
      <c r="E862" s="1"/>
      <c r="F862" s="1"/>
      <c r="G862" s="1"/>
    </row>
    <row r="863" spans="1:7" x14ac:dyDescent="0.25">
      <c r="A863" s="2"/>
      <c r="E863" s="1"/>
      <c r="F863" s="1"/>
      <c r="G863" s="1"/>
    </row>
    <row r="864" spans="1:7" x14ac:dyDescent="0.25">
      <c r="A864" s="2"/>
      <c r="E864" s="1"/>
      <c r="F864" s="1"/>
      <c r="G864" s="1"/>
    </row>
    <row r="865" spans="1:7" x14ac:dyDescent="0.25">
      <c r="A865" s="2"/>
      <c r="E865" s="1"/>
      <c r="F865" s="1"/>
      <c r="G865" s="1"/>
    </row>
    <row r="866" spans="1:7" x14ac:dyDescent="0.25">
      <c r="A866" s="2"/>
      <c r="E866" s="1"/>
      <c r="F866" s="1"/>
      <c r="G866" s="1"/>
    </row>
    <row r="867" spans="1:7" x14ac:dyDescent="0.25">
      <c r="A867" s="2"/>
      <c r="E867" s="1"/>
      <c r="F867" s="1"/>
      <c r="G867" s="1"/>
    </row>
    <row r="868" spans="1:7" x14ac:dyDescent="0.25">
      <c r="A868" s="2"/>
      <c r="E868" s="1"/>
      <c r="F868" s="1"/>
      <c r="G868" s="1"/>
    </row>
    <row r="869" spans="1:7" x14ac:dyDescent="0.25">
      <c r="A869" s="2"/>
      <c r="E869" s="1"/>
      <c r="F869" s="1"/>
      <c r="G869" s="1"/>
    </row>
    <row r="870" spans="1:7" x14ac:dyDescent="0.25">
      <c r="A870" s="2"/>
      <c r="E870" s="1"/>
      <c r="F870" s="1"/>
      <c r="G870" s="1"/>
    </row>
    <row r="871" spans="1:7" x14ac:dyDescent="0.25">
      <c r="A871" s="2"/>
      <c r="E871" s="1"/>
      <c r="F871" s="1"/>
      <c r="G871" s="1"/>
    </row>
    <row r="872" spans="1:7" x14ac:dyDescent="0.25">
      <c r="A872" s="2"/>
      <c r="E872" s="1"/>
      <c r="F872" s="1"/>
      <c r="G872" s="1"/>
    </row>
    <row r="873" spans="1:7" x14ac:dyDescent="0.25">
      <c r="A873" s="2"/>
      <c r="E873" s="1"/>
      <c r="F873" s="1"/>
      <c r="G873" s="1"/>
    </row>
    <row r="874" spans="1:7" x14ac:dyDescent="0.25">
      <c r="A874" s="2"/>
      <c r="E874" s="1"/>
      <c r="F874" s="1"/>
      <c r="G874" s="1"/>
    </row>
    <row r="875" spans="1:7" x14ac:dyDescent="0.25">
      <c r="A875" s="2"/>
      <c r="E875" s="1"/>
      <c r="F875" s="1"/>
      <c r="G875" s="1"/>
    </row>
    <row r="876" spans="1:7" x14ac:dyDescent="0.25">
      <c r="A876" s="2"/>
      <c r="E876" s="1"/>
      <c r="F876" s="1"/>
      <c r="G876" s="1"/>
    </row>
    <row r="877" spans="1:7" x14ac:dyDescent="0.25">
      <c r="A877" s="2"/>
      <c r="E877" s="1"/>
      <c r="F877" s="1"/>
      <c r="G877" s="1"/>
    </row>
    <row r="878" spans="1:7" x14ac:dyDescent="0.25">
      <c r="A878" s="2"/>
      <c r="E878" s="1"/>
      <c r="F878" s="1"/>
      <c r="G878" s="1"/>
    </row>
    <row r="879" spans="1:7" x14ac:dyDescent="0.25">
      <c r="A879" s="2"/>
      <c r="E879" s="1"/>
      <c r="F879" s="1"/>
      <c r="G879" s="1"/>
    </row>
    <row r="880" spans="1:7" x14ac:dyDescent="0.25">
      <c r="A880" s="2"/>
      <c r="E880" s="1"/>
      <c r="F880" s="1"/>
      <c r="G880" s="1"/>
    </row>
    <row r="881" spans="1:7" x14ac:dyDescent="0.25">
      <c r="A881" s="2"/>
      <c r="E881" s="1"/>
      <c r="F881" s="1"/>
      <c r="G881" s="1"/>
    </row>
    <row r="882" spans="1:7" x14ac:dyDescent="0.25">
      <c r="A882" s="2"/>
      <c r="E882" s="1"/>
      <c r="F882" s="1"/>
      <c r="G882" s="1"/>
    </row>
    <row r="883" spans="1:7" x14ac:dyDescent="0.25">
      <c r="A883" s="2"/>
      <c r="E883" s="1"/>
      <c r="F883" s="1"/>
      <c r="G883" s="1"/>
    </row>
    <row r="884" spans="1:7" x14ac:dyDescent="0.25">
      <c r="A884" s="2"/>
      <c r="E884" s="1"/>
      <c r="F884" s="1"/>
      <c r="G884" s="1"/>
    </row>
    <row r="885" spans="1:7" x14ac:dyDescent="0.25">
      <c r="A885" s="2"/>
      <c r="E885" s="1"/>
      <c r="F885" s="1"/>
      <c r="G885" s="1"/>
    </row>
    <row r="886" spans="1:7" x14ac:dyDescent="0.25">
      <c r="A886" s="2"/>
      <c r="E886" s="1"/>
      <c r="F886" s="1"/>
      <c r="G886" s="1"/>
    </row>
    <row r="887" spans="1:7" x14ac:dyDescent="0.25">
      <c r="A887" s="2"/>
      <c r="E887" s="1"/>
      <c r="F887" s="1"/>
      <c r="G887" s="1"/>
    </row>
    <row r="888" spans="1:7" x14ac:dyDescent="0.25">
      <c r="A888" s="2"/>
      <c r="E888" s="1"/>
      <c r="F888" s="1"/>
      <c r="G888" s="1"/>
    </row>
    <row r="889" spans="1:7" x14ac:dyDescent="0.25">
      <c r="A889" s="2"/>
      <c r="E889" s="1"/>
      <c r="F889" s="1"/>
      <c r="G889" s="1"/>
    </row>
    <row r="890" spans="1:7" x14ac:dyDescent="0.25">
      <c r="A890" s="2"/>
      <c r="E890" s="1"/>
      <c r="F890" s="1"/>
      <c r="G890" s="1"/>
    </row>
    <row r="891" spans="1:7" x14ac:dyDescent="0.25">
      <c r="A891" s="2"/>
      <c r="E891" s="1"/>
      <c r="F891" s="1"/>
      <c r="G891" s="1"/>
    </row>
    <row r="892" spans="1:7" x14ac:dyDescent="0.25">
      <c r="A892" s="2"/>
      <c r="E892" s="1"/>
      <c r="F892" s="1"/>
      <c r="G892" s="1"/>
    </row>
    <row r="893" spans="1:7" x14ac:dyDescent="0.25">
      <c r="A893" s="2"/>
      <c r="E893" s="1"/>
      <c r="F893" s="1"/>
      <c r="G893" s="1"/>
    </row>
    <row r="894" spans="1:7" x14ac:dyDescent="0.25">
      <c r="A894" s="2"/>
      <c r="E894" s="1"/>
      <c r="F894" s="1"/>
      <c r="G894" s="1"/>
    </row>
    <row r="895" spans="1:7" x14ac:dyDescent="0.25">
      <c r="A895" s="2"/>
      <c r="E895" s="1"/>
      <c r="F895" s="1"/>
      <c r="G895" s="1"/>
    </row>
    <row r="896" spans="1:7" x14ac:dyDescent="0.25">
      <c r="A896" s="2"/>
      <c r="E896" s="1"/>
      <c r="F896" s="1"/>
      <c r="G896" s="1"/>
    </row>
    <row r="897" spans="1:7" x14ac:dyDescent="0.25">
      <c r="A897" s="2"/>
      <c r="E897" s="1"/>
      <c r="F897" s="1"/>
      <c r="G897" s="1"/>
    </row>
    <row r="898" spans="1:7" x14ac:dyDescent="0.25">
      <c r="A898" s="2"/>
      <c r="E898" s="1"/>
      <c r="F898" s="1"/>
      <c r="G898" s="1"/>
    </row>
    <row r="899" spans="1:7" x14ac:dyDescent="0.25">
      <c r="A899" s="2"/>
      <c r="E899" s="1"/>
      <c r="F899" s="1"/>
      <c r="G899" s="1"/>
    </row>
    <row r="900" spans="1:7" x14ac:dyDescent="0.25">
      <c r="A900" s="2"/>
      <c r="E900" s="1"/>
      <c r="F900" s="1"/>
      <c r="G900" s="1"/>
    </row>
    <row r="901" spans="1:7" x14ac:dyDescent="0.25">
      <c r="A901" s="2"/>
      <c r="E901" s="1"/>
      <c r="F901" s="1"/>
      <c r="G901" s="1"/>
    </row>
    <row r="902" spans="1:7" x14ac:dyDescent="0.25">
      <c r="A902" s="2"/>
      <c r="E902" s="1"/>
      <c r="F902" s="1"/>
      <c r="G902" s="1"/>
    </row>
    <row r="903" spans="1:7" x14ac:dyDescent="0.25">
      <c r="A903" s="2"/>
      <c r="E903" s="1"/>
      <c r="F903" s="1"/>
      <c r="G903" s="1"/>
    </row>
    <row r="904" spans="1:7" x14ac:dyDescent="0.25">
      <c r="A904" s="2"/>
      <c r="E904" s="1"/>
      <c r="F904" s="1"/>
      <c r="G904" s="1"/>
    </row>
    <row r="905" spans="1:7" x14ac:dyDescent="0.25">
      <c r="A905" s="2"/>
      <c r="E905" s="1"/>
      <c r="F905" s="1"/>
      <c r="G905" s="1"/>
    </row>
    <row r="906" spans="1:7" x14ac:dyDescent="0.25">
      <c r="A906" s="2"/>
      <c r="E906" s="1"/>
      <c r="F906" s="1"/>
      <c r="G906" s="1"/>
    </row>
    <row r="907" spans="1:7" x14ac:dyDescent="0.25">
      <c r="A907" s="2"/>
      <c r="E907" s="1"/>
      <c r="F907" s="1"/>
      <c r="G907" s="1"/>
    </row>
    <row r="908" spans="1:7" x14ac:dyDescent="0.25">
      <c r="A908" s="2"/>
      <c r="E908" s="1"/>
      <c r="F908" s="1"/>
      <c r="G908" s="1"/>
    </row>
    <row r="909" spans="1:7" x14ac:dyDescent="0.25">
      <c r="A909" s="2"/>
      <c r="E909" s="1"/>
      <c r="F909" s="1"/>
      <c r="G909" s="1"/>
    </row>
    <row r="910" spans="1:7" x14ac:dyDescent="0.25">
      <c r="A910" s="2"/>
      <c r="E910" s="1"/>
      <c r="F910" s="1"/>
      <c r="G910" s="1"/>
    </row>
    <row r="911" spans="1:7" x14ac:dyDescent="0.25">
      <c r="A911" s="2"/>
      <c r="E911" s="1"/>
      <c r="F911" s="1"/>
      <c r="G911" s="1"/>
    </row>
    <row r="912" spans="1:7" x14ac:dyDescent="0.25">
      <c r="A912" s="2"/>
      <c r="E912" s="1"/>
      <c r="F912" s="1"/>
      <c r="G912" s="1"/>
    </row>
    <row r="913" spans="1:7" x14ac:dyDescent="0.25">
      <c r="A913" s="2"/>
      <c r="E913" s="1"/>
      <c r="F913" s="1"/>
      <c r="G913" s="1"/>
    </row>
    <row r="914" spans="1:7" x14ac:dyDescent="0.25">
      <c r="A914" s="2"/>
      <c r="E914" s="1"/>
      <c r="F914" s="1"/>
      <c r="G914" s="1"/>
    </row>
    <row r="915" spans="1:7" x14ac:dyDescent="0.25">
      <c r="A915" s="2"/>
      <c r="E915" s="1"/>
      <c r="F915" s="1"/>
      <c r="G915" s="1"/>
    </row>
    <row r="916" spans="1:7" x14ac:dyDescent="0.25">
      <c r="A916" s="2"/>
      <c r="E916" s="1"/>
      <c r="F916" s="1"/>
      <c r="G916" s="1"/>
    </row>
    <row r="917" spans="1:7" x14ac:dyDescent="0.25">
      <c r="A917" s="2"/>
      <c r="E917" s="1"/>
      <c r="F917" s="1"/>
      <c r="G917" s="1"/>
    </row>
    <row r="918" spans="1:7" x14ac:dyDescent="0.25">
      <c r="A918" s="2"/>
      <c r="E918" s="1"/>
      <c r="F918" s="1"/>
      <c r="G918" s="1"/>
    </row>
    <row r="919" spans="1:7" x14ac:dyDescent="0.25">
      <c r="A919" s="2"/>
      <c r="E919" s="1"/>
      <c r="F919" s="1"/>
      <c r="G919" s="1"/>
    </row>
    <row r="920" spans="1:7" x14ac:dyDescent="0.25">
      <c r="A920" s="2"/>
      <c r="E920" s="1"/>
      <c r="F920" s="1"/>
      <c r="G920" s="1"/>
    </row>
    <row r="921" spans="1:7" x14ac:dyDescent="0.25">
      <c r="A921" s="2"/>
      <c r="E921" s="1"/>
      <c r="F921" s="1"/>
      <c r="G921" s="1"/>
    </row>
    <row r="922" spans="1:7" x14ac:dyDescent="0.25">
      <c r="A922" s="2"/>
      <c r="E922" s="1"/>
      <c r="F922" s="1"/>
      <c r="G922" s="1"/>
    </row>
    <row r="923" spans="1:7" x14ac:dyDescent="0.25">
      <c r="A923" s="2"/>
      <c r="E923" s="1"/>
      <c r="F923" s="1"/>
      <c r="G923" s="1"/>
    </row>
    <row r="924" spans="1:7" x14ac:dyDescent="0.25">
      <c r="A924" s="2"/>
      <c r="E924" s="1"/>
      <c r="F924" s="1"/>
      <c r="G924" s="1"/>
    </row>
    <row r="925" spans="1:7" x14ac:dyDescent="0.25">
      <c r="A925" s="2"/>
      <c r="E925" s="1"/>
      <c r="F925" s="1"/>
      <c r="G925" s="1"/>
    </row>
    <row r="926" spans="1:7" x14ac:dyDescent="0.25">
      <c r="A926" s="2"/>
      <c r="E926" s="1"/>
      <c r="F926" s="1"/>
      <c r="G926" s="1"/>
    </row>
    <row r="927" spans="1:7" x14ac:dyDescent="0.25">
      <c r="A927" s="2"/>
      <c r="E927" s="1"/>
      <c r="F927" s="1"/>
      <c r="G927" s="1"/>
    </row>
    <row r="928" spans="1:7" x14ac:dyDescent="0.25">
      <c r="A928" s="2"/>
      <c r="E928" s="1"/>
      <c r="F928" s="1"/>
      <c r="G928" s="1"/>
    </row>
    <row r="929" spans="1:7" x14ac:dyDescent="0.25">
      <c r="A929" s="2"/>
      <c r="E929" s="1"/>
      <c r="F929" s="1"/>
      <c r="G929" s="1"/>
    </row>
    <row r="930" spans="1:7" x14ac:dyDescent="0.25">
      <c r="A930" s="2"/>
      <c r="E930" s="1"/>
      <c r="F930" s="1"/>
      <c r="G930" s="1"/>
    </row>
    <row r="931" spans="1:7" x14ac:dyDescent="0.25">
      <c r="A931" s="2"/>
      <c r="E931" s="1"/>
      <c r="F931" s="1"/>
      <c r="G931" s="1"/>
    </row>
    <row r="932" spans="1:7" x14ac:dyDescent="0.25">
      <c r="A932" s="2"/>
      <c r="E932" s="1"/>
      <c r="F932" s="1"/>
      <c r="G932" s="1"/>
    </row>
    <row r="933" spans="1:7" x14ac:dyDescent="0.25">
      <c r="A933" s="2"/>
      <c r="E933" s="1"/>
      <c r="F933" s="1"/>
      <c r="G933" s="1"/>
    </row>
    <row r="934" spans="1:7" x14ac:dyDescent="0.25">
      <c r="A934" s="2"/>
      <c r="E934" s="1"/>
      <c r="F934" s="1"/>
      <c r="G934" s="1"/>
    </row>
    <row r="935" spans="1:7" x14ac:dyDescent="0.25">
      <c r="A935" s="2"/>
      <c r="E935" s="1"/>
      <c r="F935" s="1"/>
      <c r="G935" s="1"/>
    </row>
    <row r="936" spans="1:7" x14ac:dyDescent="0.25">
      <c r="A936" s="2"/>
      <c r="E936" s="1"/>
      <c r="F936" s="1"/>
      <c r="G936" s="1"/>
    </row>
    <row r="937" spans="1:7" x14ac:dyDescent="0.25">
      <c r="A937" s="2"/>
      <c r="E937" s="1"/>
      <c r="F937" s="1"/>
      <c r="G937" s="1"/>
    </row>
    <row r="938" spans="1:7" x14ac:dyDescent="0.25">
      <c r="A938" s="2"/>
      <c r="E938" s="1"/>
      <c r="F938" s="1"/>
      <c r="G938" s="1"/>
    </row>
    <row r="939" spans="1:7" x14ac:dyDescent="0.25">
      <c r="A939" s="2"/>
      <c r="E939" s="1"/>
      <c r="F939" s="1"/>
      <c r="G939" s="1"/>
    </row>
    <row r="940" spans="1:7" x14ac:dyDescent="0.25">
      <c r="A940" s="2"/>
      <c r="E940" s="1"/>
      <c r="F940" s="1"/>
      <c r="G940" s="1"/>
    </row>
    <row r="941" spans="1:7" x14ac:dyDescent="0.25">
      <c r="A941" s="2"/>
      <c r="E941" s="1"/>
      <c r="F941" s="1"/>
      <c r="G941" s="1"/>
    </row>
    <row r="942" spans="1:7" x14ac:dyDescent="0.25">
      <c r="A942" s="2"/>
      <c r="E942" s="1"/>
      <c r="F942" s="1"/>
      <c r="G942" s="1"/>
    </row>
    <row r="943" spans="1:7" x14ac:dyDescent="0.25">
      <c r="A943" s="2"/>
      <c r="E943" s="1"/>
      <c r="F943" s="1"/>
      <c r="G943" s="1"/>
    </row>
    <row r="944" spans="1:7" x14ac:dyDescent="0.25">
      <c r="A944" s="2"/>
      <c r="E944" s="1"/>
      <c r="F944" s="1"/>
      <c r="G944" s="1"/>
    </row>
    <row r="945" spans="1:7" x14ac:dyDescent="0.25">
      <c r="A945" s="2"/>
      <c r="E945" s="1"/>
      <c r="F945" s="1"/>
      <c r="G945" s="1"/>
    </row>
    <row r="946" spans="1:7" x14ac:dyDescent="0.25">
      <c r="A946" s="2"/>
      <c r="E946" s="1"/>
      <c r="F946" s="1"/>
      <c r="G946" s="1"/>
    </row>
    <row r="947" spans="1:7" x14ac:dyDescent="0.25">
      <c r="A947" s="2"/>
      <c r="E947" s="1"/>
      <c r="F947" s="1"/>
      <c r="G947" s="1"/>
    </row>
    <row r="948" spans="1:7" x14ac:dyDescent="0.25">
      <c r="A948" s="2"/>
      <c r="E948" s="1"/>
      <c r="F948" s="1"/>
      <c r="G948" s="1"/>
    </row>
    <row r="949" spans="1:7" x14ac:dyDescent="0.25">
      <c r="A949" s="2"/>
      <c r="E949" s="1"/>
      <c r="F949" s="1"/>
      <c r="G949" s="1"/>
    </row>
    <row r="950" spans="1:7" x14ac:dyDescent="0.25">
      <c r="A950" s="2"/>
      <c r="E950" s="1"/>
      <c r="F950" s="1"/>
      <c r="G950" s="1"/>
    </row>
    <row r="951" spans="1:7" x14ac:dyDescent="0.25">
      <c r="A951" s="2"/>
      <c r="E951" s="1"/>
      <c r="F951" s="1"/>
      <c r="G951" s="1"/>
    </row>
    <row r="952" spans="1:7" x14ac:dyDescent="0.25">
      <c r="A952" s="2"/>
      <c r="E952" s="1"/>
      <c r="F952" s="1"/>
      <c r="G952" s="1"/>
    </row>
    <row r="953" spans="1:7" x14ac:dyDescent="0.25">
      <c r="A953" s="2"/>
      <c r="E953" s="1"/>
      <c r="F953" s="1"/>
      <c r="G953" s="1"/>
    </row>
    <row r="954" spans="1:7" x14ac:dyDescent="0.25">
      <c r="A954" s="2"/>
      <c r="E954" s="1"/>
      <c r="F954" s="1"/>
      <c r="G954" s="1"/>
    </row>
    <row r="955" spans="1:7" x14ac:dyDescent="0.25">
      <c r="A955" s="2"/>
      <c r="E955" s="1"/>
      <c r="F955" s="1"/>
      <c r="G955" s="1"/>
    </row>
    <row r="956" spans="1:7" x14ac:dyDescent="0.25">
      <c r="A956" s="2"/>
      <c r="E956" s="1"/>
      <c r="F956" s="1"/>
      <c r="G956" s="1"/>
    </row>
    <row r="957" spans="1:7" x14ac:dyDescent="0.25">
      <c r="A957" s="2"/>
      <c r="E957" s="1"/>
      <c r="F957" s="1"/>
      <c r="G957" s="1"/>
    </row>
    <row r="958" spans="1:7" x14ac:dyDescent="0.25">
      <c r="A958" s="2"/>
      <c r="E958" s="1"/>
      <c r="F958" s="1"/>
      <c r="G958" s="1"/>
    </row>
    <row r="959" spans="1:7" x14ac:dyDescent="0.25">
      <c r="A959" s="2"/>
      <c r="E959" s="1"/>
      <c r="F959" s="1"/>
      <c r="G959" s="1"/>
    </row>
    <row r="960" spans="1:7" x14ac:dyDescent="0.25">
      <c r="A960" s="2"/>
      <c r="E960" s="1"/>
      <c r="F960" s="1"/>
      <c r="G960" s="1"/>
    </row>
    <row r="961" spans="1:7" x14ac:dyDescent="0.25">
      <c r="A961" s="2"/>
      <c r="E961" s="1"/>
      <c r="F961" s="1"/>
      <c r="G961" s="1"/>
    </row>
    <row r="962" spans="1:7" x14ac:dyDescent="0.25">
      <c r="A962" s="2"/>
      <c r="E962" s="1"/>
      <c r="F962" s="1"/>
      <c r="G962" s="1"/>
    </row>
    <row r="963" spans="1:7" x14ac:dyDescent="0.25">
      <c r="A963" s="2"/>
      <c r="E963" s="1"/>
      <c r="F963" s="1"/>
      <c r="G963" s="1"/>
    </row>
    <row r="964" spans="1:7" x14ac:dyDescent="0.25">
      <c r="A964" s="2"/>
      <c r="E964" s="1"/>
      <c r="F964" s="1"/>
      <c r="G964" s="1"/>
    </row>
    <row r="965" spans="1:7" x14ac:dyDescent="0.25">
      <c r="A965" s="2"/>
      <c r="E965" s="1"/>
      <c r="F965" s="1"/>
      <c r="G965" s="1"/>
    </row>
    <row r="966" spans="1:7" x14ac:dyDescent="0.25">
      <c r="A966" s="2"/>
      <c r="E966" s="1"/>
      <c r="F966" s="1"/>
      <c r="G966" s="1"/>
    </row>
    <row r="967" spans="1:7" x14ac:dyDescent="0.25">
      <c r="A967" s="2"/>
      <c r="E967" s="1"/>
      <c r="F967" s="1"/>
      <c r="G967" s="1"/>
    </row>
    <row r="968" spans="1:7" x14ac:dyDescent="0.25">
      <c r="A968" s="2"/>
      <c r="E968" s="1"/>
      <c r="F968" s="1"/>
      <c r="G968" s="1"/>
    </row>
    <row r="969" spans="1:7" x14ac:dyDescent="0.25">
      <c r="A969" s="2"/>
      <c r="E969" s="1"/>
      <c r="F969" s="1"/>
      <c r="G969" s="1"/>
    </row>
    <row r="970" spans="1:7" x14ac:dyDescent="0.25">
      <c r="A970" s="2"/>
      <c r="E970" s="1"/>
      <c r="F970" s="1"/>
      <c r="G970" s="1"/>
    </row>
    <row r="971" spans="1:7" x14ac:dyDescent="0.25">
      <c r="A971" s="2"/>
      <c r="E971" s="1"/>
      <c r="F971" s="1"/>
      <c r="G971" s="1"/>
    </row>
    <row r="972" spans="1:7" x14ac:dyDescent="0.25">
      <c r="A972" s="2"/>
      <c r="E972" s="1"/>
      <c r="F972" s="1"/>
      <c r="G972" s="1"/>
    </row>
    <row r="973" spans="1:7" x14ac:dyDescent="0.25">
      <c r="A973" s="2"/>
      <c r="E973" s="1"/>
      <c r="F973" s="1"/>
      <c r="G973" s="1"/>
    </row>
    <row r="974" spans="1:7" x14ac:dyDescent="0.25">
      <c r="A974" s="2"/>
      <c r="E974" s="1"/>
      <c r="F974" s="1"/>
      <c r="G974" s="1"/>
    </row>
    <row r="975" spans="1:7" x14ac:dyDescent="0.25">
      <c r="A975" s="2"/>
      <c r="E975" s="1"/>
      <c r="F975" s="1"/>
      <c r="G975" s="1"/>
    </row>
    <row r="976" spans="1:7" x14ac:dyDescent="0.25">
      <c r="A976" s="2"/>
      <c r="E976" s="1"/>
      <c r="F976" s="1"/>
      <c r="G976" s="1"/>
    </row>
    <row r="977" spans="1:7" x14ac:dyDescent="0.25">
      <c r="A977" s="2"/>
      <c r="E977" s="1"/>
      <c r="F977" s="1"/>
      <c r="G977" s="1"/>
    </row>
    <row r="978" spans="1:7" x14ac:dyDescent="0.25">
      <c r="A978" s="2"/>
      <c r="E978" s="1"/>
      <c r="F978" s="1"/>
      <c r="G978" s="1"/>
    </row>
    <row r="979" spans="1:7" x14ac:dyDescent="0.25">
      <c r="A979" s="2"/>
      <c r="E979" s="1"/>
      <c r="F979" s="1"/>
      <c r="G979" s="1"/>
    </row>
    <row r="980" spans="1:7" x14ac:dyDescent="0.25">
      <c r="A980" s="2"/>
      <c r="E980" s="1"/>
      <c r="F980" s="1"/>
      <c r="G980" s="1"/>
    </row>
    <row r="981" spans="1:7" x14ac:dyDescent="0.25">
      <c r="A981" s="2"/>
      <c r="E981" s="1"/>
      <c r="F981" s="1"/>
      <c r="G981" s="1"/>
    </row>
    <row r="982" spans="1:7" x14ac:dyDescent="0.25">
      <c r="A982" s="2"/>
      <c r="E982" s="1"/>
      <c r="F982" s="1"/>
      <c r="G982" s="1"/>
    </row>
    <row r="983" spans="1:7" x14ac:dyDescent="0.25">
      <c r="A983" s="2"/>
      <c r="E983" s="1"/>
      <c r="F983" s="1"/>
      <c r="G983" s="1"/>
    </row>
    <row r="984" spans="1:7" x14ac:dyDescent="0.25">
      <c r="A984" s="2"/>
      <c r="E984" s="1"/>
      <c r="F984" s="1"/>
      <c r="G984" s="1"/>
    </row>
    <row r="985" spans="1:7" x14ac:dyDescent="0.25">
      <c r="A985" s="2"/>
      <c r="E985" s="1"/>
      <c r="F985" s="1"/>
      <c r="G985" s="1"/>
    </row>
    <row r="986" spans="1:7" x14ac:dyDescent="0.25">
      <c r="A986" s="2"/>
      <c r="E986" s="1"/>
      <c r="F986" s="1"/>
      <c r="G986" s="1"/>
    </row>
    <row r="987" spans="1:7" x14ac:dyDescent="0.25">
      <c r="A987" s="2"/>
      <c r="E987" s="1"/>
      <c r="F987" s="1"/>
      <c r="G987" s="1"/>
    </row>
    <row r="988" spans="1:7" x14ac:dyDescent="0.25">
      <c r="A988" s="2"/>
      <c r="E988" s="1"/>
      <c r="F988" s="1"/>
      <c r="G988" s="1"/>
    </row>
    <row r="989" spans="1:7" x14ac:dyDescent="0.25">
      <c r="A989" s="2"/>
      <c r="E989" s="1"/>
      <c r="F989" s="1"/>
      <c r="G989" s="1"/>
    </row>
    <row r="990" spans="1:7" x14ac:dyDescent="0.25">
      <c r="A990" s="2"/>
      <c r="E990" s="1"/>
      <c r="F990" s="1"/>
      <c r="G990" s="1"/>
    </row>
    <row r="991" spans="1:7" x14ac:dyDescent="0.25">
      <c r="A991" s="2"/>
      <c r="E991" s="1"/>
      <c r="F991" s="1"/>
      <c r="G991" s="1"/>
    </row>
    <row r="992" spans="1:7" x14ac:dyDescent="0.25">
      <c r="A992" s="2"/>
      <c r="E992" s="1"/>
      <c r="F992" s="1"/>
      <c r="G992" s="1"/>
    </row>
    <row r="993" spans="1:7" x14ac:dyDescent="0.25">
      <c r="A993" s="2"/>
      <c r="E993" s="1"/>
      <c r="F993" s="1"/>
      <c r="G993" s="1"/>
    </row>
    <row r="994" spans="1:7" x14ac:dyDescent="0.25">
      <c r="A994" s="2"/>
      <c r="E994" s="1"/>
      <c r="F994" s="1"/>
      <c r="G994" s="1"/>
    </row>
    <row r="995" spans="1:7" x14ac:dyDescent="0.25">
      <c r="A995" s="2"/>
      <c r="E995" s="1"/>
      <c r="F995" s="1"/>
      <c r="G995" s="1"/>
    </row>
    <row r="996" spans="1:7" x14ac:dyDescent="0.25">
      <c r="A996" s="2"/>
      <c r="E996" s="1"/>
      <c r="F996" s="1"/>
      <c r="G996" s="1"/>
    </row>
    <row r="997" spans="1:7" x14ac:dyDescent="0.25">
      <c r="A997" s="2"/>
      <c r="E997" s="1"/>
      <c r="F997" s="1"/>
      <c r="G997" s="1"/>
    </row>
    <row r="998" spans="1:7" x14ac:dyDescent="0.25">
      <c r="E998" s="1"/>
      <c r="F998" s="1"/>
      <c r="G998" s="1"/>
    </row>
  </sheetData>
  <sortState xmlns:xlrd2="http://schemas.microsoft.com/office/spreadsheetml/2017/richdata2" ref="N15:O770">
    <sortCondition ref="O15:O770"/>
  </sortState>
  <mergeCells count="2">
    <mergeCell ref="B3:D3"/>
    <mergeCell ref="E3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D1D9-0790-4FF8-87C1-400574E0643A}">
  <sheetPr codeName="Sheet3"/>
  <dimension ref="A1:K772"/>
  <sheetViews>
    <sheetView workbookViewId="0">
      <selection activeCell="E15" sqref="E15"/>
    </sheetView>
  </sheetViews>
  <sheetFormatPr defaultRowHeight="12.5" x14ac:dyDescent="0.25"/>
  <cols>
    <col min="1" max="1" width="16.1796875" customWidth="1"/>
    <col min="2" max="2" width="12.08984375" bestFit="1" customWidth="1"/>
    <col min="3" max="3" width="9.90625" customWidth="1"/>
    <col min="4" max="4" width="12.08984375" bestFit="1" customWidth="1"/>
    <col min="6" max="6" width="9.90625" bestFit="1" customWidth="1"/>
    <col min="9" max="9" width="12.1796875" customWidth="1"/>
  </cols>
  <sheetData>
    <row r="1" spans="1:11" s="11" customFormat="1" ht="13.5" thickBot="1" x14ac:dyDescent="0.35">
      <c r="A1" s="58" t="s">
        <v>12</v>
      </c>
      <c r="G1" s="59" t="s">
        <v>24</v>
      </c>
    </row>
    <row r="2" spans="1:11" ht="13.5" thickBot="1" x14ac:dyDescent="0.35">
      <c r="A2" s="55"/>
      <c r="B2" s="55" t="s">
        <v>0</v>
      </c>
      <c r="C2" s="55" t="s">
        <v>10</v>
      </c>
      <c r="D2" s="55" t="s">
        <v>1</v>
      </c>
      <c r="H2" s="36" t="s">
        <v>0</v>
      </c>
      <c r="I2" s="36" t="s">
        <v>10</v>
      </c>
      <c r="J2" s="36" t="s">
        <v>1</v>
      </c>
    </row>
    <row r="3" spans="1:11" ht="13" thickTop="1" x14ac:dyDescent="0.25">
      <c r="A3" s="53" t="s">
        <v>0</v>
      </c>
      <c r="B3" s="53">
        <f>VARP('1_Hist_sim'!$E$5:$E$760)</f>
        <v>2.8021352701398684E-4</v>
      </c>
      <c r="C3" s="53">
        <f>+B4</f>
        <v>2.383851955958401E-5</v>
      </c>
      <c r="D3" s="53">
        <f>+B5</f>
        <v>1.4341760220329622E-4</v>
      </c>
      <c r="F3" s="16"/>
      <c r="G3" s="60" t="s">
        <v>25</v>
      </c>
      <c r="H3" s="27">
        <f>+AVERAGE('1_Hist_sim'!E5:E760)</f>
        <v>6.5751433224184319E-4</v>
      </c>
      <c r="I3" s="27">
        <f>+AVERAGE('1_Hist_sim'!F5:F760)</f>
        <v>1.1371079657176628E-3</v>
      </c>
      <c r="J3" s="27">
        <f>+AVERAGE('1_Hist_sim'!G5:G760)</f>
        <v>6.1999329804630096E-4</v>
      </c>
    </row>
    <row r="4" spans="1:11" x14ac:dyDescent="0.25">
      <c r="A4" s="53" t="s">
        <v>10</v>
      </c>
      <c r="B4" s="53">
        <f>+_xlfn.COVARIANCE.S('1_Hist_sim'!E5:E760,'1_Hist_sim'!F5:F760)</f>
        <v>2.383851955958401E-5</v>
      </c>
      <c r="C4" s="53">
        <f>VARP('1_Hist_sim'!$F$5:$F$760)</f>
        <v>1.8151901632412811E-4</v>
      </c>
      <c r="D4" s="53">
        <f>+C5</f>
        <v>6.3279566872103405E-5</v>
      </c>
      <c r="F4" s="16"/>
      <c r="G4" s="61" t="s">
        <v>23</v>
      </c>
      <c r="H4" s="27">
        <f>+_xlfn.STDEV.S('1_Hist_sim'!E5:E760)</f>
        <v>1.6750661800608843E-2</v>
      </c>
      <c r="I4" s="27">
        <f>+_xlfn.STDEV.S('1_Hist_sim'!F5:F760)</f>
        <v>1.3481818826193511E-2</v>
      </c>
      <c r="J4" s="27">
        <f>+_xlfn.STDEV.S('1_Hist_sim'!G5:G760)</f>
        <v>2.3325117015275048E-2</v>
      </c>
      <c r="K4" s="12"/>
    </row>
    <row r="5" spans="1:11" ht="13" thickBot="1" x14ac:dyDescent="0.3">
      <c r="A5" s="54" t="s">
        <v>1</v>
      </c>
      <c r="B5" s="54">
        <f>+_xlfn.COVARIANCE.S('1_Hist_sim'!E5:E760,'1_Hist_sim'!G5:G760)</f>
        <v>1.4341760220329622E-4</v>
      </c>
      <c r="C5" s="54">
        <f>+_xlfn.COVARIANCE.S('1_Hist_sim'!F5:F760,'1_Hist_sim'!G5:G760)</f>
        <v>6.3279566872103405E-5</v>
      </c>
      <c r="D5" s="54">
        <f>VARP('1_Hist_sim'!$G$5:$G$760)</f>
        <v>5.4334142625805102E-4</v>
      </c>
      <c r="F5" s="16"/>
      <c r="G5" s="62" t="s">
        <v>26</v>
      </c>
      <c r="H5" s="27">
        <f>-(H3+H4*_xlfn.NORM.S.INV(1-99%))</f>
        <v>3.8310352136381662E-2</v>
      </c>
      <c r="I5" s="27">
        <f t="shared" ref="I5:J5" si="0">-(I3+I4*_xlfn.NORM.S.INV(1-99%))</f>
        <v>3.0226292598801392E-2</v>
      </c>
      <c r="J5" s="27">
        <f t="shared" si="0"/>
        <v>5.3642343082192644E-2</v>
      </c>
      <c r="K5" s="12"/>
    </row>
    <row r="6" spans="1:11" x14ac:dyDescent="0.25">
      <c r="A6" s="2"/>
      <c r="B6" s="20"/>
      <c r="C6" s="20"/>
      <c r="D6" s="20"/>
      <c r="F6" s="16"/>
      <c r="G6" s="30" t="s">
        <v>5</v>
      </c>
      <c r="H6" s="27">
        <f>-(H3-_xlfn.NORM.S.DIST(_xlfn.NORM.S.INV(0.01),FALSE)/(1-99%)*H4)</f>
        <v>4.3986587698944125E-2</v>
      </c>
      <c r="I6" s="27">
        <f t="shared" ref="I6:J6" si="1">-(I3-_xlfn.NORM.S.DIST(_xlfn.NORM.S.INV(0.01),FALSE)/(1-99%)*I4)</f>
        <v>3.4794827285979081E-2</v>
      </c>
      <c r="J6" s="27">
        <f t="shared" si="1"/>
        <v>6.1546440262294673E-2</v>
      </c>
      <c r="K6" s="12"/>
    </row>
    <row r="7" spans="1:11" x14ac:dyDescent="0.25">
      <c r="A7" s="30" t="s">
        <v>20</v>
      </c>
      <c r="B7" s="56">
        <f>AVERAGE('1_Hist_sim'!E5:E760)</f>
        <v>6.5751433224184319E-4</v>
      </c>
      <c r="C7" s="56">
        <f>AVERAGE('1_Hist_sim'!F5:F760)</f>
        <v>1.1371079657176628E-3</v>
      </c>
      <c r="D7" s="56">
        <f>AVERAGE('1_Hist_sim'!G5:G760)</f>
        <v>6.1999329804630096E-4</v>
      </c>
      <c r="F7" s="16"/>
      <c r="G7" s="12"/>
      <c r="H7" s="17"/>
      <c r="I7" s="17"/>
      <c r="J7" s="17"/>
      <c r="K7" s="12"/>
    </row>
    <row r="8" spans="1:11" x14ac:dyDescent="0.25">
      <c r="A8" s="2"/>
      <c r="B8" s="20"/>
      <c r="C8" s="20"/>
      <c r="D8" s="20"/>
      <c r="F8" s="16"/>
      <c r="G8" s="12"/>
      <c r="H8" s="17"/>
      <c r="I8" s="17"/>
      <c r="J8" s="17"/>
      <c r="K8" s="12"/>
    </row>
    <row r="9" spans="1:11" x14ac:dyDescent="0.25">
      <c r="A9" s="30" t="s">
        <v>14</v>
      </c>
      <c r="B9" s="57">
        <f>+'1_Hist_sim'!K9</f>
        <v>0.14389860389765094</v>
      </c>
      <c r="C9" s="57">
        <f>+'1_Hist_sim'!L9</f>
        <v>4.3931957878686805E-2</v>
      </c>
      <c r="D9" s="57">
        <f>+'1_Hist_sim'!M9</f>
        <v>0.81216943822366228</v>
      </c>
      <c r="E9" s="57"/>
      <c r="G9" s="13"/>
      <c r="H9" s="14"/>
      <c r="I9" s="14"/>
      <c r="J9" s="14"/>
    </row>
    <row r="10" spans="1:11" x14ac:dyDescent="0.25">
      <c r="A10" s="2"/>
      <c r="B10" s="20"/>
      <c r="C10" s="20"/>
      <c r="D10" s="20"/>
      <c r="G10" s="13"/>
      <c r="H10" s="21"/>
      <c r="I10" s="21"/>
      <c r="J10" s="21"/>
    </row>
    <row r="11" spans="1:11" x14ac:dyDescent="0.25">
      <c r="A11" s="2"/>
      <c r="B11" s="20"/>
      <c r="C11" s="29"/>
      <c r="D11" s="20"/>
      <c r="G11" s="22"/>
      <c r="H11" s="14"/>
      <c r="I11" s="14"/>
      <c r="J11" s="14"/>
    </row>
    <row r="12" spans="1:11" x14ac:dyDescent="0.25">
      <c r="A12" s="30" t="s">
        <v>21</v>
      </c>
      <c r="B12" s="57">
        <f>+SUMPRODUCT(B9:D9,B7:D7)</f>
        <v>6.4811038228242493E-4</v>
      </c>
      <c r="C12" s="20"/>
      <c r="D12" s="20"/>
      <c r="G12" s="22"/>
      <c r="H12" s="21"/>
      <c r="I12" s="21"/>
      <c r="J12" s="21"/>
    </row>
    <row r="13" spans="1:11" x14ac:dyDescent="0.25">
      <c r="A13" s="30" t="s">
        <v>22</v>
      </c>
      <c r="B13" s="57" cm="1">
        <f t="array" ref="B13">+MMULT(MMULT(B9:D9,B3:D5),TRANSPOSE(B9:D9))</f>
        <v>4.0289059825989528E-4</v>
      </c>
      <c r="C13" s="29"/>
      <c r="D13" s="20"/>
    </row>
    <row r="14" spans="1:11" x14ac:dyDescent="0.25">
      <c r="A14" s="30" t="s">
        <v>23</v>
      </c>
      <c r="B14" s="57">
        <f>+B13^0.5</f>
        <v>2.0072134870508799E-2</v>
      </c>
      <c r="C14" s="20"/>
      <c r="D14" s="20"/>
    </row>
    <row r="15" spans="1:11" x14ac:dyDescent="0.25">
      <c r="A15" s="2"/>
      <c r="B15" s="20"/>
      <c r="C15" s="20"/>
      <c r="D15" s="20"/>
    </row>
    <row r="16" spans="1:11" x14ac:dyDescent="0.25">
      <c r="A16" s="30" t="s">
        <v>4</v>
      </c>
      <c r="B16" s="57">
        <f>-(B12+_xlfn.NORM.S.INV(0.01)*B14)</f>
        <v>4.6046657901186741E-2</v>
      </c>
      <c r="C16" s="29"/>
      <c r="D16" s="20"/>
    </row>
    <row r="17" spans="1:4" x14ac:dyDescent="0.25">
      <c r="A17" s="30" t="s">
        <v>5</v>
      </c>
      <c r="B17" s="57">
        <f>-(B12-_xlfn.NORM.S.DIST(_xlfn.NORM.S.INV(0.01),FALSE)/(1-99%)*B14)</f>
        <v>5.2848428907296539E-2</v>
      </c>
      <c r="C17" s="20"/>
      <c r="D17" s="20"/>
    </row>
    <row r="18" spans="1:4" x14ac:dyDescent="0.25">
      <c r="A18" s="2"/>
      <c r="B18" s="20"/>
      <c r="C18" s="29"/>
      <c r="D18" s="20"/>
    </row>
    <row r="19" spans="1:4" x14ac:dyDescent="0.25">
      <c r="A19" s="2"/>
      <c r="B19" s="20"/>
      <c r="C19" s="20"/>
      <c r="D19" s="20"/>
    </row>
    <row r="20" spans="1:4" x14ac:dyDescent="0.25">
      <c r="A20" s="2"/>
      <c r="B20" s="20"/>
      <c r="C20" s="29"/>
      <c r="D20" s="20"/>
    </row>
    <row r="21" spans="1:4" x14ac:dyDescent="0.25">
      <c r="A21" s="2"/>
      <c r="B21" s="20"/>
      <c r="C21" s="20"/>
      <c r="D21" s="20"/>
    </row>
    <row r="22" spans="1:4" x14ac:dyDescent="0.25">
      <c r="A22" s="2"/>
      <c r="B22" s="20"/>
      <c r="C22" s="20"/>
      <c r="D22" s="20"/>
    </row>
    <row r="23" spans="1:4" x14ac:dyDescent="0.25">
      <c r="A23" s="2"/>
      <c r="B23" s="20"/>
      <c r="C23" s="20"/>
      <c r="D23" s="20"/>
    </row>
    <row r="24" spans="1:4" x14ac:dyDescent="0.25">
      <c r="A24" s="2"/>
      <c r="B24" s="20"/>
      <c r="C24" s="29"/>
      <c r="D24" s="20"/>
    </row>
    <row r="25" spans="1:4" x14ac:dyDescent="0.25">
      <c r="A25" s="2"/>
      <c r="B25" s="20"/>
      <c r="C25" s="20"/>
      <c r="D25" s="20"/>
    </row>
    <row r="26" spans="1:4" x14ac:dyDescent="0.25">
      <c r="A26" s="2"/>
      <c r="B26" s="20"/>
      <c r="C26" s="20"/>
      <c r="D26" s="20"/>
    </row>
    <row r="27" spans="1:4" x14ac:dyDescent="0.25">
      <c r="A27" s="2"/>
      <c r="B27" s="20"/>
      <c r="C27" s="20"/>
      <c r="D27" s="20"/>
    </row>
    <row r="28" spans="1:4" x14ac:dyDescent="0.25">
      <c r="A28" s="2"/>
      <c r="B28" s="20"/>
      <c r="C28" s="20"/>
      <c r="D28" s="20"/>
    </row>
    <row r="29" spans="1:4" x14ac:dyDescent="0.25">
      <c r="A29" s="2"/>
      <c r="B29" s="20"/>
      <c r="C29" s="20"/>
      <c r="D29" s="20"/>
    </row>
    <row r="30" spans="1:4" x14ac:dyDescent="0.25">
      <c r="A30" s="2"/>
      <c r="B30" s="20"/>
      <c r="C30" s="29"/>
      <c r="D30" s="20"/>
    </row>
    <row r="31" spans="1:4" x14ac:dyDescent="0.25">
      <c r="A31" s="2"/>
      <c r="B31" s="20"/>
      <c r="C31" s="20"/>
      <c r="D31" s="20"/>
    </row>
    <row r="32" spans="1:4" x14ac:dyDescent="0.25">
      <c r="A32" s="2"/>
      <c r="B32" s="20"/>
      <c r="C32" s="29"/>
      <c r="D32" s="20"/>
    </row>
    <row r="33" spans="1:4" x14ac:dyDescent="0.25">
      <c r="A33" s="2"/>
      <c r="B33" s="20"/>
      <c r="C33" s="29"/>
      <c r="D33" s="20"/>
    </row>
    <row r="34" spans="1:4" x14ac:dyDescent="0.25">
      <c r="A34" s="2"/>
      <c r="B34" s="20"/>
      <c r="C34" s="29"/>
      <c r="D34" s="20"/>
    </row>
    <row r="35" spans="1:4" x14ac:dyDescent="0.25">
      <c r="A35" s="2"/>
      <c r="B35" s="20"/>
      <c r="C35" s="20"/>
      <c r="D35" s="20"/>
    </row>
    <row r="36" spans="1:4" x14ac:dyDescent="0.25">
      <c r="A36" s="2"/>
      <c r="B36" s="20"/>
      <c r="C36" s="20"/>
      <c r="D36" s="20"/>
    </row>
    <row r="37" spans="1:4" x14ac:dyDescent="0.25">
      <c r="A37" s="2"/>
      <c r="B37" s="20"/>
      <c r="C37" s="20"/>
      <c r="D37" s="20"/>
    </row>
    <row r="38" spans="1:4" x14ac:dyDescent="0.25">
      <c r="A38" s="2"/>
      <c r="B38" s="20"/>
      <c r="C38" s="20"/>
      <c r="D38" s="20"/>
    </row>
    <row r="39" spans="1:4" x14ac:dyDescent="0.25">
      <c r="A39" s="2"/>
      <c r="B39" s="20"/>
      <c r="C39" s="29"/>
      <c r="D39" s="20"/>
    </row>
    <row r="40" spans="1:4" x14ac:dyDescent="0.25">
      <c r="A40" s="2"/>
      <c r="B40" s="20"/>
      <c r="C40" s="29"/>
      <c r="D40" s="20"/>
    </row>
    <row r="41" spans="1:4" x14ac:dyDescent="0.25">
      <c r="A41" s="2"/>
      <c r="B41" s="20"/>
      <c r="C41" s="29"/>
      <c r="D41" s="20"/>
    </row>
    <row r="42" spans="1:4" x14ac:dyDescent="0.25">
      <c r="A42" s="2"/>
      <c r="B42" s="20"/>
      <c r="C42" s="29"/>
      <c r="D42" s="20"/>
    </row>
    <row r="43" spans="1:4" x14ac:dyDescent="0.25">
      <c r="A43" s="2"/>
      <c r="B43" s="20"/>
      <c r="C43" s="20"/>
      <c r="D43" s="20"/>
    </row>
    <row r="44" spans="1:4" x14ac:dyDescent="0.25">
      <c r="A44" s="2"/>
      <c r="B44" s="20"/>
      <c r="C44" s="20"/>
      <c r="D44" s="20"/>
    </row>
    <row r="45" spans="1:4" x14ac:dyDescent="0.25">
      <c r="A45" s="2"/>
      <c r="B45" s="20"/>
      <c r="C45" s="20"/>
      <c r="D45" s="20"/>
    </row>
    <row r="46" spans="1:4" x14ac:dyDescent="0.25">
      <c r="A46" s="2"/>
      <c r="B46" s="20"/>
      <c r="C46" s="20"/>
      <c r="D46" s="20"/>
    </row>
    <row r="47" spans="1:4" x14ac:dyDescent="0.25">
      <c r="A47" s="2"/>
      <c r="B47" s="20"/>
      <c r="C47" s="20"/>
      <c r="D47" s="20"/>
    </row>
    <row r="48" spans="1:4" x14ac:dyDescent="0.25">
      <c r="A48" s="2"/>
      <c r="B48" s="20"/>
      <c r="C48" s="20"/>
      <c r="D48" s="20"/>
    </row>
    <row r="49" spans="1:4" x14ac:dyDescent="0.25">
      <c r="A49" s="2"/>
      <c r="B49" s="20"/>
      <c r="C49" s="20"/>
      <c r="D49" s="20"/>
    </row>
    <row r="50" spans="1:4" x14ac:dyDescent="0.25">
      <c r="A50" s="2"/>
      <c r="B50" s="20"/>
      <c r="C50" s="20"/>
      <c r="D50" s="20"/>
    </row>
    <row r="51" spans="1:4" x14ac:dyDescent="0.25">
      <c r="A51" s="2"/>
      <c r="B51" s="20"/>
      <c r="C51" s="20"/>
      <c r="D51" s="20"/>
    </row>
    <row r="52" spans="1:4" x14ac:dyDescent="0.25">
      <c r="A52" s="2"/>
      <c r="B52" s="20"/>
      <c r="C52" s="20"/>
      <c r="D52" s="20"/>
    </row>
    <row r="53" spans="1:4" x14ac:dyDescent="0.25">
      <c r="A53" s="2"/>
      <c r="B53" s="20"/>
      <c r="C53" s="29"/>
      <c r="D53" s="20"/>
    </row>
    <row r="54" spans="1:4" x14ac:dyDescent="0.25">
      <c r="A54" s="2"/>
      <c r="B54" s="20"/>
      <c r="C54" s="20"/>
      <c r="D54" s="20"/>
    </row>
    <row r="55" spans="1:4" x14ac:dyDescent="0.25">
      <c r="A55" s="2"/>
      <c r="B55" s="20"/>
      <c r="C55" s="20"/>
      <c r="D55" s="20"/>
    </row>
    <row r="56" spans="1:4" x14ac:dyDescent="0.25">
      <c r="A56" s="2"/>
      <c r="B56" s="20"/>
      <c r="C56" s="20"/>
      <c r="D56" s="20"/>
    </row>
    <row r="57" spans="1:4" x14ac:dyDescent="0.25">
      <c r="A57" s="2"/>
      <c r="B57" s="20"/>
      <c r="C57" s="20"/>
      <c r="D57" s="20"/>
    </row>
    <row r="58" spans="1:4" x14ac:dyDescent="0.25">
      <c r="A58" s="2"/>
      <c r="B58" s="20"/>
      <c r="C58" s="20"/>
      <c r="D58" s="20"/>
    </row>
    <row r="59" spans="1:4" x14ac:dyDescent="0.25">
      <c r="A59" s="2"/>
      <c r="B59" s="20"/>
      <c r="C59" s="20"/>
      <c r="D59" s="20"/>
    </row>
    <row r="60" spans="1:4" x14ac:dyDescent="0.25">
      <c r="A60" s="2"/>
      <c r="B60" s="20"/>
      <c r="C60" s="20"/>
      <c r="D60" s="20"/>
    </row>
    <row r="61" spans="1:4" x14ac:dyDescent="0.25">
      <c r="A61" s="2"/>
      <c r="B61" s="20"/>
      <c r="C61" s="29"/>
      <c r="D61" s="20"/>
    </row>
    <row r="62" spans="1:4" x14ac:dyDescent="0.25">
      <c r="A62" s="2"/>
      <c r="B62" s="20"/>
      <c r="C62" s="20"/>
      <c r="D62" s="20"/>
    </row>
    <row r="63" spans="1:4" x14ac:dyDescent="0.25">
      <c r="A63" s="2"/>
      <c r="B63" s="20"/>
      <c r="C63" s="29"/>
      <c r="D63" s="20"/>
    </row>
    <row r="64" spans="1:4" x14ac:dyDescent="0.25">
      <c r="A64" s="2"/>
      <c r="B64" s="20"/>
      <c r="C64" s="20"/>
      <c r="D64" s="20"/>
    </row>
    <row r="65" spans="1:4" x14ac:dyDescent="0.25">
      <c r="A65" s="2"/>
      <c r="B65" s="20"/>
      <c r="C65" s="20"/>
      <c r="D65" s="20"/>
    </row>
    <row r="66" spans="1:4" x14ac:dyDescent="0.25">
      <c r="A66" s="2"/>
      <c r="B66" s="20"/>
      <c r="C66" s="20"/>
      <c r="D66" s="20"/>
    </row>
    <row r="67" spans="1:4" x14ac:dyDescent="0.25">
      <c r="A67" s="2"/>
      <c r="B67" s="20"/>
      <c r="C67" s="29"/>
      <c r="D67" s="20"/>
    </row>
    <row r="68" spans="1:4" x14ac:dyDescent="0.25">
      <c r="A68" s="2"/>
      <c r="B68" s="20"/>
      <c r="C68" s="20"/>
      <c r="D68" s="20"/>
    </row>
    <row r="69" spans="1:4" x14ac:dyDescent="0.25">
      <c r="A69" s="2"/>
      <c r="B69" s="20"/>
      <c r="C69" s="29"/>
      <c r="D69" s="20"/>
    </row>
    <row r="70" spans="1:4" x14ac:dyDescent="0.25">
      <c r="A70" s="2"/>
      <c r="B70" s="20"/>
      <c r="C70" s="29"/>
      <c r="D70" s="20"/>
    </row>
    <row r="71" spans="1:4" x14ac:dyDescent="0.25">
      <c r="A71" s="2"/>
      <c r="B71" s="20"/>
      <c r="C71" s="20"/>
      <c r="D71" s="20"/>
    </row>
    <row r="72" spans="1:4" x14ac:dyDescent="0.25">
      <c r="A72" s="2"/>
      <c r="B72" s="20"/>
      <c r="C72" s="20"/>
      <c r="D72" s="20"/>
    </row>
    <row r="73" spans="1:4" x14ac:dyDescent="0.25">
      <c r="A73" s="2"/>
      <c r="B73" s="20"/>
      <c r="C73" s="20"/>
      <c r="D73" s="20"/>
    </row>
    <row r="74" spans="1:4" x14ac:dyDescent="0.25">
      <c r="A74" s="2"/>
      <c r="B74" s="20"/>
      <c r="C74" s="20"/>
      <c r="D74" s="20"/>
    </row>
    <row r="75" spans="1:4" x14ac:dyDescent="0.25">
      <c r="A75" s="2"/>
      <c r="B75" s="20"/>
      <c r="C75" s="29"/>
      <c r="D75" s="20"/>
    </row>
    <row r="76" spans="1:4" x14ac:dyDescent="0.25">
      <c r="A76" s="2"/>
      <c r="B76" s="20"/>
      <c r="C76" s="20"/>
      <c r="D76" s="20"/>
    </row>
    <row r="77" spans="1:4" x14ac:dyDescent="0.25">
      <c r="A77" s="2"/>
      <c r="B77" s="20"/>
      <c r="C77" s="29"/>
      <c r="D77" s="20"/>
    </row>
    <row r="78" spans="1:4" x14ac:dyDescent="0.25">
      <c r="A78" s="2"/>
      <c r="B78" s="20"/>
      <c r="C78" s="20"/>
      <c r="D78" s="20"/>
    </row>
    <row r="79" spans="1:4" x14ac:dyDescent="0.25">
      <c r="A79" s="2"/>
      <c r="B79" s="20"/>
      <c r="C79" s="20"/>
      <c r="D79" s="20"/>
    </row>
    <row r="80" spans="1:4" x14ac:dyDescent="0.25">
      <c r="A80" s="2"/>
      <c r="B80" s="20"/>
      <c r="C80" s="20"/>
      <c r="D80" s="20"/>
    </row>
    <row r="81" spans="1:4" x14ac:dyDescent="0.25">
      <c r="A81" s="2"/>
      <c r="B81" s="20"/>
      <c r="C81" s="20"/>
      <c r="D81" s="20"/>
    </row>
    <row r="82" spans="1:4" x14ac:dyDescent="0.25">
      <c r="A82" s="2"/>
      <c r="B82" s="20"/>
      <c r="C82" s="20"/>
      <c r="D82" s="20"/>
    </row>
    <row r="83" spans="1:4" x14ac:dyDescent="0.25">
      <c r="A83" s="2"/>
      <c r="B83" s="20"/>
      <c r="C83" s="20"/>
      <c r="D83" s="20"/>
    </row>
    <row r="84" spans="1:4" x14ac:dyDescent="0.25">
      <c r="A84" s="2"/>
      <c r="B84" s="20"/>
      <c r="C84" s="20"/>
      <c r="D84" s="20"/>
    </row>
    <row r="85" spans="1:4" x14ac:dyDescent="0.25">
      <c r="A85" s="2"/>
      <c r="B85" s="20"/>
      <c r="C85" s="20"/>
      <c r="D85" s="20"/>
    </row>
    <row r="86" spans="1:4" x14ac:dyDescent="0.25">
      <c r="A86" s="2"/>
      <c r="B86" s="20"/>
      <c r="C86" s="20"/>
      <c r="D86" s="20"/>
    </row>
    <row r="87" spans="1:4" x14ac:dyDescent="0.25">
      <c r="A87" s="2"/>
      <c r="B87" s="20"/>
      <c r="C87" s="20"/>
      <c r="D87" s="20"/>
    </row>
    <row r="88" spans="1:4" x14ac:dyDescent="0.25">
      <c r="A88" s="2"/>
      <c r="B88" s="20"/>
      <c r="C88" s="20"/>
      <c r="D88" s="20"/>
    </row>
    <row r="89" spans="1:4" x14ac:dyDescent="0.25">
      <c r="A89" s="2"/>
      <c r="B89" s="20"/>
      <c r="C89" s="20"/>
      <c r="D89" s="20"/>
    </row>
    <row r="90" spans="1:4" x14ac:dyDescent="0.25">
      <c r="A90" s="2"/>
      <c r="B90" s="20"/>
      <c r="C90" s="20"/>
      <c r="D90" s="20"/>
    </row>
    <row r="91" spans="1:4" x14ac:dyDescent="0.25">
      <c r="A91" s="2"/>
      <c r="B91" s="20"/>
      <c r="C91" s="29"/>
      <c r="D91" s="20"/>
    </row>
    <row r="92" spans="1:4" x14ac:dyDescent="0.25">
      <c r="A92" s="2"/>
      <c r="B92" s="20"/>
      <c r="C92" s="20"/>
      <c r="D92" s="20"/>
    </row>
    <row r="93" spans="1:4" x14ac:dyDescent="0.25">
      <c r="A93" s="2"/>
      <c r="B93" s="20"/>
      <c r="C93" s="20"/>
      <c r="D93" s="20"/>
    </row>
    <row r="94" spans="1:4" x14ac:dyDescent="0.25">
      <c r="A94" s="2"/>
      <c r="B94" s="20"/>
      <c r="C94" s="29"/>
      <c r="D94" s="20"/>
    </row>
    <row r="95" spans="1:4" x14ac:dyDescent="0.25">
      <c r="A95" s="2"/>
      <c r="B95" s="20"/>
      <c r="C95" s="29"/>
      <c r="D95" s="20"/>
    </row>
    <row r="96" spans="1:4" x14ac:dyDescent="0.25">
      <c r="A96" s="2"/>
      <c r="B96" s="20"/>
      <c r="C96" s="20"/>
      <c r="D96" s="20"/>
    </row>
    <row r="97" spans="1:4" x14ac:dyDescent="0.25">
      <c r="A97" s="2"/>
      <c r="B97" s="20"/>
      <c r="C97" s="29"/>
      <c r="D97" s="20"/>
    </row>
    <row r="98" spans="1:4" x14ac:dyDescent="0.25">
      <c r="A98" s="2"/>
      <c r="B98" s="20"/>
      <c r="C98" s="20"/>
      <c r="D98" s="20"/>
    </row>
    <row r="99" spans="1:4" x14ac:dyDescent="0.25">
      <c r="A99" s="2"/>
      <c r="B99" s="20"/>
      <c r="C99" s="29"/>
      <c r="D99" s="20"/>
    </row>
    <row r="100" spans="1:4" x14ac:dyDescent="0.25">
      <c r="A100" s="2"/>
      <c r="B100" s="20"/>
      <c r="C100" s="20"/>
      <c r="D100" s="20"/>
    </row>
    <row r="101" spans="1:4" x14ac:dyDescent="0.25">
      <c r="A101" s="2"/>
      <c r="B101" s="20"/>
      <c r="C101" s="20"/>
      <c r="D101" s="20"/>
    </row>
    <row r="102" spans="1:4" x14ac:dyDescent="0.25">
      <c r="A102" s="2"/>
      <c r="B102" s="20"/>
      <c r="C102" s="29"/>
      <c r="D102" s="20"/>
    </row>
    <row r="103" spans="1:4" x14ac:dyDescent="0.25">
      <c r="A103" s="2"/>
      <c r="B103" s="20"/>
      <c r="C103" s="29"/>
      <c r="D103" s="20"/>
    </row>
    <row r="104" spans="1:4" x14ac:dyDescent="0.25">
      <c r="A104" s="2"/>
      <c r="B104" s="20"/>
      <c r="C104" s="20"/>
      <c r="D104" s="20"/>
    </row>
    <row r="105" spans="1:4" x14ac:dyDescent="0.25">
      <c r="A105" s="2"/>
      <c r="B105" s="20"/>
      <c r="C105" s="20"/>
      <c r="D105" s="20"/>
    </row>
    <row r="106" spans="1:4" x14ac:dyDescent="0.25">
      <c r="A106" s="2"/>
      <c r="B106" s="20"/>
      <c r="C106" s="20"/>
      <c r="D106" s="20"/>
    </row>
    <row r="107" spans="1:4" x14ac:dyDescent="0.25">
      <c r="A107" s="2"/>
      <c r="B107" s="20"/>
      <c r="C107" s="20"/>
      <c r="D107" s="20"/>
    </row>
    <row r="108" spans="1:4" x14ac:dyDescent="0.25">
      <c r="A108" s="2"/>
      <c r="B108" s="20"/>
      <c r="C108" s="29"/>
      <c r="D108" s="20"/>
    </row>
    <row r="109" spans="1:4" x14ac:dyDescent="0.25">
      <c r="A109" s="2"/>
      <c r="B109" s="20"/>
      <c r="C109" s="20"/>
      <c r="D109" s="20"/>
    </row>
    <row r="110" spans="1:4" x14ac:dyDescent="0.25">
      <c r="A110" s="2"/>
      <c r="B110" s="20"/>
      <c r="C110" s="20"/>
      <c r="D110" s="20"/>
    </row>
    <row r="111" spans="1:4" x14ac:dyDescent="0.25">
      <c r="A111" s="2"/>
      <c r="B111" s="20"/>
      <c r="C111" s="20"/>
      <c r="D111" s="20"/>
    </row>
    <row r="112" spans="1:4" x14ac:dyDescent="0.25">
      <c r="A112" s="2"/>
      <c r="B112" s="20"/>
      <c r="C112" s="20"/>
      <c r="D112" s="20"/>
    </row>
    <row r="113" spans="1:4" x14ac:dyDescent="0.25">
      <c r="A113" s="2"/>
      <c r="B113" s="20"/>
      <c r="C113" s="20"/>
      <c r="D113" s="20"/>
    </row>
    <row r="114" spans="1:4" x14ac:dyDescent="0.25">
      <c r="A114" s="2"/>
      <c r="B114" s="20"/>
      <c r="C114" s="20"/>
      <c r="D114" s="20"/>
    </row>
    <row r="115" spans="1:4" x14ac:dyDescent="0.25">
      <c r="A115" s="2"/>
      <c r="B115" s="20"/>
      <c r="C115" s="20"/>
      <c r="D115" s="20"/>
    </row>
    <row r="116" spans="1:4" x14ac:dyDescent="0.25">
      <c r="A116" s="2"/>
      <c r="B116" s="20"/>
      <c r="C116" s="20"/>
      <c r="D116" s="20"/>
    </row>
    <row r="117" spans="1:4" x14ac:dyDescent="0.25">
      <c r="A117" s="2"/>
      <c r="B117" s="20"/>
      <c r="C117" s="20"/>
      <c r="D117" s="20"/>
    </row>
    <row r="118" spans="1:4" x14ac:dyDescent="0.25">
      <c r="A118" s="2"/>
      <c r="B118" s="20"/>
      <c r="C118" s="29"/>
      <c r="D118" s="20"/>
    </row>
    <row r="119" spans="1:4" x14ac:dyDescent="0.25">
      <c r="A119" s="2"/>
      <c r="B119" s="20"/>
      <c r="C119" s="20"/>
      <c r="D119" s="20"/>
    </row>
    <row r="120" spans="1:4" x14ac:dyDescent="0.25">
      <c r="A120" s="2"/>
      <c r="B120" s="20"/>
      <c r="C120" s="29"/>
      <c r="D120" s="20"/>
    </row>
    <row r="121" spans="1:4" x14ac:dyDescent="0.25">
      <c r="A121" s="2"/>
      <c r="B121" s="20"/>
      <c r="C121" s="29"/>
      <c r="D121" s="20"/>
    </row>
    <row r="122" spans="1:4" x14ac:dyDescent="0.25">
      <c r="A122" s="2"/>
      <c r="B122" s="20"/>
      <c r="C122" s="29"/>
      <c r="D122" s="20"/>
    </row>
    <row r="123" spans="1:4" x14ac:dyDescent="0.25">
      <c r="A123" s="2"/>
      <c r="B123" s="20"/>
      <c r="C123" s="29"/>
      <c r="D123" s="20"/>
    </row>
    <row r="124" spans="1:4" x14ac:dyDescent="0.25">
      <c r="A124" s="2"/>
      <c r="B124" s="20"/>
      <c r="C124" s="20"/>
      <c r="D124" s="20"/>
    </row>
    <row r="125" spans="1:4" x14ac:dyDescent="0.25">
      <c r="A125" s="2"/>
      <c r="B125" s="20"/>
      <c r="C125" s="20"/>
      <c r="D125" s="20"/>
    </row>
    <row r="126" spans="1:4" x14ac:dyDescent="0.25">
      <c r="A126" s="2"/>
      <c r="B126" s="20"/>
      <c r="C126" s="20"/>
      <c r="D126" s="20"/>
    </row>
    <row r="127" spans="1:4" x14ac:dyDescent="0.25">
      <c r="A127" s="2"/>
      <c r="B127" s="20"/>
      <c r="C127" s="20"/>
      <c r="D127" s="20"/>
    </row>
    <row r="128" spans="1:4" x14ac:dyDescent="0.25">
      <c r="A128" s="2"/>
      <c r="B128" s="20"/>
      <c r="C128" s="20"/>
      <c r="D128" s="20"/>
    </row>
    <row r="129" spans="1:4" x14ac:dyDescent="0.25">
      <c r="A129" s="2"/>
      <c r="B129" s="20"/>
      <c r="C129" s="20"/>
      <c r="D129" s="20"/>
    </row>
    <row r="130" spans="1:4" x14ac:dyDescent="0.25">
      <c r="A130" s="2"/>
      <c r="B130" s="20"/>
      <c r="C130" s="29"/>
      <c r="D130" s="20"/>
    </row>
    <row r="131" spans="1:4" x14ac:dyDescent="0.25">
      <c r="A131" s="2"/>
      <c r="B131" s="20"/>
      <c r="C131" s="29"/>
      <c r="D131" s="20"/>
    </row>
    <row r="132" spans="1:4" x14ac:dyDescent="0.25">
      <c r="A132" s="2"/>
      <c r="B132" s="20"/>
      <c r="C132" s="29"/>
      <c r="D132" s="20"/>
    </row>
    <row r="133" spans="1:4" x14ac:dyDescent="0.25">
      <c r="A133" s="2"/>
      <c r="B133" s="20"/>
      <c r="C133" s="29"/>
      <c r="D133" s="20"/>
    </row>
    <row r="134" spans="1:4" x14ac:dyDescent="0.25">
      <c r="A134" s="2"/>
      <c r="B134" s="20"/>
      <c r="C134" s="29"/>
      <c r="D134" s="20"/>
    </row>
    <row r="135" spans="1:4" x14ac:dyDescent="0.25">
      <c r="A135" s="2"/>
      <c r="B135" s="20"/>
      <c r="C135" s="20"/>
      <c r="D135" s="20"/>
    </row>
    <row r="136" spans="1:4" x14ac:dyDescent="0.25">
      <c r="A136" s="2"/>
      <c r="B136" s="20"/>
      <c r="C136" s="29"/>
      <c r="D136" s="20"/>
    </row>
    <row r="137" spans="1:4" x14ac:dyDescent="0.25">
      <c r="A137" s="2"/>
      <c r="B137" s="20"/>
      <c r="C137" s="29"/>
      <c r="D137" s="20"/>
    </row>
    <row r="138" spans="1:4" x14ac:dyDescent="0.25">
      <c r="A138" s="2"/>
      <c r="B138" s="20"/>
      <c r="C138" s="20"/>
      <c r="D138" s="20"/>
    </row>
    <row r="139" spans="1:4" x14ac:dyDescent="0.25">
      <c r="A139" s="2"/>
      <c r="B139" s="20"/>
      <c r="C139" s="20"/>
      <c r="D139" s="20"/>
    </row>
    <row r="140" spans="1:4" x14ac:dyDescent="0.25">
      <c r="A140" s="2"/>
      <c r="B140" s="20"/>
      <c r="C140" s="29"/>
      <c r="D140" s="20"/>
    </row>
    <row r="141" spans="1:4" x14ac:dyDescent="0.25">
      <c r="A141" s="2"/>
      <c r="B141" s="20"/>
      <c r="C141" s="29"/>
      <c r="D141" s="20"/>
    </row>
    <row r="142" spans="1:4" x14ac:dyDescent="0.25">
      <c r="A142" s="2"/>
      <c r="B142" s="20"/>
      <c r="C142" s="20"/>
      <c r="D142" s="20"/>
    </row>
    <row r="143" spans="1:4" x14ac:dyDescent="0.25">
      <c r="A143" s="2"/>
      <c r="B143" s="20"/>
      <c r="C143" s="20"/>
      <c r="D143" s="20"/>
    </row>
    <row r="144" spans="1:4" x14ac:dyDescent="0.25">
      <c r="A144" s="2"/>
      <c r="B144" s="20"/>
      <c r="C144" s="20"/>
      <c r="D144" s="20"/>
    </row>
    <row r="145" spans="1:4" x14ac:dyDescent="0.25">
      <c r="A145" s="2"/>
      <c r="B145" s="20"/>
      <c r="C145" s="20"/>
      <c r="D145" s="20"/>
    </row>
    <row r="146" spans="1:4" x14ac:dyDescent="0.25">
      <c r="A146" s="2"/>
      <c r="B146" s="20"/>
      <c r="C146" s="29"/>
      <c r="D146" s="20"/>
    </row>
    <row r="147" spans="1:4" x14ac:dyDescent="0.25">
      <c r="A147" s="2"/>
      <c r="B147" s="20"/>
      <c r="C147" s="20"/>
      <c r="D147" s="20"/>
    </row>
    <row r="148" spans="1:4" x14ac:dyDescent="0.25">
      <c r="A148" s="2"/>
      <c r="B148" s="20"/>
      <c r="C148" s="20"/>
      <c r="D148" s="20"/>
    </row>
    <row r="149" spans="1:4" x14ac:dyDescent="0.25">
      <c r="A149" s="2"/>
      <c r="B149" s="20"/>
      <c r="C149" s="20"/>
      <c r="D149" s="20"/>
    </row>
    <row r="150" spans="1:4" x14ac:dyDescent="0.25">
      <c r="A150" s="2"/>
      <c r="B150" s="20"/>
      <c r="C150" s="20"/>
      <c r="D150" s="20"/>
    </row>
    <row r="151" spans="1:4" x14ac:dyDescent="0.25">
      <c r="A151" s="2"/>
      <c r="B151" s="20"/>
      <c r="C151" s="20"/>
      <c r="D151" s="20"/>
    </row>
    <row r="152" spans="1:4" x14ac:dyDescent="0.25">
      <c r="A152" s="2"/>
      <c r="B152" s="20"/>
      <c r="C152" s="20"/>
      <c r="D152" s="20"/>
    </row>
    <row r="153" spans="1:4" x14ac:dyDescent="0.25">
      <c r="A153" s="2"/>
      <c r="B153" s="20"/>
      <c r="C153" s="29"/>
      <c r="D153" s="20"/>
    </row>
    <row r="154" spans="1:4" x14ac:dyDescent="0.25">
      <c r="A154" s="2"/>
      <c r="B154" s="20"/>
      <c r="C154" s="20"/>
      <c r="D154" s="20"/>
    </row>
    <row r="155" spans="1:4" x14ac:dyDescent="0.25">
      <c r="A155" s="2"/>
      <c r="B155" s="20"/>
      <c r="C155" s="20"/>
      <c r="D155" s="20"/>
    </row>
    <row r="156" spans="1:4" x14ac:dyDescent="0.25">
      <c r="A156" s="2"/>
      <c r="B156" s="20"/>
      <c r="C156" s="29"/>
      <c r="D156" s="20"/>
    </row>
    <row r="157" spans="1:4" x14ac:dyDescent="0.25">
      <c r="A157" s="2"/>
      <c r="B157" s="20"/>
      <c r="C157" s="20"/>
      <c r="D157" s="20"/>
    </row>
    <row r="158" spans="1:4" x14ac:dyDescent="0.25">
      <c r="A158" s="2"/>
      <c r="B158" s="20"/>
      <c r="C158" s="20"/>
      <c r="D158" s="20"/>
    </row>
    <row r="159" spans="1:4" x14ac:dyDescent="0.25">
      <c r="A159" s="2"/>
      <c r="B159" s="20"/>
      <c r="C159" s="20"/>
      <c r="D159" s="20"/>
    </row>
    <row r="160" spans="1:4" x14ac:dyDescent="0.25">
      <c r="A160" s="2"/>
      <c r="B160" s="20"/>
      <c r="C160" s="20"/>
      <c r="D160" s="20"/>
    </row>
    <row r="161" spans="1:4" x14ac:dyDescent="0.25">
      <c r="A161" s="2"/>
      <c r="B161" s="20"/>
      <c r="C161" s="20"/>
      <c r="D161" s="20"/>
    </row>
    <row r="162" spans="1:4" x14ac:dyDescent="0.25">
      <c r="A162" s="2"/>
      <c r="B162" s="20"/>
      <c r="C162" s="20"/>
      <c r="D162" s="20"/>
    </row>
    <row r="163" spans="1:4" x14ac:dyDescent="0.25">
      <c r="A163" s="2"/>
      <c r="B163" s="20"/>
      <c r="C163" s="20"/>
      <c r="D163" s="20"/>
    </row>
    <row r="164" spans="1:4" x14ac:dyDescent="0.25">
      <c r="A164" s="2"/>
      <c r="B164" s="20"/>
      <c r="C164" s="20"/>
      <c r="D164" s="20"/>
    </row>
    <row r="165" spans="1:4" x14ac:dyDescent="0.25">
      <c r="A165" s="2"/>
      <c r="B165" s="20"/>
      <c r="C165" s="20"/>
      <c r="D165" s="20"/>
    </row>
    <row r="166" spans="1:4" x14ac:dyDescent="0.25">
      <c r="A166" s="2"/>
      <c r="B166" s="20"/>
      <c r="C166" s="20"/>
      <c r="D166" s="20"/>
    </row>
    <row r="167" spans="1:4" x14ac:dyDescent="0.25">
      <c r="A167" s="2"/>
      <c r="B167" s="20"/>
      <c r="C167" s="29"/>
      <c r="D167" s="20"/>
    </row>
    <row r="168" spans="1:4" x14ac:dyDescent="0.25">
      <c r="A168" s="2"/>
      <c r="B168" s="20"/>
      <c r="C168" s="20"/>
      <c r="D168" s="20"/>
    </row>
    <row r="169" spans="1:4" x14ac:dyDescent="0.25">
      <c r="A169" s="2"/>
      <c r="B169" s="20"/>
      <c r="C169" s="20"/>
      <c r="D169" s="20"/>
    </row>
    <row r="170" spans="1:4" x14ac:dyDescent="0.25">
      <c r="A170" s="2"/>
      <c r="B170" s="20"/>
      <c r="C170" s="20"/>
      <c r="D170" s="20"/>
    </row>
    <row r="171" spans="1:4" x14ac:dyDescent="0.25">
      <c r="A171" s="2"/>
      <c r="B171" s="20"/>
      <c r="C171" s="20"/>
      <c r="D171" s="20"/>
    </row>
    <row r="172" spans="1:4" x14ac:dyDescent="0.25">
      <c r="A172" s="2"/>
      <c r="B172" s="20"/>
      <c r="C172" s="20"/>
      <c r="D172" s="20"/>
    </row>
    <row r="173" spans="1:4" x14ac:dyDescent="0.25">
      <c r="A173" s="2"/>
      <c r="B173" s="20"/>
      <c r="C173" s="29"/>
      <c r="D173" s="20"/>
    </row>
    <row r="174" spans="1:4" x14ac:dyDescent="0.25">
      <c r="A174" s="2"/>
      <c r="B174" s="20"/>
      <c r="C174" s="20"/>
      <c r="D174" s="20"/>
    </row>
    <row r="175" spans="1:4" x14ac:dyDescent="0.25">
      <c r="A175" s="2"/>
      <c r="B175" s="20"/>
      <c r="C175" s="20"/>
      <c r="D175" s="20"/>
    </row>
    <row r="176" spans="1:4" x14ac:dyDescent="0.25">
      <c r="A176" s="2"/>
      <c r="B176" s="20"/>
      <c r="C176" s="20"/>
      <c r="D176" s="20"/>
    </row>
    <row r="177" spans="1:4" x14ac:dyDescent="0.25">
      <c r="A177" s="2"/>
      <c r="B177" s="20"/>
      <c r="C177" s="20"/>
      <c r="D177" s="20"/>
    </row>
    <row r="178" spans="1:4" x14ac:dyDescent="0.25">
      <c r="A178" s="2"/>
      <c r="B178" s="20"/>
      <c r="C178" s="20"/>
      <c r="D178" s="20"/>
    </row>
    <row r="179" spans="1:4" x14ac:dyDescent="0.25">
      <c r="A179" s="2"/>
      <c r="B179" s="20"/>
      <c r="C179" s="20"/>
      <c r="D179" s="20"/>
    </row>
    <row r="180" spans="1:4" x14ac:dyDescent="0.25">
      <c r="A180" s="2"/>
      <c r="B180" s="20"/>
      <c r="C180" s="29"/>
      <c r="D180" s="20"/>
    </row>
    <row r="181" spans="1:4" x14ac:dyDescent="0.25">
      <c r="A181" s="2"/>
      <c r="B181" s="20"/>
      <c r="C181" s="20"/>
      <c r="D181" s="20"/>
    </row>
    <row r="182" spans="1:4" x14ac:dyDescent="0.25">
      <c r="A182" s="2"/>
      <c r="B182" s="20"/>
      <c r="C182" s="20"/>
      <c r="D182" s="20"/>
    </row>
    <row r="183" spans="1:4" x14ac:dyDescent="0.25">
      <c r="A183" s="2"/>
      <c r="B183" s="20"/>
      <c r="C183" s="20"/>
      <c r="D183" s="20"/>
    </row>
    <row r="184" spans="1:4" x14ac:dyDescent="0.25">
      <c r="A184" s="2"/>
      <c r="B184" s="20"/>
      <c r="C184" s="20"/>
      <c r="D184" s="20"/>
    </row>
    <row r="185" spans="1:4" x14ac:dyDescent="0.25">
      <c r="A185" s="2"/>
      <c r="B185" s="20"/>
      <c r="C185" s="20"/>
      <c r="D185" s="20"/>
    </row>
    <row r="186" spans="1:4" x14ac:dyDescent="0.25">
      <c r="A186" s="2"/>
      <c r="B186" s="20"/>
      <c r="C186" s="20"/>
      <c r="D186" s="20"/>
    </row>
    <row r="187" spans="1:4" x14ac:dyDescent="0.25">
      <c r="A187" s="2"/>
      <c r="B187" s="20"/>
      <c r="C187" s="20"/>
      <c r="D187" s="20"/>
    </row>
    <row r="188" spans="1:4" x14ac:dyDescent="0.25">
      <c r="A188" s="2"/>
      <c r="B188" s="20"/>
      <c r="C188" s="20"/>
      <c r="D188" s="20"/>
    </row>
    <row r="189" spans="1:4" x14ac:dyDescent="0.25">
      <c r="A189" s="2"/>
      <c r="B189" s="20"/>
      <c r="C189" s="20"/>
      <c r="D189" s="20"/>
    </row>
    <row r="190" spans="1:4" x14ac:dyDescent="0.25">
      <c r="A190" s="2"/>
      <c r="B190" s="20"/>
      <c r="C190" s="29"/>
      <c r="D190" s="20"/>
    </row>
    <row r="191" spans="1:4" x14ac:dyDescent="0.25">
      <c r="A191" s="2"/>
      <c r="B191" s="20"/>
      <c r="C191" s="20"/>
      <c r="D191" s="20"/>
    </row>
    <row r="192" spans="1:4" x14ac:dyDescent="0.25">
      <c r="A192" s="2"/>
      <c r="B192" s="20"/>
      <c r="C192" s="20"/>
      <c r="D192" s="20"/>
    </row>
    <row r="193" spans="1:4" x14ac:dyDescent="0.25">
      <c r="A193" s="2"/>
      <c r="B193" s="20"/>
      <c r="C193" s="29"/>
      <c r="D193" s="20"/>
    </row>
    <row r="194" spans="1:4" x14ac:dyDescent="0.25">
      <c r="A194" s="2"/>
      <c r="B194" s="20"/>
      <c r="C194" s="20"/>
      <c r="D194" s="20"/>
    </row>
    <row r="195" spans="1:4" x14ac:dyDescent="0.25">
      <c r="A195" s="2"/>
      <c r="B195" s="20"/>
      <c r="C195" s="20"/>
      <c r="D195" s="20"/>
    </row>
    <row r="196" spans="1:4" x14ac:dyDescent="0.25">
      <c r="A196" s="2"/>
      <c r="B196" s="20"/>
      <c r="C196" s="20"/>
      <c r="D196" s="20"/>
    </row>
    <row r="197" spans="1:4" x14ac:dyDescent="0.25">
      <c r="A197" s="2"/>
      <c r="B197" s="20"/>
      <c r="C197" s="20"/>
      <c r="D197" s="20"/>
    </row>
    <row r="198" spans="1:4" x14ac:dyDescent="0.25">
      <c r="A198" s="2"/>
      <c r="B198" s="20"/>
      <c r="C198" s="29"/>
      <c r="D198" s="20"/>
    </row>
    <row r="199" spans="1:4" x14ac:dyDescent="0.25">
      <c r="A199" s="2"/>
      <c r="B199" s="20"/>
      <c r="C199" s="20"/>
      <c r="D199" s="20"/>
    </row>
    <row r="200" spans="1:4" x14ac:dyDescent="0.25">
      <c r="A200" s="2"/>
      <c r="B200" s="20"/>
      <c r="C200" s="20"/>
      <c r="D200" s="20"/>
    </row>
    <row r="201" spans="1:4" x14ac:dyDescent="0.25">
      <c r="A201" s="2"/>
      <c r="B201" s="20"/>
      <c r="C201" s="20"/>
      <c r="D201" s="20"/>
    </row>
    <row r="202" spans="1:4" x14ac:dyDescent="0.25">
      <c r="A202" s="2"/>
      <c r="B202" s="20"/>
      <c r="C202" s="20"/>
      <c r="D202" s="20"/>
    </row>
    <row r="203" spans="1:4" x14ac:dyDescent="0.25">
      <c r="A203" s="2"/>
      <c r="B203" s="20"/>
      <c r="C203" s="20"/>
      <c r="D203" s="20"/>
    </row>
    <row r="204" spans="1:4" x14ac:dyDescent="0.25">
      <c r="A204" s="2"/>
      <c r="B204" s="20"/>
      <c r="C204" s="20"/>
      <c r="D204" s="20"/>
    </row>
    <row r="205" spans="1:4" x14ac:dyDescent="0.25">
      <c r="A205" s="2"/>
      <c r="B205" s="20"/>
      <c r="C205" s="20"/>
      <c r="D205" s="20"/>
    </row>
    <row r="206" spans="1:4" x14ac:dyDescent="0.25">
      <c r="A206" s="2"/>
      <c r="B206" s="20"/>
      <c r="C206" s="20"/>
      <c r="D206" s="20"/>
    </row>
    <row r="207" spans="1:4" x14ac:dyDescent="0.25">
      <c r="A207" s="2"/>
      <c r="B207" s="20"/>
      <c r="C207" s="20"/>
      <c r="D207" s="20"/>
    </row>
    <row r="208" spans="1:4" x14ac:dyDescent="0.25">
      <c r="A208" s="2"/>
      <c r="B208" s="20"/>
      <c r="C208" s="20"/>
      <c r="D208" s="20"/>
    </row>
    <row r="209" spans="1:4" x14ac:dyDescent="0.25">
      <c r="A209" s="2"/>
      <c r="B209" s="20"/>
      <c r="C209" s="20"/>
      <c r="D209" s="20"/>
    </row>
    <row r="210" spans="1:4" x14ac:dyDescent="0.25">
      <c r="A210" s="2"/>
      <c r="B210" s="20"/>
      <c r="C210" s="20"/>
      <c r="D210" s="20"/>
    </row>
    <row r="211" spans="1:4" x14ac:dyDescent="0.25">
      <c r="A211" s="2"/>
      <c r="B211" s="20"/>
      <c r="C211" s="20"/>
      <c r="D211" s="20"/>
    </row>
    <row r="212" spans="1:4" x14ac:dyDescent="0.25">
      <c r="A212" s="2"/>
      <c r="B212" s="20"/>
      <c r="C212" s="20"/>
      <c r="D212" s="20"/>
    </row>
    <row r="213" spans="1:4" x14ac:dyDescent="0.25">
      <c r="A213" s="2"/>
      <c r="B213" s="20"/>
      <c r="C213" s="20"/>
      <c r="D213" s="20"/>
    </row>
    <row r="214" spans="1:4" x14ac:dyDescent="0.25">
      <c r="A214" s="2"/>
      <c r="B214" s="20"/>
      <c r="C214" s="20"/>
      <c r="D214" s="20"/>
    </row>
    <row r="215" spans="1:4" x14ac:dyDescent="0.25">
      <c r="A215" s="2"/>
      <c r="B215" s="20"/>
      <c r="C215" s="20"/>
      <c r="D215" s="20"/>
    </row>
    <row r="216" spans="1:4" x14ac:dyDescent="0.25">
      <c r="A216" s="2"/>
      <c r="B216" s="20"/>
      <c r="C216" s="20"/>
      <c r="D216" s="20"/>
    </row>
    <row r="217" spans="1:4" x14ac:dyDescent="0.25">
      <c r="A217" s="2"/>
      <c r="B217" s="20"/>
      <c r="C217" s="20"/>
      <c r="D217" s="20"/>
    </row>
    <row r="218" spans="1:4" x14ac:dyDescent="0.25">
      <c r="A218" s="2"/>
      <c r="B218" s="20"/>
      <c r="C218" s="20"/>
      <c r="D218" s="20"/>
    </row>
    <row r="219" spans="1:4" x14ac:dyDescent="0.25">
      <c r="A219" s="2"/>
      <c r="B219" s="20"/>
      <c r="C219" s="29"/>
      <c r="D219" s="20"/>
    </row>
    <row r="220" spans="1:4" x14ac:dyDescent="0.25">
      <c r="A220" s="2"/>
      <c r="B220" s="20"/>
      <c r="C220" s="20"/>
      <c r="D220" s="20"/>
    </row>
    <row r="221" spans="1:4" x14ac:dyDescent="0.25">
      <c r="A221" s="2"/>
      <c r="B221" s="20"/>
      <c r="C221" s="20"/>
      <c r="D221" s="20"/>
    </row>
    <row r="222" spans="1:4" x14ac:dyDescent="0.25">
      <c r="A222" s="2"/>
      <c r="B222" s="20"/>
      <c r="C222" s="20"/>
      <c r="D222" s="20"/>
    </row>
    <row r="223" spans="1:4" x14ac:dyDescent="0.25">
      <c r="A223" s="2"/>
      <c r="B223" s="20"/>
      <c r="C223" s="20"/>
      <c r="D223" s="20"/>
    </row>
    <row r="224" spans="1:4" x14ac:dyDescent="0.25">
      <c r="A224" s="2"/>
      <c r="B224" s="20"/>
      <c r="C224" s="20"/>
      <c r="D224" s="20"/>
    </row>
    <row r="225" spans="1:4" x14ac:dyDescent="0.25">
      <c r="A225" s="2"/>
      <c r="B225" s="20"/>
      <c r="C225" s="29"/>
      <c r="D225" s="20"/>
    </row>
    <row r="226" spans="1:4" x14ac:dyDescent="0.25">
      <c r="A226" s="2"/>
      <c r="B226" s="20"/>
      <c r="C226" s="20"/>
      <c r="D226" s="20"/>
    </row>
    <row r="227" spans="1:4" x14ac:dyDescent="0.25">
      <c r="A227" s="2"/>
      <c r="B227" s="20"/>
      <c r="C227" s="29"/>
      <c r="D227" s="20"/>
    </row>
    <row r="228" spans="1:4" x14ac:dyDescent="0.25">
      <c r="A228" s="2"/>
      <c r="B228" s="20"/>
      <c r="C228" s="20"/>
      <c r="D228" s="20"/>
    </row>
    <row r="229" spans="1:4" x14ac:dyDescent="0.25">
      <c r="A229" s="2"/>
      <c r="B229" s="20"/>
      <c r="C229" s="20"/>
      <c r="D229" s="20"/>
    </row>
    <row r="230" spans="1:4" x14ac:dyDescent="0.25">
      <c r="A230" s="2"/>
      <c r="B230" s="20"/>
      <c r="C230" s="20"/>
      <c r="D230" s="20"/>
    </row>
    <row r="231" spans="1:4" x14ac:dyDescent="0.25">
      <c r="A231" s="2"/>
      <c r="B231" s="20"/>
      <c r="C231" s="20"/>
      <c r="D231" s="20"/>
    </row>
    <row r="232" spans="1:4" x14ac:dyDescent="0.25">
      <c r="A232" s="2"/>
      <c r="B232" s="20"/>
      <c r="C232" s="29"/>
      <c r="D232" s="20"/>
    </row>
    <row r="233" spans="1:4" x14ac:dyDescent="0.25">
      <c r="A233" s="2"/>
      <c r="B233" s="20"/>
      <c r="C233" s="20"/>
      <c r="D233" s="20"/>
    </row>
    <row r="234" spans="1:4" x14ac:dyDescent="0.25">
      <c r="A234" s="2"/>
      <c r="B234" s="20"/>
      <c r="C234" s="20"/>
      <c r="D234" s="20"/>
    </row>
    <row r="235" spans="1:4" x14ac:dyDescent="0.25">
      <c r="A235" s="2"/>
      <c r="B235" s="20"/>
      <c r="C235" s="20"/>
      <c r="D235" s="20"/>
    </row>
    <row r="236" spans="1:4" x14ac:dyDescent="0.25">
      <c r="A236" s="2"/>
      <c r="B236" s="20"/>
      <c r="C236" s="20"/>
      <c r="D236" s="20"/>
    </row>
    <row r="237" spans="1:4" x14ac:dyDescent="0.25">
      <c r="A237" s="2"/>
      <c r="B237" s="20"/>
      <c r="C237" s="20"/>
      <c r="D237" s="20"/>
    </row>
    <row r="238" spans="1:4" x14ac:dyDescent="0.25">
      <c r="A238" s="2"/>
      <c r="B238" s="20"/>
      <c r="C238" s="20"/>
      <c r="D238" s="20"/>
    </row>
    <row r="239" spans="1:4" x14ac:dyDescent="0.25">
      <c r="A239" s="2"/>
      <c r="B239" s="20"/>
      <c r="C239" s="20"/>
      <c r="D239" s="20"/>
    </row>
    <row r="240" spans="1:4" x14ac:dyDescent="0.25">
      <c r="A240" s="2"/>
      <c r="B240" s="20"/>
      <c r="C240" s="20"/>
      <c r="D240" s="20"/>
    </row>
    <row r="241" spans="1:4" x14ac:dyDescent="0.25">
      <c r="A241" s="2"/>
      <c r="B241" s="20"/>
      <c r="C241" s="20"/>
      <c r="D241" s="20"/>
    </row>
    <row r="242" spans="1:4" x14ac:dyDescent="0.25">
      <c r="A242" s="2"/>
      <c r="B242" s="20"/>
      <c r="C242" s="20"/>
      <c r="D242" s="20"/>
    </row>
    <row r="243" spans="1:4" x14ac:dyDescent="0.25">
      <c r="A243" s="2"/>
      <c r="B243" s="20"/>
      <c r="C243" s="20"/>
      <c r="D243" s="20"/>
    </row>
    <row r="244" spans="1:4" x14ac:dyDescent="0.25">
      <c r="A244" s="2"/>
      <c r="B244" s="20"/>
      <c r="C244" s="20"/>
      <c r="D244" s="20"/>
    </row>
    <row r="245" spans="1:4" x14ac:dyDescent="0.25">
      <c r="A245" s="2"/>
      <c r="B245" s="20"/>
      <c r="C245" s="29"/>
      <c r="D245" s="20"/>
    </row>
    <row r="246" spans="1:4" x14ac:dyDescent="0.25">
      <c r="A246" s="2"/>
      <c r="B246" s="20"/>
      <c r="C246" s="20"/>
      <c r="D246" s="20"/>
    </row>
    <row r="247" spans="1:4" x14ac:dyDescent="0.25">
      <c r="A247" s="2"/>
      <c r="B247" s="20"/>
      <c r="C247" s="29"/>
      <c r="D247" s="20"/>
    </row>
    <row r="248" spans="1:4" x14ac:dyDescent="0.25">
      <c r="A248" s="2"/>
      <c r="B248" s="20"/>
      <c r="C248" s="20"/>
      <c r="D248" s="20"/>
    </row>
    <row r="249" spans="1:4" x14ac:dyDescent="0.25">
      <c r="A249" s="2"/>
      <c r="B249" s="20"/>
      <c r="C249" s="20"/>
      <c r="D249" s="20"/>
    </row>
    <row r="250" spans="1:4" x14ac:dyDescent="0.25">
      <c r="A250" s="2"/>
      <c r="B250" s="20"/>
      <c r="C250" s="20"/>
      <c r="D250" s="20"/>
    </row>
    <row r="251" spans="1:4" x14ac:dyDescent="0.25">
      <c r="A251" s="2"/>
      <c r="B251" s="20"/>
      <c r="C251" s="20"/>
      <c r="D251" s="20"/>
    </row>
    <row r="252" spans="1:4" x14ac:dyDescent="0.25">
      <c r="A252" s="2"/>
      <c r="B252" s="20"/>
      <c r="C252" s="20"/>
      <c r="D252" s="20"/>
    </row>
    <row r="253" spans="1:4" x14ac:dyDescent="0.25">
      <c r="A253" s="2"/>
      <c r="B253" s="20"/>
      <c r="C253" s="20"/>
      <c r="D253" s="20"/>
    </row>
    <row r="254" spans="1:4" x14ac:dyDescent="0.25">
      <c r="A254" s="2"/>
      <c r="B254" s="20"/>
      <c r="C254" s="20"/>
      <c r="D254" s="20"/>
    </row>
    <row r="255" spans="1:4" x14ac:dyDescent="0.25">
      <c r="A255" s="2"/>
      <c r="B255" s="20"/>
      <c r="C255" s="20"/>
      <c r="D255" s="20"/>
    </row>
    <row r="256" spans="1:4" x14ac:dyDescent="0.25">
      <c r="A256" s="2"/>
      <c r="B256" s="20"/>
      <c r="C256" s="20"/>
      <c r="D256" s="20"/>
    </row>
    <row r="257" spans="1:4" x14ac:dyDescent="0.25">
      <c r="A257" s="2"/>
      <c r="B257" s="20"/>
      <c r="C257" s="20"/>
      <c r="D257" s="20"/>
    </row>
    <row r="258" spans="1:4" x14ac:dyDescent="0.25">
      <c r="A258" s="2"/>
      <c r="B258" s="20"/>
      <c r="C258" s="20"/>
      <c r="D258" s="20"/>
    </row>
    <row r="259" spans="1:4" x14ac:dyDescent="0.25">
      <c r="A259" s="2"/>
      <c r="B259" s="20"/>
      <c r="C259" s="29"/>
      <c r="D259" s="20"/>
    </row>
    <row r="260" spans="1:4" x14ac:dyDescent="0.25">
      <c r="A260" s="2"/>
      <c r="B260" s="20"/>
      <c r="C260" s="29"/>
      <c r="D260" s="20"/>
    </row>
    <row r="261" spans="1:4" x14ac:dyDescent="0.25">
      <c r="A261" s="2"/>
      <c r="B261" s="20"/>
      <c r="C261" s="20"/>
      <c r="D261" s="20"/>
    </row>
    <row r="262" spans="1:4" x14ac:dyDescent="0.25">
      <c r="A262" s="2"/>
      <c r="B262" s="20"/>
      <c r="C262" s="29"/>
      <c r="D262" s="20"/>
    </row>
    <row r="263" spans="1:4" x14ac:dyDescent="0.25">
      <c r="A263" s="2"/>
      <c r="B263" s="20"/>
      <c r="C263" s="29"/>
      <c r="D263" s="20"/>
    </row>
    <row r="264" spans="1:4" x14ac:dyDescent="0.25">
      <c r="A264" s="2"/>
      <c r="B264" s="20"/>
      <c r="C264" s="29"/>
      <c r="D264" s="20"/>
    </row>
    <row r="265" spans="1:4" x14ac:dyDescent="0.25">
      <c r="A265" s="2"/>
      <c r="B265" s="20"/>
      <c r="C265" s="20"/>
      <c r="D265" s="20"/>
    </row>
    <row r="266" spans="1:4" x14ac:dyDescent="0.25">
      <c r="A266" s="2"/>
      <c r="B266" s="20"/>
      <c r="C266" s="20"/>
      <c r="D266" s="20"/>
    </row>
    <row r="267" spans="1:4" x14ac:dyDescent="0.25">
      <c r="A267" s="2"/>
      <c r="B267" s="20"/>
      <c r="C267" s="20"/>
      <c r="D267" s="20"/>
    </row>
    <row r="268" spans="1:4" x14ac:dyDescent="0.25">
      <c r="A268" s="2"/>
      <c r="B268" s="20"/>
      <c r="C268" s="20"/>
      <c r="D268" s="20"/>
    </row>
    <row r="269" spans="1:4" x14ac:dyDescent="0.25">
      <c r="A269" s="2"/>
      <c r="B269" s="20"/>
      <c r="C269" s="29"/>
      <c r="D269" s="20"/>
    </row>
    <row r="270" spans="1:4" x14ac:dyDescent="0.25">
      <c r="A270" s="2"/>
      <c r="B270" s="20"/>
      <c r="C270" s="29"/>
      <c r="D270" s="20"/>
    </row>
    <row r="271" spans="1:4" x14ac:dyDescent="0.25">
      <c r="A271" s="2"/>
      <c r="B271" s="20"/>
      <c r="C271" s="20"/>
      <c r="D271" s="20"/>
    </row>
    <row r="272" spans="1:4" x14ac:dyDescent="0.25">
      <c r="A272" s="2"/>
      <c r="B272" s="20"/>
      <c r="C272" s="29"/>
      <c r="D272" s="20"/>
    </row>
    <row r="273" spans="1:4" x14ac:dyDescent="0.25">
      <c r="A273" s="2"/>
      <c r="B273" s="20"/>
      <c r="C273" s="20"/>
      <c r="D273" s="20"/>
    </row>
    <row r="274" spans="1:4" x14ac:dyDescent="0.25">
      <c r="A274" s="2"/>
      <c r="B274" s="20"/>
      <c r="C274" s="20"/>
      <c r="D274" s="20"/>
    </row>
    <row r="275" spans="1:4" x14ac:dyDescent="0.25">
      <c r="A275" s="2"/>
      <c r="B275" s="20"/>
      <c r="C275" s="20"/>
      <c r="D275" s="20"/>
    </row>
    <row r="276" spans="1:4" x14ac:dyDescent="0.25">
      <c r="A276" s="2"/>
      <c r="B276" s="20"/>
      <c r="C276" s="29"/>
      <c r="D276" s="20"/>
    </row>
    <row r="277" spans="1:4" x14ac:dyDescent="0.25">
      <c r="A277" s="2"/>
      <c r="B277" s="20"/>
      <c r="C277" s="29"/>
      <c r="D277" s="20"/>
    </row>
    <row r="278" spans="1:4" x14ac:dyDescent="0.25">
      <c r="A278" s="2"/>
      <c r="B278" s="20"/>
      <c r="C278" s="29"/>
      <c r="D278" s="20"/>
    </row>
    <row r="279" spans="1:4" x14ac:dyDescent="0.25">
      <c r="A279" s="2"/>
      <c r="B279" s="20"/>
      <c r="C279" s="20"/>
      <c r="D279" s="20"/>
    </row>
    <row r="280" spans="1:4" x14ac:dyDescent="0.25">
      <c r="A280" s="2"/>
      <c r="B280" s="20"/>
      <c r="C280" s="29"/>
      <c r="D280" s="20"/>
    </row>
    <row r="281" spans="1:4" x14ac:dyDescent="0.25">
      <c r="A281" s="2"/>
      <c r="B281" s="20"/>
      <c r="C281" s="29"/>
      <c r="D281" s="20"/>
    </row>
    <row r="282" spans="1:4" x14ac:dyDescent="0.25">
      <c r="A282" s="2"/>
      <c r="B282" s="20"/>
      <c r="C282" s="29"/>
      <c r="D282" s="20"/>
    </row>
    <row r="283" spans="1:4" x14ac:dyDescent="0.25">
      <c r="A283" s="2"/>
      <c r="B283" s="20"/>
      <c r="C283" s="20"/>
      <c r="D283" s="20"/>
    </row>
    <row r="284" spans="1:4" x14ac:dyDescent="0.25">
      <c r="A284" s="2"/>
      <c r="B284" s="20"/>
      <c r="C284" s="20"/>
      <c r="D284" s="20"/>
    </row>
    <row r="285" spans="1:4" x14ac:dyDescent="0.25">
      <c r="A285" s="2"/>
      <c r="B285" s="20"/>
      <c r="C285" s="29"/>
      <c r="D285" s="20"/>
    </row>
    <row r="286" spans="1:4" x14ac:dyDescent="0.25">
      <c r="A286" s="2"/>
      <c r="B286" s="20"/>
      <c r="C286" s="20"/>
      <c r="D286" s="20"/>
    </row>
    <row r="287" spans="1:4" x14ac:dyDescent="0.25">
      <c r="A287" s="2"/>
      <c r="B287" s="20"/>
      <c r="C287" s="20"/>
      <c r="D287" s="20"/>
    </row>
    <row r="288" spans="1:4" x14ac:dyDescent="0.25">
      <c r="A288" s="2"/>
      <c r="B288" s="20"/>
      <c r="C288" s="20"/>
      <c r="D288" s="20"/>
    </row>
    <row r="289" spans="1:4" x14ac:dyDescent="0.25">
      <c r="A289" s="2"/>
      <c r="B289" s="20"/>
      <c r="C289" s="20"/>
      <c r="D289" s="20"/>
    </row>
    <row r="290" spans="1:4" x14ac:dyDescent="0.25">
      <c r="A290" s="2"/>
      <c r="B290" s="20"/>
      <c r="C290" s="29"/>
      <c r="D290" s="20"/>
    </row>
    <row r="291" spans="1:4" x14ac:dyDescent="0.25">
      <c r="A291" s="2"/>
      <c r="B291" s="20"/>
      <c r="C291" s="20"/>
      <c r="D291" s="20"/>
    </row>
    <row r="292" spans="1:4" x14ac:dyDescent="0.25">
      <c r="A292" s="2"/>
      <c r="B292" s="20"/>
      <c r="C292" s="29"/>
      <c r="D292" s="20"/>
    </row>
    <row r="293" spans="1:4" x14ac:dyDescent="0.25">
      <c r="A293" s="2"/>
      <c r="B293" s="20"/>
      <c r="C293" s="29"/>
      <c r="D293" s="20"/>
    </row>
    <row r="294" spans="1:4" x14ac:dyDescent="0.25">
      <c r="A294" s="2"/>
      <c r="B294" s="20"/>
      <c r="C294" s="20"/>
      <c r="D294" s="20"/>
    </row>
    <row r="295" spans="1:4" x14ac:dyDescent="0.25">
      <c r="A295" s="2"/>
      <c r="B295" s="20"/>
      <c r="C295" s="29"/>
      <c r="D295" s="20"/>
    </row>
    <row r="296" spans="1:4" x14ac:dyDescent="0.25">
      <c r="A296" s="2"/>
      <c r="B296" s="20"/>
      <c r="C296" s="20"/>
      <c r="D296" s="20"/>
    </row>
    <row r="297" spans="1:4" x14ac:dyDescent="0.25">
      <c r="A297" s="2"/>
      <c r="B297" s="20"/>
      <c r="C297" s="20"/>
      <c r="D297" s="20"/>
    </row>
    <row r="298" spans="1:4" x14ac:dyDescent="0.25">
      <c r="A298" s="2"/>
      <c r="B298" s="20"/>
      <c r="C298" s="20"/>
      <c r="D298" s="20"/>
    </row>
    <row r="299" spans="1:4" x14ac:dyDescent="0.25">
      <c r="A299" s="2"/>
      <c r="B299" s="20"/>
      <c r="C299" s="29"/>
      <c r="D299" s="20"/>
    </row>
    <row r="300" spans="1:4" x14ac:dyDescent="0.25">
      <c r="A300" s="2"/>
      <c r="B300" s="20"/>
      <c r="C300" s="29"/>
      <c r="D300" s="20"/>
    </row>
    <row r="301" spans="1:4" x14ac:dyDescent="0.25">
      <c r="A301" s="2"/>
      <c r="B301" s="20"/>
      <c r="C301" s="20"/>
      <c r="D301" s="20"/>
    </row>
    <row r="302" spans="1:4" x14ac:dyDescent="0.25">
      <c r="A302" s="2"/>
      <c r="B302" s="20"/>
      <c r="C302" s="20"/>
      <c r="D302" s="20"/>
    </row>
    <row r="303" spans="1:4" x14ac:dyDescent="0.25">
      <c r="A303" s="2"/>
      <c r="B303" s="20"/>
      <c r="C303" s="20"/>
      <c r="D303" s="20"/>
    </row>
    <row r="304" spans="1:4" x14ac:dyDescent="0.25">
      <c r="A304" s="2"/>
      <c r="B304" s="20"/>
      <c r="C304" s="20"/>
      <c r="D304" s="20"/>
    </row>
    <row r="305" spans="1:4" x14ac:dyDescent="0.25">
      <c r="A305" s="2"/>
      <c r="B305" s="20"/>
      <c r="C305" s="20"/>
      <c r="D305" s="20"/>
    </row>
    <row r="306" spans="1:4" x14ac:dyDescent="0.25">
      <c r="A306" s="2"/>
      <c r="B306" s="20"/>
      <c r="C306" s="20"/>
      <c r="D306" s="20"/>
    </row>
    <row r="307" spans="1:4" x14ac:dyDescent="0.25">
      <c r="A307" s="2"/>
      <c r="B307" s="20"/>
      <c r="C307" s="20"/>
      <c r="D307" s="20"/>
    </row>
    <row r="308" spans="1:4" x14ac:dyDescent="0.25">
      <c r="A308" s="2"/>
      <c r="B308" s="20"/>
      <c r="C308" s="20"/>
      <c r="D308" s="20"/>
    </row>
    <row r="309" spans="1:4" x14ac:dyDescent="0.25">
      <c r="A309" s="2"/>
      <c r="B309" s="20"/>
      <c r="C309" s="20"/>
      <c r="D309" s="20"/>
    </row>
    <row r="310" spans="1:4" x14ac:dyDescent="0.25">
      <c r="A310" s="2"/>
      <c r="B310" s="20"/>
      <c r="C310" s="29"/>
      <c r="D310" s="20"/>
    </row>
    <row r="311" spans="1:4" x14ac:dyDescent="0.25">
      <c r="A311" s="2"/>
      <c r="B311" s="20"/>
      <c r="C311" s="29"/>
      <c r="D311" s="20"/>
    </row>
    <row r="312" spans="1:4" x14ac:dyDescent="0.25">
      <c r="A312" s="2"/>
      <c r="B312" s="20"/>
      <c r="C312" s="29"/>
      <c r="D312" s="20"/>
    </row>
    <row r="313" spans="1:4" x14ac:dyDescent="0.25">
      <c r="A313" s="2"/>
      <c r="B313" s="20"/>
      <c r="C313" s="20"/>
      <c r="D313" s="20"/>
    </row>
    <row r="314" spans="1:4" x14ac:dyDescent="0.25">
      <c r="A314" s="2"/>
      <c r="B314" s="20"/>
      <c r="C314" s="20"/>
      <c r="D314" s="20"/>
    </row>
    <row r="315" spans="1:4" x14ac:dyDescent="0.25">
      <c r="A315" s="2"/>
      <c r="B315" s="20"/>
      <c r="C315" s="20"/>
      <c r="D315" s="20"/>
    </row>
    <row r="316" spans="1:4" x14ac:dyDescent="0.25">
      <c r="A316" s="2"/>
      <c r="B316" s="20"/>
      <c r="C316" s="20"/>
      <c r="D316" s="20"/>
    </row>
    <row r="317" spans="1:4" x14ac:dyDescent="0.25">
      <c r="A317" s="2"/>
      <c r="B317" s="20"/>
      <c r="C317" s="29"/>
      <c r="D317" s="20"/>
    </row>
    <row r="318" spans="1:4" x14ac:dyDescent="0.25">
      <c r="A318" s="2"/>
      <c r="B318" s="20"/>
      <c r="C318" s="20"/>
      <c r="D318" s="20"/>
    </row>
    <row r="319" spans="1:4" x14ac:dyDescent="0.25">
      <c r="A319" s="2"/>
      <c r="B319" s="20"/>
      <c r="C319" s="29"/>
      <c r="D319" s="20"/>
    </row>
    <row r="320" spans="1:4" x14ac:dyDescent="0.25">
      <c r="A320" s="2"/>
      <c r="B320" s="20"/>
      <c r="C320" s="20"/>
      <c r="D320" s="20"/>
    </row>
    <row r="321" spans="1:4" x14ac:dyDescent="0.25">
      <c r="A321" s="2"/>
      <c r="B321" s="20"/>
      <c r="C321" s="20"/>
      <c r="D321" s="20"/>
    </row>
    <row r="322" spans="1:4" x14ac:dyDescent="0.25">
      <c r="A322" s="2"/>
      <c r="B322" s="20"/>
      <c r="C322" s="29"/>
      <c r="D322" s="20"/>
    </row>
    <row r="323" spans="1:4" x14ac:dyDescent="0.25">
      <c r="A323" s="2"/>
      <c r="B323" s="20"/>
      <c r="C323" s="20"/>
      <c r="D323" s="20"/>
    </row>
    <row r="324" spans="1:4" x14ac:dyDescent="0.25">
      <c r="A324" s="2"/>
      <c r="B324" s="20"/>
      <c r="C324" s="20"/>
      <c r="D324" s="20"/>
    </row>
    <row r="325" spans="1:4" x14ac:dyDescent="0.25">
      <c r="A325" s="2"/>
      <c r="B325" s="20"/>
      <c r="C325" s="20"/>
      <c r="D325" s="20"/>
    </row>
    <row r="326" spans="1:4" x14ac:dyDescent="0.25">
      <c r="A326" s="2"/>
      <c r="B326" s="20"/>
      <c r="C326" s="29"/>
      <c r="D326" s="20"/>
    </row>
    <row r="327" spans="1:4" x14ac:dyDescent="0.25">
      <c r="A327" s="2"/>
      <c r="B327" s="20"/>
      <c r="C327" s="20"/>
      <c r="D327" s="20"/>
    </row>
    <row r="328" spans="1:4" x14ac:dyDescent="0.25">
      <c r="A328" s="2"/>
      <c r="B328" s="20"/>
      <c r="C328" s="29"/>
      <c r="D328" s="20"/>
    </row>
    <row r="329" spans="1:4" x14ac:dyDescent="0.25">
      <c r="A329" s="2"/>
      <c r="B329" s="20"/>
      <c r="C329" s="20"/>
      <c r="D329" s="20"/>
    </row>
    <row r="330" spans="1:4" x14ac:dyDescent="0.25">
      <c r="A330" s="2"/>
      <c r="B330" s="20"/>
      <c r="C330" s="29"/>
      <c r="D330" s="20"/>
    </row>
    <row r="331" spans="1:4" x14ac:dyDescent="0.25">
      <c r="A331" s="2"/>
      <c r="B331" s="20"/>
      <c r="C331" s="29"/>
      <c r="D331" s="20"/>
    </row>
    <row r="332" spans="1:4" x14ac:dyDescent="0.25">
      <c r="A332" s="2"/>
      <c r="B332" s="20"/>
      <c r="C332" s="20"/>
      <c r="D332" s="20"/>
    </row>
    <row r="333" spans="1:4" x14ac:dyDescent="0.25">
      <c r="A333" s="2"/>
      <c r="B333" s="20"/>
      <c r="C333" s="20"/>
      <c r="D333" s="20"/>
    </row>
    <row r="334" spans="1:4" x14ac:dyDescent="0.25">
      <c r="A334" s="2"/>
      <c r="B334" s="20"/>
      <c r="C334" s="20"/>
      <c r="D334" s="20"/>
    </row>
    <row r="335" spans="1:4" x14ac:dyDescent="0.25">
      <c r="A335" s="2"/>
      <c r="B335" s="20"/>
      <c r="C335" s="20"/>
      <c r="D335" s="20"/>
    </row>
    <row r="336" spans="1:4" x14ac:dyDescent="0.25">
      <c r="A336" s="2"/>
      <c r="B336" s="20"/>
      <c r="C336" s="20"/>
      <c r="D336" s="20"/>
    </row>
    <row r="337" spans="1:4" x14ac:dyDescent="0.25">
      <c r="A337" s="2"/>
      <c r="B337" s="20"/>
      <c r="C337" s="20"/>
      <c r="D337" s="20"/>
    </row>
    <row r="338" spans="1:4" x14ac:dyDescent="0.25">
      <c r="A338" s="2"/>
      <c r="B338" s="20"/>
      <c r="C338" s="20"/>
      <c r="D338" s="20"/>
    </row>
    <row r="339" spans="1:4" x14ac:dyDescent="0.25">
      <c r="A339" s="2"/>
      <c r="B339" s="20"/>
      <c r="C339" s="20"/>
      <c r="D339" s="20"/>
    </row>
    <row r="340" spans="1:4" x14ac:dyDescent="0.25">
      <c r="A340" s="2"/>
      <c r="B340" s="20"/>
      <c r="C340" s="20"/>
      <c r="D340" s="20"/>
    </row>
    <row r="341" spans="1:4" x14ac:dyDescent="0.25">
      <c r="A341" s="2"/>
      <c r="B341" s="20"/>
      <c r="C341" s="20"/>
      <c r="D341" s="20"/>
    </row>
    <row r="342" spans="1:4" x14ac:dyDescent="0.25">
      <c r="A342" s="2"/>
      <c r="B342" s="20"/>
      <c r="C342" s="20"/>
      <c r="D342" s="20"/>
    </row>
    <row r="343" spans="1:4" x14ac:dyDescent="0.25">
      <c r="A343" s="2"/>
      <c r="B343" s="20"/>
      <c r="C343" s="20"/>
      <c r="D343" s="20"/>
    </row>
    <row r="344" spans="1:4" x14ac:dyDescent="0.25">
      <c r="A344" s="2"/>
      <c r="B344" s="20"/>
      <c r="C344" s="29"/>
      <c r="D344" s="20"/>
    </row>
    <row r="345" spans="1:4" x14ac:dyDescent="0.25">
      <c r="A345" s="2"/>
      <c r="B345" s="20"/>
      <c r="C345" s="20"/>
      <c r="D345" s="20"/>
    </row>
    <row r="346" spans="1:4" x14ac:dyDescent="0.25">
      <c r="A346" s="2"/>
      <c r="B346" s="20"/>
      <c r="C346" s="20"/>
      <c r="D346" s="20"/>
    </row>
    <row r="347" spans="1:4" x14ac:dyDescent="0.25">
      <c r="A347" s="2"/>
      <c r="B347" s="20"/>
      <c r="C347" s="20"/>
      <c r="D347" s="20"/>
    </row>
    <row r="348" spans="1:4" x14ac:dyDescent="0.25">
      <c r="A348" s="2"/>
      <c r="B348" s="20"/>
      <c r="C348" s="29"/>
      <c r="D348" s="20"/>
    </row>
    <row r="349" spans="1:4" x14ac:dyDescent="0.25">
      <c r="A349" s="2"/>
      <c r="B349" s="20"/>
      <c r="C349" s="20"/>
      <c r="D349" s="20"/>
    </row>
    <row r="350" spans="1:4" x14ac:dyDescent="0.25">
      <c r="A350" s="2"/>
      <c r="B350" s="20"/>
      <c r="C350" s="20"/>
      <c r="D350" s="20"/>
    </row>
    <row r="351" spans="1:4" x14ac:dyDescent="0.25">
      <c r="A351" s="2"/>
      <c r="B351" s="20"/>
      <c r="C351" s="20"/>
      <c r="D351" s="20"/>
    </row>
    <row r="352" spans="1:4" x14ac:dyDescent="0.25">
      <c r="A352" s="2"/>
      <c r="B352" s="20"/>
      <c r="C352" s="20"/>
      <c r="D352" s="20"/>
    </row>
    <row r="353" spans="1:4" x14ac:dyDescent="0.25">
      <c r="A353" s="2"/>
      <c r="B353" s="20"/>
      <c r="C353" s="20"/>
      <c r="D353" s="20"/>
    </row>
    <row r="354" spans="1:4" x14ac:dyDescent="0.25">
      <c r="A354" s="2"/>
      <c r="B354" s="20"/>
      <c r="C354" s="20"/>
      <c r="D354" s="20"/>
    </row>
    <row r="355" spans="1:4" x14ac:dyDescent="0.25">
      <c r="A355" s="2"/>
      <c r="B355" s="20"/>
      <c r="C355" s="20"/>
      <c r="D355" s="20"/>
    </row>
    <row r="356" spans="1:4" x14ac:dyDescent="0.25">
      <c r="A356" s="2"/>
      <c r="B356" s="20"/>
      <c r="C356" s="20"/>
      <c r="D356" s="20"/>
    </row>
    <row r="357" spans="1:4" x14ac:dyDescent="0.25">
      <c r="A357" s="2"/>
      <c r="B357" s="20"/>
      <c r="C357" s="20"/>
      <c r="D357" s="20"/>
    </row>
    <row r="358" spans="1:4" x14ac:dyDescent="0.25">
      <c r="A358" s="2"/>
      <c r="B358" s="20"/>
      <c r="C358" s="20"/>
      <c r="D358" s="20"/>
    </row>
    <row r="359" spans="1:4" x14ac:dyDescent="0.25">
      <c r="A359" s="2"/>
      <c r="B359" s="20"/>
      <c r="C359" s="20"/>
      <c r="D359" s="20"/>
    </row>
    <row r="360" spans="1:4" x14ac:dyDescent="0.25">
      <c r="A360" s="2"/>
      <c r="B360" s="20"/>
      <c r="C360" s="29"/>
      <c r="D360" s="20"/>
    </row>
    <row r="361" spans="1:4" x14ac:dyDescent="0.25">
      <c r="A361" s="2"/>
      <c r="B361" s="20"/>
      <c r="C361" s="20"/>
      <c r="D361" s="20"/>
    </row>
    <row r="362" spans="1:4" x14ac:dyDescent="0.25">
      <c r="A362" s="2"/>
      <c r="B362" s="20"/>
      <c r="C362" s="20"/>
      <c r="D362" s="20"/>
    </row>
    <row r="363" spans="1:4" x14ac:dyDescent="0.25">
      <c r="A363" s="2"/>
      <c r="B363" s="20"/>
      <c r="C363" s="20"/>
      <c r="D363" s="20"/>
    </row>
    <row r="364" spans="1:4" x14ac:dyDescent="0.25">
      <c r="A364" s="2"/>
      <c r="B364" s="20"/>
      <c r="C364" s="20"/>
      <c r="D364" s="20"/>
    </row>
    <row r="365" spans="1:4" x14ac:dyDescent="0.25">
      <c r="A365" s="2"/>
      <c r="B365" s="20"/>
      <c r="C365" s="20"/>
      <c r="D365" s="20"/>
    </row>
    <row r="366" spans="1:4" x14ac:dyDescent="0.25">
      <c r="A366" s="2"/>
      <c r="B366" s="20"/>
      <c r="C366" s="20"/>
      <c r="D366" s="20"/>
    </row>
    <row r="367" spans="1:4" x14ac:dyDescent="0.25">
      <c r="A367" s="2"/>
      <c r="B367" s="20"/>
      <c r="C367" s="29"/>
      <c r="D367" s="20"/>
    </row>
    <row r="368" spans="1:4" x14ac:dyDescent="0.25">
      <c r="A368" s="2"/>
      <c r="B368" s="20"/>
      <c r="C368" s="20"/>
      <c r="D368" s="20"/>
    </row>
    <row r="369" spans="1:4" x14ac:dyDescent="0.25">
      <c r="A369" s="2"/>
      <c r="B369" s="20"/>
      <c r="C369" s="20"/>
      <c r="D369" s="20"/>
    </row>
    <row r="370" spans="1:4" x14ac:dyDescent="0.25">
      <c r="A370" s="2"/>
      <c r="B370" s="20"/>
      <c r="C370" s="20"/>
      <c r="D370" s="20"/>
    </row>
    <row r="371" spans="1:4" x14ac:dyDescent="0.25">
      <c r="A371" s="2"/>
      <c r="B371" s="20"/>
      <c r="C371" s="29"/>
      <c r="D371" s="20"/>
    </row>
    <row r="372" spans="1:4" x14ac:dyDescent="0.25">
      <c r="A372" s="2"/>
      <c r="B372" s="20"/>
      <c r="C372" s="20"/>
      <c r="D372" s="20"/>
    </row>
    <row r="373" spans="1:4" x14ac:dyDescent="0.25">
      <c r="A373" s="2"/>
      <c r="B373" s="20"/>
      <c r="C373" s="20"/>
      <c r="D373" s="20"/>
    </row>
    <row r="374" spans="1:4" x14ac:dyDescent="0.25">
      <c r="A374" s="2"/>
      <c r="B374" s="20"/>
      <c r="C374" s="20"/>
      <c r="D374" s="20"/>
    </row>
    <row r="375" spans="1:4" x14ac:dyDescent="0.25">
      <c r="A375" s="2"/>
      <c r="B375" s="20"/>
      <c r="C375" s="20"/>
      <c r="D375" s="20"/>
    </row>
    <row r="376" spans="1:4" x14ac:dyDescent="0.25">
      <c r="A376" s="2"/>
      <c r="B376" s="20"/>
      <c r="C376" s="29"/>
      <c r="D376" s="20"/>
    </row>
    <row r="377" spans="1:4" x14ac:dyDescent="0.25">
      <c r="A377" s="2"/>
      <c r="B377" s="20"/>
      <c r="C377" s="20"/>
      <c r="D377" s="20"/>
    </row>
    <row r="378" spans="1:4" x14ac:dyDescent="0.25">
      <c r="A378" s="2"/>
      <c r="B378" s="20"/>
      <c r="C378" s="20"/>
      <c r="D378" s="20"/>
    </row>
    <row r="379" spans="1:4" x14ac:dyDescent="0.25">
      <c r="A379" s="2"/>
      <c r="B379" s="20"/>
      <c r="C379" s="20"/>
      <c r="D379" s="20"/>
    </row>
    <row r="380" spans="1:4" x14ac:dyDescent="0.25">
      <c r="A380" s="2"/>
      <c r="B380" s="20"/>
      <c r="C380" s="20"/>
      <c r="D380" s="20"/>
    </row>
    <row r="381" spans="1:4" x14ac:dyDescent="0.25">
      <c r="A381" s="2"/>
      <c r="B381" s="20"/>
      <c r="C381" s="20"/>
      <c r="D381" s="20"/>
    </row>
    <row r="382" spans="1:4" x14ac:dyDescent="0.25">
      <c r="A382" s="2"/>
      <c r="B382" s="20"/>
      <c r="C382" s="20"/>
      <c r="D382" s="20"/>
    </row>
    <row r="383" spans="1:4" x14ac:dyDescent="0.25">
      <c r="A383" s="2"/>
      <c r="B383" s="20"/>
      <c r="C383" s="29"/>
      <c r="D383" s="20"/>
    </row>
    <row r="384" spans="1:4" x14ac:dyDescent="0.25">
      <c r="A384" s="2"/>
      <c r="B384" s="20"/>
      <c r="C384" s="20"/>
      <c r="D384" s="20"/>
    </row>
    <row r="385" spans="1:4" x14ac:dyDescent="0.25">
      <c r="A385" s="2"/>
      <c r="B385" s="20"/>
      <c r="C385" s="20"/>
      <c r="D385" s="20"/>
    </row>
    <row r="386" spans="1:4" x14ac:dyDescent="0.25">
      <c r="A386" s="2"/>
      <c r="B386" s="20"/>
      <c r="C386" s="29"/>
      <c r="D386" s="20"/>
    </row>
    <row r="387" spans="1:4" x14ac:dyDescent="0.25">
      <c r="A387" s="2"/>
      <c r="B387" s="20"/>
      <c r="C387" s="20"/>
      <c r="D387" s="20"/>
    </row>
    <row r="388" spans="1:4" x14ac:dyDescent="0.25">
      <c r="A388" s="2"/>
      <c r="B388" s="20"/>
      <c r="C388" s="20"/>
      <c r="D388" s="20"/>
    </row>
    <row r="389" spans="1:4" x14ac:dyDescent="0.25">
      <c r="A389" s="2"/>
      <c r="B389" s="20"/>
      <c r="C389" s="20"/>
      <c r="D389" s="20"/>
    </row>
    <row r="390" spans="1:4" x14ac:dyDescent="0.25">
      <c r="A390" s="2"/>
      <c r="B390" s="20"/>
      <c r="C390" s="20"/>
      <c r="D390" s="20"/>
    </row>
    <row r="391" spans="1:4" x14ac:dyDescent="0.25">
      <c r="A391" s="2"/>
      <c r="B391" s="20"/>
      <c r="C391" s="20"/>
      <c r="D391" s="20"/>
    </row>
    <row r="392" spans="1:4" x14ac:dyDescent="0.25">
      <c r="A392" s="2"/>
      <c r="B392" s="20"/>
      <c r="C392" s="20"/>
      <c r="D392" s="20"/>
    </row>
    <row r="393" spans="1:4" x14ac:dyDescent="0.25">
      <c r="A393" s="2"/>
      <c r="B393" s="20"/>
      <c r="C393" s="20"/>
      <c r="D393" s="20"/>
    </row>
    <row r="394" spans="1:4" x14ac:dyDescent="0.25">
      <c r="A394" s="2"/>
      <c r="B394" s="20"/>
      <c r="C394" s="20"/>
      <c r="D394" s="20"/>
    </row>
    <row r="395" spans="1:4" x14ac:dyDescent="0.25">
      <c r="A395" s="2"/>
      <c r="B395" s="20"/>
      <c r="C395" s="20"/>
      <c r="D395" s="20"/>
    </row>
    <row r="396" spans="1:4" x14ac:dyDescent="0.25">
      <c r="A396" s="2"/>
      <c r="B396" s="20"/>
      <c r="C396" s="20"/>
      <c r="D396" s="20"/>
    </row>
    <row r="397" spans="1:4" x14ac:dyDescent="0.25">
      <c r="A397" s="2"/>
      <c r="B397" s="20"/>
      <c r="C397" s="29"/>
      <c r="D397" s="20"/>
    </row>
    <row r="398" spans="1:4" x14ac:dyDescent="0.25">
      <c r="A398" s="2"/>
      <c r="B398" s="20"/>
      <c r="C398" s="29"/>
      <c r="D398" s="20"/>
    </row>
    <row r="399" spans="1:4" x14ac:dyDescent="0.25">
      <c r="A399" s="2"/>
      <c r="B399" s="20"/>
      <c r="C399" s="20"/>
      <c r="D399" s="20"/>
    </row>
    <row r="400" spans="1:4" x14ac:dyDescent="0.25">
      <c r="A400" s="2"/>
      <c r="B400" s="20"/>
      <c r="C400" s="20"/>
      <c r="D400" s="20"/>
    </row>
    <row r="401" spans="1:4" x14ac:dyDescent="0.25">
      <c r="A401" s="2"/>
      <c r="B401" s="20"/>
      <c r="C401" s="20"/>
      <c r="D401" s="20"/>
    </row>
    <row r="402" spans="1:4" x14ac:dyDescent="0.25">
      <c r="A402" s="2"/>
      <c r="B402" s="20"/>
      <c r="C402" s="29"/>
      <c r="D402" s="20"/>
    </row>
    <row r="403" spans="1:4" x14ac:dyDescent="0.25">
      <c r="A403" s="2"/>
      <c r="B403" s="20"/>
      <c r="C403" s="29"/>
      <c r="D403" s="20"/>
    </row>
    <row r="404" spans="1:4" x14ac:dyDescent="0.25">
      <c r="A404" s="2"/>
      <c r="B404" s="20"/>
      <c r="C404" s="20"/>
      <c r="D404" s="20"/>
    </row>
    <row r="405" spans="1:4" x14ac:dyDescent="0.25">
      <c r="A405" s="2"/>
      <c r="B405" s="20"/>
      <c r="C405" s="20"/>
      <c r="D405" s="20"/>
    </row>
    <row r="406" spans="1:4" x14ac:dyDescent="0.25">
      <c r="A406" s="2"/>
      <c r="B406" s="20"/>
      <c r="C406" s="20"/>
      <c r="D406" s="20"/>
    </row>
    <row r="407" spans="1:4" x14ac:dyDescent="0.25">
      <c r="A407" s="2"/>
      <c r="B407" s="20"/>
      <c r="C407" s="20"/>
      <c r="D407" s="20"/>
    </row>
    <row r="408" spans="1:4" x14ac:dyDescent="0.25">
      <c r="A408" s="2"/>
      <c r="B408" s="20"/>
      <c r="C408" s="29"/>
      <c r="D408" s="20"/>
    </row>
    <row r="409" spans="1:4" x14ac:dyDescent="0.25">
      <c r="A409" s="2"/>
      <c r="B409" s="20"/>
      <c r="C409" s="20"/>
      <c r="D409" s="20"/>
    </row>
    <row r="410" spans="1:4" x14ac:dyDescent="0.25">
      <c r="A410" s="2"/>
      <c r="B410" s="20"/>
      <c r="C410" s="20"/>
      <c r="D410" s="20"/>
    </row>
    <row r="411" spans="1:4" x14ac:dyDescent="0.25">
      <c r="A411" s="2"/>
      <c r="B411" s="20"/>
      <c r="C411" s="20"/>
      <c r="D411" s="20"/>
    </row>
    <row r="412" spans="1:4" x14ac:dyDescent="0.25">
      <c r="A412" s="2"/>
      <c r="B412" s="20"/>
      <c r="C412" s="20"/>
      <c r="D412" s="20"/>
    </row>
    <row r="413" spans="1:4" x14ac:dyDescent="0.25">
      <c r="A413" s="2"/>
      <c r="B413" s="20"/>
      <c r="C413" s="20"/>
      <c r="D413" s="20"/>
    </row>
    <row r="414" spans="1:4" x14ac:dyDescent="0.25">
      <c r="A414" s="2"/>
      <c r="B414" s="20"/>
      <c r="C414" s="20"/>
      <c r="D414" s="20"/>
    </row>
    <row r="415" spans="1:4" x14ac:dyDescent="0.25">
      <c r="A415" s="2"/>
      <c r="B415" s="20"/>
      <c r="C415" s="29"/>
      <c r="D415" s="20"/>
    </row>
    <row r="416" spans="1:4" x14ac:dyDescent="0.25">
      <c r="A416" s="2"/>
      <c r="B416" s="20"/>
      <c r="C416" s="20"/>
      <c r="D416" s="20"/>
    </row>
    <row r="417" spans="1:4" x14ac:dyDescent="0.25">
      <c r="A417" s="2"/>
      <c r="B417" s="20"/>
      <c r="C417" s="29"/>
      <c r="D417" s="20"/>
    </row>
    <row r="418" spans="1:4" x14ac:dyDescent="0.25">
      <c r="A418" s="2"/>
      <c r="B418" s="20"/>
      <c r="C418" s="20"/>
      <c r="D418" s="20"/>
    </row>
    <row r="419" spans="1:4" x14ac:dyDescent="0.25">
      <c r="A419" s="2"/>
      <c r="B419" s="20"/>
      <c r="C419" s="20"/>
      <c r="D419" s="20"/>
    </row>
    <row r="420" spans="1:4" x14ac:dyDescent="0.25">
      <c r="A420" s="2"/>
      <c r="B420" s="20"/>
      <c r="C420" s="20"/>
      <c r="D420" s="20"/>
    </row>
    <row r="421" spans="1:4" x14ac:dyDescent="0.25">
      <c r="A421" s="2"/>
      <c r="B421" s="20"/>
      <c r="C421" s="20"/>
      <c r="D421" s="20"/>
    </row>
    <row r="422" spans="1:4" x14ac:dyDescent="0.25">
      <c r="A422" s="2"/>
      <c r="B422" s="20"/>
      <c r="C422" s="20"/>
      <c r="D422" s="20"/>
    </row>
    <row r="423" spans="1:4" x14ac:dyDescent="0.25">
      <c r="A423" s="2"/>
      <c r="B423" s="20"/>
      <c r="C423" s="20"/>
      <c r="D423" s="20"/>
    </row>
    <row r="424" spans="1:4" x14ac:dyDescent="0.25">
      <c r="A424" s="2"/>
      <c r="B424" s="20"/>
      <c r="C424" s="29"/>
      <c r="D424" s="20"/>
    </row>
    <row r="425" spans="1:4" x14ac:dyDescent="0.25">
      <c r="A425" s="2"/>
      <c r="B425" s="20"/>
      <c r="C425" s="20"/>
      <c r="D425" s="20"/>
    </row>
    <row r="426" spans="1:4" x14ac:dyDescent="0.25">
      <c r="A426" s="2"/>
      <c r="B426" s="20"/>
      <c r="C426" s="29"/>
      <c r="D426" s="20"/>
    </row>
    <row r="427" spans="1:4" x14ac:dyDescent="0.25">
      <c r="A427" s="2"/>
      <c r="B427" s="20"/>
      <c r="C427" s="20"/>
      <c r="D427" s="20"/>
    </row>
    <row r="428" spans="1:4" x14ac:dyDescent="0.25">
      <c r="A428" s="2"/>
      <c r="B428" s="20"/>
      <c r="C428" s="20"/>
      <c r="D428" s="20"/>
    </row>
    <row r="429" spans="1:4" x14ac:dyDescent="0.25">
      <c r="A429" s="2"/>
      <c r="B429" s="20"/>
      <c r="C429" s="29"/>
      <c r="D429" s="20"/>
    </row>
    <row r="430" spans="1:4" x14ac:dyDescent="0.25">
      <c r="A430" s="2"/>
      <c r="B430" s="20"/>
      <c r="C430" s="20"/>
      <c r="D430" s="20"/>
    </row>
    <row r="431" spans="1:4" x14ac:dyDescent="0.25">
      <c r="A431" s="2"/>
      <c r="B431" s="20"/>
      <c r="C431" s="20"/>
      <c r="D431" s="20"/>
    </row>
    <row r="432" spans="1:4" x14ac:dyDescent="0.25">
      <c r="A432" s="2"/>
      <c r="B432" s="20"/>
      <c r="C432" s="29"/>
      <c r="D432" s="20"/>
    </row>
    <row r="433" spans="1:4" x14ac:dyDescent="0.25">
      <c r="A433" s="2"/>
      <c r="B433" s="20"/>
      <c r="C433" s="29"/>
      <c r="D433" s="20"/>
    </row>
    <row r="434" spans="1:4" x14ac:dyDescent="0.25">
      <c r="A434" s="2"/>
      <c r="B434" s="20"/>
      <c r="C434" s="20"/>
      <c r="D434" s="20"/>
    </row>
    <row r="435" spans="1:4" x14ac:dyDescent="0.25">
      <c r="A435" s="2"/>
      <c r="B435" s="20"/>
      <c r="C435" s="20"/>
      <c r="D435" s="20"/>
    </row>
    <row r="436" spans="1:4" x14ac:dyDescent="0.25">
      <c r="A436" s="2"/>
      <c r="B436" s="20"/>
      <c r="C436" s="20"/>
      <c r="D436" s="20"/>
    </row>
    <row r="437" spans="1:4" x14ac:dyDescent="0.25">
      <c r="A437" s="2"/>
      <c r="B437" s="20"/>
      <c r="C437" s="29"/>
      <c r="D437" s="20"/>
    </row>
    <row r="438" spans="1:4" x14ac:dyDescent="0.25">
      <c r="A438" s="2"/>
      <c r="B438" s="20"/>
      <c r="C438" s="20"/>
      <c r="D438" s="20"/>
    </row>
    <row r="439" spans="1:4" x14ac:dyDescent="0.25">
      <c r="A439" s="2"/>
      <c r="B439" s="20"/>
      <c r="C439" s="20"/>
      <c r="D439" s="20"/>
    </row>
    <row r="440" spans="1:4" x14ac:dyDescent="0.25">
      <c r="A440" s="2"/>
      <c r="B440" s="20"/>
      <c r="C440" s="29"/>
      <c r="D440" s="20"/>
    </row>
    <row r="441" spans="1:4" x14ac:dyDescent="0.25">
      <c r="A441" s="2"/>
      <c r="B441" s="20"/>
      <c r="C441" s="20"/>
      <c r="D441" s="20"/>
    </row>
    <row r="442" spans="1:4" x14ac:dyDescent="0.25">
      <c r="A442" s="2"/>
      <c r="B442" s="20"/>
      <c r="C442" s="20"/>
      <c r="D442" s="20"/>
    </row>
    <row r="443" spans="1:4" x14ac:dyDescent="0.25">
      <c r="A443" s="2"/>
      <c r="B443" s="20"/>
      <c r="C443" s="20"/>
      <c r="D443" s="20"/>
    </row>
    <row r="444" spans="1:4" x14ac:dyDescent="0.25">
      <c r="A444" s="2"/>
      <c r="B444" s="20"/>
      <c r="C444" s="20"/>
      <c r="D444" s="20"/>
    </row>
    <row r="445" spans="1:4" x14ac:dyDescent="0.25">
      <c r="A445" s="2"/>
      <c r="B445" s="20"/>
      <c r="C445" s="20"/>
      <c r="D445" s="20"/>
    </row>
    <row r="446" spans="1:4" x14ac:dyDescent="0.25">
      <c r="A446" s="2"/>
      <c r="B446" s="20"/>
      <c r="C446" s="20"/>
      <c r="D446" s="20"/>
    </row>
    <row r="447" spans="1:4" x14ac:dyDescent="0.25">
      <c r="A447" s="2"/>
      <c r="B447" s="20"/>
      <c r="C447" s="20"/>
      <c r="D447" s="20"/>
    </row>
    <row r="448" spans="1:4" x14ac:dyDescent="0.25">
      <c r="A448" s="2"/>
      <c r="B448" s="20"/>
      <c r="C448" s="29"/>
      <c r="D448" s="20"/>
    </row>
    <row r="449" spans="1:4" x14ac:dyDescent="0.25">
      <c r="A449" s="2"/>
      <c r="B449" s="20"/>
      <c r="C449" s="20"/>
      <c r="D449" s="20"/>
    </row>
    <row r="450" spans="1:4" x14ac:dyDescent="0.25">
      <c r="A450" s="2"/>
      <c r="B450" s="20"/>
      <c r="C450" s="20"/>
      <c r="D450" s="20"/>
    </row>
    <row r="451" spans="1:4" x14ac:dyDescent="0.25">
      <c r="A451" s="2"/>
      <c r="B451" s="20"/>
      <c r="C451" s="20"/>
      <c r="D451" s="20"/>
    </row>
    <row r="452" spans="1:4" x14ac:dyDescent="0.25">
      <c r="A452" s="2"/>
      <c r="B452" s="20"/>
      <c r="C452" s="20"/>
      <c r="D452" s="20"/>
    </row>
    <row r="453" spans="1:4" x14ac:dyDescent="0.25">
      <c r="A453" s="2"/>
      <c r="B453" s="20"/>
      <c r="C453" s="20"/>
      <c r="D453" s="20"/>
    </row>
    <row r="454" spans="1:4" x14ac:dyDescent="0.25">
      <c r="A454" s="2"/>
      <c r="B454" s="20"/>
      <c r="C454" s="20"/>
      <c r="D454" s="20"/>
    </row>
    <row r="455" spans="1:4" x14ac:dyDescent="0.25">
      <c r="A455" s="2"/>
      <c r="B455" s="20"/>
      <c r="C455" s="20"/>
      <c r="D455" s="20"/>
    </row>
    <row r="456" spans="1:4" x14ac:dyDescent="0.25">
      <c r="A456" s="2"/>
      <c r="B456" s="20"/>
      <c r="C456" s="20"/>
      <c r="D456" s="20"/>
    </row>
    <row r="457" spans="1:4" x14ac:dyDescent="0.25">
      <c r="A457" s="2"/>
      <c r="B457" s="20"/>
      <c r="C457" s="20"/>
      <c r="D457" s="20"/>
    </row>
    <row r="458" spans="1:4" x14ac:dyDescent="0.25">
      <c r="A458" s="2"/>
      <c r="B458" s="20"/>
      <c r="C458" s="20"/>
      <c r="D458" s="20"/>
    </row>
    <row r="459" spans="1:4" x14ac:dyDescent="0.25">
      <c r="A459" s="2"/>
      <c r="B459" s="20"/>
      <c r="C459" s="29"/>
      <c r="D459" s="20"/>
    </row>
    <row r="460" spans="1:4" x14ac:dyDescent="0.25">
      <c r="A460" s="2"/>
      <c r="B460" s="20"/>
      <c r="C460" s="29"/>
      <c r="D460" s="20"/>
    </row>
    <row r="461" spans="1:4" x14ac:dyDescent="0.25">
      <c r="A461" s="2"/>
      <c r="B461" s="20"/>
      <c r="C461" s="20"/>
      <c r="D461" s="20"/>
    </row>
    <row r="462" spans="1:4" x14ac:dyDescent="0.25">
      <c r="A462" s="2"/>
      <c r="B462" s="20"/>
      <c r="C462" s="20"/>
      <c r="D462" s="20"/>
    </row>
    <row r="463" spans="1:4" x14ac:dyDescent="0.25">
      <c r="A463" s="2"/>
      <c r="B463" s="20"/>
      <c r="C463" s="20"/>
      <c r="D463" s="20"/>
    </row>
    <row r="464" spans="1:4" x14ac:dyDescent="0.25">
      <c r="A464" s="2"/>
      <c r="B464" s="20"/>
      <c r="C464" s="20"/>
      <c r="D464" s="20"/>
    </row>
    <row r="465" spans="1:4" x14ac:dyDescent="0.25">
      <c r="A465" s="2"/>
      <c r="B465" s="20"/>
      <c r="C465" s="20"/>
      <c r="D465" s="20"/>
    </row>
    <row r="466" spans="1:4" x14ac:dyDescent="0.25">
      <c r="A466" s="2"/>
      <c r="B466" s="20"/>
      <c r="C466" s="20"/>
      <c r="D466" s="20"/>
    </row>
    <row r="467" spans="1:4" x14ac:dyDescent="0.25">
      <c r="A467" s="2"/>
      <c r="B467" s="20"/>
      <c r="C467" s="20"/>
      <c r="D467" s="20"/>
    </row>
    <row r="468" spans="1:4" x14ac:dyDescent="0.25">
      <c r="A468" s="2"/>
      <c r="B468" s="20"/>
      <c r="C468" s="20"/>
      <c r="D468" s="20"/>
    </row>
    <row r="469" spans="1:4" x14ac:dyDescent="0.25">
      <c r="A469" s="2"/>
      <c r="B469" s="20"/>
      <c r="C469" s="20"/>
      <c r="D469" s="20"/>
    </row>
    <row r="470" spans="1:4" x14ac:dyDescent="0.25">
      <c r="A470" s="2"/>
      <c r="B470" s="20"/>
      <c r="C470" s="20"/>
      <c r="D470" s="20"/>
    </row>
    <row r="471" spans="1:4" x14ac:dyDescent="0.25">
      <c r="A471" s="2"/>
      <c r="B471" s="20"/>
      <c r="C471" s="29"/>
      <c r="D471" s="20"/>
    </row>
    <row r="472" spans="1:4" x14ac:dyDescent="0.25">
      <c r="A472" s="2"/>
      <c r="B472" s="20"/>
      <c r="C472" s="29"/>
      <c r="D472" s="20"/>
    </row>
    <row r="473" spans="1:4" x14ac:dyDescent="0.25">
      <c r="A473" s="2"/>
      <c r="B473" s="20"/>
      <c r="C473" s="20"/>
      <c r="D473" s="20"/>
    </row>
    <row r="474" spans="1:4" x14ac:dyDescent="0.25">
      <c r="A474" s="2"/>
      <c r="B474" s="20"/>
      <c r="C474" s="20"/>
      <c r="D474" s="20"/>
    </row>
    <row r="475" spans="1:4" x14ac:dyDescent="0.25">
      <c r="A475" s="2"/>
      <c r="B475" s="20"/>
      <c r="C475" s="20"/>
      <c r="D475" s="20"/>
    </row>
    <row r="476" spans="1:4" x14ac:dyDescent="0.25">
      <c r="A476" s="2"/>
      <c r="B476" s="20"/>
      <c r="C476" s="20"/>
      <c r="D476" s="20"/>
    </row>
    <row r="477" spans="1:4" x14ac:dyDescent="0.25">
      <c r="A477" s="2"/>
      <c r="B477" s="20"/>
      <c r="C477" s="29"/>
      <c r="D477" s="20"/>
    </row>
    <row r="478" spans="1:4" x14ac:dyDescent="0.25">
      <c r="A478" s="2"/>
      <c r="B478" s="20"/>
      <c r="C478" s="20"/>
      <c r="D478" s="20"/>
    </row>
    <row r="479" spans="1:4" x14ac:dyDescent="0.25">
      <c r="A479" s="2"/>
      <c r="B479" s="20"/>
      <c r="C479" s="20"/>
      <c r="D479" s="20"/>
    </row>
    <row r="480" spans="1:4" x14ac:dyDescent="0.25">
      <c r="A480" s="2"/>
      <c r="B480" s="20"/>
      <c r="C480" s="20"/>
      <c r="D480" s="20"/>
    </row>
    <row r="481" spans="1:4" x14ac:dyDescent="0.25">
      <c r="A481" s="2"/>
      <c r="B481" s="20"/>
      <c r="C481" s="20"/>
      <c r="D481" s="20"/>
    </row>
    <row r="482" spans="1:4" x14ac:dyDescent="0.25">
      <c r="A482" s="2"/>
      <c r="B482" s="20"/>
      <c r="C482" s="20"/>
      <c r="D482" s="20"/>
    </row>
    <row r="483" spans="1:4" x14ac:dyDescent="0.25">
      <c r="A483" s="2"/>
      <c r="B483" s="20"/>
      <c r="C483" s="20"/>
      <c r="D483" s="20"/>
    </row>
    <row r="484" spans="1:4" x14ac:dyDescent="0.25">
      <c r="A484" s="2"/>
      <c r="B484" s="20"/>
      <c r="C484" s="29"/>
      <c r="D484" s="20"/>
    </row>
    <row r="485" spans="1:4" x14ac:dyDescent="0.25">
      <c r="A485" s="2"/>
      <c r="B485" s="20"/>
      <c r="C485" s="20"/>
      <c r="D485" s="20"/>
    </row>
    <row r="486" spans="1:4" x14ac:dyDescent="0.25">
      <c r="A486" s="2"/>
      <c r="B486" s="20"/>
      <c r="C486" s="20"/>
      <c r="D486" s="20"/>
    </row>
    <row r="487" spans="1:4" x14ac:dyDescent="0.25">
      <c r="A487" s="2"/>
      <c r="B487" s="20"/>
      <c r="C487" s="20"/>
      <c r="D487" s="20"/>
    </row>
    <row r="488" spans="1:4" x14ac:dyDescent="0.25">
      <c r="A488" s="2"/>
      <c r="B488" s="20"/>
      <c r="C488" s="20"/>
      <c r="D488" s="20"/>
    </row>
    <row r="489" spans="1:4" x14ac:dyDescent="0.25">
      <c r="A489" s="2"/>
      <c r="B489" s="20"/>
      <c r="C489" s="29"/>
      <c r="D489" s="20"/>
    </row>
    <row r="490" spans="1:4" x14ac:dyDescent="0.25">
      <c r="A490" s="2"/>
      <c r="B490" s="20"/>
      <c r="C490" s="20"/>
      <c r="D490" s="20"/>
    </row>
    <row r="491" spans="1:4" x14ac:dyDescent="0.25">
      <c r="A491" s="2"/>
      <c r="B491" s="20"/>
      <c r="C491" s="20"/>
      <c r="D491" s="20"/>
    </row>
    <row r="492" spans="1:4" x14ac:dyDescent="0.25">
      <c r="A492" s="2"/>
      <c r="B492" s="20"/>
      <c r="C492" s="20"/>
      <c r="D492" s="20"/>
    </row>
    <row r="493" spans="1:4" x14ac:dyDescent="0.25">
      <c r="A493" s="2"/>
      <c r="B493" s="20"/>
      <c r="C493" s="20"/>
      <c r="D493" s="20"/>
    </row>
    <row r="494" spans="1:4" x14ac:dyDescent="0.25">
      <c r="A494" s="2"/>
      <c r="B494" s="20"/>
      <c r="C494" s="20"/>
      <c r="D494" s="20"/>
    </row>
    <row r="495" spans="1:4" x14ac:dyDescent="0.25">
      <c r="A495" s="2"/>
      <c r="B495" s="20"/>
      <c r="C495" s="20"/>
      <c r="D495" s="20"/>
    </row>
    <row r="496" spans="1:4" x14ac:dyDescent="0.25">
      <c r="A496" s="2"/>
      <c r="B496" s="20"/>
      <c r="C496" s="20"/>
      <c r="D496" s="20"/>
    </row>
    <row r="497" spans="1:4" x14ac:dyDescent="0.25">
      <c r="A497" s="2"/>
      <c r="B497" s="20"/>
      <c r="C497" s="29"/>
      <c r="D497" s="20"/>
    </row>
    <row r="498" spans="1:4" x14ac:dyDescent="0.25">
      <c r="A498" s="2"/>
      <c r="B498" s="20"/>
      <c r="C498" s="29"/>
      <c r="D498" s="20"/>
    </row>
    <row r="499" spans="1:4" x14ac:dyDescent="0.25">
      <c r="A499" s="2"/>
      <c r="B499" s="20"/>
      <c r="C499" s="20"/>
      <c r="D499" s="20"/>
    </row>
    <row r="500" spans="1:4" x14ac:dyDescent="0.25">
      <c r="A500" s="2"/>
      <c r="B500" s="20"/>
      <c r="C500" s="29"/>
      <c r="D500" s="20"/>
    </row>
    <row r="501" spans="1:4" x14ac:dyDescent="0.25">
      <c r="A501" s="2"/>
      <c r="B501" s="20"/>
      <c r="C501" s="20"/>
      <c r="D501" s="20"/>
    </row>
    <row r="502" spans="1:4" x14ac:dyDescent="0.25">
      <c r="A502" s="2"/>
      <c r="B502" s="20"/>
      <c r="C502" s="20"/>
      <c r="D502" s="20"/>
    </row>
    <row r="503" spans="1:4" x14ac:dyDescent="0.25">
      <c r="A503" s="2"/>
      <c r="B503" s="20"/>
      <c r="C503" s="20"/>
      <c r="D503" s="20"/>
    </row>
    <row r="504" spans="1:4" x14ac:dyDescent="0.25">
      <c r="A504" s="2"/>
      <c r="B504" s="20"/>
      <c r="C504" s="20"/>
      <c r="D504" s="20"/>
    </row>
    <row r="505" spans="1:4" x14ac:dyDescent="0.25">
      <c r="A505" s="2"/>
      <c r="B505" s="20"/>
      <c r="C505" s="20"/>
      <c r="D505" s="20"/>
    </row>
    <row r="506" spans="1:4" x14ac:dyDescent="0.25">
      <c r="A506" s="2"/>
      <c r="B506" s="20"/>
      <c r="C506" s="20"/>
      <c r="D506" s="20"/>
    </row>
    <row r="507" spans="1:4" x14ac:dyDescent="0.25">
      <c r="A507" s="2"/>
      <c r="B507" s="20"/>
      <c r="C507" s="20"/>
      <c r="D507" s="20"/>
    </row>
    <row r="508" spans="1:4" x14ac:dyDescent="0.25">
      <c r="A508" s="2"/>
      <c r="B508" s="20"/>
      <c r="C508" s="20"/>
      <c r="D508" s="20"/>
    </row>
    <row r="509" spans="1:4" x14ac:dyDescent="0.25">
      <c r="A509" s="2"/>
      <c r="B509" s="20"/>
      <c r="C509" s="20"/>
      <c r="D509" s="20"/>
    </row>
    <row r="510" spans="1:4" x14ac:dyDescent="0.25">
      <c r="A510" s="2"/>
      <c r="B510" s="20"/>
      <c r="C510" s="20"/>
      <c r="D510" s="20"/>
    </row>
    <row r="511" spans="1:4" x14ac:dyDescent="0.25">
      <c r="A511" s="2"/>
      <c r="B511" s="20"/>
      <c r="C511" s="20"/>
      <c r="D511" s="20"/>
    </row>
    <row r="512" spans="1:4" x14ac:dyDescent="0.25">
      <c r="A512" s="2"/>
      <c r="B512" s="20"/>
      <c r="C512" s="20"/>
      <c r="D512" s="20"/>
    </row>
    <row r="513" spans="1:4" x14ac:dyDescent="0.25">
      <c r="A513" s="2"/>
      <c r="B513" s="20"/>
      <c r="C513" s="20"/>
      <c r="D513" s="20"/>
    </row>
    <row r="514" spans="1:4" x14ac:dyDescent="0.25">
      <c r="A514" s="2"/>
      <c r="B514" s="20"/>
      <c r="C514" s="20"/>
      <c r="D514" s="20"/>
    </row>
    <row r="515" spans="1:4" x14ac:dyDescent="0.25">
      <c r="A515" s="2"/>
      <c r="B515" s="20"/>
      <c r="C515" s="20"/>
      <c r="D515" s="20"/>
    </row>
    <row r="516" spans="1:4" x14ac:dyDescent="0.25">
      <c r="A516" s="2"/>
      <c r="B516" s="20"/>
      <c r="C516" s="29"/>
      <c r="D516" s="20"/>
    </row>
    <row r="517" spans="1:4" x14ac:dyDescent="0.25">
      <c r="A517" s="2"/>
      <c r="B517" s="20"/>
      <c r="C517" s="29"/>
      <c r="D517" s="20"/>
    </row>
    <row r="518" spans="1:4" x14ac:dyDescent="0.25">
      <c r="A518" s="2"/>
      <c r="B518" s="20"/>
      <c r="C518" s="20"/>
      <c r="D518" s="20"/>
    </row>
    <row r="519" spans="1:4" x14ac:dyDescent="0.25">
      <c r="A519" s="2"/>
      <c r="B519" s="20"/>
      <c r="C519" s="29"/>
      <c r="D519" s="20"/>
    </row>
    <row r="520" spans="1:4" x14ac:dyDescent="0.25">
      <c r="A520" s="2"/>
      <c r="B520" s="20"/>
      <c r="C520" s="20"/>
      <c r="D520" s="20"/>
    </row>
    <row r="521" spans="1:4" x14ac:dyDescent="0.25">
      <c r="A521" s="2"/>
      <c r="B521" s="20"/>
      <c r="C521" s="20"/>
      <c r="D521" s="20"/>
    </row>
    <row r="522" spans="1:4" x14ac:dyDescent="0.25">
      <c r="A522" s="2"/>
      <c r="B522" s="20"/>
      <c r="C522" s="29"/>
      <c r="D522" s="20"/>
    </row>
    <row r="523" spans="1:4" x14ac:dyDescent="0.25">
      <c r="A523" s="2"/>
      <c r="B523" s="20"/>
      <c r="C523" s="20"/>
      <c r="D523" s="20"/>
    </row>
    <row r="524" spans="1:4" x14ac:dyDescent="0.25">
      <c r="A524" s="2"/>
      <c r="B524" s="20"/>
      <c r="C524" s="20"/>
      <c r="D524" s="20"/>
    </row>
    <row r="525" spans="1:4" x14ac:dyDescent="0.25">
      <c r="A525" s="2"/>
      <c r="B525" s="20"/>
      <c r="C525" s="20"/>
      <c r="D525" s="20"/>
    </row>
    <row r="526" spans="1:4" x14ac:dyDescent="0.25">
      <c r="A526" s="2"/>
      <c r="B526" s="20"/>
      <c r="C526" s="29"/>
      <c r="D526" s="20"/>
    </row>
    <row r="527" spans="1:4" x14ac:dyDescent="0.25">
      <c r="A527" s="2"/>
      <c r="B527" s="20"/>
      <c r="C527" s="20"/>
      <c r="D527" s="20"/>
    </row>
    <row r="528" spans="1:4" x14ac:dyDescent="0.25">
      <c r="A528" s="2"/>
      <c r="B528" s="20"/>
      <c r="C528" s="20"/>
      <c r="D528" s="20"/>
    </row>
    <row r="529" spans="1:4" x14ac:dyDescent="0.25">
      <c r="A529" s="2"/>
      <c r="B529" s="20"/>
      <c r="C529" s="20"/>
      <c r="D529" s="20"/>
    </row>
    <row r="530" spans="1:4" x14ac:dyDescent="0.25">
      <c r="A530" s="2"/>
      <c r="B530" s="20"/>
      <c r="C530" s="29"/>
      <c r="D530" s="20"/>
    </row>
    <row r="531" spans="1:4" x14ac:dyDescent="0.25">
      <c r="A531" s="2"/>
      <c r="B531" s="20"/>
      <c r="C531" s="20"/>
      <c r="D531" s="20"/>
    </row>
    <row r="532" spans="1:4" x14ac:dyDescent="0.25">
      <c r="A532" s="2"/>
      <c r="B532" s="20"/>
      <c r="C532" s="20"/>
      <c r="D532" s="20"/>
    </row>
    <row r="533" spans="1:4" x14ac:dyDescent="0.25">
      <c r="A533" s="2"/>
      <c r="B533" s="20"/>
      <c r="C533" s="29"/>
      <c r="D533" s="20"/>
    </row>
    <row r="534" spans="1:4" x14ac:dyDescent="0.25">
      <c r="A534" s="2"/>
      <c r="B534" s="20"/>
      <c r="C534" s="20"/>
      <c r="D534" s="20"/>
    </row>
    <row r="535" spans="1:4" x14ac:dyDescent="0.25">
      <c r="A535" s="2"/>
      <c r="B535" s="20"/>
      <c r="C535" s="20"/>
      <c r="D535" s="20"/>
    </row>
    <row r="536" spans="1:4" x14ac:dyDescent="0.25">
      <c r="A536" s="2"/>
      <c r="B536" s="20"/>
      <c r="C536" s="20"/>
      <c r="D536" s="20"/>
    </row>
    <row r="537" spans="1:4" x14ac:dyDescent="0.25">
      <c r="A537" s="2"/>
      <c r="B537" s="20"/>
      <c r="C537" s="29"/>
      <c r="D537" s="20"/>
    </row>
    <row r="538" spans="1:4" x14ac:dyDescent="0.25">
      <c r="A538" s="2"/>
      <c r="B538" s="20"/>
      <c r="C538" s="29"/>
      <c r="D538" s="20"/>
    </row>
    <row r="539" spans="1:4" x14ac:dyDescent="0.25">
      <c r="A539" s="2"/>
      <c r="B539" s="20"/>
      <c r="C539" s="20"/>
      <c r="D539" s="20"/>
    </row>
    <row r="540" spans="1:4" x14ac:dyDescent="0.25">
      <c r="A540" s="2"/>
      <c r="B540" s="20"/>
      <c r="C540" s="29"/>
      <c r="D540" s="20"/>
    </row>
    <row r="541" spans="1:4" x14ac:dyDescent="0.25">
      <c r="A541" s="2"/>
      <c r="B541" s="20"/>
      <c r="C541" s="20"/>
      <c r="D541" s="20"/>
    </row>
    <row r="542" spans="1:4" x14ac:dyDescent="0.25">
      <c r="A542" s="2"/>
      <c r="B542" s="20"/>
      <c r="C542" s="20"/>
      <c r="D542" s="20"/>
    </row>
    <row r="543" spans="1:4" x14ac:dyDescent="0.25">
      <c r="A543" s="2"/>
      <c r="B543" s="20"/>
      <c r="C543" s="29"/>
      <c r="D543" s="20"/>
    </row>
    <row r="544" spans="1:4" x14ac:dyDescent="0.25">
      <c r="A544" s="2"/>
      <c r="B544" s="20"/>
      <c r="C544" s="29"/>
      <c r="D544" s="20"/>
    </row>
    <row r="545" spans="1:4" x14ac:dyDescent="0.25">
      <c r="A545" s="2"/>
      <c r="B545" s="20"/>
      <c r="C545" s="20"/>
      <c r="D545" s="20"/>
    </row>
    <row r="546" spans="1:4" x14ac:dyDescent="0.25">
      <c r="A546" s="2"/>
      <c r="B546" s="20"/>
      <c r="C546" s="20"/>
      <c r="D546" s="20"/>
    </row>
    <row r="547" spans="1:4" x14ac:dyDescent="0.25">
      <c r="A547" s="2"/>
      <c r="B547" s="20"/>
      <c r="C547" s="20"/>
      <c r="D547" s="20"/>
    </row>
    <row r="548" spans="1:4" x14ac:dyDescent="0.25">
      <c r="A548" s="2"/>
      <c r="B548" s="20"/>
      <c r="C548" s="29"/>
      <c r="D548" s="20"/>
    </row>
    <row r="549" spans="1:4" x14ac:dyDescent="0.25">
      <c r="A549" s="2"/>
      <c r="B549" s="20"/>
      <c r="C549" s="20"/>
      <c r="D549" s="20"/>
    </row>
    <row r="550" spans="1:4" x14ac:dyDescent="0.25">
      <c r="A550" s="2"/>
      <c r="B550" s="20"/>
      <c r="C550" s="20"/>
      <c r="D550" s="20"/>
    </row>
    <row r="551" spans="1:4" x14ac:dyDescent="0.25">
      <c r="A551" s="2"/>
      <c r="B551" s="20"/>
      <c r="C551" s="20"/>
      <c r="D551" s="20"/>
    </row>
    <row r="552" spans="1:4" x14ac:dyDescent="0.25">
      <c r="A552" s="2"/>
      <c r="B552" s="20"/>
      <c r="C552" s="20"/>
      <c r="D552" s="20"/>
    </row>
    <row r="553" spans="1:4" x14ac:dyDescent="0.25">
      <c r="A553" s="2"/>
      <c r="B553" s="20"/>
      <c r="C553" s="20"/>
      <c r="D553" s="20"/>
    </row>
    <row r="554" spans="1:4" x14ac:dyDescent="0.25">
      <c r="A554" s="2"/>
      <c r="B554" s="20"/>
      <c r="C554" s="20"/>
      <c r="D554" s="20"/>
    </row>
    <row r="555" spans="1:4" x14ac:dyDescent="0.25">
      <c r="A555" s="2"/>
      <c r="B555" s="20"/>
      <c r="C555" s="20"/>
      <c r="D555" s="20"/>
    </row>
    <row r="556" spans="1:4" x14ac:dyDescent="0.25">
      <c r="A556" s="2"/>
      <c r="B556" s="20"/>
      <c r="C556" s="20"/>
      <c r="D556" s="20"/>
    </row>
    <row r="557" spans="1:4" x14ac:dyDescent="0.25">
      <c r="A557" s="2"/>
      <c r="B557" s="20"/>
      <c r="C557" s="29"/>
      <c r="D557" s="20"/>
    </row>
    <row r="558" spans="1:4" x14ac:dyDescent="0.25">
      <c r="A558" s="2"/>
      <c r="B558" s="20"/>
      <c r="C558" s="20"/>
      <c r="D558" s="20"/>
    </row>
    <row r="559" spans="1:4" x14ac:dyDescent="0.25">
      <c r="A559" s="2"/>
      <c r="B559" s="20"/>
      <c r="C559" s="20"/>
      <c r="D559" s="20"/>
    </row>
    <row r="560" spans="1:4" x14ac:dyDescent="0.25">
      <c r="A560" s="2"/>
      <c r="B560" s="20"/>
      <c r="C560" s="20"/>
      <c r="D560" s="20"/>
    </row>
    <row r="561" spans="1:4" x14ac:dyDescent="0.25">
      <c r="A561" s="2"/>
      <c r="B561" s="20"/>
      <c r="C561" s="20"/>
      <c r="D561" s="20"/>
    </row>
    <row r="562" spans="1:4" x14ac:dyDescent="0.25">
      <c r="A562" s="2"/>
      <c r="B562" s="20"/>
      <c r="C562" s="20"/>
      <c r="D562" s="20"/>
    </row>
    <row r="563" spans="1:4" x14ac:dyDescent="0.25">
      <c r="A563" s="2"/>
      <c r="B563" s="20"/>
      <c r="C563" s="20"/>
      <c r="D563" s="20"/>
    </row>
    <row r="564" spans="1:4" x14ac:dyDescent="0.25">
      <c r="A564" s="2"/>
      <c r="B564" s="20"/>
      <c r="C564" s="20"/>
      <c r="D564" s="20"/>
    </row>
    <row r="565" spans="1:4" x14ac:dyDescent="0.25">
      <c r="A565" s="2"/>
      <c r="B565" s="20"/>
      <c r="C565" s="29"/>
      <c r="D565" s="20"/>
    </row>
    <row r="566" spans="1:4" x14ac:dyDescent="0.25">
      <c r="A566" s="2"/>
      <c r="B566" s="20"/>
      <c r="C566" s="20"/>
      <c r="D566" s="20"/>
    </row>
    <row r="567" spans="1:4" x14ac:dyDescent="0.25">
      <c r="A567" s="2"/>
      <c r="B567" s="20"/>
      <c r="C567" s="29"/>
      <c r="D567" s="20"/>
    </row>
    <row r="568" spans="1:4" x14ac:dyDescent="0.25">
      <c r="A568" s="2"/>
      <c r="B568" s="20"/>
      <c r="C568" s="20"/>
      <c r="D568" s="20"/>
    </row>
    <row r="569" spans="1:4" x14ac:dyDescent="0.25">
      <c r="A569" s="2"/>
      <c r="B569" s="20"/>
      <c r="C569" s="20"/>
      <c r="D569" s="20"/>
    </row>
    <row r="570" spans="1:4" x14ac:dyDescent="0.25">
      <c r="A570" s="2"/>
      <c r="B570" s="20"/>
      <c r="C570" s="20"/>
      <c r="D570" s="20"/>
    </row>
    <row r="571" spans="1:4" x14ac:dyDescent="0.25">
      <c r="A571" s="2"/>
      <c r="B571" s="20"/>
      <c r="C571" s="20"/>
      <c r="D571" s="20"/>
    </row>
    <row r="572" spans="1:4" x14ac:dyDescent="0.25">
      <c r="A572" s="2"/>
      <c r="B572" s="20"/>
      <c r="C572" s="20"/>
      <c r="D572" s="20"/>
    </row>
    <row r="573" spans="1:4" x14ac:dyDescent="0.25">
      <c r="A573" s="2"/>
      <c r="B573" s="20"/>
      <c r="C573" s="29"/>
      <c r="D573" s="20"/>
    </row>
    <row r="574" spans="1:4" x14ac:dyDescent="0.25">
      <c r="A574" s="2"/>
      <c r="B574" s="20"/>
      <c r="C574" s="20"/>
      <c r="D574" s="20"/>
    </row>
    <row r="575" spans="1:4" x14ac:dyDescent="0.25">
      <c r="A575" s="2"/>
      <c r="B575" s="20"/>
      <c r="C575" s="20"/>
      <c r="D575" s="20"/>
    </row>
    <row r="576" spans="1:4" x14ac:dyDescent="0.25">
      <c r="A576" s="2"/>
      <c r="B576" s="20"/>
      <c r="C576" s="20"/>
      <c r="D576" s="20"/>
    </row>
    <row r="577" spans="1:4" x14ac:dyDescent="0.25">
      <c r="A577" s="2"/>
      <c r="B577" s="20"/>
      <c r="C577" s="29"/>
      <c r="D577" s="20"/>
    </row>
    <row r="578" spans="1:4" x14ac:dyDescent="0.25">
      <c r="A578" s="2"/>
      <c r="B578" s="20"/>
      <c r="C578" s="29"/>
      <c r="D578" s="20"/>
    </row>
    <row r="579" spans="1:4" x14ac:dyDescent="0.25">
      <c r="A579" s="2"/>
      <c r="B579" s="20"/>
      <c r="C579" s="20"/>
      <c r="D579" s="20"/>
    </row>
    <row r="580" spans="1:4" x14ac:dyDescent="0.25">
      <c r="A580" s="2"/>
      <c r="B580" s="20"/>
      <c r="C580" s="29"/>
      <c r="D580" s="20"/>
    </row>
    <row r="581" spans="1:4" x14ac:dyDescent="0.25">
      <c r="A581" s="2"/>
      <c r="B581" s="20"/>
      <c r="C581" s="20"/>
      <c r="D581" s="20"/>
    </row>
    <row r="582" spans="1:4" x14ac:dyDescent="0.25">
      <c r="A582" s="2"/>
      <c r="B582" s="20"/>
      <c r="C582" s="20"/>
      <c r="D582" s="20"/>
    </row>
    <row r="583" spans="1:4" x14ac:dyDescent="0.25">
      <c r="A583" s="2"/>
      <c r="B583" s="20"/>
      <c r="C583" s="20"/>
      <c r="D583" s="20"/>
    </row>
    <row r="584" spans="1:4" x14ac:dyDescent="0.25">
      <c r="A584" s="2"/>
      <c r="B584" s="20"/>
      <c r="C584" s="20"/>
      <c r="D584" s="20"/>
    </row>
    <row r="585" spans="1:4" x14ac:dyDescent="0.25">
      <c r="A585" s="2"/>
      <c r="B585" s="20"/>
      <c r="C585" s="20"/>
      <c r="D585" s="20"/>
    </row>
    <row r="586" spans="1:4" x14ac:dyDescent="0.25">
      <c r="A586" s="2"/>
      <c r="B586" s="20"/>
      <c r="C586" s="20"/>
      <c r="D586" s="20"/>
    </row>
    <row r="587" spans="1:4" x14ac:dyDescent="0.25">
      <c r="A587" s="2"/>
      <c r="B587" s="20"/>
      <c r="C587" s="20"/>
      <c r="D587" s="20"/>
    </row>
    <row r="588" spans="1:4" x14ac:dyDescent="0.25">
      <c r="A588" s="2"/>
      <c r="B588" s="20"/>
      <c r="C588" s="20"/>
      <c r="D588" s="20"/>
    </row>
    <row r="589" spans="1:4" x14ac:dyDescent="0.25">
      <c r="A589" s="2"/>
      <c r="B589" s="20"/>
      <c r="C589" s="29"/>
      <c r="D589" s="20"/>
    </row>
    <row r="590" spans="1:4" x14ac:dyDescent="0.25">
      <c r="A590" s="2"/>
      <c r="B590" s="20"/>
      <c r="C590" s="29"/>
      <c r="D590" s="20"/>
    </row>
    <row r="591" spans="1:4" x14ac:dyDescent="0.25">
      <c r="A591" s="2"/>
      <c r="B591" s="20"/>
      <c r="C591" s="20"/>
      <c r="D591" s="20"/>
    </row>
    <row r="592" spans="1:4" x14ac:dyDescent="0.25">
      <c r="A592" s="2"/>
      <c r="B592" s="20"/>
      <c r="C592" s="20"/>
      <c r="D592" s="20"/>
    </row>
    <row r="593" spans="1:4" x14ac:dyDescent="0.25">
      <c r="A593" s="2"/>
      <c r="B593" s="20"/>
      <c r="C593" s="20"/>
      <c r="D593" s="20"/>
    </row>
    <row r="594" spans="1:4" x14ac:dyDescent="0.25">
      <c r="A594" s="2"/>
      <c r="B594" s="20"/>
      <c r="C594" s="20"/>
      <c r="D594" s="20"/>
    </row>
    <row r="595" spans="1:4" x14ac:dyDescent="0.25">
      <c r="A595" s="2"/>
      <c r="B595" s="20"/>
      <c r="C595" s="20"/>
      <c r="D595" s="20"/>
    </row>
    <row r="596" spans="1:4" x14ac:dyDescent="0.25">
      <c r="A596" s="2"/>
      <c r="B596" s="20"/>
      <c r="C596" s="29"/>
      <c r="D596" s="20"/>
    </row>
    <row r="597" spans="1:4" x14ac:dyDescent="0.25">
      <c r="A597" s="2"/>
      <c r="B597" s="20"/>
      <c r="C597" s="20"/>
      <c r="D597" s="20"/>
    </row>
    <row r="598" spans="1:4" x14ac:dyDescent="0.25">
      <c r="A598" s="2"/>
      <c r="B598" s="20"/>
      <c r="C598" s="20"/>
      <c r="D598" s="20"/>
    </row>
    <row r="599" spans="1:4" x14ac:dyDescent="0.25">
      <c r="A599" s="2"/>
      <c r="B599" s="20"/>
      <c r="C599" s="29"/>
      <c r="D599" s="20"/>
    </row>
    <row r="600" spans="1:4" x14ac:dyDescent="0.25">
      <c r="A600" s="2"/>
      <c r="B600" s="20"/>
      <c r="C600" s="20"/>
      <c r="D600" s="20"/>
    </row>
    <row r="601" spans="1:4" x14ac:dyDescent="0.25">
      <c r="A601" s="2"/>
      <c r="B601" s="20"/>
      <c r="C601" s="20"/>
      <c r="D601" s="20"/>
    </row>
    <row r="602" spans="1:4" x14ac:dyDescent="0.25">
      <c r="A602" s="2"/>
      <c r="B602" s="20"/>
      <c r="C602" s="20"/>
      <c r="D602" s="20"/>
    </row>
    <row r="603" spans="1:4" x14ac:dyDescent="0.25">
      <c r="A603" s="2"/>
      <c r="B603" s="20"/>
      <c r="C603" s="20"/>
      <c r="D603" s="20"/>
    </row>
    <row r="604" spans="1:4" x14ac:dyDescent="0.25">
      <c r="A604" s="2"/>
      <c r="B604" s="20"/>
      <c r="C604" s="20"/>
      <c r="D604" s="20"/>
    </row>
    <row r="605" spans="1:4" x14ac:dyDescent="0.25">
      <c r="A605" s="2"/>
      <c r="B605" s="20"/>
      <c r="C605" s="20"/>
      <c r="D605" s="20"/>
    </row>
    <row r="606" spans="1:4" x14ac:dyDescent="0.25">
      <c r="A606" s="2"/>
      <c r="B606" s="20"/>
      <c r="C606" s="29"/>
      <c r="D606" s="20"/>
    </row>
    <row r="607" spans="1:4" x14ac:dyDescent="0.25">
      <c r="A607" s="2"/>
      <c r="B607" s="20"/>
      <c r="C607" s="29"/>
      <c r="D607" s="20"/>
    </row>
    <row r="608" spans="1:4" x14ac:dyDescent="0.25">
      <c r="A608" s="2"/>
      <c r="B608" s="20"/>
      <c r="C608" s="20"/>
      <c r="D608" s="20"/>
    </row>
    <row r="609" spans="1:4" x14ac:dyDescent="0.25">
      <c r="A609" s="2"/>
      <c r="B609" s="20"/>
      <c r="C609" s="29"/>
      <c r="D609" s="20"/>
    </row>
    <row r="610" spans="1:4" x14ac:dyDescent="0.25">
      <c r="A610" s="2"/>
      <c r="B610" s="20"/>
      <c r="C610" s="20"/>
      <c r="D610" s="20"/>
    </row>
    <row r="611" spans="1:4" x14ac:dyDescent="0.25">
      <c r="A611" s="2"/>
      <c r="B611" s="20"/>
      <c r="C611" s="20"/>
      <c r="D611" s="20"/>
    </row>
    <row r="612" spans="1:4" x14ac:dyDescent="0.25">
      <c r="A612" s="2"/>
      <c r="B612" s="20"/>
      <c r="C612" s="20"/>
      <c r="D612" s="20"/>
    </row>
    <row r="613" spans="1:4" x14ac:dyDescent="0.25">
      <c r="A613" s="2"/>
      <c r="B613" s="20"/>
      <c r="C613" s="20"/>
      <c r="D613" s="20"/>
    </row>
    <row r="614" spans="1:4" x14ac:dyDescent="0.25">
      <c r="A614" s="2"/>
      <c r="B614" s="20"/>
      <c r="C614" s="20"/>
      <c r="D614" s="20"/>
    </row>
    <row r="615" spans="1:4" x14ac:dyDescent="0.25">
      <c r="A615" s="2"/>
      <c r="B615" s="20"/>
      <c r="C615" s="20"/>
      <c r="D615" s="20"/>
    </row>
    <row r="616" spans="1:4" x14ac:dyDescent="0.25">
      <c r="A616" s="2"/>
      <c r="B616" s="20"/>
      <c r="C616" s="20"/>
      <c r="D616" s="20"/>
    </row>
    <row r="617" spans="1:4" x14ac:dyDescent="0.25">
      <c r="A617" s="2"/>
      <c r="B617" s="20"/>
      <c r="C617" s="29"/>
      <c r="D617" s="20"/>
    </row>
    <row r="618" spans="1:4" x14ac:dyDescent="0.25">
      <c r="A618" s="2"/>
      <c r="B618" s="20"/>
      <c r="C618" s="20"/>
      <c r="D618" s="20"/>
    </row>
    <row r="619" spans="1:4" x14ac:dyDescent="0.25">
      <c r="A619" s="2"/>
      <c r="B619" s="20"/>
      <c r="C619" s="20"/>
      <c r="D619" s="20"/>
    </row>
    <row r="620" spans="1:4" x14ac:dyDescent="0.25">
      <c r="A620" s="2"/>
      <c r="B620" s="20"/>
      <c r="C620" s="20"/>
      <c r="D620" s="20"/>
    </row>
    <row r="621" spans="1:4" x14ac:dyDescent="0.25">
      <c r="A621" s="2"/>
      <c r="B621" s="20"/>
      <c r="C621" s="20"/>
      <c r="D621" s="20"/>
    </row>
    <row r="622" spans="1:4" x14ac:dyDescent="0.25">
      <c r="A622" s="2"/>
      <c r="B622" s="20"/>
      <c r="C622" s="20"/>
      <c r="D622" s="20"/>
    </row>
    <row r="623" spans="1:4" x14ac:dyDescent="0.25">
      <c r="A623" s="2"/>
      <c r="B623" s="20"/>
      <c r="C623" s="20"/>
      <c r="D623" s="20"/>
    </row>
    <row r="624" spans="1:4" x14ac:dyDescent="0.25">
      <c r="A624" s="2"/>
      <c r="B624" s="20"/>
      <c r="C624" s="20"/>
      <c r="D624" s="20"/>
    </row>
    <row r="625" spans="1:4" x14ac:dyDescent="0.25">
      <c r="A625" s="2"/>
      <c r="B625" s="20"/>
      <c r="C625" s="20"/>
      <c r="D625" s="20"/>
    </row>
    <row r="626" spans="1:4" x14ac:dyDescent="0.25">
      <c r="A626" s="2"/>
      <c r="B626" s="20"/>
      <c r="C626" s="20"/>
      <c r="D626" s="20"/>
    </row>
    <row r="627" spans="1:4" x14ac:dyDescent="0.25">
      <c r="A627" s="2"/>
      <c r="B627" s="20"/>
      <c r="C627" s="20"/>
      <c r="D627" s="20"/>
    </row>
    <row r="628" spans="1:4" x14ac:dyDescent="0.25">
      <c r="A628" s="2"/>
      <c r="B628" s="20"/>
      <c r="C628" s="20"/>
      <c r="D628" s="20"/>
    </row>
    <row r="629" spans="1:4" x14ac:dyDescent="0.25">
      <c r="A629" s="2"/>
      <c r="B629" s="20"/>
      <c r="C629" s="20"/>
      <c r="D629" s="20"/>
    </row>
    <row r="630" spans="1:4" x14ac:dyDescent="0.25">
      <c r="A630" s="2"/>
      <c r="B630" s="20"/>
      <c r="C630" s="20"/>
      <c r="D630" s="20"/>
    </row>
    <row r="631" spans="1:4" x14ac:dyDescent="0.25">
      <c r="A631" s="2"/>
      <c r="B631" s="20"/>
      <c r="C631" s="29"/>
      <c r="D631" s="20"/>
    </row>
    <row r="632" spans="1:4" x14ac:dyDescent="0.25">
      <c r="A632" s="2"/>
      <c r="B632" s="20"/>
      <c r="C632" s="29"/>
      <c r="D632" s="20"/>
    </row>
    <row r="633" spans="1:4" x14ac:dyDescent="0.25">
      <c r="A633" s="2"/>
      <c r="B633" s="20"/>
      <c r="C633" s="29"/>
      <c r="D633" s="20"/>
    </row>
    <row r="634" spans="1:4" x14ac:dyDescent="0.25">
      <c r="A634" s="2"/>
      <c r="B634" s="20"/>
      <c r="C634" s="20"/>
      <c r="D634" s="20"/>
    </row>
    <row r="635" spans="1:4" x14ac:dyDescent="0.25">
      <c r="A635" s="2"/>
      <c r="B635" s="20"/>
      <c r="C635" s="29"/>
      <c r="D635" s="20"/>
    </row>
    <row r="636" spans="1:4" x14ac:dyDescent="0.25">
      <c r="A636" s="2"/>
      <c r="B636" s="20"/>
      <c r="C636" s="20"/>
      <c r="D636" s="20"/>
    </row>
    <row r="637" spans="1:4" x14ac:dyDescent="0.25">
      <c r="A637" s="2"/>
      <c r="B637" s="20"/>
      <c r="C637" s="20"/>
      <c r="D637" s="20"/>
    </row>
    <row r="638" spans="1:4" x14ac:dyDescent="0.25">
      <c r="A638" s="2"/>
      <c r="B638" s="20"/>
      <c r="C638" s="20"/>
      <c r="D638" s="20"/>
    </row>
    <row r="639" spans="1:4" x14ac:dyDescent="0.25">
      <c r="A639" s="2"/>
      <c r="B639" s="20"/>
      <c r="C639" s="29"/>
      <c r="D639" s="20"/>
    </row>
    <row r="640" spans="1:4" x14ac:dyDescent="0.25">
      <c r="A640" s="2"/>
      <c r="B640" s="20"/>
      <c r="C640" s="20"/>
      <c r="D640" s="20"/>
    </row>
    <row r="641" spans="1:4" x14ac:dyDescent="0.25">
      <c r="A641" s="2"/>
      <c r="B641" s="20"/>
      <c r="C641" s="20"/>
      <c r="D641" s="20"/>
    </row>
    <row r="642" spans="1:4" x14ac:dyDescent="0.25">
      <c r="A642" s="2"/>
      <c r="B642" s="20"/>
      <c r="C642" s="29"/>
      <c r="D642" s="20"/>
    </row>
    <row r="643" spans="1:4" x14ac:dyDescent="0.25">
      <c r="A643" s="2"/>
      <c r="B643" s="20"/>
      <c r="C643" s="29"/>
      <c r="D643" s="20"/>
    </row>
    <row r="644" spans="1:4" x14ac:dyDescent="0.25">
      <c r="A644" s="2"/>
      <c r="B644" s="20"/>
      <c r="C644" s="20"/>
      <c r="D644" s="20"/>
    </row>
    <row r="645" spans="1:4" x14ac:dyDescent="0.25">
      <c r="A645" s="2"/>
      <c r="B645" s="20"/>
      <c r="C645" s="20"/>
      <c r="D645" s="20"/>
    </row>
    <row r="646" spans="1:4" x14ac:dyDescent="0.25">
      <c r="A646" s="2"/>
      <c r="B646" s="20"/>
      <c r="C646" s="20"/>
      <c r="D646" s="20"/>
    </row>
    <row r="647" spans="1:4" x14ac:dyDescent="0.25">
      <c r="A647" s="2"/>
      <c r="B647" s="20"/>
      <c r="C647" s="29"/>
      <c r="D647" s="20"/>
    </row>
    <row r="648" spans="1:4" x14ac:dyDescent="0.25">
      <c r="A648" s="2"/>
      <c r="B648" s="20"/>
      <c r="C648" s="20"/>
      <c r="D648" s="20"/>
    </row>
    <row r="649" spans="1:4" x14ac:dyDescent="0.25">
      <c r="A649" s="2"/>
      <c r="B649" s="20"/>
      <c r="C649" s="20"/>
      <c r="D649" s="20"/>
    </row>
    <row r="650" spans="1:4" x14ac:dyDescent="0.25">
      <c r="A650" s="2"/>
      <c r="B650" s="20"/>
      <c r="C650" s="20"/>
      <c r="D650" s="20"/>
    </row>
    <row r="651" spans="1:4" x14ac:dyDescent="0.25">
      <c r="A651" s="2"/>
      <c r="B651" s="20"/>
      <c r="C651" s="29"/>
      <c r="D651" s="20"/>
    </row>
    <row r="652" spans="1:4" x14ac:dyDescent="0.25">
      <c r="A652" s="2"/>
      <c r="B652" s="20"/>
      <c r="C652" s="29"/>
      <c r="D652" s="20"/>
    </row>
    <row r="653" spans="1:4" x14ac:dyDescent="0.25">
      <c r="A653" s="2"/>
      <c r="B653" s="20"/>
      <c r="C653" s="20"/>
      <c r="D653" s="20"/>
    </row>
    <row r="654" spans="1:4" x14ac:dyDescent="0.25">
      <c r="A654" s="2"/>
      <c r="B654" s="20"/>
      <c r="C654" s="29"/>
      <c r="D654" s="20"/>
    </row>
    <row r="655" spans="1:4" x14ac:dyDescent="0.25">
      <c r="A655" s="2"/>
      <c r="B655" s="20"/>
      <c r="C655" s="20"/>
      <c r="D655" s="20"/>
    </row>
    <row r="656" spans="1:4" x14ac:dyDescent="0.25">
      <c r="A656" s="2"/>
      <c r="B656" s="20"/>
      <c r="C656" s="29"/>
      <c r="D656" s="20"/>
    </row>
    <row r="657" spans="1:4" x14ac:dyDescent="0.25">
      <c r="A657" s="2"/>
      <c r="B657" s="20"/>
      <c r="C657" s="29"/>
      <c r="D657" s="20"/>
    </row>
    <row r="658" spans="1:4" x14ac:dyDescent="0.25">
      <c r="A658" s="2"/>
      <c r="B658" s="20"/>
      <c r="C658" s="20"/>
      <c r="D658" s="20"/>
    </row>
    <row r="659" spans="1:4" x14ac:dyDescent="0.25">
      <c r="A659" s="2"/>
      <c r="B659" s="20"/>
      <c r="C659" s="20"/>
      <c r="D659" s="20"/>
    </row>
    <row r="660" spans="1:4" x14ac:dyDescent="0.25">
      <c r="A660" s="2"/>
      <c r="B660" s="20"/>
      <c r="C660" s="29"/>
      <c r="D660" s="20"/>
    </row>
    <row r="661" spans="1:4" x14ac:dyDescent="0.25">
      <c r="A661" s="2"/>
      <c r="B661" s="20"/>
      <c r="C661" s="20"/>
      <c r="D661" s="20"/>
    </row>
    <row r="662" spans="1:4" x14ac:dyDescent="0.25">
      <c r="A662" s="2"/>
      <c r="B662" s="20"/>
      <c r="C662" s="20"/>
      <c r="D662" s="20"/>
    </row>
    <row r="663" spans="1:4" x14ac:dyDescent="0.25">
      <c r="A663" s="2"/>
      <c r="B663" s="20"/>
      <c r="C663" s="29"/>
      <c r="D663" s="20"/>
    </row>
    <row r="664" spans="1:4" x14ac:dyDescent="0.25">
      <c r="A664" s="2"/>
      <c r="B664" s="20"/>
      <c r="C664" s="20"/>
      <c r="D664" s="20"/>
    </row>
    <row r="665" spans="1:4" x14ac:dyDescent="0.25">
      <c r="A665" s="2"/>
      <c r="B665" s="20"/>
      <c r="C665" s="29"/>
      <c r="D665" s="20"/>
    </row>
    <row r="666" spans="1:4" x14ac:dyDescent="0.25">
      <c r="A666" s="2"/>
      <c r="B666" s="20"/>
      <c r="C666" s="20"/>
      <c r="D666" s="20"/>
    </row>
    <row r="667" spans="1:4" x14ac:dyDescent="0.25">
      <c r="A667" s="2"/>
      <c r="B667" s="20"/>
      <c r="C667" s="20"/>
      <c r="D667" s="20"/>
    </row>
    <row r="668" spans="1:4" x14ac:dyDescent="0.25">
      <c r="A668" s="2"/>
      <c r="B668" s="20"/>
      <c r="C668" s="20"/>
      <c r="D668" s="20"/>
    </row>
    <row r="669" spans="1:4" x14ac:dyDescent="0.25">
      <c r="A669" s="2"/>
      <c r="B669" s="20"/>
      <c r="C669" s="29"/>
      <c r="D669" s="20"/>
    </row>
    <row r="670" spans="1:4" x14ac:dyDescent="0.25">
      <c r="A670" s="2"/>
      <c r="B670" s="20"/>
      <c r="C670" s="20"/>
      <c r="D670" s="20"/>
    </row>
    <row r="671" spans="1:4" x14ac:dyDescent="0.25">
      <c r="A671" s="2"/>
      <c r="B671" s="20"/>
      <c r="C671" s="20"/>
      <c r="D671" s="20"/>
    </row>
    <row r="672" spans="1:4" x14ac:dyDescent="0.25">
      <c r="A672" s="2"/>
      <c r="B672" s="20"/>
      <c r="C672" s="29"/>
      <c r="D672" s="20"/>
    </row>
    <row r="673" spans="1:4" x14ac:dyDescent="0.25">
      <c r="A673" s="2"/>
      <c r="B673" s="20"/>
      <c r="C673" s="20"/>
      <c r="D673" s="20"/>
    </row>
    <row r="674" spans="1:4" x14ac:dyDescent="0.25">
      <c r="A674" s="2"/>
      <c r="B674" s="20"/>
      <c r="C674" s="20"/>
      <c r="D674" s="20"/>
    </row>
    <row r="675" spans="1:4" x14ac:dyDescent="0.25">
      <c r="A675" s="2"/>
      <c r="B675" s="20"/>
      <c r="C675" s="29"/>
      <c r="D675" s="20"/>
    </row>
    <row r="676" spans="1:4" x14ac:dyDescent="0.25">
      <c r="A676" s="2"/>
      <c r="B676" s="20"/>
      <c r="C676" s="20"/>
      <c r="D676" s="20"/>
    </row>
    <row r="677" spans="1:4" x14ac:dyDescent="0.25">
      <c r="A677" s="2"/>
      <c r="B677" s="20"/>
      <c r="C677" s="20"/>
      <c r="D677" s="20"/>
    </row>
    <row r="678" spans="1:4" x14ac:dyDescent="0.25">
      <c r="A678" s="2"/>
      <c r="B678" s="20"/>
      <c r="C678" s="20"/>
      <c r="D678" s="20"/>
    </row>
    <row r="679" spans="1:4" x14ac:dyDescent="0.25">
      <c r="A679" s="2"/>
      <c r="B679" s="20"/>
      <c r="C679" s="20"/>
      <c r="D679" s="20"/>
    </row>
    <row r="680" spans="1:4" x14ac:dyDescent="0.25">
      <c r="A680" s="2"/>
      <c r="B680" s="20"/>
      <c r="C680" s="20"/>
      <c r="D680" s="20"/>
    </row>
    <row r="681" spans="1:4" x14ac:dyDescent="0.25">
      <c r="A681" s="2"/>
      <c r="B681" s="20"/>
      <c r="C681" s="29"/>
      <c r="D681" s="20"/>
    </row>
    <row r="682" spans="1:4" x14ac:dyDescent="0.25">
      <c r="A682" s="2"/>
      <c r="B682" s="20"/>
      <c r="C682" s="20"/>
      <c r="D682" s="20"/>
    </row>
    <row r="683" spans="1:4" x14ac:dyDescent="0.25">
      <c r="A683" s="2"/>
      <c r="B683" s="20"/>
      <c r="C683" s="20"/>
      <c r="D683" s="20"/>
    </row>
    <row r="684" spans="1:4" x14ac:dyDescent="0.25">
      <c r="A684" s="2"/>
      <c r="B684" s="20"/>
      <c r="C684" s="20"/>
      <c r="D684" s="20"/>
    </row>
    <row r="685" spans="1:4" x14ac:dyDescent="0.25">
      <c r="A685" s="2"/>
      <c r="B685" s="20"/>
      <c r="C685" s="20"/>
      <c r="D685" s="20"/>
    </row>
    <row r="686" spans="1:4" x14ac:dyDescent="0.25">
      <c r="A686" s="2"/>
      <c r="B686" s="20"/>
      <c r="C686" s="20"/>
      <c r="D686" s="20"/>
    </row>
    <row r="687" spans="1:4" x14ac:dyDescent="0.25">
      <c r="A687" s="2"/>
      <c r="B687" s="20"/>
      <c r="C687" s="20"/>
      <c r="D687" s="20"/>
    </row>
    <row r="688" spans="1:4" x14ac:dyDescent="0.25">
      <c r="A688" s="2"/>
      <c r="B688" s="20"/>
      <c r="C688" s="29"/>
      <c r="D688" s="20"/>
    </row>
    <row r="689" spans="1:4" x14ac:dyDescent="0.25">
      <c r="A689" s="2"/>
      <c r="B689" s="20"/>
      <c r="C689" s="20"/>
      <c r="D689" s="20"/>
    </row>
    <row r="690" spans="1:4" x14ac:dyDescent="0.25">
      <c r="A690" s="2"/>
      <c r="B690" s="20"/>
      <c r="C690" s="20"/>
      <c r="D690" s="20"/>
    </row>
    <row r="691" spans="1:4" x14ac:dyDescent="0.25">
      <c r="A691" s="2"/>
      <c r="B691" s="20"/>
      <c r="C691" s="20"/>
      <c r="D691" s="20"/>
    </row>
    <row r="692" spans="1:4" x14ac:dyDescent="0.25">
      <c r="A692" s="2"/>
      <c r="B692" s="20"/>
      <c r="C692" s="20"/>
      <c r="D692" s="20"/>
    </row>
    <row r="693" spans="1:4" x14ac:dyDescent="0.25">
      <c r="A693" s="2"/>
      <c r="B693" s="20"/>
      <c r="C693" s="20"/>
      <c r="D693" s="20"/>
    </row>
    <row r="694" spans="1:4" x14ac:dyDescent="0.25">
      <c r="A694" s="2"/>
      <c r="B694" s="20"/>
      <c r="C694" s="20"/>
      <c r="D694" s="20"/>
    </row>
    <row r="695" spans="1:4" x14ac:dyDescent="0.25">
      <c r="A695" s="2"/>
      <c r="B695" s="20"/>
      <c r="C695" s="20"/>
      <c r="D695" s="20"/>
    </row>
    <row r="696" spans="1:4" x14ac:dyDescent="0.25">
      <c r="A696" s="2"/>
      <c r="B696" s="20"/>
      <c r="C696" s="20"/>
      <c r="D696" s="20"/>
    </row>
    <row r="697" spans="1:4" x14ac:dyDescent="0.25">
      <c r="A697" s="2"/>
      <c r="B697" s="20"/>
      <c r="C697" s="29"/>
      <c r="D697" s="20"/>
    </row>
    <row r="698" spans="1:4" x14ac:dyDescent="0.25">
      <c r="A698" s="2"/>
      <c r="B698" s="20"/>
      <c r="C698" s="20"/>
      <c r="D698" s="20"/>
    </row>
    <row r="699" spans="1:4" x14ac:dyDescent="0.25">
      <c r="A699" s="2"/>
      <c r="B699" s="20"/>
      <c r="C699" s="20"/>
      <c r="D699" s="20"/>
    </row>
    <row r="700" spans="1:4" x14ac:dyDescent="0.25">
      <c r="A700" s="2"/>
      <c r="B700" s="20"/>
      <c r="C700" s="20"/>
      <c r="D700" s="20"/>
    </row>
    <row r="701" spans="1:4" x14ac:dyDescent="0.25">
      <c r="A701" s="2"/>
      <c r="B701" s="20"/>
      <c r="C701" s="20"/>
      <c r="D701" s="20"/>
    </row>
    <row r="702" spans="1:4" x14ac:dyDescent="0.25">
      <c r="A702" s="2"/>
      <c r="B702" s="20"/>
      <c r="C702" s="20"/>
      <c r="D702" s="20"/>
    </row>
    <row r="703" spans="1:4" x14ac:dyDescent="0.25">
      <c r="A703" s="2"/>
      <c r="B703" s="20"/>
      <c r="C703" s="20"/>
      <c r="D703" s="20"/>
    </row>
    <row r="704" spans="1:4" x14ac:dyDescent="0.25">
      <c r="A704" s="2"/>
      <c r="B704" s="20"/>
      <c r="C704" s="20"/>
      <c r="D704" s="20"/>
    </row>
    <row r="705" spans="1:4" x14ac:dyDescent="0.25">
      <c r="A705" s="2"/>
      <c r="B705" s="20"/>
      <c r="C705" s="20"/>
      <c r="D705" s="20"/>
    </row>
    <row r="706" spans="1:4" x14ac:dyDescent="0.25">
      <c r="A706" s="2"/>
      <c r="B706" s="20"/>
      <c r="C706" s="20"/>
      <c r="D706" s="20"/>
    </row>
    <row r="707" spans="1:4" x14ac:dyDescent="0.25">
      <c r="A707" s="2"/>
      <c r="B707" s="20"/>
      <c r="C707" s="20"/>
      <c r="D707" s="20"/>
    </row>
    <row r="708" spans="1:4" x14ac:dyDescent="0.25">
      <c r="A708" s="2"/>
      <c r="B708" s="20"/>
      <c r="C708" s="29"/>
      <c r="D708" s="20"/>
    </row>
    <row r="709" spans="1:4" x14ac:dyDescent="0.25">
      <c r="A709" s="2"/>
      <c r="B709" s="20"/>
      <c r="C709" s="20"/>
      <c r="D709" s="20"/>
    </row>
    <row r="710" spans="1:4" x14ac:dyDescent="0.25">
      <c r="A710" s="2"/>
      <c r="B710" s="20"/>
      <c r="C710" s="20"/>
      <c r="D710" s="20"/>
    </row>
    <row r="711" spans="1:4" x14ac:dyDescent="0.25">
      <c r="A711" s="2"/>
      <c r="B711" s="20"/>
      <c r="C711" s="20"/>
      <c r="D711" s="20"/>
    </row>
    <row r="712" spans="1:4" x14ac:dyDescent="0.25">
      <c r="A712" s="2"/>
      <c r="B712" s="20"/>
      <c r="C712" s="20"/>
      <c r="D712" s="20"/>
    </row>
    <row r="713" spans="1:4" x14ac:dyDescent="0.25">
      <c r="A713" s="2"/>
      <c r="B713" s="20"/>
      <c r="C713" s="29"/>
      <c r="D713" s="20"/>
    </row>
    <row r="714" spans="1:4" x14ac:dyDescent="0.25">
      <c r="A714" s="2"/>
      <c r="B714" s="20"/>
      <c r="C714" s="20"/>
      <c r="D714" s="20"/>
    </row>
    <row r="715" spans="1:4" x14ac:dyDescent="0.25">
      <c r="A715" s="2"/>
      <c r="B715" s="20"/>
      <c r="C715" s="20"/>
      <c r="D715" s="20"/>
    </row>
    <row r="716" spans="1:4" x14ac:dyDescent="0.25">
      <c r="A716" s="2"/>
      <c r="B716" s="20"/>
      <c r="C716" s="29"/>
      <c r="D716" s="20"/>
    </row>
    <row r="717" spans="1:4" x14ac:dyDescent="0.25">
      <c r="A717" s="2"/>
      <c r="B717" s="20"/>
      <c r="C717" s="29"/>
      <c r="D717" s="20"/>
    </row>
    <row r="718" spans="1:4" x14ac:dyDescent="0.25">
      <c r="A718" s="2"/>
      <c r="B718" s="20"/>
      <c r="C718" s="29"/>
      <c r="D718" s="20"/>
    </row>
    <row r="719" spans="1:4" x14ac:dyDescent="0.25">
      <c r="A719" s="2"/>
      <c r="B719" s="20"/>
      <c r="C719" s="20"/>
      <c r="D719" s="20"/>
    </row>
    <row r="720" spans="1:4" x14ac:dyDescent="0.25">
      <c r="A720" s="2"/>
      <c r="B720" s="20"/>
      <c r="C720" s="20"/>
      <c r="D720" s="20"/>
    </row>
    <row r="721" spans="1:4" x14ac:dyDescent="0.25">
      <c r="A721" s="2"/>
      <c r="B721" s="20"/>
      <c r="C721" s="20"/>
      <c r="D721" s="20"/>
    </row>
    <row r="722" spans="1:4" x14ac:dyDescent="0.25">
      <c r="A722" s="2"/>
      <c r="B722" s="20"/>
      <c r="C722" s="20"/>
      <c r="D722" s="20"/>
    </row>
    <row r="723" spans="1:4" x14ac:dyDescent="0.25">
      <c r="A723" s="2"/>
      <c r="B723" s="20"/>
      <c r="C723" s="20"/>
      <c r="D723" s="20"/>
    </row>
    <row r="724" spans="1:4" x14ac:dyDescent="0.25">
      <c r="A724" s="2"/>
      <c r="B724" s="20"/>
      <c r="C724" s="20"/>
      <c r="D724" s="20"/>
    </row>
    <row r="725" spans="1:4" x14ac:dyDescent="0.25">
      <c r="A725" s="2"/>
      <c r="B725" s="20"/>
      <c r="C725" s="20"/>
      <c r="D725" s="20"/>
    </row>
    <row r="726" spans="1:4" x14ac:dyDescent="0.25">
      <c r="A726" s="2"/>
      <c r="B726" s="20"/>
      <c r="C726" s="29"/>
      <c r="D726" s="20"/>
    </row>
    <row r="727" spans="1:4" x14ac:dyDescent="0.25">
      <c r="A727" s="2"/>
      <c r="B727" s="20"/>
      <c r="C727" s="29"/>
      <c r="D727" s="20"/>
    </row>
    <row r="728" spans="1:4" x14ac:dyDescent="0.25">
      <c r="A728" s="2"/>
      <c r="B728" s="20"/>
      <c r="C728" s="20"/>
      <c r="D728" s="20"/>
    </row>
    <row r="729" spans="1:4" x14ac:dyDescent="0.25">
      <c r="A729" s="2"/>
      <c r="B729" s="20"/>
      <c r="C729" s="29"/>
      <c r="D729" s="20"/>
    </row>
    <row r="730" spans="1:4" x14ac:dyDescent="0.25">
      <c r="A730" s="2"/>
      <c r="B730" s="20"/>
      <c r="C730" s="20"/>
      <c r="D730" s="20"/>
    </row>
    <row r="731" spans="1:4" x14ac:dyDescent="0.25">
      <c r="A731" s="2"/>
      <c r="B731" s="20"/>
      <c r="C731" s="20"/>
      <c r="D731" s="20"/>
    </row>
    <row r="732" spans="1:4" x14ac:dyDescent="0.25">
      <c r="A732" s="2"/>
      <c r="B732" s="20"/>
      <c r="C732" s="29"/>
      <c r="D732" s="20"/>
    </row>
    <row r="733" spans="1:4" x14ac:dyDescent="0.25">
      <c r="A733" s="2"/>
      <c r="B733" s="20"/>
      <c r="C733" s="20"/>
      <c r="D733" s="20"/>
    </row>
    <row r="734" spans="1:4" x14ac:dyDescent="0.25">
      <c r="A734" s="2"/>
      <c r="B734" s="20"/>
      <c r="C734" s="29"/>
      <c r="D734" s="20"/>
    </row>
    <row r="735" spans="1:4" x14ac:dyDescent="0.25">
      <c r="A735" s="2"/>
      <c r="B735" s="20"/>
      <c r="C735" s="20"/>
      <c r="D735" s="20"/>
    </row>
    <row r="736" spans="1:4" x14ac:dyDescent="0.25">
      <c r="A736" s="2"/>
      <c r="B736" s="20"/>
      <c r="C736" s="29"/>
      <c r="D736" s="20"/>
    </row>
    <row r="737" spans="1:4" x14ac:dyDescent="0.25">
      <c r="A737" s="2"/>
      <c r="B737" s="20"/>
      <c r="C737" s="29"/>
      <c r="D737" s="20"/>
    </row>
    <row r="738" spans="1:4" x14ac:dyDescent="0.25">
      <c r="A738" s="2"/>
      <c r="B738" s="20"/>
      <c r="C738" s="20"/>
      <c r="D738" s="20"/>
    </row>
    <row r="739" spans="1:4" x14ac:dyDescent="0.25">
      <c r="A739" s="2"/>
      <c r="B739" s="20"/>
      <c r="C739" s="29"/>
      <c r="D739" s="20"/>
    </row>
    <row r="740" spans="1:4" x14ac:dyDescent="0.25">
      <c r="A740" s="2"/>
      <c r="B740" s="20"/>
      <c r="C740" s="20"/>
      <c r="D740" s="20"/>
    </row>
    <row r="741" spans="1:4" x14ac:dyDescent="0.25">
      <c r="A741" s="2"/>
      <c r="B741" s="20"/>
      <c r="C741" s="20"/>
      <c r="D741" s="20"/>
    </row>
    <row r="742" spans="1:4" x14ac:dyDescent="0.25">
      <c r="A742" s="2"/>
      <c r="B742" s="20"/>
      <c r="C742" s="29"/>
      <c r="D742" s="20"/>
    </row>
    <row r="743" spans="1:4" x14ac:dyDescent="0.25">
      <c r="A743" s="2"/>
      <c r="B743" s="20"/>
      <c r="C743" s="20"/>
      <c r="D743" s="20"/>
    </row>
    <row r="744" spans="1:4" x14ac:dyDescent="0.25">
      <c r="A744" s="2"/>
      <c r="B744" s="20"/>
      <c r="C744" s="29"/>
      <c r="D744" s="20"/>
    </row>
    <row r="745" spans="1:4" x14ac:dyDescent="0.25">
      <c r="A745" s="2"/>
      <c r="B745" s="20"/>
      <c r="C745" s="20"/>
      <c r="D745" s="20"/>
    </row>
    <row r="746" spans="1:4" x14ac:dyDescent="0.25">
      <c r="A746" s="2"/>
      <c r="B746" s="20"/>
      <c r="C746" s="20"/>
      <c r="D746" s="20"/>
    </row>
    <row r="747" spans="1:4" x14ac:dyDescent="0.25">
      <c r="A747" s="2"/>
      <c r="B747" s="20"/>
      <c r="C747" s="29"/>
      <c r="D747" s="20"/>
    </row>
    <row r="748" spans="1:4" x14ac:dyDescent="0.25">
      <c r="A748" s="2"/>
      <c r="B748" s="20"/>
      <c r="C748" s="20"/>
      <c r="D748" s="20"/>
    </row>
    <row r="749" spans="1:4" x14ac:dyDescent="0.25">
      <c r="A749" s="2"/>
      <c r="B749" s="20"/>
      <c r="C749" s="20"/>
      <c r="D749" s="20"/>
    </row>
    <row r="750" spans="1:4" x14ac:dyDescent="0.25">
      <c r="A750" s="2"/>
      <c r="B750" s="20"/>
      <c r="C750" s="29"/>
      <c r="D750" s="20"/>
    </row>
    <row r="751" spans="1:4" x14ac:dyDescent="0.25">
      <c r="A751" s="2"/>
      <c r="B751" s="20"/>
      <c r="C751" s="20"/>
      <c r="D751" s="20"/>
    </row>
    <row r="752" spans="1:4" x14ac:dyDescent="0.25">
      <c r="A752" s="2"/>
      <c r="B752" s="20"/>
      <c r="C752" s="20"/>
      <c r="D752" s="20"/>
    </row>
    <row r="753" spans="1:4" x14ac:dyDescent="0.25">
      <c r="A753" s="2"/>
      <c r="B753" s="20"/>
      <c r="C753" s="29"/>
      <c r="D753" s="20"/>
    </row>
    <row r="754" spans="1:4" x14ac:dyDescent="0.25">
      <c r="A754" s="2"/>
      <c r="B754" s="20"/>
      <c r="C754" s="20"/>
      <c r="D754" s="20"/>
    </row>
    <row r="755" spans="1:4" x14ac:dyDescent="0.25">
      <c r="A755" s="2"/>
      <c r="B755" s="20"/>
      <c r="C755" s="29"/>
      <c r="D755" s="20"/>
    </row>
    <row r="756" spans="1:4" x14ac:dyDescent="0.25">
      <c r="A756" s="2"/>
      <c r="B756" s="20"/>
      <c r="C756" s="20"/>
      <c r="D756" s="20"/>
    </row>
    <row r="757" spans="1:4" x14ac:dyDescent="0.25">
      <c r="A757" s="2"/>
      <c r="B757" s="20"/>
      <c r="C757" s="20"/>
      <c r="D757" s="20"/>
    </row>
    <row r="758" spans="1:4" x14ac:dyDescent="0.25">
      <c r="A758" s="2"/>
      <c r="B758" s="20"/>
      <c r="C758" s="20"/>
      <c r="D758" s="20"/>
    </row>
    <row r="759" spans="1:4" x14ac:dyDescent="0.25">
      <c r="A759" s="2"/>
      <c r="B759" s="20"/>
      <c r="C759" s="20"/>
      <c r="D759" s="20"/>
    </row>
    <row r="760" spans="1:4" x14ac:dyDescent="0.25">
      <c r="A760" s="2"/>
      <c r="B760" s="20"/>
      <c r="C760" s="20"/>
      <c r="D760" s="20"/>
    </row>
    <row r="761" spans="1:4" x14ac:dyDescent="0.25">
      <c r="A761" s="2"/>
      <c r="B761" s="20"/>
      <c r="C761" s="29"/>
      <c r="D761" s="20"/>
    </row>
    <row r="762" spans="1:4" x14ac:dyDescent="0.25">
      <c r="A762" s="2"/>
      <c r="B762" s="20"/>
      <c r="C762" s="29"/>
      <c r="D762" s="20"/>
    </row>
    <row r="763" spans="1:4" x14ac:dyDescent="0.25">
      <c r="A763" s="2"/>
      <c r="B763" s="20"/>
      <c r="C763" s="20"/>
      <c r="D763" s="20"/>
    </row>
    <row r="764" spans="1:4" x14ac:dyDescent="0.25">
      <c r="A764" s="2"/>
      <c r="B764" s="20"/>
      <c r="C764" s="29"/>
      <c r="D764" s="20"/>
    </row>
    <row r="765" spans="1:4" x14ac:dyDescent="0.25">
      <c r="A765" s="2"/>
      <c r="B765" s="20"/>
      <c r="C765" s="29"/>
      <c r="D765" s="20"/>
    </row>
    <row r="766" spans="1:4" x14ac:dyDescent="0.25">
      <c r="A766" s="2"/>
      <c r="B766" s="20"/>
      <c r="C766" s="29"/>
      <c r="D766" s="20"/>
    </row>
    <row r="767" spans="1:4" x14ac:dyDescent="0.25">
      <c r="A767" s="2"/>
      <c r="B767" s="20"/>
      <c r="C767" s="29"/>
      <c r="D767" s="20"/>
    </row>
    <row r="768" spans="1:4" x14ac:dyDescent="0.25">
      <c r="A768" s="2"/>
      <c r="B768" s="20"/>
      <c r="C768" s="20"/>
      <c r="D768" s="20"/>
    </row>
    <row r="769" spans="1:4" x14ac:dyDescent="0.25">
      <c r="A769" s="2"/>
      <c r="B769" s="20"/>
      <c r="C769" s="20"/>
      <c r="D769" s="20"/>
    </row>
    <row r="770" spans="1:4" x14ac:dyDescent="0.25">
      <c r="A770" s="2"/>
      <c r="B770" s="20"/>
      <c r="C770" s="20"/>
      <c r="D770" s="20"/>
    </row>
    <row r="771" spans="1:4" x14ac:dyDescent="0.25">
      <c r="A771" s="2"/>
      <c r="B771" s="20"/>
      <c r="C771" s="20"/>
      <c r="D771" s="20"/>
    </row>
    <row r="772" spans="1:4" x14ac:dyDescent="0.25">
      <c r="A772" s="2"/>
      <c r="B772" s="20"/>
      <c r="C772" s="20"/>
      <c r="D772" s="20"/>
    </row>
  </sheetData>
  <sortState xmlns:xlrd2="http://schemas.microsoft.com/office/spreadsheetml/2017/richdata2" ref="A3:D772">
    <sortCondition descending="1" ref="A3:A77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5D26B-DBD6-4E42-A2A3-04E852980079}">
  <sheetPr codeName="Sheet4"/>
  <dimension ref="A1:M1247"/>
  <sheetViews>
    <sheetView topLeftCell="A3" workbookViewId="0">
      <selection activeCell="L19" sqref="L19"/>
    </sheetView>
  </sheetViews>
  <sheetFormatPr defaultColWidth="9.1796875" defaultRowHeight="12.5" x14ac:dyDescent="0.25"/>
  <cols>
    <col min="1" max="1" width="12" style="63" customWidth="1"/>
    <col min="2" max="2" width="13.81640625" style="63" customWidth="1"/>
    <col min="3" max="3" width="11" style="68" customWidth="1"/>
    <col min="4" max="4" width="13.7265625" style="63" bestFit="1" customWidth="1"/>
    <col min="5" max="5" width="9.453125" style="63" customWidth="1"/>
    <col min="6" max="6" width="10.7265625" style="63" customWidth="1"/>
    <col min="7" max="7" width="11.54296875" style="66" customWidth="1"/>
    <col min="8" max="8" width="9.1796875" style="63"/>
    <col min="9" max="9" width="4.453125" style="63" customWidth="1"/>
    <col min="10" max="16384" width="9.1796875" style="63"/>
  </cols>
  <sheetData>
    <row r="1" spans="1:13" ht="13" x14ac:dyDescent="0.3">
      <c r="C1" s="64"/>
      <c r="D1" s="65"/>
      <c r="E1" s="65"/>
    </row>
    <row r="2" spans="1:13" ht="13" x14ac:dyDescent="0.3">
      <c r="C2" s="64"/>
      <c r="D2" s="65"/>
      <c r="E2" s="65"/>
      <c r="F2" s="65"/>
      <c r="G2" s="67" t="s">
        <v>27</v>
      </c>
      <c r="H2" s="63">
        <f>COUNT(G5:G510)</f>
        <v>506</v>
      </c>
      <c r="J2" s="68"/>
    </row>
    <row r="3" spans="1:13" ht="13.5" thickBot="1" x14ac:dyDescent="0.35">
      <c r="A3" s="69" t="s">
        <v>9</v>
      </c>
      <c r="B3" s="69" t="s">
        <v>8</v>
      </c>
      <c r="C3" s="69" t="s">
        <v>28</v>
      </c>
      <c r="D3" s="70" t="s">
        <v>29</v>
      </c>
      <c r="E3" s="70" t="s">
        <v>30</v>
      </c>
      <c r="F3" s="70" t="s">
        <v>31</v>
      </c>
      <c r="G3" s="71" t="s">
        <v>32</v>
      </c>
      <c r="H3" s="72">
        <f>SUM(G5:G510)</f>
        <v>8</v>
      </c>
      <c r="J3" s="68"/>
    </row>
    <row r="4" spans="1:13" ht="13" thickTop="1" x14ac:dyDescent="0.25">
      <c r="A4" s="2">
        <v>45400</v>
      </c>
      <c r="B4" s="20">
        <v>3020</v>
      </c>
      <c r="C4" s="14">
        <f>+LN(B4/B5)</f>
        <v>-1.9847839793859239E-3</v>
      </c>
      <c r="D4" s="68">
        <f>STDEV(C4:C253)</f>
        <v>1.1640145358756449E-2</v>
      </c>
      <c r="E4" s="68">
        <f>AVERAGE(C4:C253)</f>
        <v>4.7776014745605359E-4</v>
      </c>
      <c r="F4" s="68">
        <f>E4+$L$8*D4</f>
        <v>-2.6601267261413371E-2</v>
      </c>
      <c r="G4" s="72"/>
      <c r="H4" s="68">
        <f>+H3/H2</f>
        <v>1.5810276679841896E-2</v>
      </c>
    </row>
    <row r="5" spans="1:13" x14ac:dyDescent="0.25">
      <c r="A5" s="2">
        <v>45399</v>
      </c>
      <c r="B5" s="20">
        <v>3026</v>
      </c>
      <c r="C5" s="14">
        <f t="shared" ref="C5:C68" si="0">+LN(B5/B6)</f>
        <v>1.9353290061030193E-2</v>
      </c>
      <c r="D5" s="68">
        <f t="shared" ref="D5:D68" si="1">STDEV(C5:C254)</f>
        <v>1.1640910605957483E-2</v>
      </c>
      <c r="E5" s="68">
        <f t="shared" ref="E5:E68" si="2">AVERAGE(C5:C254)</f>
        <v>5.0065257181602615E-4</v>
      </c>
      <c r="F5" s="68">
        <f t="shared" ref="F5:F68" si="3">E5+$L$8*D5</f>
        <v>-2.6580155068252641E-2</v>
      </c>
      <c r="G5" s="72">
        <f>IF(C4&lt;F5,1,0)</f>
        <v>0</v>
      </c>
    </row>
    <row r="6" spans="1:13" x14ac:dyDescent="0.25">
      <c r="A6" s="2">
        <v>45398</v>
      </c>
      <c r="B6" s="20">
        <v>2968</v>
      </c>
      <c r="C6" s="14">
        <f t="shared" si="0"/>
        <v>-2.6597312519265854E-2</v>
      </c>
      <c r="D6" s="68">
        <f t="shared" si="1"/>
        <v>1.1627665511397222E-2</v>
      </c>
      <c r="E6" s="68">
        <f t="shared" si="2"/>
        <v>3.5785905556982845E-4</v>
      </c>
      <c r="F6" s="68">
        <f t="shared" si="3"/>
        <v>-2.6692135886927103E-2</v>
      </c>
      <c r="G6" s="72">
        <f t="shared" ref="G6:G69" si="4">IF(C5&lt;F6,1,0)</f>
        <v>0</v>
      </c>
    </row>
    <row r="7" spans="1:13" x14ac:dyDescent="0.25">
      <c r="A7" s="2">
        <v>45397</v>
      </c>
      <c r="B7" s="20">
        <v>3048</v>
      </c>
      <c r="C7" s="14">
        <f t="shared" si="0"/>
        <v>0</v>
      </c>
      <c r="D7" s="68">
        <f t="shared" si="1"/>
        <v>1.1501032924858476E-2</v>
      </c>
      <c r="E7" s="68">
        <f t="shared" si="2"/>
        <v>4.6424830564689197E-4</v>
      </c>
      <c r="F7" s="68">
        <f t="shared" si="3"/>
        <v>-2.6291155188371336E-2</v>
      </c>
      <c r="G7" s="72">
        <f t="shared" si="4"/>
        <v>1</v>
      </c>
      <c r="K7" s="63" t="s">
        <v>33</v>
      </c>
      <c r="L7" s="63">
        <v>0.99</v>
      </c>
    </row>
    <row r="8" spans="1:13" ht="13" x14ac:dyDescent="0.3">
      <c r="A8" s="2">
        <v>45394</v>
      </c>
      <c r="B8" s="20">
        <v>3048</v>
      </c>
      <c r="C8" s="14">
        <f t="shared" si="0"/>
        <v>5.9230183031220712E-3</v>
      </c>
      <c r="D8" s="68">
        <f t="shared" si="1"/>
        <v>1.1506152921807684E-2</v>
      </c>
      <c r="E8" s="68">
        <f t="shared" si="2"/>
        <v>4.8789952015534525E-4</v>
      </c>
      <c r="F8" s="68">
        <f t="shared" si="3"/>
        <v>-2.6279414867880768E-2</v>
      </c>
      <c r="G8" s="72">
        <f t="shared" si="4"/>
        <v>0</v>
      </c>
      <c r="K8" s="63" t="s">
        <v>34</v>
      </c>
      <c r="L8" s="74">
        <f>NORMSINV(1-L7)</f>
        <v>-2.3263478740408408</v>
      </c>
    </row>
    <row r="9" spans="1:13" x14ac:dyDescent="0.25">
      <c r="A9" s="2">
        <v>45393</v>
      </c>
      <c r="B9" s="20">
        <v>3030</v>
      </c>
      <c r="C9" s="14">
        <f t="shared" si="0"/>
        <v>3.3057881344994103E-3</v>
      </c>
      <c r="D9" s="68">
        <f t="shared" si="1"/>
        <v>1.1676906780791538E-2</v>
      </c>
      <c r="E9" s="68">
        <f t="shared" si="2"/>
        <v>5.9378563242837496E-4</v>
      </c>
      <c r="F9" s="68">
        <f t="shared" si="3"/>
        <v>-2.6570761632439096E-2</v>
      </c>
      <c r="G9" s="72">
        <f t="shared" si="4"/>
        <v>0</v>
      </c>
    </row>
    <row r="10" spans="1:13" x14ac:dyDescent="0.25">
      <c r="A10" s="2">
        <v>45392</v>
      </c>
      <c r="B10" s="20">
        <v>3020</v>
      </c>
      <c r="C10" s="14">
        <f t="shared" si="0"/>
        <v>-1.1195375409662396E-2</v>
      </c>
      <c r="D10" s="68">
        <f t="shared" si="1"/>
        <v>1.1731255454911408E-2</v>
      </c>
      <c r="E10" s="68">
        <f t="shared" si="2"/>
        <v>5.1073148438290125E-4</v>
      </c>
      <c r="F10" s="68">
        <f t="shared" si="3"/>
        <v>-2.678024970298027E-2</v>
      </c>
      <c r="G10" s="72">
        <f t="shared" si="4"/>
        <v>0</v>
      </c>
    </row>
    <row r="11" spans="1:13" x14ac:dyDescent="0.25">
      <c r="A11" s="2">
        <v>45391</v>
      </c>
      <c r="B11" s="20">
        <v>3054</v>
      </c>
      <c r="C11" s="14">
        <f t="shared" si="0"/>
        <v>-3.9215736531816913E-3</v>
      </c>
      <c r="D11" s="68">
        <f t="shared" si="1"/>
        <v>1.177535632274173E-2</v>
      </c>
      <c r="E11" s="68">
        <f t="shared" si="2"/>
        <v>4.7801428761932757E-4</v>
      </c>
      <c r="F11" s="68">
        <f t="shared" si="3"/>
        <v>-2.6915560859864268E-2</v>
      </c>
      <c r="G11" s="72">
        <f t="shared" si="4"/>
        <v>0</v>
      </c>
      <c r="K11" s="63" t="s">
        <v>35</v>
      </c>
      <c r="M11" s="75">
        <f>+(1-_xlfn.BINOM.DIST(H3-1,H2,1-L7,TRUE))</f>
        <v>0.13866843590520128</v>
      </c>
    </row>
    <row r="12" spans="1:13" x14ac:dyDescent="0.25">
      <c r="A12" s="2">
        <v>45390</v>
      </c>
      <c r="B12" s="20">
        <v>3066</v>
      </c>
      <c r="C12" s="14">
        <f t="shared" si="0"/>
        <v>5.2321898303021065E-3</v>
      </c>
      <c r="D12" s="68">
        <f t="shared" si="1"/>
        <v>1.1772701521041644E-2</v>
      </c>
      <c r="E12" s="68">
        <f t="shared" si="2"/>
        <v>4.8780087614778229E-4</v>
      </c>
      <c r="F12" s="68">
        <f t="shared" si="3"/>
        <v>-2.6899598279044819E-2</v>
      </c>
      <c r="G12" s="72">
        <f t="shared" si="4"/>
        <v>0</v>
      </c>
    </row>
    <row r="13" spans="1:13" x14ac:dyDescent="0.25">
      <c r="A13" s="2">
        <v>45387</v>
      </c>
      <c r="B13" s="20">
        <v>3050</v>
      </c>
      <c r="C13" s="14">
        <f t="shared" si="0"/>
        <v>8.5611323020335865E-3</v>
      </c>
      <c r="D13" s="68">
        <f t="shared" si="1"/>
        <v>1.177061092752627E-2</v>
      </c>
      <c r="E13" s="68">
        <f t="shared" si="2"/>
        <v>4.8163772975441313E-4</v>
      </c>
      <c r="F13" s="68">
        <f t="shared" si="3"/>
        <v>-2.6900897977658215E-2</v>
      </c>
      <c r="G13" s="72">
        <f t="shared" si="4"/>
        <v>0</v>
      </c>
    </row>
    <row r="14" spans="1:13" x14ac:dyDescent="0.25">
      <c r="A14" s="2">
        <v>45386</v>
      </c>
      <c r="B14" s="20">
        <v>3024</v>
      </c>
      <c r="C14" s="14">
        <f t="shared" si="0"/>
        <v>3.3123581129828744E-3</v>
      </c>
      <c r="D14" s="68">
        <f t="shared" si="1"/>
        <v>1.177385086037248E-2</v>
      </c>
      <c r="E14" s="68">
        <f t="shared" si="2"/>
        <v>4.8604084419322637E-4</v>
      </c>
      <c r="F14" s="68">
        <f t="shared" si="3"/>
        <v>-2.6904032074108217E-2</v>
      </c>
      <c r="G14" s="72">
        <f t="shared" si="4"/>
        <v>0</v>
      </c>
      <c r="K14" s="63" t="s">
        <v>36</v>
      </c>
    </row>
    <row r="15" spans="1:13" x14ac:dyDescent="0.25">
      <c r="A15" s="2">
        <v>45385</v>
      </c>
      <c r="B15" s="20">
        <v>3014</v>
      </c>
      <c r="C15" s="14">
        <f t="shared" si="0"/>
        <v>1.6728392770463365E-2</v>
      </c>
      <c r="D15" s="68">
        <f t="shared" si="1"/>
        <v>1.1907911304696067E-2</v>
      </c>
      <c r="E15" s="68">
        <f t="shared" si="2"/>
        <v>5.8795088045596319E-4</v>
      </c>
      <c r="F15" s="68">
        <f t="shared" si="3"/>
        <v>-2.711399326749063E-2</v>
      </c>
      <c r="G15" s="72">
        <f t="shared" si="4"/>
        <v>0</v>
      </c>
    </row>
    <row r="16" spans="1:13" x14ac:dyDescent="0.25">
      <c r="A16" s="2">
        <v>45384</v>
      </c>
      <c r="B16" s="20">
        <v>2964</v>
      </c>
      <c r="C16" s="14">
        <f t="shared" si="0"/>
        <v>1.3504390978715467E-3</v>
      </c>
      <c r="D16" s="68">
        <f t="shared" si="1"/>
        <v>1.1897612683008787E-2</v>
      </c>
      <c r="E16" s="68">
        <f t="shared" si="2"/>
        <v>5.7988467350166928E-4</v>
      </c>
      <c r="F16" s="68">
        <f t="shared" si="3"/>
        <v>-2.7098101297777163E-2</v>
      </c>
      <c r="G16" s="72">
        <f t="shared" si="4"/>
        <v>0</v>
      </c>
    </row>
    <row r="17" spans="1:12" x14ac:dyDescent="0.25">
      <c r="A17" s="2">
        <v>45379</v>
      </c>
      <c r="B17" s="20">
        <v>2960</v>
      </c>
      <c r="C17" s="14">
        <f t="shared" si="0"/>
        <v>1.3605652055778678E-2</v>
      </c>
      <c r="D17" s="68">
        <f t="shared" si="1"/>
        <v>1.1999639761597656E-2</v>
      </c>
      <c r="E17" s="68">
        <f t="shared" si="2"/>
        <v>6.7559414584725751E-4</v>
      </c>
      <c r="F17" s="68">
        <f t="shared" si="3"/>
        <v>-2.7239742302801392E-2</v>
      </c>
      <c r="G17" s="72">
        <f t="shared" si="4"/>
        <v>0</v>
      </c>
    </row>
    <row r="18" spans="1:12" x14ac:dyDescent="0.25">
      <c r="A18" s="2">
        <v>45378</v>
      </c>
      <c r="B18" s="20">
        <v>2920</v>
      </c>
      <c r="C18" s="14">
        <f t="shared" si="0"/>
        <v>-1.3689256073417322E-3</v>
      </c>
      <c r="D18" s="68">
        <f t="shared" si="1"/>
        <v>1.2052058600989894E-2</v>
      </c>
      <c r="E18" s="68">
        <f t="shared" si="2"/>
        <v>5.3569143467937271E-4</v>
      </c>
      <c r="F18" s="68">
        <f t="shared" si="3"/>
        <v>-2.7501589469549097E-2</v>
      </c>
      <c r="G18" s="72">
        <f t="shared" si="4"/>
        <v>0</v>
      </c>
    </row>
    <row r="19" spans="1:12" x14ac:dyDescent="0.25">
      <c r="A19" s="2">
        <v>45377</v>
      </c>
      <c r="B19" s="20">
        <v>2924</v>
      </c>
      <c r="C19" s="14">
        <f t="shared" si="0"/>
        <v>2.0540917869382694E-3</v>
      </c>
      <c r="D19" s="68">
        <f t="shared" si="1"/>
        <v>1.2054331994879767E-2</v>
      </c>
      <c r="E19" s="68">
        <f t="shared" si="2"/>
        <v>5.6000547648108032E-4</v>
      </c>
      <c r="F19" s="68">
        <f t="shared" si="3"/>
        <v>-2.7482564132789954E-2</v>
      </c>
      <c r="G19" s="72">
        <f t="shared" si="4"/>
        <v>0</v>
      </c>
      <c r="K19" s="63" t="s">
        <v>37</v>
      </c>
      <c r="L19" s="63">
        <f>-2*LN(((L7)^(H2-H3))*(1-L7)^H3)+2*LN(((1-H3/H2)^(H2-H3))*(H3/H2)^H3)</f>
        <v>1.4664895504134137</v>
      </c>
    </row>
    <row r="20" spans="1:12" x14ac:dyDescent="0.25">
      <c r="A20" s="2">
        <v>45376</v>
      </c>
      <c r="B20" s="20">
        <v>2918</v>
      </c>
      <c r="C20" s="14">
        <f t="shared" si="0"/>
        <v>-4.7863339238111728E-3</v>
      </c>
      <c r="D20" s="68">
        <f t="shared" si="1"/>
        <v>1.2115678488569526E-2</v>
      </c>
      <c r="E20" s="68">
        <f t="shared" si="2"/>
        <v>6.3125139670154942E-4</v>
      </c>
      <c r="F20" s="68">
        <f t="shared" si="3"/>
        <v>-2.7554031497744515E-2</v>
      </c>
      <c r="G20" s="72">
        <f t="shared" si="4"/>
        <v>0</v>
      </c>
    </row>
    <row r="21" spans="1:12" x14ac:dyDescent="0.25">
      <c r="A21" s="2">
        <v>45373</v>
      </c>
      <c r="B21" s="20">
        <v>2932</v>
      </c>
      <c r="C21" s="14">
        <f t="shared" si="0"/>
        <v>-2.7247973261851424E-3</v>
      </c>
      <c r="D21" s="68">
        <f t="shared" si="1"/>
        <v>1.2117976939128649E-2</v>
      </c>
      <c r="E21" s="68">
        <f t="shared" si="2"/>
        <v>6.7939404021643624E-4</v>
      </c>
      <c r="F21" s="68">
        <f t="shared" si="3"/>
        <v>-2.7511235849801429E-2</v>
      </c>
      <c r="G21" s="72">
        <f t="shared" si="4"/>
        <v>0</v>
      </c>
      <c r="K21" s="63" t="s">
        <v>38</v>
      </c>
      <c r="L21" s="63">
        <f>+_xlfn.CHISQ.INV.RT(5%,1)</f>
        <v>3.8414588206941236</v>
      </c>
    </row>
    <row r="22" spans="1:12" x14ac:dyDescent="0.25">
      <c r="A22" s="2">
        <v>45372</v>
      </c>
      <c r="B22" s="20">
        <v>2940</v>
      </c>
      <c r="C22" s="14">
        <f t="shared" si="0"/>
        <v>-1.0152371464017962E-2</v>
      </c>
      <c r="D22" s="68">
        <f t="shared" si="1"/>
        <v>1.2257709578202361E-2</v>
      </c>
      <c r="E22" s="68">
        <f t="shared" si="2"/>
        <v>5.7554432486150227E-4</v>
      </c>
      <c r="F22" s="68">
        <f t="shared" si="3"/>
        <v>-2.794015229299961E-2</v>
      </c>
      <c r="G22" s="72">
        <f t="shared" si="4"/>
        <v>0</v>
      </c>
    </row>
    <row r="23" spans="1:12" x14ac:dyDescent="0.25">
      <c r="A23" s="2">
        <v>45371</v>
      </c>
      <c r="B23" s="20">
        <v>2970</v>
      </c>
      <c r="C23" s="14">
        <f t="shared" si="0"/>
        <v>2.0222453807678706E-3</v>
      </c>
      <c r="D23" s="68">
        <f t="shared" si="1"/>
        <v>1.2423441046254242E-2</v>
      </c>
      <c r="E23" s="68">
        <f t="shared" si="2"/>
        <v>7.5360241148134729E-4</v>
      </c>
      <c r="F23" s="68">
        <f t="shared" si="3"/>
        <v>-2.8147643254743927E-2</v>
      </c>
      <c r="G23" s="72">
        <f t="shared" si="4"/>
        <v>0</v>
      </c>
    </row>
    <row r="24" spans="1:12" x14ac:dyDescent="0.25">
      <c r="A24" s="2">
        <v>45370</v>
      </c>
      <c r="B24" s="20">
        <v>2964</v>
      </c>
      <c r="C24" s="14">
        <f t="shared" si="0"/>
        <v>-2.6954194216723226E-3</v>
      </c>
      <c r="D24" s="68">
        <f t="shared" si="1"/>
        <v>1.2468955465378431E-2</v>
      </c>
      <c r="E24" s="68">
        <f t="shared" si="2"/>
        <v>6.8099590223874118E-4</v>
      </c>
      <c r="F24" s="68">
        <f t="shared" si="3"/>
        <v>-2.8326132136154293E-2</v>
      </c>
      <c r="G24" s="72">
        <f t="shared" si="4"/>
        <v>0</v>
      </c>
    </row>
    <row r="25" spans="1:12" x14ac:dyDescent="0.25">
      <c r="A25" s="2">
        <v>45369</v>
      </c>
      <c r="B25" s="20">
        <v>2972</v>
      </c>
      <c r="C25" s="14">
        <f t="shared" si="0"/>
        <v>1.4915530756447568E-2</v>
      </c>
      <c r="D25" s="68">
        <f t="shared" si="1"/>
        <v>1.2467189430683487E-2</v>
      </c>
      <c r="E25" s="68">
        <f t="shared" si="2"/>
        <v>6.9177757992543057E-4</v>
      </c>
      <c r="F25" s="68">
        <f t="shared" si="3"/>
        <v>-2.8311242047409538E-2</v>
      </c>
      <c r="G25" s="72">
        <f t="shared" si="4"/>
        <v>0</v>
      </c>
    </row>
    <row r="26" spans="1:12" x14ac:dyDescent="0.25">
      <c r="A26" s="2">
        <v>45365</v>
      </c>
      <c r="B26" s="20">
        <v>2928</v>
      </c>
      <c r="C26" s="14">
        <f t="shared" si="0"/>
        <v>3.4211459984711712E-3</v>
      </c>
      <c r="D26" s="68">
        <f t="shared" si="1"/>
        <v>1.2605403946872198E-2</v>
      </c>
      <c r="E26" s="68">
        <f t="shared" si="2"/>
        <v>7.6551537562585684E-4</v>
      </c>
      <c r="F26" s="68">
        <f t="shared" si="3"/>
        <v>-2.8559039297606302E-2</v>
      </c>
      <c r="G26" s="72">
        <f t="shared" si="4"/>
        <v>0</v>
      </c>
    </row>
    <row r="27" spans="1:12" x14ac:dyDescent="0.25">
      <c r="A27" s="2">
        <v>45364</v>
      </c>
      <c r="B27" s="20">
        <v>2918</v>
      </c>
      <c r="C27" s="14">
        <f t="shared" si="0"/>
        <v>-8.1911720786518784E-3</v>
      </c>
      <c r="D27" s="68">
        <f t="shared" si="1"/>
        <v>1.2613319673869711E-2</v>
      </c>
      <c r="E27" s="68">
        <f t="shared" si="2"/>
        <v>7.850535739810855E-4</v>
      </c>
      <c r="F27" s="68">
        <f t="shared" si="3"/>
        <v>-2.8557915833923229E-2</v>
      </c>
      <c r="G27" s="72">
        <f t="shared" si="4"/>
        <v>0</v>
      </c>
    </row>
    <row r="28" spans="1:12" x14ac:dyDescent="0.25">
      <c r="A28" s="2">
        <v>45363</v>
      </c>
      <c r="B28" s="20">
        <v>2942</v>
      </c>
      <c r="C28" s="14">
        <f t="shared" si="0"/>
        <v>5.4533195813132691E-3</v>
      </c>
      <c r="D28" s="68">
        <f t="shared" si="1"/>
        <v>1.2710141223325245E-2</v>
      </c>
      <c r="E28" s="68">
        <f t="shared" si="2"/>
        <v>7.1571308893989775E-4</v>
      </c>
      <c r="F28" s="68">
        <f t="shared" si="3"/>
        <v>-2.8852496924701636E-2</v>
      </c>
      <c r="G28" s="72">
        <f t="shared" si="4"/>
        <v>0</v>
      </c>
    </row>
    <row r="29" spans="1:12" x14ac:dyDescent="0.25">
      <c r="A29" s="2">
        <v>45362</v>
      </c>
      <c r="B29" s="20">
        <v>2926</v>
      </c>
      <c r="C29" s="14">
        <f t="shared" si="0"/>
        <v>-4.0927751537530362E-3</v>
      </c>
      <c r="D29" s="68">
        <f t="shared" si="1"/>
        <v>1.2865870183588946E-2</v>
      </c>
      <c r="E29" s="68">
        <f t="shared" si="2"/>
        <v>5.6903973322294636E-4</v>
      </c>
      <c r="F29" s="68">
        <f t="shared" si="3"/>
        <v>-2.9361450016054638E-2</v>
      </c>
      <c r="G29" s="72">
        <f t="shared" si="4"/>
        <v>0</v>
      </c>
    </row>
    <row r="30" spans="1:12" x14ac:dyDescent="0.25">
      <c r="A30" s="2">
        <v>45359</v>
      </c>
      <c r="B30" s="20">
        <v>2938</v>
      </c>
      <c r="C30" s="14">
        <f t="shared" si="0"/>
        <v>-6.8050359890472621E-4</v>
      </c>
      <c r="D30" s="68">
        <f t="shared" si="1"/>
        <v>1.2880520702926635E-2</v>
      </c>
      <c r="E30" s="68">
        <f t="shared" si="2"/>
        <v>5.4464215477304781E-4</v>
      </c>
      <c r="F30" s="68">
        <f t="shared" si="3"/>
        <v>-2.9419929799019365E-2</v>
      </c>
      <c r="G30" s="72">
        <f t="shared" si="4"/>
        <v>0</v>
      </c>
    </row>
    <row r="31" spans="1:12" x14ac:dyDescent="0.25">
      <c r="A31" s="2">
        <v>45358</v>
      </c>
      <c r="B31" s="20">
        <v>2940</v>
      </c>
      <c r="C31" s="14">
        <f t="shared" si="0"/>
        <v>1.1632016202499162E-2</v>
      </c>
      <c r="D31" s="68">
        <f t="shared" si="1"/>
        <v>1.2887401437102942E-2</v>
      </c>
      <c r="E31" s="68">
        <f t="shared" si="2"/>
        <v>5.2248072966825667E-4</v>
      </c>
      <c r="F31" s="68">
        <f t="shared" si="3"/>
        <v>-2.945809820544705E-2</v>
      </c>
      <c r="G31" s="72">
        <f t="shared" si="4"/>
        <v>0</v>
      </c>
    </row>
    <row r="32" spans="1:12" x14ac:dyDescent="0.25">
      <c r="A32" s="2">
        <v>45357</v>
      </c>
      <c r="B32" s="20">
        <v>2906</v>
      </c>
      <c r="C32" s="14">
        <f t="shared" si="0"/>
        <v>6.8846818554148454E-4</v>
      </c>
      <c r="D32" s="68">
        <f t="shared" si="1"/>
        <v>1.2907128530370088E-2</v>
      </c>
      <c r="E32" s="68">
        <f t="shared" si="2"/>
        <v>4.1441298950034241E-4</v>
      </c>
      <c r="F32" s="68">
        <f t="shared" si="3"/>
        <v>-2.9612058027097994E-2</v>
      </c>
      <c r="G32" s="72">
        <f t="shared" si="4"/>
        <v>0</v>
      </c>
    </row>
    <row r="33" spans="1:7" x14ac:dyDescent="0.25">
      <c r="A33" s="2">
        <v>45356</v>
      </c>
      <c r="B33" s="20">
        <v>2904</v>
      </c>
      <c r="C33" s="14">
        <f t="shared" si="0"/>
        <v>-4.8093531380442641E-3</v>
      </c>
      <c r="D33" s="68">
        <f t="shared" si="1"/>
        <v>1.291222574848409E-2</v>
      </c>
      <c r="E33" s="68">
        <f t="shared" si="2"/>
        <v>3.9034197456584116E-4</v>
      </c>
      <c r="F33" s="68">
        <f t="shared" si="3"/>
        <v>-2.9647986944555525E-2</v>
      </c>
      <c r="G33" s="72">
        <f t="shared" si="4"/>
        <v>0</v>
      </c>
    </row>
    <row r="34" spans="1:7" x14ac:dyDescent="0.25">
      <c r="A34" s="2">
        <v>45355</v>
      </c>
      <c r="B34" s="20">
        <v>2918</v>
      </c>
      <c r="C34" s="14">
        <f t="shared" si="0"/>
        <v>-2.7378524973386935E-3</v>
      </c>
      <c r="D34" s="68">
        <f t="shared" si="1"/>
        <v>1.2979089438490894E-2</v>
      </c>
      <c r="E34" s="68">
        <f t="shared" si="2"/>
        <v>3.2542902594738412E-4</v>
      </c>
      <c r="F34" s="68">
        <f t="shared" si="3"/>
        <v>-2.9868448096271837E-2</v>
      </c>
      <c r="G34" s="72">
        <f t="shared" si="4"/>
        <v>0</v>
      </c>
    </row>
    <row r="35" spans="1:7" x14ac:dyDescent="0.25">
      <c r="A35" s="2">
        <v>45352</v>
      </c>
      <c r="B35" s="20">
        <v>2926</v>
      </c>
      <c r="C35" s="14">
        <f t="shared" si="0"/>
        <v>1.2379800473591744E-2</v>
      </c>
      <c r="D35" s="68">
        <f t="shared" si="1"/>
        <v>1.2993423275445806E-2</v>
      </c>
      <c r="E35" s="68">
        <f t="shared" si="2"/>
        <v>3.7823433050005015E-4</v>
      </c>
      <c r="F35" s="68">
        <f t="shared" si="3"/>
        <v>-2.984898828284608E-2</v>
      </c>
      <c r="G35" s="72">
        <f t="shared" si="4"/>
        <v>0</v>
      </c>
    </row>
    <row r="36" spans="1:7" x14ac:dyDescent="0.25">
      <c r="A36" s="2">
        <v>45351</v>
      </c>
      <c r="B36" s="20">
        <v>2890</v>
      </c>
      <c r="C36" s="14">
        <f t="shared" si="0"/>
        <v>-3.4542348680875576E-3</v>
      </c>
      <c r="D36" s="68">
        <f t="shared" si="1"/>
        <v>1.2973620645226785E-2</v>
      </c>
      <c r="E36" s="68">
        <f t="shared" si="2"/>
        <v>3.13716985799766E-4</v>
      </c>
      <c r="F36" s="68">
        <f t="shared" si="3"/>
        <v>-2.9867437820835927E-2</v>
      </c>
      <c r="G36" s="72">
        <f t="shared" si="4"/>
        <v>0</v>
      </c>
    </row>
    <row r="37" spans="1:7" x14ac:dyDescent="0.25">
      <c r="A37" s="2">
        <v>45350</v>
      </c>
      <c r="B37" s="20">
        <v>2900</v>
      </c>
      <c r="C37" s="14">
        <f t="shared" si="0"/>
        <v>2.7624326959100796E-3</v>
      </c>
      <c r="D37" s="68">
        <f t="shared" si="1"/>
        <v>1.3010458408416197E-2</v>
      </c>
      <c r="E37" s="68">
        <f t="shared" si="2"/>
        <v>2.6514870231900416E-4</v>
      </c>
      <c r="F37" s="68">
        <f t="shared" si="3"/>
        <v>-3.0001703556396798E-2</v>
      </c>
      <c r="G37" s="72">
        <f t="shared" si="4"/>
        <v>0</v>
      </c>
    </row>
    <row r="38" spans="1:7" x14ac:dyDescent="0.25">
      <c r="A38" s="2">
        <v>45349</v>
      </c>
      <c r="B38" s="20">
        <v>2892</v>
      </c>
      <c r="C38" s="14">
        <f t="shared" si="0"/>
        <v>-1.850001374392023E-2</v>
      </c>
      <c r="D38" s="68">
        <f t="shared" si="1"/>
        <v>1.3011064605239965E-2</v>
      </c>
      <c r="E38" s="68">
        <f t="shared" si="2"/>
        <v>2.4232560026897604E-4</v>
      </c>
      <c r="F38" s="68">
        <f t="shared" si="3"/>
        <v>-3.0025936883139048E-2</v>
      </c>
      <c r="G38" s="72">
        <f t="shared" si="4"/>
        <v>0</v>
      </c>
    </row>
    <row r="39" spans="1:7" x14ac:dyDescent="0.25">
      <c r="A39" s="2">
        <v>45348</v>
      </c>
      <c r="B39" s="20">
        <v>2946</v>
      </c>
      <c r="C39" s="14">
        <f t="shared" si="0"/>
        <v>4.763534016033486E-3</v>
      </c>
      <c r="D39" s="68">
        <f t="shared" si="1"/>
        <v>1.3047165622479368E-2</v>
      </c>
      <c r="E39" s="68">
        <f t="shared" si="2"/>
        <v>2.2049530056864435E-4</v>
      </c>
      <c r="F39" s="68">
        <f t="shared" si="3"/>
        <v>-3.0131750707544976E-2</v>
      </c>
      <c r="G39" s="72">
        <f t="shared" si="4"/>
        <v>0</v>
      </c>
    </row>
    <row r="40" spans="1:7" x14ac:dyDescent="0.25">
      <c r="A40" s="2">
        <v>45345</v>
      </c>
      <c r="B40" s="20">
        <v>2932</v>
      </c>
      <c r="C40" s="14">
        <f t="shared" si="0"/>
        <v>3.4164706958972777E-3</v>
      </c>
      <c r="D40" s="68">
        <f t="shared" si="1"/>
        <v>1.3045738960271891E-2</v>
      </c>
      <c r="E40" s="68">
        <f t="shared" si="2"/>
        <v>2.1581415876901233E-4</v>
      </c>
      <c r="F40" s="68">
        <f t="shared" si="3"/>
        <v>-3.0133112936751267E-2</v>
      </c>
      <c r="G40" s="72">
        <f t="shared" si="4"/>
        <v>0</v>
      </c>
    </row>
    <row r="41" spans="1:7" x14ac:dyDescent="0.25">
      <c r="A41" s="2">
        <v>45344</v>
      </c>
      <c r="B41" s="20">
        <v>2922</v>
      </c>
      <c r="C41" s="14">
        <f t="shared" si="0"/>
        <v>-9.5368570232206781E-3</v>
      </c>
      <c r="D41" s="68">
        <f t="shared" si="1"/>
        <v>1.304416203478838E-2</v>
      </c>
      <c r="E41" s="68">
        <f t="shared" si="2"/>
        <v>2.0214827598542324E-4</v>
      </c>
      <c r="F41" s="68">
        <f t="shared" si="3"/>
        <v>-3.0143110342288771E-2</v>
      </c>
      <c r="G41" s="72">
        <f t="shared" si="4"/>
        <v>0</v>
      </c>
    </row>
    <row r="42" spans="1:7" x14ac:dyDescent="0.25">
      <c r="A42" s="2">
        <v>45343</v>
      </c>
      <c r="B42" s="20">
        <v>2950</v>
      </c>
      <c r="C42" s="14">
        <f t="shared" si="0"/>
        <v>5.4384906309384272E-3</v>
      </c>
      <c r="D42" s="68">
        <f t="shared" si="1"/>
        <v>1.3138936095543606E-2</v>
      </c>
      <c r="E42" s="68">
        <f t="shared" si="2"/>
        <v>3.482920486840436E-4</v>
      </c>
      <c r="F42" s="68">
        <f t="shared" si="3"/>
        <v>-3.021744400434229E-2</v>
      </c>
      <c r="G42" s="72">
        <f t="shared" si="4"/>
        <v>0</v>
      </c>
    </row>
    <row r="43" spans="1:7" x14ac:dyDescent="0.25">
      <c r="A43" s="2">
        <v>45342</v>
      </c>
      <c r="B43" s="20">
        <v>2934</v>
      </c>
      <c r="C43" s="14">
        <f t="shared" si="0"/>
        <v>-1.1521645584344046E-2</v>
      </c>
      <c r="D43" s="68">
        <f t="shared" si="1"/>
        <v>1.3142339139485665E-2</v>
      </c>
      <c r="E43" s="68">
        <f t="shared" si="2"/>
        <v>2.9999910196606299E-4</v>
      </c>
      <c r="F43" s="68">
        <f t="shared" si="3"/>
        <v>-3.0273653615100149E-2</v>
      </c>
      <c r="G43" s="72">
        <f t="shared" si="4"/>
        <v>0</v>
      </c>
    </row>
    <row r="44" spans="1:7" x14ac:dyDescent="0.25">
      <c r="A44" s="2">
        <v>45341</v>
      </c>
      <c r="B44" s="20">
        <v>2968</v>
      </c>
      <c r="C44" s="14">
        <f t="shared" si="0"/>
        <v>2.6990569691649835E-3</v>
      </c>
      <c r="D44" s="68">
        <f t="shared" si="1"/>
        <v>1.3130076915382498E-2</v>
      </c>
      <c r="E44" s="68">
        <f t="shared" si="2"/>
        <v>3.7854620917940329E-4</v>
      </c>
      <c r="F44" s="68">
        <f t="shared" si="3"/>
        <v>-3.016658030891339E-2</v>
      </c>
      <c r="G44" s="72">
        <f t="shared" si="4"/>
        <v>0</v>
      </c>
    </row>
    <row r="45" spans="1:7" x14ac:dyDescent="0.25">
      <c r="A45" s="2">
        <v>45338</v>
      </c>
      <c r="B45" s="20">
        <v>2960</v>
      </c>
      <c r="C45" s="14">
        <f t="shared" si="0"/>
        <v>6.0996461567231781E-3</v>
      </c>
      <c r="D45" s="68">
        <f t="shared" si="1"/>
        <v>1.3178462997402331E-2</v>
      </c>
      <c r="E45" s="68">
        <f t="shared" si="2"/>
        <v>2.9726357590346514E-4</v>
      </c>
      <c r="F45" s="68">
        <f t="shared" si="3"/>
        <v>-3.0360425801229333E-2</v>
      </c>
      <c r="G45" s="72">
        <f t="shared" si="4"/>
        <v>0</v>
      </c>
    </row>
    <row r="46" spans="1:7" x14ac:dyDescent="0.25">
      <c r="A46" s="2">
        <v>45337</v>
      </c>
      <c r="B46" s="20">
        <v>2942</v>
      </c>
      <c r="C46" s="14">
        <f t="shared" si="0"/>
        <v>8.8768080328340011E-3</v>
      </c>
      <c r="D46" s="68">
        <f t="shared" si="1"/>
        <v>1.3212893555363443E-2</v>
      </c>
      <c r="E46" s="68">
        <f t="shared" si="2"/>
        <v>2.0932574911648014E-4</v>
      </c>
      <c r="F46" s="68">
        <f t="shared" si="3"/>
        <v>-3.0528461083331189E-2</v>
      </c>
      <c r="G46" s="72">
        <f t="shared" si="4"/>
        <v>0</v>
      </c>
    </row>
    <row r="47" spans="1:7" x14ac:dyDescent="0.25">
      <c r="A47" s="2">
        <v>45336</v>
      </c>
      <c r="B47" s="20">
        <v>2916</v>
      </c>
      <c r="C47" s="14">
        <f t="shared" si="0"/>
        <v>1.242251999855711E-2</v>
      </c>
      <c r="D47" s="68">
        <f t="shared" si="1"/>
        <v>1.3201816373081564E-2</v>
      </c>
      <c r="E47" s="68">
        <f t="shared" si="2"/>
        <v>1.6809195909939307E-4</v>
      </c>
      <c r="F47" s="68">
        <f t="shared" si="3"/>
        <v>-3.0543925493896465E-2</v>
      </c>
      <c r="G47" s="72">
        <f t="shared" si="4"/>
        <v>0</v>
      </c>
    </row>
    <row r="48" spans="1:7" x14ac:dyDescent="0.25">
      <c r="A48" s="2">
        <v>45335</v>
      </c>
      <c r="B48" s="20">
        <v>2880</v>
      </c>
      <c r="C48" s="14">
        <f t="shared" si="0"/>
        <v>-6.9204428445737952E-3</v>
      </c>
      <c r="D48" s="68">
        <f t="shared" si="1"/>
        <v>1.3180207278148713E-2</v>
      </c>
      <c r="E48" s="68">
        <f t="shared" si="2"/>
        <v>1.0697329990204537E-4</v>
      </c>
      <c r="F48" s="68">
        <f t="shared" si="3"/>
        <v>-3.0554773881036831E-2</v>
      </c>
      <c r="G48" s="72">
        <f t="shared" si="4"/>
        <v>0</v>
      </c>
    </row>
    <row r="49" spans="1:7" x14ac:dyDescent="0.25">
      <c r="A49" s="2">
        <v>45334</v>
      </c>
      <c r="B49" s="20">
        <v>2900</v>
      </c>
      <c r="C49" s="14">
        <f t="shared" si="0"/>
        <v>0</v>
      </c>
      <c r="D49" s="68">
        <f t="shared" si="1"/>
        <v>1.3177801920171065E-2</v>
      </c>
      <c r="E49" s="68">
        <f t="shared" si="2"/>
        <v>1.1189540816962681E-4</v>
      </c>
      <c r="F49" s="68">
        <f t="shared" si="3"/>
        <v>-3.054425607335164E-2</v>
      </c>
      <c r="G49" s="72">
        <f t="shared" si="4"/>
        <v>0</v>
      </c>
    </row>
    <row r="50" spans="1:7" x14ac:dyDescent="0.25">
      <c r="A50" s="2">
        <v>45331</v>
      </c>
      <c r="B50" s="20">
        <v>2900</v>
      </c>
      <c r="C50" s="14">
        <f t="shared" si="0"/>
        <v>2.0711087831363196E-3</v>
      </c>
      <c r="D50" s="68">
        <f t="shared" si="1"/>
        <v>1.3188593203362079E-2</v>
      </c>
      <c r="E50" s="68">
        <f t="shared" si="2"/>
        <v>1.460836504834602E-4</v>
      </c>
      <c r="F50" s="68">
        <f t="shared" si="3"/>
        <v>-3.0535172109747395E-2</v>
      </c>
      <c r="G50" s="72">
        <f t="shared" si="4"/>
        <v>0</v>
      </c>
    </row>
    <row r="51" spans="1:7" x14ac:dyDescent="0.25">
      <c r="A51" s="2">
        <v>45330</v>
      </c>
      <c r="B51" s="20">
        <v>2894</v>
      </c>
      <c r="C51" s="14">
        <f t="shared" si="0"/>
        <v>0</v>
      </c>
      <c r="D51" s="68">
        <f t="shared" si="1"/>
        <v>1.3207626187679638E-2</v>
      </c>
      <c r="E51" s="68">
        <f t="shared" si="2"/>
        <v>1.8384288921547578E-4</v>
      </c>
      <c r="F51" s="68">
        <f t="shared" si="3"/>
        <v>-3.0541690213619185E-2</v>
      </c>
      <c r="G51" s="72">
        <f t="shared" si="4"/>
        <v>0</v>
      </c>
    </row>
    <row r="52" spans="1:7" x14ac:dyDescent="0.25">
      <c r="A52" s="2">
        <v>45329</v>
      </c>
      <c r="B52" s="20">
        <v>2894</v>
      </c>
      <c r="C52" s="14">
        <f t="shared" si="0"/>
        <v>-7.5731859371195804E-3</v>
      </c>
      <c r="D52" s="68">
        <f t="shared" si="1"/>
        <v>1.320766506540192E-2</v>
      </c>
      <c r="E52" s="68">
        <f t="shared" si="2"/>
        <v>1.8673829288876808E-4</v>
      </c>
      <c r="F52" s="68">
        <f t="shared" si="3"/>
        <v>-3.0538885253052473E-2</v>
      </c>
      <c r="G52" s="72">
        <f t="shared" si="4"/>
        <v>0</v>
      </c>
    </row>
    <row r="53" spans="1:7" x14ac:dyDescent="0.25">
      <c r="A53" s="2">
        <v>45328</v>
      </c>
      <c r="B53" s="20">
        <v>2916</v>
      </c>
      <c r="C53" s="14">
        <f t="shared" si="0"/>
        <v>9.6485931158319365E-3</v>
      </c>
      <c r="D53" s="68">
        <f t="shared" si="1"/>
        <v>1.3211401663460874E-2</v>
      </c>
      <c r="E53" s="68">
        <f t="shared" si="2"/>
        <v>2.5486325754443177E-4</v>
      </c>
      <c r="F53" s="68">
        <f t="shared" si="3"/>
        <v>-3.0479452915347399E-2</v>
      </c>
      <c r="G53" s="72">
        <f t="shared" si="4"/>
        <v>0</v>
      </c>
    </row>
    <row r="54" spans="1:7" x14ac:dyDescent="0.25">
      <c r="A54" s="2">
        <v>45327</v>
      </c>
      <c r="B54" s="20">
        <v>2888</v>
      </c>
      <c r="C54" s="14">
        <f t="shared" si="0"/>
        <v>-1.3755375068485344E-2</v>
      </c>
      <c r="D54" s="68">
        <f t="shared" si="1"/>
        <v>1.3256710642668706E-2</v>
      </c>
      <c r="E54" s="68">
        <f t="shared" si="2"/>
        <v>2.9600574468437358E-4</v>
      </c>
      <c r="F54" s="68">
        <f t="shared" si="3"/>
        <v>-3.0543714875662556E-2</v>
      </c>
      <c r="G54" s="72">
        <f t="shared" si="4"/>
        <v>0</v>
      </c>
    </row>
    <row r="55" spans="1:7" x14ac:dyDescent="0.25">
      <c r="A55" s="2">
        <v>45324</v>
      </c>
      <c r="B55" s="20">
        <v>2928</v>
      </c>
      <c r="C55" s="14">
        <f t="shared" si="0"/>
        <v>0</v>
      </c>
      <c r="D55" s="68">
        <f t="shared" si="1"/>
        <v>1.3297972900528513E-2</v>
      </c>
      <c r="E55" s="68">
        <f t="shared" si="2"/>
        <v>2.6544670279634653E-4</v>
      </c>
      <c r="F55" s="68">
        <f t="shared" si="3"/>
        <v>-3.0670264283400871E-2</v>
      </c>
      <c r="G55" s="72">
        <f t="shared" si="4"/>
        <v>0</v>
      </c>
    </row>
    <row r="56" spans="1:7" x14ac:dyDescent="0.25">
      <c r="A56" s="2">
        <v>45323</v>
      </c>
      <c r="B56" s="20">
        <v>2928</v>
      </c>
      <c r="C56" s="14">
        <f t="shared" si="0"/>
        <v>6.1665149156639584E-3</v>
      </c>
      <c r="D56" s="68">
        <f t="shared" si="1"/>
        <v>1.3300260750606117E-2</v>
      </c>
      <c r="E56" s="68">
        <f t="shared" si="2"/>
        <v>2.5087473768234213E-4</v>
      </c>
      <c r="F56" s="68">
        <f t="shared" si="3"/>
        <v>-3.0690158583679038E-2</v>
      </c>
      <c r="G56" s="72">
        <f t="shared" si="4"/>
        <v>0</v>
      </c>
    </row>
    <row r="57" spans="1:7" x14ac:dyDescent="0.25">
      <c r="A57" s="2">
        <v>45322</v>
      </c>
      <c r="B57" s="20">
        <v>2910</v>
      </c>
      <c r="C57" s="14">
        <f t="shared" si="0"/>
        <v>7.5888601528213322E-3</v>
      </c>
      <c r="D57" s="68">
        <f t="shared" si="1"/>
        <v>1.3326221188816642E-2</v>
      </c>
      <c r="E57" s="68">
        <f t="shared" si="2"/>
        <v>2.8481778516716813E-4</v>
      </c>
      <c r="F57" s="68">
        <f t="shared" si="3"/>
        <v>-3.0716608546434435E-2</v>
      </c>
      <c r="G57" s="72">
        <f t="shared" si="4"/>
        <v>0</v>
      </c>
    </row>
    <row r="58" spans="1:7" x14ac:dyDescent="0.25">
      <c r="A58" s="2">
        <v>45321</v>
      </c>
      <c r="B58" s="20">
        <v>2888</v>
      </c>
      <c r="C58" s="14">
        <f t="shared" si="0"/>
        <v>1.1842701975935158E-2</v>
      </c>
      <c r="D58" s="68">
        <f t="shared" si="1"/>
        <v>1.3333549970189743E-2</v>
      </c>
      <c r="E58" s="68">
        <f t="shared" si="2"/>
        <v>2.9600574468437412E-4</v>
      </c>
      <c r="F58" s="68">
        <f t="shared" si="3"/>
        <v>-3.0722469881883849E-2</v>
      </c>
      <c r="G58" s="72">
        <f t="shared" si="4"/>
        <v>0</v>
      </c>
    </row>
    <row r="59" spans="1:7" x14ac:dyDescent="0.25">
      <c r="A59" s="2">
        <v>45320</v>
      </c>
      <c r="B59" s="20">
        <v>2854</v>
      </c>
      <c r="C59" s="14">
        <f t="shared" si="0"/>
        <v>2.1045255049154431E-3</v>
      </c>
      <c r="D59" s="68">
        <f t="shared" si="1"/>
        <v>1.3322230723016582E-2</v>
      </c>
      <c r="E59" s="68">
        <f t="shared" si="2"/>
        <v>2.1891711806655185E-4</v>
      </c>
      <c r="F59" s="68">
        <f t="shared" si="3"/>
        <v>-3.0773226001904644E-2</v>
      </c>
      <c r="G59" s="72">
        <f t="shared" si="4"/>
        <v>0</v>
      </c>
    </row>
    <row r="60" spans="1:7" x14ac:dyDescent="0.25">
      <c r="A60" s="2">
        <v>45317</v>
      </c>
      <c r="B60" s="20">
        <v>2848</v>
      </c>
      <c r="C60" s="14">
        <f t="shared" si="0"/>
        <v>-3.5050859579463488E-3</v>
      </c>
      <c r="D60" s="68">
        <f t="shared" si="1"/>
        <v>1.3470244583356441E-2</v>
      </c>
      <c r="E60" s="68">
        <f t="shared" si="2"/>
        <v>8.517000260580854E-5</v>
      </c>
      <c r="F60" s="68">
        <f t="shared" si="3"/>
        <v>-3.1251304846695596E-2</v>
      </c>
      <c r="G60" s="72">
        <f t="shared" si="4"/>
        <v>0</v>
      </c>
    </row>
    <row r="61" spans="1:7" x14ac:dyDescent="0.25">
      <c r="A61" s="2">
        <v>45316</v>
      </c>
      <c r="B61" s="20">
        <v>2858</v>
      </c>
      <c r="C61" s="14">
        <f t="shared" si="0"/>
        <v>0</v>
      </c>
      <c r="D61" s="68">
        <f t="shared" si="1"/>
        <v>1.3498865880231959E-2</v>
      </c>
      <c r="E61" s="68">
        <f t="shared" si="2"/>
        <v>1.5699482059029177E-4</v>
      </c>
      <c r="F61" s="68">
        <f t="shared" si="3"/>
        <v>-3.1246063121849771E-2</v>
      </c>
      <c r="G61" s="72">
        <f t="shared" si="4"/>
        <v>0</v>
      </c>
    </row>
    <row r="62" spans="1:7" x14ac:dyDescent="0.25">
      <c r="A62" s="2">
        <v>45315</v>
      </c>
      <c r="B62" s="20">
        <v>2858</v>
      </c>
      <c r="C62" s="14">
        <f t="shared" si="0"/>
        <v>1.3385194557653518E-2</v>
      </c>
      <c r="D62" s="68">
        <f t="shared" si="1"/>
        <v>1.3619825810918201E-2</v>
      </c>
      <c r="E62" s="68">
        <f t="shared" si="2"/>
        <v>2.7217442838207035E-4</v>
      </c>
      <c r="F62" s="68">
        <f t="shared" si="3"/>
        <v>-3.1412278391654051E-2</v>
      </c>
      <c r="G62" s="72">
        <f t="shared" si="4"/>
        <v>0</v>
      </c>
    </row>
    <row r="63" spans="1:7" x14ac:dyDescent="0.25">
      <c r="A63" s="2">
        <v>45314</v>
      </c>
      <c r="B63" s="20">
        <v>2820</v>
      </c>
      <c r="C63" s="14">
        <f t="shared" si="0"/>
        <v>-6.3626937878286573E-3</v>
      </c>
      <c r="D63" s="68">
        <f t="shared" si="1"/>
        <v>1.3597049651065425E-2</v>
      </c>
      <c r="E63" s="68">
        <f t="shared" si="2"/>
        <v>2.3665169863587446E-4</v>
      </c>
      <c r="F63" s="68">
        <f t="shared" si="3"/>
        <v>-3.139481585034793E-2</v>
      </c>
      <c r="G63" s="72">
        <f t="shared" si="4"/>
        <v>0</v>
      </c>
    </row>
    <row r="64" spans="1:7" x14ac:dyDescent="0.25">
      <c r="A64" s="2">
        <v>45313</v>
      </c>
      <c r="B64" s="20">
        <v>2838</v>
      </c>
      <c r="C64" s="14">
        <f t="shared" si="0"/>
        <v>0</v>
      </c>
      <c r="D64" s="68">
        <f t="shared" si="1"/>
        <v>1.3597824943886897E-2</v>
      </c>
      <c r="E64" s="68">
        <f t="shared" si="2"/>
        <v>2.3510574588747507E-4</v>
      </c>
      <c r="F64" s="68">
        <f t="shared" si="3"/>
        <v>-3.1398165403903319E-2</v>
      </c>
      <c r="G64" s="72">
        <f t="shared" si="4"/>
        <v>0</v>
      </c>
    </row>
    <row r="65" spans="1:7" x14ac:dyDescent="0.25">
      <c r="A65" s="2">
        <v>45310</v>
      </c>
      <c r="B65" s="20">
        <v>2838</v>
      </c>
      <c r="C65" s="14">
        <f t="shared" si="0"/>
        <v>9.9150953921964442E-3</v>
      </c>
      <c r="D65" s="68">
        <f t="shared" si="1"/>
        <v>1.3602191338529301E-2</v>
      </c>
      <c r="E65" s="68">
        <f t="shared" si="2"/>
        <v>2.1423354049641239E-4</v>
      </c>
      <c r="F65" s="68">
        <f t="shared" si="3"/>
        <v>-3.1429195362187967E-2</v>
      </c>
      <c r="G65" s="72">
        <f t="shared" si="4"/>
        <v>0</v>
      </c>
    </row>
    <row r="66" spans="1:7" x14ac:dyDescent="0.25">
      <c r="A66" s="2">
        <v>45309</v>
      </c>
      <c r="B66" s="20">
        <v>2810</v>
      </c>
      <c r="C66" s="14">
        <f t="shared" si="0"/>
        <v>2.8510354308390845E-3</v>
      </c>
      <c r="D66" s="68">
        <f t="shared" si="1"/>
        <v>1.35904581299282E-2</v>
      </c>
      <c r="E66" s="68">
        <f t="shared" si="2"/>
        <v>1.5973084134148429E-4</v>
      </c>
      <c r="F66" s="68">
        <f t="shared" si="3"/>
        <v>-3.1456402536458039E-2</v>
      </c>
      <c r="G66" s="72">
        <f t="shared" si="4"/>
        <v>0</v>
      </c>
    </row>
    <row r="67" spans="1:7" x14ac:dyDescent="0.25">
      <c r="A67" s="2">
        <v>45308</v>
      </c>
      <c r="B67" s="20">
        <v>2802</v>
      </c>
      <c r="C67" s="14">
        <f t="shared" si="0"/>
        <v>-1.4265337654539576E-3</v>
      </c>
      <c r="D67" s="68">
        <f t="shared" si="1"/>
        <v>1.359211143867846E-2</v>
      </c>
      <c r="E67" s="68">
        <f t="shared" si="2"/>
        <v>1.6614410101564945E-4</v>
      </c>
      <c r="F67" s="68">
        <f t="shared" si="3"/>
        <v>-3.1453835448080184E-2</v>
      </c>
      <c r="G67" s="72">
        <f t="shared" si="4"/>
        <v>0</v>
      </c>
    </row>
    <row r="68" spans="1:7" x14ac:dyDescent="0.25">
      <c r="A68" s="2">
        <v>45307</v>
      </c>
      <c r="B68" s="20">
        <v>2806</v>
      </c>
      <c r="C68" s="14">
        <f t="shared" si="0"/>
        <v>-9.2231941512041435E-3</v>
      </c>
      <c r="D68" s="68">
        <f t="shared" si="1"/>
        <v>1.3591783288341883E-2</v>
      </c>
      <c r="E68" s="68">
        <f t="shared" si="2"/>
        <v>1.7482753431689434E-4</v>
      </c>
      <c r="F68" s="68">
        <f t="shared" si="3"/>
        <v>-3.1444388622941077E-2</v>
      </c>
      <c r="G68" s="72">
        <f t="shared" si="4"/>
        <v>0</v>
      </c>
    </row>
    <row r="69" spans="1:7" x14ac:dyDescent="0.25">
      <c r="A69" s="2">
        <v>45306</v>
      </c>
      <c r="B69" s="20">
        <v>2832</v>
      </c>
      <c r="C69" s="14">
        <f t="shared" ref="C69:C132" si="5">+LN(B69/B70)</f>
        <v>-2.1164029063776126E-3</v>
      </c>
      <c r="D69" s="68">
        <f t="shared" ref="D69:D132" si="6">STDEV(C69:C318)</f>
        <v>1.3588990190015793E-2</v>
      </c>
      <c r="E69" s="68">
        <f t="shared" ref="E69:E132" si="7">AVERAGE(C69:C318)</f>
        <v>1.7909128312577997E-4</v>
      </c>
      <c r="F69" s="68">
        <f t="shared" ref="F69:F132" si="8">E69+$L$8*D69</f>
        <v>-3.1433627155779305E-2</v>
      </c>
      <c r="G69" s="72">
        <f t="shared" si="4"/>
        <v>0</v>
      </c>
    </row>
    <row r="70" spans="1:7" x14ac:dyDescent="0.25">
      <c r="A70" s="2">
        <v>45303</v>
      </c>
      <c r="B70" s="20">
        <v>2838</v>
      </c>
      <c r="C70" s="14">
        <f t="shared" si="5"/>
        <v>1.1339597057581665E-2</v>
      </c>
      <c r="D70" s="68">
        <f t="shared" si="6"/>
        <v>1.3595888652176071E-2</v>
      </c>
      <c r="E70" s="68">
        <f t="shared" si="7"/>
        <v>2.1720862430779273E-4</v>
      </c>
      <c r="F70" s="68">
        <f t="shared" si="8"/>
        <v>-3.1411558037378003E-2</v>
      </c>
      <c r="G70" s="72">
        <f t="shared" ref="G70:G133" si="9">IF(C69&lt;F70,1,0)</f>
        <v>0</v>
      </c>
    </row>
    <row r="71" spans="1:7" x14ac:dyDescent="0.25">
      <c r="A71" s="2">
        <v>45302</v>
      </c>
      <c r="B71" s="20">
        <v>2806</v>
      </c>
      <c r="C71" s="14">
        <f t="shared" si="5"/>
        <v>-2.8469770119281513E-3</v>
      </c>
      <c r="D71" s="68">
        <f t="shared" si="6"/>
        <v>1.3577655693474903E-2</v>
      </c>
      <c r="E71" s="68">
        <f t="shared" si="7"/>
        <v>1.6887515226608735E-4</v>
      </c>
      <c r="F71" s="68">
        <f t="shared" si="8"/>
        <v>-3.1417475304707773E-2</v>
      </c>
      <c r="G71" s="72">
        <f t="shared" si="9"/>
        <v>0</v>
      </c>
    </row>
    <row r="72" spans="1:7" x14ac:dyDescent="0.25">
      <c r="A72" s="2">
        <v>45301</v>
      </c>
      <c r="B72" s="20">
        <v>2814</v>
      </c>
      <c r="C72" s="14">
        <f t="shared" si="5"/>
        <v>-6.376217139275997E-3</v>
      </c>
      <c r="D72" s="68">
        <f t="shared" si="6"/>
        <v>1.3579465482207837E-2</v>
      </c>
      <c r="E72" s="68">
        <f t="shared" si="7"/>
        <v>1.6245887661676226E-4</v>
      </c>
      <c r="F72" s="68">
        <f t="shared" si="8"/>
        <v>-3.1428101778528422E-2</v>
      </c>
      <c r="G72" s="72">
        <f t="shared" si="9"/>
        <v>0</v>
      </c>
    </row>
    <row r="73" spans="1:7" x14ac:dyDescent="0.25">
      <c r="A73" s="2">
        <v>45300</v>
      </c>
      <c r="B73" s="20">
        <v>2832</v>
      </c>
      <c r="C73" s="14">
        <f t="shared" si="5"/>
        <v>-1.411432838407736E-3</v>
      </c>
      <c r="D73" s="68">
        <f t="shared" si="6"/>
        <v>1.3582512302607007E-2</v>
      </c>
      <c r="E73" s="68">
        <f t="shared" si="7"/>
        <v>2.2066552523483364E-4</v>
      </c>
      <c r="F73" s="68">
        <f t="shared" si="8"/>
        <v>-3.1376983094068542E-2</v>
      </c>
      <c r="G73" s="72">
        <f t="shared" si="9"/>
        <v>0</v>
      </c>
    </row>
    <row r="74" spans="1:7" x14ac:dyDescent="0.25">
      <c r="A74" s="2">
        <v>45299</v>
      </c>
      <c r="B74" s="20">
        <v>2836</v>
      </c>
      <c r="C74" s="14">
        <f t="shared" si="5"/>
        <v>-7.0497006796982125E-4</v>
      </c>
      <c r="D74" s="68">
        <f t="shared" si="6"/>
        <v>1.3582156622524641E-2</v>
      </c>
      <c r="E74" s="68">
        <f t="shared" si="7"/>
        <v>2.2929744560360279E-4</v>
      </c>
      <c r="F74" s="68">
        <f t="shared" si="8"/>
        <v>-3.1367523738096321E-2</v>
      </c>
      <c r="G74" s="72">
        <f t="shared" si="9"/>
        <v>0</v>
      </c>
    </row>
    <row r="75" spans="1:7" x14ac:dyDescent="0.25">
      <c r="A75" s="2">
        <v>45296</v>
      </c>
      <c r="B75" s="20">
        <v>2838</v>
      </c>
      <c r="C75" s="14">
        <f t="shared" si="5"/>
        <v>6.3626937878286504E-3</v>
      </c>
      <c r="D75" s="68">
        <f t="shared" si="6"/>
        <v>1.3599938547187662E-2</v>
      </c>
      <c r="E75" s="68">
        <f t="shared" si="7"/>
        <v>2.7717976265235843E-4</v>
      </c>
      <c r="F75" s="68">
        <f t="shared" si="8"/>
        <v>-3.1361008363683739E-2</v>
      </c>
      <c r="G75" s="72">
        <f t="shared" si="9"/>
        <v>0</v>
      </c>
    </row>
    <row r="76" spans="1:7" x14ac:dyDescent="0.25">
      <c r="A76" s="2">
        <v>45295</v>
      </c>
      <c r="B76" s="20">
        <v>2820</v>
      </c>
      <c r="C76" s="14">
        <f t="shared" si="5"/>
        <v>-2.8328630843040899E-3</v>
      </c>
      <c r="D76" s="68">
        <f t="shared" si="6"/>
        <v>1.3612696662462599E-2</v>
      </c>
      <c r="E76" s="68">
        <f t="shared" si="7"/>
        <v>2.9730486984925802E-4</v>
      </c>
      <c r="F76" s="68">
        <f t="shared" si="8"/>
        <v>-3.1370563070833454E-2</v>
      </c>
      <c r="G76" s="72">
        <f t="shared" si="9"/>
        <v>0</v>
      </c>
    </row>
    <row r="77" spans="1:7" x14ac:dyDescent="0.25">
      <c r="A77" s="2">
        <v>45294</v>
      </c>
      <c r="B77" s="20">
        <v>2828</v>
      </c>
      <c r="C77" s="14">
        <f t="shared" si="5"/>
        <v>2.8328630843041072E-3</v>
      </c>
      <c r="D77" s="68">
        <f t="shared" si="6"/>
        <v>1.3611824177083814E-2</v>
      </c>
      <c r="E77" s="68">
        <f t="shared" si="7"/>
        <v>3.1781414648056886E-4</v>
      </c>
      <c r="F77" s="68">
        <f t="shared" si="8"/>
        <v>-3.1348024089696079E-2</v>
      </c>
      <c r="G77" s="72">
        <f t="shared" si="9"/>
        <v>0</v>
      </c>
    </row>
    <row r="78" spans="1:7" x14ac:dyDescent="0.25">
      <c r="A78" s="2">
        <v>45293</v>
      </c>
      <c r="B78" s="20">
        <v>2820</v>
      </c>
      <c r="C78" s="14">
        <f t="shared" si="5"/>
        <v>-2.1253993123134776E-3</v>
      </c>
      <c r="D78" s="68">
        <f t="shared" si="6"/>
        <v>1.3642823633103037E-2</v>
      </c>
      <c r="E78" s="68">
        <f t="shared" si="7"/>
        <v>2.4870897980756737E-4</v>
      </c>
      <c r="F78" s="68">
        <f t="shared" si="8"/>
        <v>-3.1489244774975819E-2</v>
      </c>
      <c r="G78" s="72">
        <f t="shared" si="9"/>
        <v>0</v>
      </c>
    </row>
    <row r="79" spans="1:7" x14ac:dyDescent="0.25">
      <c r="A79" s="2">
        <v>45289</v>
      </c>
      <c r="B79" s="20">
        <v>2826</v>
      </c>
      <c r="C79" s="14">
        <f t="shared" si="5"/>
        <v>0</v>
      </c>
      <c r="D79" s="68">
        <f t="shared" si="6"/>
        <v>1.3678161449207131E-2</v>
      </c>
      <c r="E79" s="68">
        <f t="shared" si="7"/>
        <v>3.2111456079171911E-4</v>
      </c>
      <c r="F79" s="68">
        <f t="shared" si="8"/>
        <v>-3.1499047247358677E-2</v>
      </c>
      <c r="G79" s="72">
        <f t="shared" si="9"/>
        <v>0</v>
      </c>
    </row>
    <row r="80" spans="1:7" x14ac:dyDescent="0.25">
      <c r="A80" s="2">
        <v>45288</v>
      </c>
      <c r="B80" s="20">
        <v>2826</v>
      </c>
      <c r="C80" s="14">
        <f t="shared" si="5"/>
        <v>2.8348707858471271E-3</v>
      </c>
      <c r="D80" s="68">
        <f t="shared" si="6"/>
        <v>1.3678719972091555E-2</v>
      </c>
      <c r="E80" s="68">
        <f t="shared" si="7"/>
        <v>3.3032761668809149E-4</v>
      </c>
      <c r="F80" s="68">
        <f t="shared" si="8"/>
        <v>-3.1491133509987085E-2</v>
      </c>
      <c r="G80" s="72">
        <f t="shared" si="9"/>
        <v>0</v>
      </c>
    </row>
    <row r="81" spans="1:7" x14ac:dyDescent="0.25">
      <c r="A81" s="2">
        <v>45287</v>
      </c>
      <c r="B81" s="20">
        <v>2818</v>
      </c>
      <c r="C81" s="14">
        <f t="shared" si="5"/>
        <v>-1.4184399541337456E-3</v>
      </c>
      <c r="D81" s="68">
        <f t="shared" si="6"/>
        <v>1.3695553225455353E-2</v>
      </c>
      <c r="E81" s="68">
        <f t="shared" si="7"/>
        <v>2.7617426914726412E-4</v>
      </c>
      <c r="F81" s="68">
        <f t="shared" si="8"/>
        <v>-3.1584446860703976E-2</v>
      </c>
      <c r="G81" s="72">
        <f t="shared" si="9"/>
        <v>0</v>
      </c>
    </row>
    <row r="82" spans="1:7" x14ac:dyDescent="0.25">
      <c r="A82" s="2">
        <v>45282</v>
      </c>
      <c r="B82" s="20">
        <v>2822</v>
      </c>
      <c r="C82" s="14">
        <f t="shared" si="5"/>
        <v>-2.8308582245239488E-3</v>
      </c>
      <c r="D82" s="68">
        <f t="shared" si="6"/>
        <v>1.3698860828186662E-2</v>
      </c>
      <c r="E82" s="68">
        <f t="shared" si="7"/>
        <v>3.0319767934268302E-4</v>
      </c>
      <c r="F82" s="68">
        <f t="shared" si="8"/>
        <v>-3.1565118085090708E-2</v>
      </c>
      <c r="G82" s="72">
        <f t="shared" si="9"/>
        <v>0</v>
      </c>
    </row>
    <row r="83" spans="1:7" x14ac:dyDescent="0.25">
      <c r="A83" s="2">
        <v>45281</v>
      </c>
      <c r="B83" s="20">
        <v>2830</v>
      </c>
      <c r="C83" s="14">
        <f t="shared" si="5"/>
        <v>-1.4124296133424374E-3</v>
      </c>
      <c r="D83" s="68">
        <f t="shared" si="6"/>
        <v>1.370341955541767E-2</v>
      </c>
      <c r="E83" s="68">
        <f t="shared" si="7"/>
        <v>2.9013079276830482E-4</v>
      </c>
      <c r="F83" s="68">
        <f t="shared" si="8"/>
        <v>-3.1588790157067274E-2</v>
      </c>
      <c r="G83" s="72">
        <f t="shared" si="9"/>
        <v>0</v>
      </c>
    </row>
    <row r="84" spans="1:7" x14ac:dyDescent="0.25">
      <c r="A84" s="2">
        <v>45280</v>
      </c>
      <c r="B84" s="20">
        <v>2834</v>
      </c>
      <c r="C84" s="14">
        <f t="shared" si="5"/>
        <v>1.4124296133423584E-3</v>
      </c>
      <c r="D84" s="68">
        <f t="shared" si="6"/>
        <v>1.3704613268238087E-2</v>
      </c>
      <c r="E84" s="68">
        <f t="shared" si="7"/>
        <v>2.8364089644105858E-4</v>
      </c>
      <c r="F84" s="68">
        <f t="shared" si="8"/>
        <v>-3.1598057044676511E-2</v>
      </c>
      <c r="G84" s="72">
        <f t="shared" si="9"/>
        <v>0</v>
      </c>
    </row>
    <row r="85" spans="1:7" x14ac:dyDescent="0.25">
      <c r="A85" s="2">
        <v>45279</v>
      </c>
      <c r="B85" s="20">
        <v>2830</v>
      </c>
      <c r="C85" s="14">
        <f t="shared" si="5"/>
        <v>4.2492981786577486E-3</v>
      </c>
      <c r="D85" s="68">
        <f t="shared" si="6"/>
        <v>1.3704437192425246E-2</v>
      </c>
      <c r="E85" s="68">
        <f t="shared" si="7"/>
        <v>2.779911779876891E-4</v>
      </c>
      <c r="F85" s="68">
        <f t="shared" si="8"/>
        <v>-3.1603297149537003E-2</v>
      </c>
      <c r="G85" s="72">
        <f t="shared" si="9"/>
        <v>0</v>
      </c>
    </row>
    <row r="86" spans="1:7" x14ac:dyDescent="0.25">
      <c r="A86" s="2">
        <v>45278</v>
      </c>
      <c r="B86" s="20">
        <v>2818</v>
      </c>
      <c r="C86" s="14">
        <f t="shared" si="5"/>
        <v>-4.9557623549848773E-3</v>
      </c>
      <c r="D86" s="68">
        <f t="shared" si="6"/>
        <v>1.3703239068308202E-2</v>
      </c>
      <c r="E86" s="68">
        <f t="shared" si="7"/>
        <v>2.731336000536745E-4</v>
      </c>
      <c r="F86" s="68">
        <f t="shared" si="8"/>
        <v>-3.1605367473978505E-2</v>
      </c>
      <c r="G86" s="72">
        <f t="shared" si="9"/>
        <v>0</v>
      </c>
    </row>
    <row r="87" spans="1:7" x14ac:dyDescent="0.25">
      <c r="A87" s="2">
        <v>45275</v>
      </c>
      <c r="B87" s="20">
        <v>2832</v>
      </c>
      <c r="C87" s="14">
        <f t="shared" si="5"/>
        <v>5.6657375356772999E-3</v>
      </c>
      <c r="D87" s="68">
        <f t="shared" si="6"/>
        <v>1.3705110256290495E-2</v>
      </c>
      <c r="E87" s="68">
        <f t="shared" si="7"/>
        <v>2.6871415102685018E-4</v>
      </c>
      <c r="F87" s="68">
        <f t="shared" si="8"/>
        <v>-3.1614139957189868E-2</v>
      </c>
      <c r="G87" s="72">
        <f t="shared" si="9"/>
        <v>0</v>
      </c>
    </row>
    <row r="88" spans="1:7" x14ac:dyDescent="0.25">
      <c r="A88" s="2">
        <v>45274</v>
      </c>
      <c r="B88" s="20">
        <v>2816</v>
      </c>
      <c r="C88" s="14">
        <f t="shared" si="5"/>
        <v>7.1276139242321401E-3</v>
      </c>
      <c r="D88" s="68">
        <f t="shared" si="6"/>
        <v>1.3701058192936228E-2</v>
      </c>
      <c r="E88" s="68">
        <f t="shared" si="7"/>
        <v>2.5209806522542865E-4</v>
      </c>
      <c r="F88" s="68">
        <f t="shared" si="8"/>
        <v>-3.1621329534021608E-2</v>
      </c>
      <c r="G88" s="72">
        <f t="shared" si="9"/>
        <v>0</v>
      </c>
    </row>
    <row r="89" spans="1:7" x14ac:dyDescent="0.25">
      <c r="A89" s="2">
        <v>45273</v>
      </c>
      <c r="B89" s="20">
        <v>2796</v>
      </c>
      <c r="C89" s="14">
        <f t="shared" si="5"/>
        <v>-2.85714480077978E-3</v>
      </c>
      <c r="D89" s="68">
        <f t="shared" si="6"/>
        <v>1.3709954611665701E-2</v>
      </c>
      <c r="E89" s="68">
        <f t="shared" si="7"/>
        <v>2.6617356310645017E-4</v>
      </c>
      <c r="F89" s="68">
        <f t="shared" si="8"/>
        <v>-3.1627950200938469E-2</v>
      </c>
      <c r="G89" s="72">
        <f t="shared" si="9"/>
        <v>0</v>
      </c>
    </row>
    <row r="90" spans="1:7" x14ac:dyDescent="0.25">
      <c r="A90" s="2">
        <v>45272</v>
      </c>
      <c r="B90" s="20">
        <v>2804</v>
      </c>
      <c r="C90" s="14">
        <f t="shared" si="5"/>
        <v>1.726661602093155E-2</v>
      </c>
      <c r="D90" s="68">
        <f t="shared" si="6"/>
        <v>1.3709650804303164E-2</v>
      </c>
      <c r="E90" s="68">
        <f t="shared" si="7"/>
        <v>2.8985330043175219E-4</v>
      </c>
      <c r="F90" s="68">
        <f t="shared" si="8"/>
        <v>-3.1603563702001215E-2</v>
      </c>
      <c r="G90" s="72">
        <f t="shared" si="9"/>
        <v>0</v>
      </c>
    </row>
    <row r="91" spans="1:7" x14ac:dyDescent="0.25">
      <c r="A91" s="2">
        <v>45271</v>
      </c>
      <c r="B91" s="20">
        <v>2756</v>
      </c>
      <c r="C91" s="14">
        <f t="shared" si="5"/>
        <v>-3.6218800911543398E-3</v>
      </c>
      <c r="D91" s="68">
        <f t="shared" si="6"/>
        <v>1.3692576340810825E-2</v>
      </c>
      <c r="E91" s="68">
        <f t="shared" si="7"/>
        <v>1.6897658820511747E-4</v>
      </c>
      <c r="F91" s="68">
        <f t="shared" si="8"/>
        <v>-3.1684719272382061E-2</v>
      </c>
      <c r="G91" s="72">
        <f t="shared" si="9"/>
        <v>0</v>
      </c>
    </row>
    <row r="92" spans="1:7" x14ac:dyDescent="0.25">
      <c r="A92" s="2">
        <v>45268</v>
      </c>
      <c r="B92" s="20">
        <v>2766</v>
      </c>
      <c r="C92" s="14">
        <f t="shared" si="5"/>
        <v>-1.3644735929777186E-2</v>
      </c>
      <c r="D92" s="68">
        <f t="shared" si="6"/>
        <v>1.3714256305816833E-2</v>
      </c>
      <c r="E92" s="68">
        <f t="shared" si="7"/>
        <v>2.3527435671264336E-4</v>
      </c>
      <c r="F92" s="68">
        <f t="shared" si="8"/>
        <v>-3.1668856644375534E-2</v>
      </c>
      <c r="G92" s="72">
        <f t="shared" si="9"/>
        <v>0</v>
      </c>
    </row>
    <row r="93" spans="1:7" x14ac:dyDescent="0.25">
      <c r="A93" s="2">
        <v>45267</v>
      </c>
      <c r="B93" s="20">
        <v>2804</v>
      </c>
      <c r="C93" s="14">
        <f t="shared" si="5"/>
        <v>-2.1375141733107552E-3</v>
      </c>
      <c r="D93" s="68">
        <f t="shared" si="6"/>
        <v>1.3702017235250902E-2</v>
      </c>
      <c r="E93" s="68">
        <f t="shared" si="7"/>
        <v>3.3303028095527397E-4</v>
      </c>
      <c r="F93" s="68">
        <f t="shared" si="8"/>
        <v>-3.1542628384341624E-2</v>
      </c>
      <c r="G93" s="72">
        <f t="shared" si="9"/>
        <v>0</v>
      </c>
    </row>
    <row r="94" spans="1:7" x14ac:dyDescent="0.25">
      <c r="A94" s="2">
        <v>45266</v>
      </c>
      <c r="B94" s="20">
        <v>2810</v>
      </c>
      <c r="C94" s="14">
        <f t="shared" si="5"/>
        <v>-3.5524016043677721E-3</v>
      </c>
      <c r="D94" s="68">
        <f t="shared" si="6"/>
        <v>1.3710610571703847E-2</v>
      </c>
      <c r="E94" s="68">
        <f t="shared" si="7"/>
        <v>3.1069215327287567E-4</v>
      </c>
      <c r="F94" s="68">
        <f t="shared" si="8"/>
        <v>-3.1584957602012249E-2</v>
      </c>
      <c r="G94" s="72">
        <f t="shared" si="9"/>
        <v>0</v>
      </c>
    </row>
    <row r="95" spans="1:7" x14ac:dyDescent="0.25">
      <c r="A95" s="2">
        <v>45265</v>
      </c>
      <c r="B95" s="20">
        <v>2820</v>
      </c>
      <c r="C95" s="14">
        <f t="shared" si="5"/>
        <v>9.9787000498962695E-3</v>
      </c>
      <c r="D95" s="68">
        <f t="shared" si="6"/>
        <v>1.3708444622717515E-2</v>
      </c>
      <c r="E95" s="68">
        <f t="shared" si="7"/>
        <v>3.2797986680646086E-4</v>
      </c>
      <c r="F95" s="68">
        <f t="shared" si="8"/>
        <v>-3.1562631137659024E-2</v>
      </c>
      <c r="G95" s="72">
        <f t="shared" si="9"/>
        <v>0</v>
      </c>
    </row>
    <row r="96" spans="1:7" x14ac:dyDescent="0.25">
      <c r="A96" s="2">
        <v>45264</v>
      </c>
      <c r="B96" s="20">
        <v>2792</v>
      </c>
      <c r="C96" s="14">
        <f t="shared" si="5"/>
        <v>4.30725719758027E-3</v>
      </c>
      <c r="D96" s="68">
        <f t="shared" si="6"/>
        <v>1.4140458894043318E-2</v>
      </c>
      <c r="E96" s="68">
        <f t="shared" si="7"/>
        <v>6.6451510217389935E-5</v>
      </c>
      <c r="F96" s="68">
        <f t="shared" si="8"/>
        <v>-3.2829174975902181E-2</v>
      </c>
      <c r="G96" s="72">
        <f t="shared" si="9"/>
        <v>0</v>
      </c>
    </row>
    <row r="97" spans="1:7" x14ac:dyDescent="0.25">
      <c r="A97" s="2">
        <v>45261</v>
      </c>
      <c r="B97" s="20">
        <v>2780</v>
      </c>
      <c r="C97" s="14">
        <f t="shared" si="5"/>
        <v>0</v>
      </c>
      <c r="D97" s="68">
        <f t="shared" si="6"/>
        <v>1.4232703090163114E-2</v>
      </c>
      <c r="E97" s="68">
        <f t="shared" si="7"/>
        <v>-5.430594309576817E-5</v>
      </c>
      <c r="F97" s="68">
        <f t="shared" si="8"/>
        <v>-3.316452451875123E-2</v>
      </c>
      <c r="G97" s="72">
        <f t="shared" si="9"/>
        <v>0</v>
      </c>
    </row>
    <row r="98" spans="1:7" x14ac:dyDescent="0.25">
      <c r="A98" s="2">
        <v>45260</v>
      </c>
      <c r="B98" s="20">
        <v>2780</v>
      </c>
      <c r="C98" s="14">
        <f t="shared" si="5"/>
        <v>0</v>
      </c>
      <c r="D98" s="68">
        <f t="shared" si="6"/>
        <v>1.4293667309910427E-2</v>
      </c>
      <c r="E98" s="68">
        <f t="shared" si="7"/>
        <v>2.8880991893950867E-5</v>
      </c>
      <c r="F98" s="68">
        <f t="shared" si="8"/>
        <v>-3.3223161566763235E-2</v>
      </c>
      <c r="G98" s="72">
        <f t="shared" si="9"/>
        <v>0</v>
      </c>
    </row>
    <row r="99" spans="1:7" x14ac:dyDescent="0.25">
      <c r="A99" s="2">
        <v>45259</v>
      </c>
      <c r="B99" s="20">
        <v>2780</v>
      </c>
      <c r="C99" s="14">
        <f t="shared" si="5"/>
        <v>-5.7388966690181667E-3</v>
      </c>
      <c r="D99" s="68">
        <f t="shared" si="6"/>
        <v>1.4419129002667756E-2</v>
      </c>
      <c r="E99" s="68">
        <f t="shared" si="7"/>
        <v>-9.1042336953792274E-5</v>
      </c>
      <c r="F99" s="68">
        <f t="shared" si="8"/>
        <v>-3.3634952437830552E-2</v>
      </c>
      <c r="G99" s="72">
        <f t="shared" si="9"/>
        <v>0</v>
      </c>
    </row>
    <row r="100" spans="1:7" x14ac:dyDescent="0.25">
      <c r="A100" s="2">
        <v>45258</v>
      </c>
      <c r="B100" s="20">
        <v>2796</v>
      </c>
      <c r="C100" s="14">
        <f t="shared" si="5"/>
        <v>9.3425041723166034E-3</v>
      </c>
      <c r="D100" s="68">
        <f t="shared" si="6"/>
        <v>1.4415823259209525E-2</v>
      </c>
      <c r="E100" s="68">
        <f t="shared" si="7"/>
        <v>-5.6819137193265936E-5</v>
      </c>
      <c r="F100" s="68">
        <f t="shared" si="8"/>
        <v>-3.3593038928803845E-2</v>
      </c>
      <c r="G100" s="72">
        <f t="shared" si="9"/>
        <v>0</v>
      </c>
    </row>
    <row r="101" spans="1:7" x14ac:dyDescent="0.25">
      <c r="A101" s="2">
        <v>45257</v>
      </c>
      <c r="B101" s="20">
        <v>2770</v>
      </c>
      <c r="C101" s="14">
        <f t="shared" si="5"/>
        <v>1.4545711002378716E-2</v>
      </c>
      <c r="D101" s="68">
        <f t="shared" si="6"/>
        <v>1.4408056162200981E-2</v>
      </c>
      <c r="E101" s="68">
        <f t="shared" si="7"/>
        <v>-7.1558259003097013E-5</v>
      </c>
      <c r="F101" s="68">
        <f t="shared" si="8"/>
        <v>-3.3589709081000382E-2</v>
      </c>
      <c r="G101" s="72">
        <f t="shared" si="9"/>
        <v>0</v>
      </c>
    </row>
    <row r="102" spans="1:7" x14ac:dyDescent="0.25">
      <c r="A102" s="2">
        <v>45254</v>
      </c>
      <c r="B102" s="20">
        <v>2730</v>
      </c>
      <c r="C102" s="14">
        <f t="shared" si="5"/>
        <v>-6.5717651632345017E-3</v>
      </c>
      <c r="D102" s="68">
        <f t="shared" si="6"/>
        <v>1.4394419608380409E-2</v>
      </c>
      <c r="E102" s="68">
        <f t="shared" si="7"/>
        <v>-8.6959946545620169E-5</v>
      </c>
      <c r="F102" s="68">
        <f t="shared" si="8"/>
        <v>-3.357338740055317E-2</v>
      </c>
      <c r="G102" s="72">
        <f t="shared" si="9"/>
        <v>0</v>
      </c>
    </row>
    <row r="103" spans="1:7" x14ac:dyDescent="0.25">
      <c r="A103" s="2">
        <v>45253</v>
      </c>
      <c r="B103" s="20">
        <v>2748</v>
      </c>
      <c r="C103" s="14">
        <f t="shared" si="5"/>
        <v>-1.5884810540023102E-2</v>
      </c>
      <c r="D103" s="68">
        <f t="shared" si="6"/>
        <v>1.447842407367878E-2</v>
      </c>
      <c r="E103" s="68">
        <f t="shared" si="7"/>
        <v>4.0965976208790784E-5</v>
      </c>
      <c r="F103" s="68">
        <f t="shared" si="8"/>
        <v>-3.3640885087055566E-2</v>
      </c>
      <c r="G103" s="72">
        <f t="shared" si="9"/>
        <v>0</v>
      </c>
    </row>
    <row r="104" spans="1:7" x14ac:dyDescent="0.25">
      <c r="A104" s="2">
        <v>45252</v>
      </c>
      <c r="B104" s="20">
        <v>2792</v>
      </c>
      <c r="C104" s="14">
        <f t="shared" si="5"/>
        <v>4.30725719758027E-3</v>
      </c>
      <c r="D104" s="68">
        <f t="shared" si="6"/>
        <v>1.4485884408933603E-2</v>
      </c>
      <c r="E104" s="68">
        <f t="shared" si="7"/>
        <v>3.4532588578814417E-5</v>
      </c>
      <c r="F104" s="68">
        <f t="shared" si="8"/>
        <v>-3.3664673809745235E-2</v>
      </c>
      <c r="G104" s="72">
        <f t="shared" si="9"/>
        <v>0</v>
      </c>
    </row>
    <row r="105" spans="1:7" x14ac:dyDescent="0.25">
      <c r="A105" s="2">
        <v>45251</v>
      </c>
      <c r="B105" s="20">
        <v>2780</v>
      </c>
      <c r="C105" s="14">
        <f t="shared" si="5"/>
        <v>-1.0733555643108664E-2</v>
      </c>
      <c r="D105" s="68">
        <f t="shared" si="6"/>
        <v>1.4483983209028476E-2</v>
      </c>
      <c r="E105" s="68">
        <f t="shared" si="7"/>
        <v>2.5983490861784204E-5</v>
      </c>
      <c r="F105" s="68">
        <f t="shared" si="8"/>
        <v>-3.366880005510485E-2</v>
      </c>
      <c r="G105" s="72">
        <f t="shared" si="9"/>
        <v>0</v>
      </c>
    </row>
    <row r="106" spans="1:7" x14ac:dyDescent="0.25">
      <c r="A106" s="2">
        <v>45250</v>
      </c>
      <c r="B106" s="20">
        <v>2810</v>
      </c>
      <c r="C106" s="14">
        <f t="shared" si="5"/>
        <v>-7.1149060276404924E-4</v>
      </c>
      <c r="D106" s="68">
        <f t="shared" si="6"/>
        <v>1.4476545889617099E-2</v>
      </c>
      <c r="E106" s="68">
        <f t="shared" si="7"/>
        <v>1.0090625178270483E-4</v>
      </c>
      <c r="F106" s="68">
        <f t="shared" si="8"/>
        <v>-3.357657550198271E-2</v>
      </c>
      <c r="G106" s="72">
        <f t="shared" si="9"/>
        <v>0</v>
      </c>
    </row>
    <row r="107" spans="1:7" x14ac:dyDescent="0.25">
      <c r="A107" s="2">
        <v>45247</v>
      </c>
      <c r="B107" s="20">
        <v>2812</v>
      </c>
      <c r="C107" s="14">
        <f t="shared" si="5"/>
        <v>-1.7624707185840704E-2</v>
      </c>
      <c r="D107" s="68">
        <f t="shared" si="6"/>
        <v>1.4493141616041696E-2</v>
      </c>
      <c r="E107" s="68">
        <f t="shared" si="7"/>
        <v>6.019461499668767E-5</v>
      </c>
      <c r="F107" s="68">
        <f t="shared" si="8"/>
        <v>-3.365589457165475E-2</v>
      </c>
      <c r="G107" s="72">
        <f t="shared" si="9"/>
        <v>0</v>
      </c>
    </row>
    <row r="108" spans="1:7" x14ac:dyDescent="0.25">
      <c r="A108" s="2">
        <v>45246</v>
      </c>
      <c r="B108" s="20">
        <v>2862</v>
      </c>
      <c r="C108" s="14">
        <f t="shared" si="5"/>
        <v>-4.8797587245410579E-3</v>
      </c>
      <c r="D108" s="68">
        <f t="shared" si="6"/>
        <v>1.4544309628775421E-2</v>
      </c>
      <c r="E108" s="68">
        <f t="shared" si="7"/>
        <v>2.3603969339478276E-4</v>
      </c>
      <c r="F108" s="68">
        <f t="shared" si="8"/>
        <v>-3.3599084090898651E-2</v>
      </c>
      <c r="G108" s="72">
        <f t="shared" si="9"/>
        <v>0</v>
      </c>
    </row>
    <row r="109" spans="1:7" x14ac:dyDescent="0.25">
      <c r="A109" s="2">
        <v>45245</v>
      </c>
      <c r="B109" s="20">
        <v>2876</v>
      </c>
      <c r="C109" s="14">
        <f t="shared" si="5"/>
        <v>1.2596387685685566E-2</v>
      </c>
      <c r="D109" s="68">
        <f t="shared" si="6"/>
        <v>1.4546380093325886E-2</v>
      </c>
      <c r="E109" s="68">
        <f t="shared" si="7"/>
        <v>2.8233458134414223E-4</v>
      </c>
      <c r="F109" s="68">
        <f t="shared" si="8"/>
        <v>-3.3557605823754541E-2</v>
      </c>
      <c r="G109" s="72">
        <f t="shared" si="9"/>
        <v>0</v>
      </c>
    </row>
    <row r="110" spans="1:7" x14ac:dyDescent="0.25">
      <c r="A110" s="2">
        <v>45244</v>
      </c>
      <c r="B110" s="20">
        <v>2840</v>
      </c>
      <c r="C110" s="14">
        <f t="shared" si="5"/>
        <v>2.114910904626034E-3</v>
      </c>
      <c r="D110" s="68">
        <f t="shared" si="6"/>
        <v>1.4539863382259564E-2</v>
      </c>
      <c r="E110" s="68">
        <f t="shared" si="7"/>
        <v>2.7395991939799659E-4</v>
      </c>
      <c r="F110" s="68">
        <f t="shared" si="8"/>
        <v>-3.355082034876581E-2</v>
      </c>
      <c r="G110" s="72">
        <f t="shared" si="9"/>
        <v>0</v>
      </c>
    </row>
    <row r="111" spans="1:7" x14ac:dyDescent="0.25">
      <c r="A111" s="2">
        <v>45243</v>
      </c>
      <c r="B111" s="20">
        <v>2834</v>
      </c>
      <c r="C111" s="14">
        <f t="shared" si="5"/>
        <v>-3.522370672505781E-3</v>
      </c>
      <c r="D111" s="68">
        <f t="shared" si="6"/>
        <v>1.458017814856977E-2</v>
      </c>
      <c r="E111" s="68">
        <f t="shared" si="7"/>
        <v>3.3549065026334309E-4</v>
      </c>
      <c r="F111" s="68">
        <f t="shared" si="8"/>
        <v>-3.3583075788798662E-2</v>
      </c>
      <c r="G111" s="72">
        <f t="shared" si="9"/>
        <v>0</v>
      </c>
    </row>
    <row r="112" spans="1:7" x14ac:dyDescent="0.25">
      <c r="A112" s="2">
        <v>45240</v>
      </c>
      <c r="B112" s="20">
        <v>2844</v>
      </c>
      <c r="C112" s="14">
        <f t="shared" si="5"/>
        <v>-4.2105325363434943E-3</v>
      </c>
      <c r="D112" s="68">
        <f t="shared" si="6"/>
        <v>1.4581474626197624E-2</v>
      </c>
      <c r="E112" s="68">
        <f t="shared" si="7"/>
        <v>3.31203377813147E-4</v>
      </c>
      <c r="F112" s="68">
        <f t="shared" si="8"/>
        <v>-3.3590379119222163E-2</v>
      </c>
      <c r="G112" s="72">
        <f t="shared" si="9"/>
        <v>0</v>
      </c>
    </row>
    <row r="113" spans="1:7" x14ac:dyDescent="0.25">
      <c r="A113" s="2">
        <v>45239</v>
      </c>
      <c r="B113" s="20">
        <v>2856</v>
      </c>
      <c r="C113" s="14">
        <f t="shared" si="5"/>
        <v>-6.2827431794951804E-3</v>
      </c>
      <c r="D113" s="68">
        <f t="shared" si="6"/>
        <v>1.4592977054552593E-2</v>
      </c>
      <c r="E113" s="68">
        <f t="shared" si="7"/>
        <v>3.0851648995159432E-4</v>
      </c>
      <c r="F113" s="68">
        <f t="shared" si="8"/>
        <v>-3.36398246568336E-2</v>
      </c>
      <c r="G113" s="72">
        <f t="shared" si="9"/>
        <v>0</v>
      </c>
    </row>
    <row r="114" spans="1:7" x14ac:dyDescent="0.25">
      <c r="A114" s="2">
        <v>45238</v>
      </c>
      <c r="B114" s="20">
        <v>2874</v>
      </c>
      <c r="C114" s="14">
        <f t="shared" si="5"/>
        <v>-1.7247754230698849E-2</v>
      </c>
      <c r="D114" s="68">
        <f t="shared" si="6"/>
        <v>1.4595791130395048E-2</v>
      </c>
      <c r="E114" s="68">
        <f t="shared" si="7"/>
        <v>3.6706960926130241E-4</v>
      </c>
      <c r="F114" s="68">
        <f t="shared" si="8"/>
        <v>-3.3587818056877376E-2</v>
      </c>
      <c r="G114" s="72">
        <f t="shared" si="9"/>
        <v>0</v>
      </c>
    </row>
    <row r="115" spans="1:7" x14ac:dyDescent="0.25">
      <c r="A115" s="2">
        <v>45237</v>
      </c>
      <c r="B115" s="20">
        <v>2924</v>
      </c>
      <c r="C115" s="14">
        <f t="shared" si="5"/>
        <v>3.4258341145190102E-3</v>
      </c>
      <c r="D115" s="68">
        <f t="shared" si="6"/>
        <v>1.4553067188254106E-2</v>
      </c>
      <c r="E115" s="68">
        <f t="shared" si="7"/>
        <v>4.3301068322275989E-4</v>
      </c>
      <c r="F115" s="68">
        <f t="shared" si="8"/>
        <v>-3.3422486230945694E-2</v>
      </c>
      <c r="G115" s="72">
        <f t="shared" si="9"/>
        <v>0</v>
      </c>
    </row>
    <row r="116" spans="1:7" x14ac:dyDescent="0.25">
      <c r="A116" s="2">
        <v>45236</v>
      </c>
      <c r="B116" s="20">
        <v>2914</v>
      </c>
      <c r="C116" s="14">
        <f t="shared" si="5"/>
        <v>4.8159707805846899E-3</v>
      </c>
      <c r="D116" s="68">
        <f t="shared" si="6"/>
        <v>1.4568553468466378E-2</v>
      </c>
      <c r="E116" s="68">
        <f t="shared" si="7"/>
        <v>3.7685054179759022E-4</v>
      </c>
      <c r="F116" s="68">
        <f t="shared" si="8"/>
        <v>-3.3514672847419484E-2</v>
      </c>
      <c r="G116" s="72">
        <f t="shared" si="9"/>
        <v>0</v>
      </c>
    </row>
    <row r="117" spans="1:7" x14ac:dyDescent="0.25">
      <c r="A117" s="2">
        <v>45233</v>
      </c>
      <c r="B117" s="20">
        <v>2900</v>
      </c>
      <c r="C117" s="14">
        <f t="shared" si="5"/>
        <v>2.7624326959100796E-3</v>
      </c>
      <c r="D117" s="68">
        <f t="shared" si="6"/>
        <v>1.4576291721509099E-2</v>
      </c>
      <c r="E117" s="68">
        <f t="shared" si="7"/>
        <v>3.939505454802602E-4</v>
      </c>
      <c r="F117" s="68">
        <f t="shared" si="8"/>
        <v>-3.3515574712251535E-2</v>
      </c>
      <c r="G117" s="72">
        <f t="shared" si="9"/>
        <v>0</v>
      </c>
    </row>
    <row r="118" spans="1:7" x14ac:dyDescent="0.25">
      <c r="A118" s="2">
        <v>45232</v>
      </c>
      <c r="B118" s="20">
        <v>2892</v>
      </c>
      <c r="C118" s="14">
        <f t="shared" si="5"/>
        <v>5.547864437717963E-3</v>
      </c>
      <c r="D118" s="68">
        <f t="shared" si="6"/>
        <v>1.4652402565304517E-2</v>
      </c>
      <c r="E118" s="68">
        <f t="shared" si="7"/>
        <v>2.8962844273108508E-4</v>
      </c>
      <c r="F118" s="68">
        <f t="shared" si="8"/>
        <v>-3.3796957114655635E-2</v>
      </c>
      <c r="G118" s="72">
        <f t="shared" si="9"/>
        <v>0</v>
      </c>
    </row>
    <row r="119" spans="1:7" x14ac:dyDescent="0.25">
      <c r="A119" s="2">
        <v>45230</v>
      </c>
      <c r="B119" s="20">
        <v>2876</v>
      </c>
      <c r="C119" s="14">
        <f t="shared" si="5"/>
        <v>-6.9300346646696317E-3</v>
      </c>
      <c r="D119" s="68">
        <f t="shared" si="6"/>
        <v>1.4707373431714936E-2</v>
      </c>
      <c r="E119" s="68">
        <f t="shared" si="7"/>
        <v>3.5158734615084642E-4</v>
      </c>
      <c r="F119" s="68">
        <f t="shared" si="8"/>
        <v>-3.3862879569443942E-2</v>
      </c>
      <c r="G119" s="72">
        <f t="shared" si="9"/>
        <v>0</v>
      </c>
    </row>
    <row r="120" spans="1:7" x14ac:dyDescent="0.25">
      <c r="A120" s="2">
        <v>45229</v>
      </c>
      <c r="B120" s="20">
        <v>2896</v>
      </c>
      <c r="C120" s="14">
        <f t="shared" si="5"/>
        <v>7.6256868666368348E-3</v>
      </c>
      <c r="D120" s="68">
        <f t="shared" si="6"/>
        <v>1.4752056630096639E-2</v>
      </c>
      <c r="E120" s="68">
        <f t="shared" si="7"/>
        <v>4.5906472839607991E-4</v>
      </c>
      <c r="F120" s="68">
        <f t="shared" si="8"/>
        <v>-3.3859350850759327E-2</v>
      </c>
      <c r="G120" s="72">
        <f t="shared" si="9"/>
        <v>0</v>
      </c>
    </row>
    <row r="121" spans="1:7" x14ac:dyDescent="0.25">
      <c r="A121" s="2">
        <v>45226</v>
      </c>
      <c r="B121" s="20">
        <v>2874</v>
      </c>
      <c r="C121" s="14">
        <f t="shared" si="5"/>
        <v>-2.7797099204972067E-3</v>
      </c>
      <c r="D121" s="68">
        <f t="shared" si="6"/>
        <v>1.4942307950482119E-2</v>
      </c>
      <c r="E121" s="68">
        <f t="shared" si="7"/>
        <v>5.8333849434240564E-4</v>
      </c>
      <c r="F121" s="68">
        <f t="shared" si="8"/>
        <v>-3.4177667839525229E-2</v>
      </c>
      <c r="G121" s="72">
        <f t="shared" si="9"/>
        <v>0</v>
      </c>
    </row>
    <row r="122" spans="1:7" x14ac:dyDescent="0.25">
      <c r="A122" s="2">
        <v>45225</v>
      </c>
      <c r="B122" s="20">
        <v>2882</v>
      </c>
      <c r="C122" s="14">
        <f t="shared" si="5"/>
        <v>4.1724678058007031E-3</v>
      </c>
      <c r="D122" s="68">
        <f t="shared" si="6"/>
        <v>1.494082953843988E-2</v>
      </c>
      <c r="E122" s="68">
        <f t="shared" si="7"/>
        <v>5.9445733402439457E-4</v>
      </c>
      <c r="F122" s="68">
        <f t="shared" si="8"/>
        <v>-3.4163109699131819E-2</v>
      </c>
      <c r="G122" s="72">
        <f t="shared" si="9"/>
        <v>0</v>
      </c>
    </row>
    <row r="123" spans="1:7" x14ac:dyDescent="0.25">
      <c r="A123" s="2">
        <v>45224</v>
      </c>
      <c r="B123" s="20">
        <v>2870</v>
      </c>
      <c r="C123" s="14">
        <f t="shared" si="5"/>
        <v>6.9710703415573443E-4</v>
      </c>
      <c r="D123" s="68">
        <f t="shared" si="6"/>
        <v>1.4939244379231264E-2</v>
      </c>
      <c r="E123" s="68">
        <f t="shared" si="7"/>
        <v>5.8421387837855824E-4</v>
      </c>
      <c r="F123" s="68">
        <f t="shared" si="8"/>
        <v>-3.4169665523022676E-2</v>
      </c>
      <c r="G123" s="72">
        <f t="shared" si="9"/>
        <v>0</v>
      </c>
    </row>
    <row r="124" spans="1:7" x14ac:dyDescent="0.25">
      <c r="A124" s="2">
        <v>45223</v>
      </c>
      <c r="B124" s="20">
        <v>2868</v>
      </c>
      <c r="C124" s="14">
        <f t="shared" si="5"/>
        <v>-1.1095814255054463E-2</v>
      </c>
      <c r="D124" s="68">
        <f t="shared" si="6"/>
        <v>1.494388439890915E-2</v>
      </c>
      <c r="E124" s="68">
        <f t="shared" si="7"/>
        <v>6.0731550826440526E-4</v>
      </c>
      <c r="F124" s="68">
        <f t="shared" si="8"/>
        <v>-3.4157358193049984E-2</v>
      </c>
      <c r="G124" s="72">
        <f t="shared" si="9"/>
        <v>0</v>
      </c>
    </row>
    <row r="125" spans="1:7" x14ac:dyDescent="0.25">
      <c r="A125" s="2">
        <v>45219</v>
      </c>
      <c r="B125" s="20">
        <v>2900</v>
      </c>
      <c r="C125" s="14">
        <f t="shared" si="5"/>
        <v>2.7624326959100796E-3</v>
      </c>
      <c r="D125" s="68">
        <f t="shared" si="6"/>
        <v>1.4926671519781675E-2</v>
      </c>
      <c r="E125" s="68">
        <f t="shared" si="7"/>
        <v>6.4197034541017383E-4</v>
      </c>
      <c r="F125" s="68">
        <f t="shared" si="8"/>
        <v>-3.4082660211139891E-2</v>
      </c>
      <c r="G125" s="72">
        <f t="shared" si="9"/>
        <v>0</v>
      </c>
    </row>
    <row r="126" spans="1:7" x14ac:dyDescent="0.25">
      <c r="A126" s="2">
        <v>45218</v>
      </c>
      <c r="B126" s="20">
        <v>2892</v>
      </c>
      <c r="C126" s="14">
        <f t="shared" si="5"/>
        <v>-2.0725396019724233E-3</v>
      </c>
      <c r="D126" s="68">
        <f t="shared" si="6"/>
        <v>1.4933592762930156E-2</v>
      </c>
      <c r="E126" s="68">
        <f t="shared" si="7"/>
        <v>6.6344111895953446E-4</v>
      </c>
      <c r="F126" s="68">
        <f t="shared" si="8"/>
        <v>-3.4077290656874717E-2</v>
      </c>
      <c r="G126" s="72">
        <f t="shared" si="9"/>
        <v>0</v>
      </c>
    </row>
    <row r="127" spans="1:7" x14ac:dyDescent="0.25">
      <c r="A127" s="2">
        <v>45217</v>
      </c>
      <c r="B127" s="20">
        <v>2898</v>
      </c>
      <c r="C127" s="14">
        <f t="shared" si="5"/>
        <v>-1.0981579130485308E-2</v>
      </c>
      <c r="D127" s="68">
        <f t="shared" si="6"/>
        <v>1.4932705463903613E-2</v>
      </c>
      <c r="E127" s="68">
        <f t="shared" si="7"/>
        <v>6.7826722653404432E-4</v>
      </c>
      <c r="F127" s="68">
        <f t="shared" si="8"/>
        <v>-3.406040038309617E-2</v>
      </c>
      <c r="G127" s="72">
        <f t="shared" si="9"/>
        <v>0</v>
      </c>
    </row>
    <row r="128" spans="1:7" x14ac:dyDescent="0.25">
      <c r="A128" s="2">
        <v>45216</v>
      </c>
      <c r="B128" s="20">
        <v>2930</v>
      </c>
      <c r="C128" s="14">
        <f t="shared" si="5"/>
        <v>3.04943933540671E-2</v>
      </c>
      <c r="D128" s="68">
        <f t="shared" si="6"/>
        <v>1.491521157443498E-2</v>
      </c>
      <c r="E128" s="68">
        <f t="shared" si="7"/>
        <v>7.3529756787958818E-4</v>
      </c>
      <c r="F128" s="68">
        <f t="shared" si="8"/>
        <v>-3.3962673169176567E-2</v>
      </c>
      <c r="G128" s="72">
        <f t="shared" si="9"/>
        <v>0</v>
      </c>
    </row>
    <row r="129" spans="1:7" x14ac:dyDescent="0.25">
      <c r="A129" s="2">
        <v>45215</v>
      </c>
      <c r="B129" s="20">
        <v>2842</v>
      </c>
      <c r="C129" s="14">
        <f t="shared" si="5"/>
        <v>1.4888612493750559E-2</v>
      </c>
      <c r="D129" s="68">
        <f t="shared" si="6"/>
        <v>1.4795162172062852E-2</v>
      </c>
      <c r="E129" s="68">
        <f t="shared" si="7"/>
        <v>6.1988814043829714E-4</v>
      </c>
      <c r="F129" s="68">
        <f t="shared" si="8"/>
        <v>-3.3798805924629582E-2</v>
      </c>
      <c r="G129" s="72">
        <f t="shared" si="9"/>
        <v>0</v>
      </c>
    </row>
    <row r="130" spans="1:7" x14ac:dyDescent="0.25">
      <c r="A130" s="2">
        <v>45212</v>
      </c>
      <c r="B130" s="20">
        <v>2800</v>
      </c>
      <c r="C130" s="14">
        <f t="shared" si="5"/>
        <v>1.221718393859185E-2</v>
      </c>
      <c r="D130" s="68">
        <f t="shared" si="6"/>
        <v>1.4795584647734802E-2</v>
      </c>
      <c r="E130" s="68">
        <f t="shared" si="7"/>
        <v>5.0484524455207105E-4</v>
      </c>
      <c r="F130" s="68">
        <f t="shared" si="8"/>
        <v>-3.3914831645897092E-2</v>
      </c>
      <c r="G130" s="72">
        <f t="shared" si="9"/>
        <v>0</v>
      </c>
    </row>
    <row r="131" spans="1:7" x14ac:dyDescent="0.25">
      <c r="A131" s="2">
        <v>45211</v>
      </c>
      <c r="B131" s="20">
        <v>2766</v>
      </c>
      <c r="C131" s="14">
        <f t="shared" si="5"/>
        <v>-5.0486944599792225E-3</v>
      </c>
      <c r="D131" s="68">
        <f t="shared" si="6"/>
        <v>1.4778636582752216E-2</v>
      </c>
      <c r="E131" s="68">
        <f t="shared" si="7"/>
        <v>4.7221688839489662E-4</v>
      </c>
      <c r="F131" s="68">
        <f t="shared" si="8"/>
        <v>-3.3908032907112917E-2</v>
      </c>
      <c r="G131" s="72">
        <f t="shared" si="9"/>
        <v>0</v>
      </c>
    </row>
    <row r="132" spans="1:7" x14ac:dyDescent="0.25">
      <c r="A132" s="2">
        <v>45210</v>
      </c>
      <c r="B132" s="20">
        <v>2780</v>
      </c>
      <c r="C132" s="14">
        <f t="shared" si="5"/>
        <v>-7.168489478612516E-3</v>
      </c>
      <c r="D132" s="68">
        <f t="shared" si="6"/>
        <v>1.4775513197629084E-2</v>
      </c>
      <c r="E132" s="68">
        <f t="shared" si="7"/>
        <v>5.054516125836435E-4</v>
      </c>
      <c r="F132" s="68">
        <f t="shared" si="8"/>
        <v>-3.3867532102583163E-2</v>
      </c>
      <c r="G132" s="72">
        <f t="shared" si="9"/>
        <v>0</v>
      </c>
    </row>
    <row r="133" spans="1:7" x14ac:dyDescent="0.25">
      <c r="A133" s="2">
        <v>45209</v>
      </c>
      <c r="B133" s="20">
        <v>2800</v>
      </c>
      <c r="C133" s="14">
        <f t="shared" ref="C133:C196" si="10">+LN(B133/B134)</f>
        <v>9.3290952885183385E-3</v>
      </c>
      <c r="D133" s="68">
        <f t="shared" ref="D133:D196" si="11">STDEV(C133:C382)</f>
        <v>1.4817577116263249E-2</v>
      </c>
      <c r="E133" s="68">
        <f t="shared" ref="E133:E196" si="12">AVERAGE(C133:C382)</f>
        <v>6.1327077409346962E-4</v>
      </c>
      <c r="F133" s="68">
        <f t="shared" ref="F133:F196" si="13">E133+$L$8*D133</f>
        <v>-3.3857568248761752E-2</v>
      </c>
      <c r="G133" s="72">
        <f t="shared" si="9"/>
        <v>0</v>
      </c>
    </row>
    <row r="134" spans="1:7" x14ac:dyDescent="0.25">
      <c r="A134" s="2">
        <v>45208</v>
      </c>
      <c r="B134" s="20">
        <v>2774</v>
      </c>
      <c r="C134" s="14">
        <f t="shared" si="10"/>
        <v>1.087361202900098E-2</v>
      </c>
      <c r="D134" s="68">
        <f t="shared" si="11"/>
        <v>1.4839462900751624E-2</v>
      </c>
      <c r="E134" s="68">
        <f t="shared" si="12"/>
        <v>5.1644916333424401E-4</v>
      </c>
      <c r="F134" s="68">
        <f t="shared" si="13"/>
        <v>-3.4005303807737225E-2</v>
      </c>
      <c r="G134" s="72">
        <f t="shared" ref="G134:G197" si="14">IF(C133&lt;F134,1,0)</f>
        <v>0</v>
      </c>
    </row>
    <row r="135" spans="1:7" x14ac:dyDescent="0.25">
      <c r="A135" s="2">
        <v>45205</v>
      </c>
      <c r="B135" s="20">
        <v>2744</v>
      </c>
      <c r="C135" s="14">
        <f t="shared" si="10"/>
        <v>-1.6624885969635423E-2</v>
      </c>
      <c r="D135" s="68">
        <f t="shared" si="11"/>
        <v>1.4831521467792555E-2</v>
      </c>
      <c r="E135" s="68">
        <f t="shared" si="12"/>
        <v>4.467894542996804E-4</v>
      </c>
      <c r="F135" s="68">
        <f t="shared" si="13"/>
        <v>-3.4056488981090621E-2</v>
      </c>
      <c r="G135" s="72">
        <f t="shared" si="14"/>
        <v>0</v>
      </c>
    </row>
    <row r="136" spans="1:7" x14ac:dyDescent="0.25">
      <c r="A136" s="2">
        <v>45204</v>
      </c>
      <c r="B136" s="20">
        <v>2790</v>
      </c>
      <c r="C136" s="14">
        <f t="shared" si="10"/>
        <v>9.3626899278508625E-3</v>
      </c>
      <c r="D136" s="68">
        <f t="shared" si="11"/>
        <v>1.4798502346719911E-2</v>
      </c>
      <c r="E136" s="68">
        <f t="shared" si="12"/>
        <v>4.8729378077355754E-4</v>
      </c>
      <c r="F136" s="68">
        <f t="shared" si="13"/>
        <v>-3.3939170692506702E-2</v>
      </c>
      <c r="G136" s="72">
        <f t="shared" si="14"/>
        <v>0</v>
      </c>
    </row>
    <row r="137" spans="1:7" x14ac:dyDescent="0.25">
      <c r="A137" s="2">
        <v>45203</v>
      </c>
      <c r="B137" s="20">
        <v>2764</v>
      </c>
      <c r="C137" s="14">
        <f t="shared" si="10"/>
        <v>-7.2332733714302797E-4</v>
      </c>
      <c r="D137" s="68">
        <f t="shared" si="11"/>
        <v>1.5004090448915033E-2</v>
      </c>
      <c r="E137" s="68">
        <f t="shared" si="12"/>
        <v>2.910920279931839E-4</v>
      </c>
      <c r="F137" s="68">
        <f t="shared" si="13"/>
        <v>-3.461364188975679E-2</v>
      </c>
      <c r="G137" s="72">
        <f t="shared" si="14"/>
        <v>0</v>
      </c>
    </row>
    <row r="138" spans="1:7" x14ac:dyDescent="0.25">
      <c r="A138" s="2">
        <v>45202</v>
      </c>
      <c r="B138" s="20">
        <v>2766</v>
      </c>
      <c r="C138" s="14">
        <f t="shared" si="10"/>
        <v>7.2332733714302591E-4</v>
      </c>
      <c r="D138" s="68">
        <f t="shared" si="11"/>
        <v>1.5107544773953678E-2</v>
      </c>
      <c r="E138" s="68">
        <f t="shared" si="12"/>
        <v>1.8346410856973544E-4</v>
      </c>
      <c r="F138" s="68">
        <f t="shared" si="13"/>
        <v>-3.4961940558294213E-2</v>
      </c>
      <c r="G138" s="72">
        <f t="shared" si="14"/>
        <v>0</v>
      </c>
    </row>
    <row r="139" spans="1:7" x14ac:dyDescent="0.25">
      <c r="A139" s="2">
        <v>45201</v>
      </c>
      <c r="B139" s="20">
        <v>2764</v>
      </c>
      <c r="C139" s="14">
        <f t="shared" si="10"/>
        <v>-1.0795354929346572E-2</v>
      </c>
      <c r="D139" s="68">
        <f t="shared" si="11"/>
        <v>1.5108300320463874E-2</v>
      </c>
      <c r="E139" s="68">
        <f t="shared" si="12"/>
        <v>1.7149707132265069E-4</v>
      </c>
      <c r="F139" s="68">
        <f t="shared" si="13"/>
        <v>-3.4975665259559037E-2</v>
      </c>
      <c r="G139" s="72">
        <f t="shared" si="14"/>
        <v>0</v>
      </c>
    </row>
    <row r="140" spans="1:7" x14ac:dyDescent="0.25">
      <c r="A140" s="2">
        <v>45198</v>
      </c>
      <c r="B140" s="20">
        <v>2794</v>
      </c>
      <c r="C140" s="14">
        <f t="shared" si="10"/>
        <v>5.0233331322244775E-3</v>
      </c>
      <c r="D140" s="68">
        <f t="shared" si="11"/>
        <v>1.5102710110003848E-2</v>
      </c>
      <c r="E140" s="68">
        <f t="shared" si="12"/>
        <v>2.5109755901171326E-4</v>
      </c>
      <c r="F140" s="68">
        <f t="shared" si="13"/>
        <v>-3.4883059997650852E-2</v>
      </c>
      <c r="G140" s="72">
        <f t="shared" si="14"/>
        <v>0</v>
      </c>
    </row>
    <row r="141" spans="1:7" x14ac:dyDescent="0.25">
      <c r="A141" s="2">
        <v>45197</v>
      </c>
      <c r="B141" s="20">
        <v>2780</v>
      </c>
      <c r="C141" s="14">
        <f t="shared" si="10"/>
        <v>-5.0233331322243873E-3</v>
      </c>
      <c r="D141" s="68">
        <f t="shared" si="11"/>
        <v>1.5598457445092322E-2</v>
      </c>
      <c r="E141" s="68">
        <f t="shared" si="12"/>
        <v>4.7941409184157536E-4</v>
      </c>
      <c r="F141" s="68">
        <f t="shared" si="13"/>
        <v>-3.5808024223865476E-2</v>
      </c>
      <c r="G141" s="72">
        <f t="shared" si="14"/>
        <v>0</v>
      </c>
    </row>
    <row r="142" spans="1:7" x14ac:dyDescent="0.25">
      <c r="A142" s="2">
        <v>45196</v>
      </c>
      <c r="B142" s="20">
        <v>2794</v>
      </c>
      <c r="C142" s="14">
        <f t="shared" si="10"/>
        <v>1.2243581105711408E-2</v>
      </c>
      <c r="D142" s="68">
        <f t="shared" si="11"/>
        <v>1.5669041431549739E-2</v>
      </c>
      <c r="E142" s="68">
        <f t="shared" si="12"/>
        <v>5.9803457312913454E-4</v>
      </c>
      <c r="F142" s="68">
        <f t="shared" si="13"/>
        <v>-3.5853606649414456E-2</v>
      </c>
      <c r="G142" s="72">
        <f t="shared" si="14"/>
        <v>0</v>
      </c>
    </row>
    <row r="143" spans="1:7" x14ac:dyDescent="0.25">
      <c r="A143" s="2">
        <v>45195</v>
      </c>
      <c r="B143" s="20">
        <v>2760</v>
      </c>
      <c r="C143" s="14">
        <f t="shared" si="10"/>
        <v>-5.0596421635812688E-3</v>
      </c>
      <c r="D143" s="68">
        <f t="shared" si="11"/>
        <v>1.5792342211133625E-2</v>
      </c>
      <c r="E143" s="68">
        <f t="shared" si="12"/>
        <v>6.8432250253034645E-4</v>
      </c>
      <c r="F143" s="68">
        <f t="shared" si="13"/>
        <v>-3.6054159226465793E-2</v>
      </c>
      <c r="G143" s="72">
        <f t="shared" si="14"/>
        <v>0</v>
      </c>
    </row>
    <row r="144" spans="1:7" x14ac:dyDescent="0.25">
      <c r="A144" s="2">
        <v>45194</v>
      </c>
      <c r="B144" s="20">
        <v>2774</v>
      </c>
      <c r="C144" s="14">
        <f t="shared" si="10"/>
        <v>-4.3165534649740982E-3</v>
      </c>
      <c r="D144" s="68">
        <f t="shared" si="11"/>
        <v>1.5828026996573409E-2</v>
      </c>
      <c r="E144" s="68">
        <f t="shared" si="12"/>
        <v>6.3635822534578246E-4</v>
      </c>
      <c r="F144" s="68">
        <f t="shared" si="13"/>
        <v>-3.6185138728393802E-2</v>
      </c>
      <c r="G144" s="72">
        <f t="shared" si="14"/>
        <v>0</v>
      </c>
    </row>
    <row r="145" spans="1:7" x14ac:dyDescent="0.25">
      <c r="A145" s="2">
        <v>45191</v>
      </c>
      <c r="B145" s="20">
        <v>2786</v>
      </c>
      <c r="C145" s="14">
        <f t="shared" si="10"/>
        <v>-1.4347204756602941E-3</v>
      </c>
      <c r="D145" s="68">
        <f t="shared" si="11"/>
        <v>1.5883588065778723E-2</v>
      </c>
      <c r="E145" s="68">
        <f t="shared" si="12"/>
        <v>5.6997438114018517E-4</v>
      </c>
      <c r="F145" s="68">
        <f t="shared" si="13"/>
        <v>-3.6380776947824621E-2</v>
      </c>
      <c r="G145" s="72">
        <f t="shared" si="14"/>
        <v>0</v>
      </c>
    </row>
    <row r="146" spans="1:7" x14ac:dyDescent="0.25">
      <c r="A146" s="2">
        <v>45190</v>
      </c>
      <c r="B146" s="20">
        <v>2790</v>
      </c>
      <c r="C146" s="14">
        <f t="shared" si="10"/>
        <v>-8.5653628589230455E-3</v>
      </c>
      <c r="D146" s="68">
        <f t="shared" si="11"/>
        <v>1.5886931885341092E-2</v>
      </c>
      <c r="E146" s="68">
        <f t="shared" si="12"/>
        <v>5.5589489054409282E-4</v>
      </c>
      <c r="F146" s="68">
        <f t="shared" si="13"/>
        <v>-3.6402635325950804E-2</v>
      </c>
      <c r="G146" s="72">
        <f t="shared" si="14"/>
        <v>0</v>
      </c>
    </row>
    <row r="147" spans="1:7" x14ac:dyDescent="0.25">
      <c r="A147" s="2">
        <v>45189</v>
      </c>
      <c r="B147" s="20">
        <v>2814</v>
      </c>
      <c r="C147" s="14">
        <f t="shared" si="10"/>
        <v>1.937627896313868E-2</v>
      </c>
      <c r="D147" s="68">
        <f t="shared" si="11"/>
        <v>1.5882277866535149E-2</v>
      </c>
      <c r="E147" s="68">
        <f t="shared" si="12"/>
        <v>6.1992084475853779E-4</v>
      </c>
      <c r="F147" s="68">
        <f t="shared" si="13"/>
        <v>-3.6327782504981407E-2</v>
      </c>
      <c r="G147" s="72">
        <f t="shared" si="14"/>
        <v>0</v>
      </c>
    </row>
    <row r="148" spans="1:7" x14ac:dyDescent="0.25">
      <c r="A148" s="2">
        <v>45188</v>
      </c>
      <c r="B148" s="20">
        <v>2760</v>
      </c>
      <c r="C148" s="14">
        <f t="shared" si="10"/>
        <v>5.0853723832794311E-3</v>
      </c>
      <c r="D148" s="68">
        <f t="shared" si="11"/>
        <v>1.5933201831430203E-2</v>
      </c>
      <c r="E148" s="68">
        <f t="shared" si="12"/>
        <v>4.3434529962683836E-4</v>
      </c>
      <c r="F148" s="68">
        <f t="shared" si="13"/>
        <v>-3.6631824907584445E-2</v>
      </c>
      <c r="G148" s="72">
        <f t="shared" si="14"/>
        <v>0</v>
      </c>
    </row>
    <row r="149" spans="1:7" x14ac:dyDescent="0.25">
      <c r="A149" s="2">
        <v>45187</v>
      </c>
      <c r="B149" s="20">
        <v>2746</v>
      </c>
      <c r="C149" s="14">
        <f t="shared" si="10"/>
        <v>-5.8097476413211018E-3</v>
      </c>
      <c r="D149" s="68">
        <f t="shared" si="11"/>
        <v>1.5943170163674174E-2</v>
      </c>
      <c r="E149" s="68">
        <f t="shared" si="12"/>
        <v>3.7541830188649906E-4</v>
      </c>
      <c r="F149" s="68">
        <f t="shared" si="13"/>
        <v>-3.6713941713848279E-2</v>
      </c>
      <c r="G149" s="72">
        <f t="shared" si="14"/>
        <v>0</v>
      </c>
    </row>
    <row r="150" spans="1:7" x14ac:dyDescent="0.25">
      <c r="A150" s="2">
        <v>45184</v>
      </c>
      <c r="B150" s="20">
        <v>2762</v>
      </c>
      <c r="C150" s="14">
        <f t="shared" si="10"/>
        <v>1.2386315005884699E-2</v>
      </c>
      <c r="D150" s="68">
        <f t="shared" si="11"/>
        <v>1.5938351828163888E-2</v>
      </c>
      <c r="E150" s="68">
        <f t="shared" si="12"/>
        <v>3.986572924517834E-4</v>
      </c>
      <c r="F150" s="68">
        <f t="shared" si="13"/>
        <v>-3.6679493598712226E-2</v>
      </c>
      <c r="G150" s="72">
        <f t="shared" si="14"/>
        <v>0</v>
      </c>
    </row>
    <row r="151" spans="1:7" x14ac:dyDescent="0.25">
      <c r="A151" s="2">
        <v>45183</v>
      </c>
      <c r="B151" s="20">
        <v>2728</v>
      </c>
      <c r="C151" s="14">
        <f t="shared" si="10"/>
        <v>7.3583849311871785E-3</v>
      </c>
      <c r="D151" s="68">
        <f t="shared" si="11"/>
        <v>1.5925853041548931E-2</v>
      </c>
      <c r="E151" s="68">
        <f t="shared" si="12"/>
        <v>3.235936045720883E-4</v>
      </c>
      <c r="F151" s="68">
        <f t="shared" si="13"/>
        <v>-3.6725480760922122E-2</v>
      </c>
      <c r="G151" s="72">
        <f t="shared" si="14"/>
        <v>0</v>
      </c>
    </row>
    <row r="152" spans="1:7" x14ac:dyDescent="0.25">
      <c r="A152" s="2">
        <v>45182</v>
      </c>
      <c r="B152" s="20">
        <v>2708</v>
      </c>
      <c r="C152" s="14">
        <f t="shared" si="10"/>
        <v>1.4781968693109652E-3</v>
      </c>
      <c r="D152" s="68">
        <f t="shared" si="11"/>
        <v>1.5919597911796934E-2</v>
      </c>
      <c r="E152" s="68">
        <f t="shared" si="12"/>
        <v>2.941600648473397E-4</v>
      </c>
      <c r="F152" s="68">
        <f t="shared" si="13"/>
        <v>-3.6740362692846466E-2</v>
      </c>
      <c r="G152" s="72">
        <f t="shared" si="14"/>
        <v>0</v>
      </c>
    </row>
    <row r="153" spans="1:7" x14ac:dyDescent="0.25">
      <c r="A153" s="2">
        <v>45181</v>
      </c>
      <c r="B153" s="20">
        <v>2704</v>
      </c>
      <c r="C153" s="14">
        <f t="shared" si="10"/>
        <v>9.6619109117368901E-3</v>
      </c>
      <c r="D153" s="68">
        <f t="shared" si="11"/>
        <v>1.6056726560143151E-2</v>
      </c>
      <c r="E153" s="68">
        <f t="shared" si="12"/>
        <v>1.5688285261312692E-4</v>
      </c>
      <c r="F153" s="68">
        <f t="shared" si="13"/>
        <v>-3.7196648844630989E-2</v>
      </c>
      <c r="G153" s="72">
        <f t="shared" si="14"/>
        <v>0</v>
      </c>
    </row>
    <row r="154" spans="1:7" x14ac:dyDescent="0.25">
      <c r="A154" s="2">
        <v>45180</v>
      </c>
      <c r="B154" s="20">
        <v>2678</v>
      </c>
      <c r="C154" s="14">
        <f t="shared" si="10"/>
        <v>3.7411192156035496E-3</v>
      </c>
      <c r="D154" s="68">
        <f t="shared" si="11"/>
        <v>1.6154788641125985E-2</v>
      </c>
      <c r="E154" s="68">
        <f t="shared" si="12"/>
        <v>1.8596235662471373E-18</v>
      </c>
      <c r="F154" s="68">
        <f t="shared" si="13"/>
        <v>-3.758165821086256E-2</v>
      </c>
      <c r="G154" s="72">
        <f t="shared" si="14"/>
        <v>0</v>
      </c>
    </row>
    <row r="155" spans="1:7" x14ac:dyDescent="0.25">
      <c r="A155" s="2">
        <v>45177</v>
      </c>
      <c r="B155" s="20">
        <v>2668</v>
      </c>
      <c r="C155" s="14">
        <f t="shared" si="10"/>
        <v>-4.4876664693880167E-3</v>
      </c>
      <c r="D155" s="68">
        <f t="shared" si="11"/>
        <v>1.6154132398414661E-2</v>
      </c>
      <c r="E155" s="68">
        <f t="shared" si="12"/>
        <v>-2.6895880190672551E-5</v>
      </c>
      <c r="F155" s="68">
        <f t="shared" si="13"/>
        <v>-3.7607027442216882E-2</v>
      </c>
      <c r="G155" s="72">
        <f t="shared" si="14"/>
        <v>0</v>
      </c>
    </row>
    <row r="156" spans="1:7" x14ac:dyDescent="0.25">
      <c r="A156" s="2">
        <v>45176</v>
      </c>
      <c r="B156" s="20">
        <v>2680</v>
      </c>
      <c r="C156" s="14">
        <f t="shared" si="10"/>
        <v>7.4906717291576587E-3</v>
      </c>
      <c r="D156" s="68">
        <f t="shared" si="11"/>
        <v>1.6174208559254551E-2</v>
      </c>
      <c r="E156" s="68">
        <f t="shared" si="12"/>
        <v>4.5028618098539809E-5</v>
      </c>
      <c r="F156" s="68">
        <f t="shared" si="13"/>
        <v>-3.7581807078016456E-2</v>
      </c>
      <c r="G156" s="72">
        <f t="shared" si="14"/>
        <v>0</v>
      </c>
    </row>
    <row r="157" spans="1:7" x14ac:dyDescent="0.25">
      <c r="A157" s="2">
        <v>45175</v>
      </c>
      <c r="B157" s="20">
        <v>2660</v>
      </c>
      <c r="C157" s="14">
        <f t="shared" si="10"/>
        <v>-1.5666116744399463E-2</v>
      </c>
      <c r="D157" s="68">
        <f t="shared" si="11"/>
        <v>1.6167296877457125E-2</v>
      </c>
      <c r="E157" s="68">
        <f t="shared" si="12"/>
        <v>1.5065931181908964E-5</v>
      </c>
      <c r="F157" s="68">
        <f t="shared" si="13"/>
        <v>-3.7595690788677597E-2</v>
      </c>
      <c r="G157" s="72">
        <f t="shared" si="14"/>
        <v>0</v>
      </c>
    </row>
    <row r="158" spans="1:7" x14ac:dyDescent="0.25">
      <c r="A158" s="2">
        <v>45174</v>
      </c>
      <c r="B158" s="20">
        <v>2702</v>
      </c>
      <c r="C158" s="14">
        <f t="shared" si="10"/>
        <v>1.2663111484629803E-2</v>
      </c>
      <c r="D158" s="68">
        <f t="shared" si="11"/>
        <v>1.6141211175239839E-2</v>
      </c>
      <c r="E158" s="68">
        <f t="shared" si="12"/>
        <v>5.3652071125962786E-5</v>
      </c>
      <c r="F158" s="68">
        <f t="shared" si="13"/>
        <v>-3.7496420230837497E-2</v>
      </c>
      <c r="G158" s="72">
        <f t="shared" si="14"/>
        <v>0</v>
      </c>
    </row>
    <row r="159" spans="1:7" x14ac:dyDescent="0.25">
      <c r="A159" s="2">
        <v>45173</v>
      </c>
      <c r="B159" s="20">
        <v>2668</v>
      </c>
      <c r="C159" s="14">
        <f t="shared" si="10"/>
        <v>2.2514080804574279E-3</v>
      </c>
      <c r="D159" s="68">
        <f t="shared" si="11"/>
        <v>1.6126960825792673E-2</v>
      </c>
      <c r="E159" s="68">
        <f t="shared" si="12"/>
        <v>-2.3916364224230463E-5</v>
      </c>
      <c r="F159" s="68">
        <f t="shared" si="13"/>
        <v>-3.7540837396046939E-2</v>
      </c>
      <c r="G159" s="72">
        <f t="shared" si="14"/>
        <v>0</v>
      </c>
    </row>
    <row r="160" spans="1:7" x14ac:dyDescent="0.25">
      <c r="A160" s="2">
        <v>45170</v>
      </c>
      <c r="B160" s="20">
        <v>2662</v>
      </c>
      <c r="C160" s="14">
        <f t="shared" si="10"/>
        <v>0</v>
      </c>
      <c r="D160" s="68">
        <f t="shared" si="11"/>
        <v>1.6130645567706971E-2</v>
      </c>
      <c r="E160" s="68">
        <f t="shared" si="12"/>
        <v>-5.6696212149452269E-5</v>
      </c>
      <c r="F160" s="68">
        <f t="shared" si="13"/>
        <v>-3.7582189235490872E-2</v>
      </c>
      <c r="G160" s="72">
        <f t="shared" si="14"/>
        <v>0</v>
      </c>
    </row>
    <row r="161" spans="1:7" x14ac:dyDescent="0.25">
      <c r="A161" s="2">
        <v>45169</v>
      </c>
      <c r="B161" s="20">
        <v>2662</v>
      </c>
      <c r="C161" s="14">
        <f t="shared" si="10"/>
        <v>-7.485064886566856E-3</v>
      </c>
      <c r="D161" s="68">
        <f t="shared" si="11"/>
        <v>1.6131290605820244E-2</v>
      </c>
      <c r="E161" s="68">
        <f t="shared" si="12"/>
        <v>-4.7797432061007831E-5</v>
      </c>
      <c r="F161" s="68">
        <f t="shared" si="13"/>
        <v>-3.7574791038445916E-2</v>
      </c>
      <c r="G161" s="72">
        <f t="shared" si="14"/>
        <v>0</v>
      </c>
    </row>
    <row r="162" spans="1:7" x14ac:dyDescent="0.25">
      <c r="A162" s="2">
        <v>45168</v>
      </c>
      <c r="B162" s="20">
        <v>2682</v>
      </c>
      <c r="C162" s="14">
        <f t="shared" si="10"/>
        <v>-1.7738824337381633E-2</v>
      </c>
      <c r="D162" s="68">
        <f t="shared" si="11"/>
        <v>1.6184349159790442E-2</v>
      </c>
      <c r="E162" s="68">
        <f t="shared" si="12"/>
        <v>-1.0596646178790344E-4</v>
      </c>
      <c r="F162" s="68">
        <f t="shared" si="13"/>
        <v>-3.7756392722401069E-2</v>
      </c>
      <c r="G162" s="72">
        <f t="shared" si="14"/>
        <v>0</v>
      </c>
    </row>
    <row r="163" spans="1:7" x14ac:dyDescent="0.25">
      <c r="A163" s="2">
        <v>45167</v>
      </c>
      <c r="B163" s="20">
        <v>2730</v>
      </c>
      <c r="C163" s="14">
        <f t="shared" si="10"/>
        <v>2.9347049675940221E-3</v>
      </c>
      <c r="D163" s="68">
        <f t="shared" si="11"/>
        <v>1.6160520926340839E-2</v>
      </c>
      <c r="E163" s="68">
        <f t="shared" si="12"/>
        <v>8.8008836384117978E-6</v>
      </c>
      <c r="F163" s="68">
        <f t="shared" si="13"/>
        <v>-3.7586192616747116E-2</v>
      </c>
      <c r="G163" s="72">
        <f t="shared" si="14"/>
        <v>0</v>
      </c>
    </row>
    <row r="164" spans="1:7" x14ac:dyDescent="0.25">
      <c r="A164" s="2">
        <v>45166</v>
      </c>
      <c r="B164" s="20">
        <v>2722</v>
      </c>
      <c r="C164" s="14">
        <f t="shared" si="10"/>
        <v>-8.7784031165050007E-3</v>
      </c>
      <c r="D164" s="68">
        <f t="shared" si="11"/>
        <v>1.6170610903577756E-2</v>
      </c>
      <c r="E164" s="68">
        <f t="shared" si="12"/>
        <v>-4.0936029796820382E-5</v>
      </c>
      <c r="F164" s="68">
        <f t="shared" si="13"/>
        <v>-3.7659402327276575E-2</v>
      </c>
      <c r="G164" s="72">
        <f t="shared" si="14"/>
        <v>0</v>
      </c>
    </row>
    <row r="165" spans="1:7" x14ac:dyDescent="0.25">
      <c r="A165" s="2">
        <v>45163</v>
      </c>
      <c r="B165" s="20">
        <v>2746</v>
      </c>
      <c r="C165" s="14">
        <f t="shared" si="10"/>
        <v>7.2859748214053983E-4</v>
      </c>
      <c r="D165" s="68">
        <f t="shared" si="11"/>
        <v>1.6192218396453267E-2</v>
      </c>
      <c r="E165" s="68">
        <f t="shared" si="12"/>
        <v>-6.9315813955960869E-5</v>
      </c>
      <c r="F165" s="68">
        <f t="shared" si="13"/>
        <v>-3.7738048656550012E-2</v>
      </c>
      <c r="G165" s="72">
        <f t="shared" si="14"/>
        <v>0</v>
      </c>
    </row>
    <row r="166" spans="1:7" x14ac:dyDescent="0.25">
      <c r="A166" s="2">
        <v>45162</v>
      </c>
      <c r="B166" s="20">
        <v>2744</v>
      </c>
      <c r="C166" s="14">
        <f t="shared" si="10"/>
        <v>3.6509715618810675E-3</v>
      </c>
      <c r="D166" s="68">
        <f t="shared" si="11"/>
        <v>1.6210864099535219E-2</v>
      </c>
      <c r="E166" s="68">
        <f t="shared" si="12"/>
        <v>-2.3255879461677427E-5</v>
      </c>
      <c r="F166" s="68">
        <f t="shared" si="13"/>
        <v>-3.7735365113780422E-2</v>
      </c>
      <c r="G166" s="72">
        <f t="shared" si="14"/>
        <v>0</v>
      </c>
    </row>
    <row r="167" spans="1:7" x14ac:dyDescent="0.25">
      <c r="A167" s="2">
        <v>45161</v>
      </c>
      <c r="B167" s="20">
        <v>2734</v>
      </c>
      <c r="C167" s="14">
        <f t="shared" si="10"/>
        <v>1.3254980516193707E-2</v>
      </c>
      <c r="D167" s="68">
        <f t="shared" si="11"/>
        <v>1.6245662887606697E-2</v>
      </c>
      <c r="E167" s="68">
        <f t="shared" si="12"/>
        <v>-1.06826991447226E-4</v>
      </c>
      <c r="F167" s="68">
        <f t="shared" si="13"/>
        <v>-3.7899890312415252E-2</v>
      </c>
      <c r="G167" s="72">
        <f t="shared" si="14"/>
        <v>0</v>
      </c>
    </row>
    <row r="168" spans="1:7" x14ac:dyDescent="0.25">
      <c r="A168" s="2">
        <v>45160</v>
      </c>
      <c r="B168" s="20">
        <v>2698</v>
      </c>
      <c r="C168" s="14">
        <f t="shared" si="10"/>
        <v>-3.6995972644644575E-3</v>
      </c>
      <c r="D168" s="68">
        <f t="shared" si="11"/>
        <v>1.6232084487088887E-2</v>
      </c>
      <c r="E168" s="68">
        <f t="shared" si="12"/>
        <v>-1.9388967218363556E-4</v>
      </c>
      <c r="F168" s="68">
        <f t="shared" si="13"/>
        <v>-3.7955364909974185E-2</v>
      </c>
      <c r="G168" s="72">
        <f t="shared" si="14"/>
        <v>0</v>
      </c>
    </row>
    <row r="169" spans="1:7" x14ac:dyDescent="0.25">
      <c r="A169" s="2">
        <v>45159</v>
      </c>
      <c r="B169" s="20">
        <v>2708</v>
      </c>
      <c r="C169" s="14">
        <f t="shared" si="10"/>
        <v>2.0896282726412412E-2</v>
      </c>
      <c r="D169" s="68">
        <f t="shared" si="11"/>
        <v>1.6246969783885082E-2</v>
      </c>
      <c r="E169" s="68">
        <f t="shared" si="12"/>
        <v>-1.3363624852451761E-4</v>
      </c>
      <c r="F169" s="68">
        <f t="shared" si="13"/>
        <v>-3.7929739864871359E-2</v>
      </c>
      <c r="G169" s="72">
        <f t="shared" si="14"/>
        <v>0</v>
      </c>
    </row>
    <row r="170" spans="1:7" x14ac:dyDescent="0.25">
      <c r="A170" s="2">
        <v>45156</v>
      </c>
      <c r="B170" s="20">
        <v>2652</v>
      </c>
      <c r="C170" s="14">
        <f t="shared" si="10"/>
        <v>-1.6455120726444478E-2</v>
      </c>
      <c r="D170" s="68">
        <f t="shared" si="11"/>
        <v>1.619202715523051E-2</v>
      </c>
      <c r="E170" s="68">
        <f t="shared" si="12"/>
        <v>-2.2007750236479579E-4</v>
      </c>
      <c r="F170" s="68">
        <f t="shared" si="13"/>
        <v>-3.7888365451346856E-2</v>
      </c>
      <c r="G170" s="72">
        <f t="shared" si="14"/>
        <v>0</v>
      </c>
    </row>
    <row r="171" spans="1:7" x14ac:dyDescent="0.25">
      <c r="A171" s="2">
        <v>45155</v>
      </c>
      <c r="B171" s="20">
        <v>2696</v>
      </c>
      <c r="C171" s="14">
        <f t="shared" si="10"/>
        <v>1.2691473077140749E-2</v>
      </c>
      <c r="D171" s="68">
        <f t="shared" si="11"/>
        <v>1.6159214086317281E-2</v>
      </c>
      <c r="E171" s="68">
        <f t="shared" si="12"/>
        <v>-1.5711110448913106E-4</v>
      </c>
      <c r="F171" s="68">
        <f t="shared" si="13"/>
        <v>-3.7749064440364147E-2</v>
      </c>
      <c r="G171" s="72">
        <f t="shared" si="14"/>
        <v>0</v>
      </c>
    </row>
    <row r="172" spans="1:7" x14ac:dyDescent="0.25">
      <c r="A172" s="2">
        <v>45154</v>
      </c>
      <c r="B172" s="20">
        <v>2662</v>
      </c>
      <c r="C172" s="14">
        <f t="shared" si="10"/>
        <v>-2.2514080804573707E-3</v>
      </c>
      <c r="D172" s="68">
        <f t="shared" si="11"/>
        <v>1.6152088693872881E-2</v>
      </c>
      <c r="E172" s="68">
        <f t="shared" si="12"/>
        <v>-2.5044568518227422E-4</v>
      </c>
      <c r="F172" s="68">
        <f t="shared" si="13"/>
        <v>-3.782582287949255E-2</v>
      </c>
      <c r="G172" s="72">
        <f t="shared" si="14"/>
        <v>0</v>
      </c>
    </row>
    <row r="173" spans="1:7" x14ac:dyDescent="0.25">
      <c r="A173" s="2">
        <v>45153</v>
      </c>
      <c r="B173" s="20">
        <v>2668</v>
      </c>
      <c r="C173" s="14">
        <f t="shared" si="10"/>
        <v>-8.9552837291040546E-3</v>
      </c>
      <c r="D173" s="68">
        <f t="shared" si="11"/>
        <v>1.6161060288360993E-2</v>
      </c>
      <c r="E173" s="68">
        <f t="shared" si="12"/>
        <v>-2.0742142116910716E-4</v>
      </c>
      <c r="F173" s="68">
        <f t="shared" si="13"/>
        <v>-3.780366966524356E-2</v>
      </c>
      <c r="G173" s="72">
        <f t="shared" si="14"/>
        <v>0</v>
      </c>
    </row>
    <row r="174" spans="1:7" x14ac:dyDescent="0.25">
      <c r="A174" s="2">
        <v>45152</v>
      </c>
      <c r="B174" s="20">
        <v>2692</v>
      </c>
      <c r="C174" s="14">
        <f t="shared" si="10"/>
        <v>8.2059393703231859E-3</v>
      </c>
      <c r="D174" s="68">
        <f t="shared" si="11"/>
        <v>1.6192313483717902E-2</v>
      </c>
      <c r="E174" s="68">
        <f t="shared" si="12"/>
        <v>-2.449450774071098E-4</v>
      </c>
      <c r="F174" s="68">
        <f t="shared" si="13"/>
        <v>-3.7913899126057096E-2</v>
      </c>
      <c r="G174" s="72">
        <f t="shared" si="14"/>
        <v>0</v>
      </c>
    </row>
    <row r="175" spans="1:7" x14ac:dyDescent="0.25">
      <c r="A175" s="2">
        <v>45149</v>
      </c>
      <c r="B175" s="20">
        <v>2670</v>
      </c>
      <c r="C175" s="14">
        <f t="shared" si="10"/>
        <v>-3.7383221106071039E-3</v>
      </c>
      <c r="D175" s="68">
        <f t="shared" si="11"/>
        <v>1.6225265419126261E-2</v>
      </c>
      <c r="E175" s="68">
        <f t="shared" si="12"/>
        <v>-3.5253736693701266E-4</v>
      </c>
      <c r="F175" s="68">
        <f t="shared" si="13"/>
        <v>-3.8098149080469761E-2</v>
      </c>
      <c r="G175" s="72">
        <f t="shared" si="14"/>
        <v>0</v>
      </c>
    </row>
    <row r="176" spans="1:7" x14ac:dyDescent="0.25">
      <c r="A176" s="2">
        <v>45148</v>
      </c>
      <c r="B176" s="20">
        <v>2680</v>
      </c>
      <c r="C176" s="14">
        <f t="shared" si="10"/>
        <v>-6.6939632627988424E-3</v>
      </c>
      <c r="D176" s="68">
        <f t="shared" si="11"/>
        <v>1.6237896705240534E-2</v>
      </c>
      <c r="E176" s="68">
        <f t="shared" si="12"/>
        <v>-2.9621866331565403E-4</v>
      </c>
      <c r="F176" s="68">
        <f t="shared" si="13"/>
        <v>-3.807121514244674E-2</v>
      </c>
      <c r="G176" s="72">
        <f t="shared" si="14"/>
        <v>0</v>
      </c>
    </row>
    <row r="177" spans="1:7" x14ac:dyDescent="0.25">
      <c r="A177" s="2">
        <v>45147</v>
      </c>
      <c r="B177" s="20">
        <v>2698</v>
      </c>
      <c r="C177" s="14">
        <f t="shared" si="10"/>
        <v>1.5689526171376804E-2</v>
      </c>
      <c r="D177" s="68">
        <f t="shared" si="11"/>
        <v>1.6232822918515286E-2</v>
      </c>
      <c r="E177" s="68">
        <f t="shared" si="12"/>
        <v>-2.6944281026445866E-4</v>
      </c>
      <c r="F177" s="68">
        <f t="shared" si="13"/>
        <v>-3.8032635896433929E-2</v>
      </c>
      <c r="G177" s="72">
        <f t="shared" si="14"/>
        <v>0</v>
      </c>
    </row>
    <row r="178" spans="1:7" x14ac:dyDescent="0.25">
      <c r="A178" s="2">
        <v>45146</v>
      </c>
      <c r="B178" s="20">
        <v>2656</v>
      </c>
      <c r="C178" s="14">
        <f t="shared" si="10"/>
        <v>-2.0127403277422063E-2</v>
      </c>
      <c r="D178" s="68">
        <f t="shared" si="11"/>
        <v>1.626607969650451E-2</v>
      </c>
      <c r="E178" s="68">
        <f t="shared" si="12"/>
        <v>-4.2535580998000167E-4</v>
      </c>
      <c r="F178" s="68">
        <f t="shared" si="13"/>
        <v>-3.8265915730922154E-2</v>
      </c>
      <c r="G178" s="72">
        <f t="shared" si="14"/>
        <v>0</v>
      </c>
    </row>
    <row r="179" spans="1:7" x14ac:dyDescent="0.25">
      <c r="A179" s="2">
        <v>45145</v>
      </c>
      <c r="B179" s="20">
        <v>2710</v>
      </c>
      <c r="C179" s="14">
        <f t="shared" si="10"/>
        <v>-1.0279091974647591E-2</v>
      </c>
      <c r="D179" s="68">
        <f t="shared" si="11"/>
        <v>1.6218594777650024E-2</v>
      </c>
      <c r="E179" s="68">
        <f t="shared" si="12"/>
        <v>-3.3671335774192196E-4</v>
      </c>
      <c r="F179" s="68">
        <f t="shared" si="13"/>
        <v>-3.8066806838657936E-2</v>
      </c>
      <c r="G179" s="72">
        <f t="shared" si="14"/>
        <v>0</v>
      </c>
    </row>
    <row r="180" spans="1:7" x14ac:dyDescent="0.25">
      <c r="A180" s="2">
        <v>45142</v>
      </c>
      <c r="B180" s="20">
        <v>2738</v>
      </c>
      <c r="C180" s="14">
        <f t="shared" si="10"/>
        <v>-1.5223200836288526E-2</v>
      </c>
      <c r="D180" s="68">
        <f t="shared" si="11"/>
        <v>1.6474570757420069E-2</v>
      </c>
      <c r="E180" s="68">
        <f t="shared" si="12"/>
        <v>-1.0951692730375992E-4</v>
      </c>
      <c r="F180" s="68">
        <f t="shared" si="13"/>
        <v>-3.8435099584563336E-2</v>
      </c>
      <c r="G180" s="72">
        <f t="shared" si="14"/>
        <v>0</v>
      </c>
    </row>
    <row r="181" spans="1:7" x14ac:dyDescent="0.25">
      <c r="A181" s="2">
        <v>45141</v>
      </c>
      <c r="B181" s="20">
        <v>2780</v>
      </c>
      <c r="C181" s="14">
        <f t="shared" si="10"/>
        <v>-8.5960414697979076E-3</v>
      </c>
      <c r="D181" s="68">
        <f t="shared" si="11"/>
        <v>1.6663699280365468E-2</v>
      </c>
      <c r="E181" s="68">
        <f t="shared" si="12"/>
        <v>-2.1838873219889331E-4</v>
      </c>
      <c r="F181" s="68">
        <f t="shared" si="13"/>
        <v>-3.8983950126732989E-2</v>
      </c>
      <c r="G181" s="72">
        <f t="shared" si="14"/>
        <v>0</v>
      </c>
    </row>
    <row r="182" spans="1:7" x14ac:dyDescent="0.25">
      <c r="A182" s="2">
        <v>45140</v>
      </c>
      <c r="B182" s="20">
        <v>2804</v>
      </c>
      <c r="C182" s="14">
        <f t="shared" si="10"/>
        <v>4.2887842722177201E-3</v>
      </c>
      <c r="D182" s="68">
        <f t="shared" si="11"/>
        <v>1.6674024339125869E-2</v>
      </c>
      <c r="E182" s="68">
        <f t="shared" si="12"/>
        <v>-1.3465507128033804E-4</v>
      </c>
      <c r="F182" s="68">
        <f t="shared" si="13"/>
        <v>-3.8924236144311043E-2</v>
      </c>
      <c r="G182" s="72">
        <f t="shared" si="14"/>
        <v>0</v>
      </c>
    </row>
    <row r="183" spans="1:7" x14ac:dyDescent="0.25">
      <c r="A183" s="2">
        <v>45139</v>
      </c>
      <c r="B183" s="20">
        <v>2792</v>
      </c>
      <c r="C183" s="14">
        <f t="shared" si="10"/>
        <v>4.30725719758027E-3</v>
      </c>
      <c r="D183" s="68">
        <f t="shared" si="11"/>
        <v>1.6807742444180426E-2</v>
      </c>
      <c r="E183" s="68">
        <f t="shared" si="12"/>
        <v>-2.8741641507193448E-4</v>
      </c>
      <c r="F183" s="68">
        <f t="shared" si="13"/>
        <v>-3.9388072317517071E-2</v>
      </c>
      <c r="G183" s="72">
        <f t="shared" si="14"/>
        <v>0</v>
      </c>
    </row>
    <row r="184" spans="1:7" x14ac:dyDescent="0.25">
      <c r="A184" s="2">
        <v>45138</v>
      </c>
      <c r="B184" s="20">
        <v>2780</v>
      </c>
      <c r="C184" s="14">
        <f t="shared" si="10"/>
        <v>7.1968337039364299E-4</v>
      </c>
      <c r="D184" s="68">
        <f t="shared" si="11"/>
        <v>1.6862036595083684E-2</v>
      </c>
      <c r="E184" s="68">
        <f t="shared" si="12"/>
        <v>-2.183887321988932E-4</v>
      </c>
      <c r="F184" s="68">
        <f t="shared" si="13"/>
        <v>-3.9445351717170681E-2</v>
      </c>
      <c r="G184" s="72">
        <f t="shared" si="14"/>
        <v>0</v>
      </c>
    </row>
    <row r="185" spans="1:7" x14ac:dyDescent="0.25">
      <c r="A185" s="2">
        <v>45135</v>
      </c>
      <c r="B185" s="20">
        <v>2778</v>
      </c>
      <c r="C185" s="14">
        <f t="shared" si="10"/>
        <v>4.3290110895854786E-3</v>
      </c>
      <c r="D185" s="68">
        <f t="shared" si="11"/>
        <v>1.6895002153131531E-2</v>
      </c>
      <c r="E185" s="68">
        <f t="shared" si="12"/>
        <v>-1.5533190679371006E-4</v>
      </c>
      <c r="F185" s="68">
        <f t="shared" si="13"/>
        <v>-3.9458984247646677E-2</v>
      </c>
      <c r="G185" s="72">
        <f t="shared" si="14"/>
        <v>0</v>
      </c>
    </row>
    <row r="186" spans="1:7" x14ac:dyDescent="0.25">
      <c r="A186" s="2">
        <v>45134</v>
      </c>
      <c r="B186" s="20">
        <v>2766</v>
      </c>
      <c r="C186" s="14">
        <f t="shared" si="10"/>
        <v>-1.4357748437702716E-2</v>
      </c>
      <c r="D186" s="68">
        <f t="shared" si="11"/>
        <v>1.6899111595702888E-2</v>
      </c>
      <c r="E186" s="68">
        <f t="shared" si="12"/>
        <v>-2.0300339176333702E-4</v>
      </c>
      <c r="F186" s="68">
        <f t="shared" si="13"/>
        <v>-3.9516215725605673E-2</v>
      </c>
      <c r="G186" s="72">
        <f t="shared" si="14"/>
        <v>0</v>
      </c>
    </row>
    <row r="187" spans="1:7" x14ac:dyDescent="0.25">
      <c r="A187" s="2">
        <v>45133</v>
      </c>
      <c r="B187" s="20">
        <v>2806</v>
      </c>
      <c r="C187" s="14">
        <f t="shared" si="10"/>
        <v>-9.9291595882194973E-3</v>
      </c>
      <c r="D187" s="68">
        <f t="shared" si="11"/>
        <v>1.6875466137498064E-2</v>
      </c>
      <c r="E187" s="68">
        <f t="shared" si="12"/>
        <v>-1.4007033387128636E-4</v>
      </c>
      <c r="F187" s="68">
        <f t="shared" si="13"/>
        <v>-3.93982751062881E-2</v>
      </c>
      <c r="G187" s="72">
        <f t="shared" si="14"/>
        <v>0</v>
      </c>
    </row>
    <row r="188" spans="1:7" x14ac:dyDescent="0.25">
      <c r="A188" s="2">
        <v>45132</v>
      </c>
      <c r="B188" s="20">
        <v>2834</v>
      </c>
      <c r="C188" s="14">
        <f t="shared" si="10"/>
        <v>6.3717029726926867E-3</v>
      </c>
      <c r="D188" s="68">
        <f t="shared" si="11"/>
        <v>1.6873806219635905E-2</v>
      </c>
      <c r="E188" s="68">
        <f t="shared" si="12"/>
        <v>-6.4404611517461996E-5</v>
      </c>
      <c r="F188" s="68">
        <f t="shared" si="13"/>
        <v>-3.9318747837544563E-2</v>
      </c>
      <c r="G188" s="72">
        <f t="shared" si="14"/>
        <v>0</v>
      </c>
    </row>
    <row r="189" spans="1:7" x14ac:dyDescent="0.25">
      <c r="A189" s="2">
        <v>45131</v>
      </c>
      <c r="B189" s="20">
        <v>2816</v>
      </c>
      <c r="C189" s="14">
        <f t="shared" si="10"/>
        <v>-2.2472855852058628E-2</v>
      </c>
      <c r="D189" s="68">
        <f t="shared" si="11"/>
        <v>1.6905557928786074E-2</v>
      </c>
      <c r="E189" s="68">
        <f t="shared" si="12"/>
        <v>-1.9837093437399907E-5</v>
      </c>
      <c r="F189" s="68">
        <f t="shared" si="13"/>
        <v>-3.9348045840543161E-2</v>
      </c>
      <c r="G189" s="72">
        <f t="shared" si="14"/>
        <v>0</v>
      </c>
    </row>
    <row r="190" spans="1:7" x14ac:dyDescent="0.25">
      <c r="A190" s="2">
        <v>45128</v>
      </c>
      <c r="B190" s="20">
        <v>2880</v>
      </c>
      <c r="C190" s="14">
        <f t="shared" si="10"/>
        <v>3.4782643763247925E-3</v>
      </c>
      <c r="D190" s="68">
        <f t="shared" si="11"/>
        <v>1.6864564446542919E-2</v>
      </c>
      <c r="E190" s="68">
        <f t="shared" si="12"/>
        <v>1.2126413325233942E-4</v>
      </c>
      <c r="F190" s="68">
        <f t="shared" si="13"/>
        <v>-3.9111579513587527E-2</v>
      </c>
      <c r="G190" s="72">
        <f t="shared" si="14"/>
        <v>0</v>
      </c>
    </row>
    <row r="191" spans="1:7" x14ac:dyDescent="0.25">
      <c r="A191" s="2">
        <v>45127</v>
      </c>
      <c r="B191" s="20">
        <v>2870</v>
      </c>
      <c r="C191" s="14">
        <f t="shared" si="10"/>
        <v>-0.10570888702522342</v>
      </c>
      <c r="D191" s="68">
        <f t="shared" si="11"/>
        <v>1.6895232128243551E-2</v>
      </c>
      <c r="E191" s="68">
        <f t="shared" si="12"/>
        <v>4.2031910393661856E-5</v>
      </c>
      <c r="F191" s="68">
        <f t="shared" si="13"/>
        <v>-3.9262155432572235E-2</v>
      </c>
      <c r="G191" s="72">
        <f t="shared" si="14"/>
        <v>0</v>
      </c>
    </row>
    <row r="192" spans="1:7" x14ac:dyDescent="0.25">
      <c r="A192" s="2">
        <v>45126</v>
      </c>
      <c r="B192" s="20">
        <v>3190</v>
      </c>
      <c r="C192" s="14">
        <f t="shared" si="10"/>
        <v>1.5798116876591311E-2</v>
      </c>
      <c r="D192" s="68">
        <f t="shared" si="11"/>
        <v>1.5626753489145748E-2</v>
      </c>
      <c r="E192" s="68">
        <f t="shared" si="12"/>
        <v>3.4280528279075366E-4</v>
      </c>
      <c r="F192" s="68">
        <f t="shared" si="13"/>
        <v>-3.6010459474843749E-2</v>
      </c>
      <c r="G192" s="72">
        <f t="shared" si="14"/>
        <v>1</v>
      </c>
    </row>
    <row r="193" spans="1:7" x14ac:dyDescent="0.25">
      <c r="A193" s="2">
        <v>45125</v>
      </c>
      <c r="B193" s="20">
        <v>3140</v>
      </c>
      <c r="C193" s="14">
        <f t="shared" si="10"/>
        <v>6.3897980987709883E-3</v>
      </c>
      <c r="D193" s="68">
        <f t="shared" si="11"/>
        <v>1.5619171929446396E-2</v>
      </c>
      <c r="E193" s="68">
        <f t="shared" si="12"/>
        <v>3.3463431555833033E-4</v>
      </c>
      <c r="F193" s="68">
        <f t="shared" si="13"/>
        <v>-3.600099309678767E-2</v>
      </c>
      <c r="G193" s="72">
        <f t="shared" si="14"/>
        <v>0</v>
      </c>
    </row>
    <row r="194" spans="1:7" x14ac:dyDescent="0.25">
      <c r="A194" s="2">
        <v>45124</v>
      </c>
      <c r="B194" s="20">
        <v>3120</v>
      </c>
      <c r="C194" s="14">
        <f t="shared" si="10"/>
        <v>7.7220460939103185E-3</v>
      </c>
      <c r="D194" s="68">
        <f t="shared" si="11"/>
        <v>1.5782914542272149E-2</v>
      </c>
      <c r="E194" s="68">
        <f t="shared" si="12"/>
        <v>4.5577703739687177E-4</v>
      </c>
      <c r="F194" s="68">
        <f t="shared" si="13"/>
        <v>-3.6260772654186209E-2</v>
      </c>
      <c r="G194" s="72">
        <f t="shared" si="14"/>
        <v>0</v>
      </c>
    </row>
    <row r="195" spans="1:7" x14ac:dyDescent="0.25">
      <c r="A195" s="2">
        <v>45121</v>
      </c>
      <c r="B195" s="20">
        <v>3096</v>
      </c>
      <c r="C195" s="14">
        <f t="shared" si="10"/>
        <v>5.1813587419975845E-3</v>
      </c>
      <c r="D195" s="68">
        <f t="shared" si="11"/>
        <v>1.6751396284185937E-2</v>
      </c>
      <c r="E195" s="68">
        <f t="shared" si="12"/>
        <v>7.0383047561519305E-5</v>
      </c>
      <c r="F195" s="68">
        <f t="shared" si="13"/>
        <v>-3.8899192085370078E-2</v>
      </c>
      <c r="G195" s="72">
        <f t="shared" si="14"/>
        <v>0</v>
      </c>
    </row>
    <row r="196" spans="1:7" x14ac:dyDescent="0.25">
      <c r="A196" s="2">
        <v>45120</v>
      </c>
      <c r="B196" s="20">
        <v>3080</v>
      </c>
      <c r="C196" s="14">
        <f t="shared" si="10"/>
        <v>2.6007817000574403E-3</v>
      </c>
      <c r="D196" s="68">
        <f t="shared" si="11"/>
        <v>1.6754456076875729E-2</v>
      </c>
      <c r="E196" s="68">
        <f t="shared" si="12"/>
        <v>7.8691062394820629E-5</v>
      </c>
      <c r="F196" s="68">
        <f t="shared" si="13"/>
        <v>-3.8898002212755682E-2</v>
      </c>
      <c r="G196" s="72">
        <f t="shared" si="14"/>
        <v>0</v>
      </c>
    </row>
    <row r="197" spans="1:7" x14ac:dyDescent="0.25">
      <c r="A197" s="2">
        <v>45119</v>
      </c>
      <c r="B197" s="20">
        <v>3072</v>
      </c>
      <c r="C197" s="14">
        <f t="shared" ref="C197:C260" si="15">+LN(B197/B198)</f>
        <v>1.5087199919261621E-2</v>
      </c>
      <c r="D197" s="68">
        <f t="shared" ref="D197:D260" si="16">STDEV(C197:C446)</f>
        <v>1.6830646631353724E-2</v>
      </c>
      <c r="E197" s="68">
        <f t="shared" ref="E197:E260" si="17">AVERAGE(C197:C446)</f>
        <v>1.702384576751851E-4</v>
      </c>
      <c r="F197" s="68">
        <f t="shared" ref="F197:F260" si="18">E197+$L$8*D197</f>
        <v>-3.898370055190719E-2</v>
      </c>
      <c r="G197" s="72">
        <f t="shared" si="14"/>
        <v>0</v>
      </c>
    </row>
    <row r="198" spans="1:7" x14ac:dyDescent="0.25">
      <c r="A198" s="2">
        <v>45118</v>
      </c>
      <c r="B198" s="20">
        <v>3026</v>
      </c>
      <c r="C198" s="14">
        <f t="shared" si="15"/>
        <v>7.2968814642759275E-3</v>
      </c>
      <c r="D198" s="68">
        <f t="shared" si="16"/>
        <v>1.6830544445284427E-2</v>
      </c>
      <c r="E198" s="68">
        <f t="shared" si="17"/>
        <v>1.7012351349494513E-4</v>
      </c>
      <c r="F198" s="68">
        <f t="shared" si="18"/>
        <v>-3.8983577775742365E-2</v>
      </c>
      <c r="G198" s="72">
        <f t="shared" ref="G198:G261" si="19">IF(C197&lt;F198,1,0)</f>
        <v>0</v>
      </c>
    </row>
    <row r="199" spans="1:7" x14ac:dyDescent="0.25">
      <c r="A199" s="2">
        <v>45117</v>
      </c>
      <c r="B199" s="20">
        <v>3004</v>
      </c>
      <c r="C199" s="14">
        <f t="shared" si="15"/>
        <v>0</v>
      </c>
      <c r="D199" s="68">
        <f t="shared" si="16"/>
        <v>1.6879165058226186E-2</v>
      </c>
      <c r="E199" s="68">
        <f t="shared" si="17"/>
        <v>2.2738062065615151E-4</v>
      </c>
      <c r="F199" s="68">
        <f t="shared" si="18"/>
        <v>-3.9039429128132783E-2</v>
      </c>
      <c r="G199" s="72">
        <f t="shared" si="19"/>
        <v>0</v>
      </c>
    </row>
    <row r="200" spans="1:7" x14ac:dyDescent="0.25">
      <c r="A200" s="2">
        <v>45114</v>
      </c>
      <c r="B200" s="20">
        <v>3004</v>
      </c>
      <c r="C200" s="14">
        <f t="shared" si="15"/>
        <v>-6.6555742889445402E-4</v>
      </c>
      <c r="D200" s="68">
        <f t="shared" si="16"/>
        <v>1.688025619515535E-2</v>
      </c>
      <c r="E200" s="68">
        <f t="shared" si="17"/>
        <v>2.161209369369128E-4</v>
      </c>
      <c r="F200" s="68">
        <f t="shared" si="18"/>
        <v>-3.905322717592747E-2</v>
      </c>
      <c r="G200" s="72">
        <f t="shared" si="19"/>
        <v>0</v>
      </c>
    </row>
    <row r="201" spans="1:7" x14ac:dyDescent="0.25">
      <c r="A201" s="2">
        <v>45113</v>
      </c>
      <c r="B201" s="20">
        <v>3006</v>
      </c>
      <c r="C201" s="14">
        <f t="shared" si="15"/>
        <v>-1.1247224087347589E-2</v>
      </c>
      <c r="D201" s="68">
        <f t="shared" si="16"/>
        <v>1.6890438219205543E-2</v>
      </c>
      <c r="E201" s="68">
        <f t="shared" si="17"/>
        <v>1.8240656057922226E-4</v>
      </c>
      <c r="F201" s="68">
        <f t="shared" si="18"/>
        <v>-3.9110628482287753E-2</v>
      </c>
      <c r="G201" s="72">
        <f t="shared" si="19"/>
        <v>0</v>
      </c>
    </row>
    <row r="202" spans="1:7" x14ac:dyDescent="0.25">
      <c r="A202" s="2">
        <v>45112</v>
      </c>
      <c r="B202" s="20">
        <v>3040</v>
      </c>
      <c r="C202" s="14">
        <f t="shared" si="15"/>
        <v>1.1912781516241961E-2</v>
      </c>
      <c r="D202" s="68">
        <f t="shared" si="16"/>
        <v>1.6900590906305104E-2</v>
      </c>
      <c r="E202" s="68">
        <f t="shared" si="17"/>
        <v>1.6932323058047109E-4</v>
      </c>
      <c r="F202" s="68">
        <f t="shared" si="18"/>
        <v>-3.9147330494336371E-2</v>
      </c>
      <c r="G202" s="72">
        <f t="shared" si="19"/>
        <v>0</v>
      </c>
    </row>
    <row r="203" spans="1:7" x14ac:dyDescent="0.25">
      <c r="A203" s="2">
        <v>45111</v>
      </c>
      <c r="B203" s="20">
        <v>3004</v>
      </c>
      <c r="C203" s="14">
        <f t="shared" si="15"/>
        <v>1.9993342214822607E-3</v>
      </c>
      <c r="D203" s="68">
        <f t="shared" si="16"/>
        <v>1.6893386382979006E-2</v>
      </c>
      <c r="E203" s="68">
        <f t="shared" si="17"/>
        <v>1.5752205148523714E-4</v>
      </c>
      <c r="F203" s="68">
        <f t="shared" si="18"/>
        <v>-3.9142371445908458E-2</v>
      </c>
      <c r="G203" s="72">
        <f t="shared" si="19"/>
        <v>0</v>
      </c>
    </row>
    <row r="204" spans="1:7" x14ac:dyDescent="0.25">
      <c r="A204" s="2">
        <v>45110</v>
      </c>
      <c r="B204" s="20">
        <v>2998</v>
      </c>
      <c r="C204" s="14">
        <f t="shared" si="15"/>
        <v>3.3411324098351299E-3</v>
      </c>
      <c r="D204" s="68">
        <f t="shared" si="16"/>
        <v>1.6895924606607039E-2</v>
      </c>
      <c r="E204" s="68">
        <f t="shared" si="17"/>
        <v>1.3018098087364265E-4</v>
      </c>
      <c r="F204" s="68">
        <f t="shared" si="18"/>
        <v>-3.9175617307660976E-2</v>
      </c>
      <c r="G204" s="72">
        <f t="shared" si="19"/>
        <v>0</v>
      </c>
    </row>
    <row r="205" spans="1:7" x14ac:dyDescent="0.25">
      <c r="A205" s="2">
        <v>45107</v>
      </c>
      <c r="B205" s="20">
        <v>2988</v>
      </c>
      <c r="C205" s="14">
        <f t="shared" si="15"/>
        <v>-3.3411324098350879E-3</v>
      </c>
      <c r="D205" s="68">
        <f t="shared" si="16"/>
        <v>1.6907498186148746E-2</v>
      </c>
      <c r="E205" s="68">
        <f t="shared" si="17"/>
        <v>7.5677932984666304E-5</v>
      </c>
      <c r="F205" s="68">
        <f t="shared" si="18"/>
        <v>-3.9257044527711844E-2</v>
      </c>
      <c r="G205" s="72">
        <f t="shared" si="19"/>
        <v>0</v>
      </c>
    </row>
    <row r="206" spans="1:7" x14ac:dyDescent="0.25">
      <c r="A206" s="2">
        <v>45106</v>
      </c>
      <c r="B206" s="20">
        <v>2998</v>
      </c>
      <c r="C206" s="14">
        <f t="shared" si="15"/>
        <v>4.0107005634072747E-3</v>
      </c>
      <c r="D206" s="68">
        <f t="shared" si="16"/>
        <v>1.6910667239659276E-2</v>
      </c>
      <c r="E206" s="68">
        <f t="shared" si="17"/>
        <v>6.4560917314712747E-5</v>
      </c>
      <c r="F206" s="68">
        <f t="shared" si="18"/>
        <v>-3.9275533864278733E-2</v>
      </c>
      <c r="G206" s="72">
        <f t="shared" si="19"/>
        <v>0</v>
      </c>
    </row>
    <row r="207" spans="1:7" x14ac:dyDescent="0.25">
      <c r="A207" s="2">
        <v>45105</v>
      </c>
      <c r="B207" s="20">
        <v>2986</v>
      </c>
      <c r="C207" s="14">
        <f t="shared" si="15"/>
        <v>1.1451792378772615E-2</v>
      </c>
      <c r="D207" s="68">
        <f t="shared" si="16"/>
        <v>1.6928532220057184E-2</v>
      </c>
      <c r="E207" s="68">
        <f t="shared" si="17"/>
        <v>1.0037827513023928E-4</v>
      </c>
      <c r="F207" s="68">
        <f t="shared" si="18"/>
        <v>-3.9281276665631665E-2</v>
      </c>
      <c r="G207" s="72">
        <f t="shared" si="19"/>
        <v>0</v>
      </c>
    </row>
    <row r="208" spans="1:7" x14ac:dyDescent="0.25">
      <c r="A208" s="2">
        <v>45104</v>
      </c>
      <c r="B208" s="20">
        <v>2952</v>
      </c>
      <c r="C208" s="14">
        <f t="shared" si="15"/>
        <v>-1.1451792378772568E-2</v>
      </c>
      <c r="D208" s="68">
        <f t="shared" si="16"/>
        <v>1.6913707382859199E-2</v>
      </c>
      <c r="E208" s="68">
        <f t="shared" si="17"/>
        <v>4.6337826550531741E-5</v>
      </c>
      <c r="F208" s="68">
        <f t="shared" si="18"/>
        <v>-3.9300829385712839E-2</v>
      </c>
      <c r="G208" s="72">
        <f t="shared" si="19"/>
        <v>0</v>
      </c>
    </row>
    <row r="209" spans="1:7" x14ac:dyDescent="0.25">
      <c r="A209" s="2">
        <v>45103</v>
      </c>
      <c r="B209" s="20">
        <v>2986</v>
      </c>
      <c r="C209" s="14">
        <f t="shared" si="15"/>
        <v>-1.0659661228658537E-2</v>
      </c>
      <c r="D209" s="68">
        <f t="shared" si="16"/>
        <v>1.6935215320880992E-2</v>
      </c>
      <c r="E209" s="68">
        <f t="shared" si="17"/>
        <v>2.1490985209564385E-5</v>
      </c>
      <c r="F209" s="68">
        <f t="shared" si="18"/>
        <v>-3.9375711172945804E-2</v>
      </c>
      <c r="G209" s="72">
        <f t="shared" si="19"/>
        <v>0</v>
      </c>
    </row>
    <row r="210" spans="1:7" x14ac:dyDescent="0.25">
      <c r="A210" s="2">
        <v>45100</v>
      </c>
      <c r="B210" s="20">
        <v>3018</v>
      </c>
      <c r="C210" s="14">
        <f t="shared" si="15"/>
        <v>7.3162946906841974E-3</v>
      </c>
      <c r="D210" s="68">
        <f t="shared" si="16"/>
        <v>1.6928177075505122E-2</v>
      </c>
      <c r="E210" s="68">
        <f t="shared" si="17"/>
        <v>3.4609200933708562E-5</v>
      </c>
      <c r="F210" s="68">
        <f t="shared" si="18"/>
        <v>-3.9346219550054531E-2</v>
      </c>
      <c r="G210" s="72">
        <f t="shared" si="19"/>
        <v>0</v>
      </c>
    </row>
    <row r="211" spans="1:7" x14ac:dyDescent="0.25">
      <c r="A211" s="2">
        <v>45099</v>
      </c>
      <c r="B211" s="20">
        <v>2996</v>
      </c>
      <c r="C211" s="14">
        <f t="shared" si="15"/>
        <v>-2.0006675562971713E-3</v>
      </c>
      <c r="D211" s="68">
        <f t="shared" si="16"/>
        <v>1.7008417784799675E-2</v>
      </c>
      <c r="E211" s="68">
        <f t="shared" si="17"/>
        <v>1.1375174128213634E-4</v>
      </c>
      <c r="F211" s="68">
        <f t="shared" si="18"/>
        <v>-3.9453744813185011E-2</v>
      </c>
      <c r="G211" s="72">
        <f t="shared" si="19"/>
        <v>0</v>
      </c>
    </row>
    <row r="212" spans="1:7" x14ac:dyDescent="0.25">
      <c r="A212" s="2">
        <v>45098</v>
      </c>
      <c r="B212" s="20">
        <v>3002</v>
      </c>
      <c r="C212" s="14">
        <f t="shared" si="15"/>
        <v>3.3366730990394703E-3</v>
      </c>
      <c r="D212" s="68">
        <f t="shared" si="16"/>
        <v>1.7010732253162929E-2</v>
      </c>
      <c r="E212" s="68">
        <f t="shared" si="17"/>
        <v>1.025697224533531E-4</v>
      </c>
      <c r="F212" s="68">
        <f t="shared" si="18"/>
        <v>-3.9470311090570191E-2</v>
      </c>
      <c r="G212" s="72">
        <f t="shared" si="19"/>
        <v>0</v>
      </c>
    </row>
    <row r="213" spans="1:7" x14ac:dyDescent="0.25">
      <c r="A213" s="2">
        <v>45097</v>
      </c>
      <c r="B213" s="20">
        <v>2992</v>
      </c>
      <c r="C213" s="14">
        <f t="shared" si="15"/>
        <v>1.2105057026275397E-2</v>
      </c>
      <c r="D213" s="68">
        <f t="shared" si="16"/>
        <v>1.7009741727621801E-2</v>
      </c>
      <c r="E213" s="68">
        <f t="shared" si="17"/>
        <v>8.3758548333021397E-5</v>
      </c>
      <c r="F213" s="68">
        <f t="shared" si="18"/>
        <v>-3.9486817957703736E-2</v>
      </c>
      <c r="G213" s="72">
        <f t="shared" si="19"/>
        <v>0</v>
      </c>
    </row>
    <row r="214" spans="1:7" x14ac:dyDescent="0.25">
      <c r="A214" s="2">
        <v>45096</v>
      </c>
      <c r="B214" s="20">
        <v>2956</v>
      </c>
      <c r="C214" s="14">
        <f t="shared" si="15"/>
        <v>-1.3522652500136498E-3</v>
      </c>
      <c r="D214" s="68">
        <f t="shared" si="16"/>
        <v>1.6996087771407219E-2</v>
      </c>
      <c r="E214" s="68">
        <f t="shared" si="17"/>
        <v>5.7241181251771075E-5</v>
      </c>
      <c r="F214" s="68">
        <f t="shared" si="18"/>
        <v>-3.9481571472772946E-2</v>
      </c>
      <c r="G214" s="72">
        <f t="shared" si="19"/>
        <v>0</v>
      </c>
    </row>
    <row r="215" spans="1:7" x14ac:dyDescent="0.25">
      <c r="A215" s="2">
        <v>45093</v>
      </c>
      <c r="B215" s="20">
        <v>2960</v>
      </c>
      <c r="C215" s="14">
        <f t="shared" si="15"/>
        <v>-5.3908486348764233E-3</v>
      </c>
      <c r="D215" s="68">
        <f t="shared" si="16"/>
        <v>1.71748029869561E-2</v>
      </c>
      <c r="E215" s="68">
        <f t="shared" si="17"/>
        <v>-9.3493404741233293E-5</v>
      </c>
      <c r="F215" s="68">
        <f t="shared" si="18"/>
        <v>-4.0048059820516839E-2</v>
      </c>
      <c r="G215" s="72">
        <f t="shared" si="19"/>
        <v>0</v>
      </c>
    </row>
    <row r="216" spans="1:7" x14ac:dyDescent="0.25">
      <c r="A216" s="2">
        <v>45092</v>
      </c>
      <c r="B216" s="20">
        <v>2976</v>
      </c>
      <c r="C216" s="14">
        <f t="shared" si="15"/>
        <v>-8.0321716972642666E-3</v>
      </c>
      <c r="D216" s="68">
        <f t="shared" si="16"/>
        <v>1.7394769705041828E-2</v>
      </c>
      <c r="E216" s="68">
        <f t="shared" si="17"/>
        <v>1.0347751991367004E-4</v>
      </c>
      <c r="F216" s="68">
        <f t="shared" si="18"/>
        <v>-4.0362808002840408E-2</v>
      </c>
      <c r="G216" s="72">
        <f t="shared" si="19"/>
        <v>0</v>
      </c>
    </row>
    <row r="217" spans="1:7" x14ac:dyDescent="0.25">
      <c r="A217" s="2">
        <v>45091</v>
      </c>
      <c r="B217" s="20">
        <v>3000</v>
      </c>
      <c r="C217" s="14">
        <f t="shared" si="15"/>
        <v>-1.324522675002068E-2</v>
      </c>
      <c r="D217" s="68">
        <f t="shared" si="16"/>
        <v>1.7387889939474894E-2</v>
      </c>
      <c r="E217" s="68">
        <f t="shared" si="17"/>
        <v>1.4665593748636727E-4</v>
      </c>
      <c r="F217" s="68">
        <f t="shared" si="18"/>
        <v>-4.0303624857267177E-2</v>
      </c>
      <c r="G217" s="72">
        <f t="shared" si="19"/>
        <v>0</v>
      </c>
    </row>
    <row r="218" spans="1:7" x14ac:dyDescent="0.25">
      <c r="A218" s="2">
        <v>45090</v>
      </c>
      <c r="B218" s="20">
        <v>3040</v>
      </c>
      <c r="C218" s="14">
        <f t="shared" si="15"/>
        <v>0</v>
      </c>
      <c r="D218" s="68">
        <f t="shared" si="16"/>
        <v>1.7368093945676122E-2</v>
      </c>
      <c r="E218" s="68">
        <f t="shared" si="17"/>
        <v>1.8858711370280982E-4</v>
      </c>
      <c r="F218" s="68">
        <f t="shared" si="18"/>
        <v>-4.0215641312962437E-2</v>
      </c>
      <c r="G218" s="72">
        <f t="shared" si="19"/>
        <v>0</v>
      </c>
    </row>
    <row r="219" spans="1:7" x14ac:dyDescent="0.25">
      <c r="A219" s="2">
        <v>45089</v>
      </c>
      <c r="B219" s="20">
        <v>3040</v>
      </c>
      <c r="C219" s="14">
        <f t="shared" si="15"/>
        <v>1.3245226750020723E-2</v>
      </c>
      <c r="D219" s="68">
        <f t="shared" si="16"/>
        <v>1.7368093945676122E-2</v>
      </c>
      <c r="E219" s="68">
        <f t="shared" si="17"/>
        <v>1.8858711370280982E-4</v>
      </c>
      <c r="F219" s="68">
        <f t="shared" si="18"/>
        <v>-4.0215641312962437E-2</v>
      </c>
      <c r="G219" s="72">
        <f t="shared" si="19"/>
        <v>0</v>
      </c>
    </row>
    <row r="220" spans="1:7" x14ac:dyDescent="0.25">
      <c r="A220" s="2">
        <v>45086</v>
      </c>
      <c r="B220" s="20">
        <v>3000</v>
      </c>
      <c r="C220" s="14">
        <f t="shared" si="15"/>
        <v>-3.327790092674691E-3</v>
      </c>
      <c r="D220" s="68">
        <f t="shared" si="16"/>
        <v>1.750625694948655E-2</v>
      </c>
      <c r="E220" s="68">
        <f t="shared" si="17"/>
        <v>2.8455211133335999E-4</v>
      </c>
      <c r="F220" s="68">
        <f t="shared" si="18"/>
        <v>-4.0441091525517371E-2</v>
      </c>
      <c r="G220" s="72">
        <f t="shared" si="19"/>
        <v>0</v>
      </c>
    </row>
    <row r="221" spans="1:7" x14ac:dyDescent="0.25">
      <c r="A221" s="2">
        <v>45085</v>
      </c>
      <c r="B221" s="20">
        <v>3010</v>
      </c>
      <c r="C221" s="14">
        <f t="shared" si="15"/>
        <v>8.0053796437856307E-3</v>
      </c>
      <c r="D221" s="68">
        <f t="shared" si="16"/>
        <v>1.7955848676984149E-2</v>
      </c>
      <c r="E221" s="68">
        <f t="shared" si="17"/>
        <v>5.5201077367710689E-4</v>
      </c>
      <c r="F221" s="68">
        <f t="shared" si="18"/>
        <v>-4.1219539622624014E-2</v>
      </c>
      <c r="G221" s="72">
        <f t="shared" si="19"/>
        <v>0</v>
      </c>
    </row>
    <row r="222" spans="1:7" x14ac:dyDescent="0.25">
      <c r="A222" s="2">
        <v>45084</v>
      </c>
      <c r="B222" s="20">
        <v>2986</v>
      </c>
      <c r="C222" s="14">
        <f t="shared" si="15"/>
        <v>4.6995722614858243E-3</v>
      </c>
      <c r="D222" s="68">
        <f t="shared" si="16"/>
        <v>1.7976922625801462E-2</v>
      </c>
      <c r="E222" s="68">
        <f t="shared" si="17"/>
        <v>4.5942791657631728E-4</v>
      </c>
      <c r="F222" s="68">
        <f t="shared" si="18"/>
        <v>-4.1361147815753598E-2</v>
      </c>
      <c r="G222" s="72">
        <f t="shared" si="19"/>
        <v>0</v>
      </c>
    </row>
    <row r="223" spans="1:7" x14ac:dyDescent="0.25">
      <c r="A223" s="2">
        <v>45083</v>
      </c>
      <c r="B223" s="20">
        <v>2972</v>
      </c>
      <c r="C223" s="14">
        <f t="shared" si="15"/>
        <v>5.3981237695573097E-3</v>
      </c>
      <c r="D223" s="68">
        <f t="shared" si="16"/>
        <v>1.8085042715637354E-2</v>
      </c>
      <c r="E223" s="68">
        <f t="shared" si="17"/>
        <v>3.1635927803893649E-4</v>
      </c>
      <c r="F223" s="68">
        <f t="shared" si="18"/>
        <v>-4.1755741395421819E-2</v>
      </c>
      <c r="G223" s="72">
        <f t="shared" si="19"/>
        <v>0</v>
      </c>
    </row>
    <row r="224" spans="1:7" x14ac:dyDescent="0.25">
      <c r="A224" s="2">
        <v>45082</v>
      </c>
      <c r="B224" s="20">
        <v>2956</v>
      </c>
      <c r="C224" s="14">
        <f t="shared" si="15"/>
        <v>1.7059437937864273E-2</v>
      </c>
      <c r="D224" s="68">
        <f t="shared" si="16"/>
        <v>1.8128514371103223E-2</v>
      </c>
      <c r="E224" s="68">
        <f t="shared" si="17"/>
        <v>2.1401422068456389E-4</v>
      </c>
      <c r="F224" s="68">
        <f t="shared" si="18"/>
        <v>-4.1959216646050249E-2</v>
      </c>
      <c r="G224" s="72">
        <f t="shared" si="19"/>
        <v>0</v>
      </c>
    </row>
    <row r="225" spans="1:7" x14ac:dyDescent="0.25">
      <c r="A225" s="2">
        <v>45079</v>
      </c>
      <c r="B225" s="20">
        <v>2906</v>
      </c>
      <c r="C225" s="14">
        <f t="shared" si="15"/>
        <v>2.650085349294496E-2</v>
      </c>
      <c r="D225" s="68">
        <f t="shared" si="16"/>
        <v>1.8097110293876041E-2</v>
      </c>
      <c r="E225" s="68">
        <f t="shared" si="17"/>
        <v>1.5149075561921046E-4</v>
      </c>
      <c r="F225" s="68">
        <f t="shared" si="18"/>
        <v>-4.1948683302821935E-2</v>
      </c>
      <c r="G225" s="72">
        <f t="shared" si="19"/>
        <v>0</v>
      </c>
    </row>
    <row r="226" spans="1:7" x14ac:dyDescent="0.25">
      <c r="A226" s="2">
        <v>45078</v>
      </c>
      <c r="B226" s="20">
        <v>2830</v>
      </c>
      <c r="C226" s="14">
        <f t="shared" si="15"/>
        <v>3.5398267051239868E-3</v>
      </c>
      <c r="D226" s="68">
        <f t="shared" si="16"/>
        <v>1.8046756959648719E-2</v>
      </c>
      <c r="E226" s="68">
        <f t="shared" si="17"/>
        <v>-1.692527207904739E-5</v>
      </c>
      <c r="F226" s="68">
        <f t="shared" si="18"/>
        <v>-4.199995995848959E-2</v>
      </c>
      <c r="G226" s="72">
        <f t="shared" si="19"/>
        <v>0</v>
      </c>
    </row>
    <row r="227" spans="1:7" x14ac:dyDescent="0.25">
      <c r="A227" s="2">
        <v>45077</v>
      </c>
      <c r="B227" s="20">
        <v>2820</v>
      </c>
      <c r="C227" s="14">
        <f t="shared" si="15"/>
        <v>-5.6577237198588374E-3</v>
      </c>
      <c r="D227" s="68">
        <f t="shared" si="16"/>
        <v>1.8072414359220926E-2</v>
      </c>
      <c r="E227" s="68">
        <f t="shared" si="17"/>
        <v>3.1328034826934382E-5</v>
      </c>
      <c r="F227" s="68">
        <f t="shared" si="18"/>
        <v>-4.2011394688531829E-2</v>
      </c>
      <c r="G227" s="72">
        <f t="shared" si="19"/>
        <v>0</v>
      </c>
    </row>
    <row r="228" spans="1:7" x14ac:dyDescent="0.25">
      <c r="A228" s="2">
        <v>45076</v>
      </c>
      <c r="B228" s="20">
        <v>2836</v>
      </c>
      <c r="C228" s="14">
        <f t="shared" si="15"/>
        <v>-1.052272073609902E-2</v>
      </c>
      <c r="D228" s="68">
        <f t="shared" si="16"/>
        <v>1.8079876329034839E-2</v>
      </c>
      <c r="E228" s="68">
        <f t="shared" si="17"/>
        <v>9.4189153882538713E-5</v>
      </c>
      <c r="F228" s="68">
        <f t="shared" si="18"/>
        <v>-4.1965892707088975E-2</v>
      </c>
      <c r="G228" s="72">
        <f t="shared" si="19"/>
        <v>0</v>
      </c>
    </row>
    <row r="229" spans="1:7" x14ac:dyDescent="0.25">
      <c r="A229" s="2">
        <v>45072</v>
      </c>
      <c r="B229" s="20">
        <v>2866</v>
      </c>
      <c r="C229" s="14">
        <f t="shared" si="15"/>
        <v>1.2640617750833808E-2</v>
      </c>
      <c r="D229" s="68">
        <f t="shared" si="16"/>
        <v>1.8253664877410505E-2</v>
      </c>
      <c r="E229" s="68">
        <f t="shared" si="17"/>
        <v>3.0137347645970927E-4</v>
      </c>
      <c r="F229" s="68">
        <f t="shared" si="18"/>
        <v>-4.2163001004558179E-2</v>
      </c>
      <c r="G229" s="72">
        <f t="shared" si="19"/>
        <v>0</v>
      </c>
    </row>
    <row r="230" spans="1:7" x14ac:dyDescent="0.25">
      <c r="A230" s="2">
        <v>45071</v>
      </c>
      <c r="B230" s="20">
        <v>2830</v>
      </c>
      <c r="C230" s="14">
        <f t="shared" si="15"/>
        <v>2.0707630327489544E-2</v>
      </c>
      <c r="D230" s="68">
        <f t="shared" si="16"/>
        <v>1.8561509378500415E-2</v>
      </c>
      <c r="E230" s="68">
        <f t="shared" si="17"/>
        <v>4.7042549126781236E-4</v>
      </c>
      <c r="F230" s="68">
        <f t="shared" si="18"/>
        <v>-4.2710102390395757E-2</v>
      </c>
      <c r="G230" s="72">
        <f t="shared" si="19"/>
        <v>0</v>
      </c>
    </row>
    <row r="231" spans="1:7" x14ac:dyDescent="0.25">
      <c r="A231" s="2">
        <v>45070</v>
      </c>
      <c r="B231" s="20">
        <v>2772</v>
      </c>
      <c r="C231" s="14">
        <f t="shared" si="15"/>
        <v>-2.162163004495237E-3</v>
      </c>
      <c r="D231" s="68">
        <f t="shared" si="16"/>
        <v>1.8550879291775943E-2</v>
      </c>
      <c r="E231" s="68">
        <f t="shared" si="17"/>
        <v>3.1824729134474544E-4</v>
      </c>
      <c r="F231" s="68">
        <f t="shared" si="18"/>
        <v>-4.2837551310666473E-2</v>
      </c>
      <c r="G231" s="72">
        <f t="shared" si="19"/>
        <v>0</v>
      </c>
    </row>
    <row r="232" spans="1:7" x14ac:dyDescent="0.25">
      <c r="A232" s="2">
        <v>45069</v>
      </c>
      <c r="B232" s="20">
        <v>2778</v>
      </c>
      <c r="C232" s="14">
        <f t="shared" si="15"/>
        <v>-8.6022035826631912E-3</v>
      </c>
      <c r="D232" s="68">
        <f t="shared" si="16"/>
        <v>1.8601329542529212E-2</v>
      </c>
      <c r="E232" s="68">
        <f t="shared" si="17"/>
        <v>4.1536716437720248E-4</v>
      </c>
      <c r="F232" s="68">
        <f t="shared" si="18"/>
        <v>-4.2857796271218718E-2</v>
      </c>
      <c r="G232" s="72">
        <f t="shared" si="19"/>
        <v>0</v>
      </c>
    </row>
    <row r="233" spans="1:7" x14ac:dyDescent="0.25">
      <c r="A233" s="2">
        <v>45068</v>
      </c>
      <c r="B233" s="20">
        <v>2802</v>
      </c>
      <c r="C233" s="14">
        <f t="shared" si="15"/>
        <v>7.1633544135640435E-3</v>
      </c>
      <c r="D233" s="68">
        <f t="shared" si="16"/>
        <v>1.9565507203146013E-2</v>
      </c>
      <c r="E233" s="68">
        <f t="shared" si="17"/>
        <v>6.6212379053615152E-5</v>
      </c>
      <c r="F233" s="68">
        <f t="shared" si="18"/>
        <v>-4.5449963707515868E-2</v>
      </c>
      <c r="G233" s="72">
        <f t="shared" si="19"/>
        <v>0</v>
      </c>
    </row>
    <row r="234" spans="1:7" x14ac:dyDescent="0.25">
      <c r="A234" s="2">
        <v>45065</v>
      </c>
      <c r="B234" s="20">
        <v>2782</v>
      </c>
      <c r="C234" s="14">
        <f t="shared" si="15"/>
        <v>-9.3023926623135612E-3</v>
      </c>
      <c r="D234" s="68">
        <f t="shared" si="16"/>
        <v>1.9733664294356631E-2</v>
      </c>
      <c r="E234" s="68">
        <f t="shared" si="17"/>
        <v>-1.273542307389035E-4</v>
      </c>
      <c r="F234" s="68">
        <f t="shared" si="18"/>
        <v>-4.60347222089511E-2</v>
      </c>
      <c r="G234" s="72">
        <f t="shared" si="19"/>
        <v>0</v>
      </c>
    </row>
    <row r="235" spans="1:7" x14ac:dyDescent="0.25">
      <c r="A235" s="2">
        <v>45064</v>
      </c>
      <c r="B235" s="20">
        <v>2808</v>
      </c>
      <c r="C235" s="14">
        <f t="shared" si="15"/>
        <v>8.583743691391435E-3</v>
      </c>
      <c r="D235" s="68">
        <f t="shared" si="16"/>
        <v>1.9736432278795551E-2</v>
      </c>
      <c r="E235" s="68">
        <f t="shared" si="17"/>
        <v>-4.8142174045373058E-5</v>
      </c>
      <c r="F235" s="68">
        <f t="shared" si="18"/>
        <v>-4.5961949446972433E-2</v>
      </c>
      <c r="G235" s="72">
        <f t="shared" si="19"/>
        <v>0</v>
      </c>
    </row>
    <row r="236" spans="1:7" x14ac:dyDescent="0.25">
      <c r="A236" s="2">
        <v>45063</v>
      </c>
      <c r="B236" s="20">
        <v>2784</v>
      </c>
      <c r="C236" s="14">
        <f t="shared" si="15"/>
        <v>1.0108389320761057E-2</v>
      </c>
      <c r="D236" s="68">
        <f t="shared" si="16"/>
        <v>1.9994227191759188E-2</v>
      </c>
      <c r="E236" s="68">
        <f t="shared" si="17"/>
        <v>1.2254787784756225E-4</v>
      </c>
      <c r="F236" s="68">
        <f t="shared" si="18"/>
        <v>-4.6390980042790998E-2</v>
      </c>
      <c r="G236" s="72">
        <f t="shared" si="19"/>
        <v>0</v>
      </c>
    </row>
    <row r="237" spans="1:7" x14ac:dyDescent="0.25">
      <c r="A237" s="2">
        <v>45062</v>
      </c>
      <c r="B237" s="20">
        <v>2756</v>
      </c>
      <c r="C237" s="14">
        <f t="shared" si="15"/>
        <v>5.0927720112894856E-3</v>
      </c>
      <c r="D237" s="68">
        <f t="shared" si="16"/>
        <v>1.9987761387794015E-2</v>
      </c>
      <c r="E237" s="68">
        <f t="shared" si="17"/>
        <v>5.8480573819853127E-5</v>
      </c>
      <c r="F237" s="68">
        <f t="shared" si="18"/>
        <v>-4.6440005637510363E-2</v>
      </c>
      <c r="G237" s="72">
        <f t="shared" si="19"/>
        <v>0</v>
      </c>
    </row>
    <row r="238" spans="1:7" x14ac:dyDescent="0.25">
      <c r="A238" s="2">
        <v>45061</v>
      </c>
      <c r="B238" s="20">
        <v>2742</v>
      </c>
      <c r="C238" s="14">
        <f t="shared" si="15"/>
        <v>-2.1857932199802082E-3</v>
      </c>
      <c r="D238" s="68">
        <f t="shared" si="16"/>
        <v>2.0287735061008616E-2</v>
      </c>
      <c r="E238" s="68">
        <f t="shared" si="17"/>
        <v>-1.8249779452562519E-4</v>
      </c>
      <c r="F238" s="68">
        <f t="shared" si="18"/>
        <v>-4.7378827122806846E-2</v>
      </c>
      <c r="G238" s="72">
        <f t="shared" si="19"/>
        <v>0</v>
      </c>
    </row>
    <row r="239" spans="1:7" x14ac:dyDescent="0.25">
      <c r="A239" s="2">
        <v>45058</v>
      </c>
      <c r="B239" s="20">
        <v>2748</v>
      </c>
      <c r="C239" s="14">
        <f t="shared" si="15"/>
        <v>-6.5288588824635556E-3</v>
      </c>
      <c r="D239" s="68">
        <f t="shared" si="16"/>
        <v>2.0303475064101045E-2</v>
      </c>
      <c r="E239" s="68">
        <f t="shared" si="17"/>
        <v>-1.2326306763354067E-4</v>
      </c>
      <c r="F239" s="68">
        <f t="shared" si="18"/>
        <v>-4.7356209118646235E-2</v>
      </c>
      <c r="G239" s="72">
        <f t="shared" si="19"/>
        <v>0</v>
      </c>
    </row>
    <row r="240" spans="1:7" x14ac:dyDescent="0.25">
      <c r="A240" s="2">
        <v>45057</v>
      </c>
      <c r="B240" s="20">
        <v>2766</v>
      </c>
      <c r="C240" s="14">
        <f t="shared" si="15"/>
        <v>-1.3644735929777186E-2</v>
      </c>
      <c r="D240" s="68">
        <f t="shared" si="16"/>
        <v>2.0313980928413695E-2</v>
      </c>
      <c r="E240" s="68">
        <f t="shared" si="17"/>
        <v>-4.8868735754364274E-5</v>
      </c>
      <c r="F240" s="68">
        <f t="shared" si="18"/>
        <v>-4.7306255081875755E-2</v>
      </c>
      <c r="G240" s="72">
        <f t="shared" si="19"/>
        <v>0</v>
      </c>
    </row>
    <row r="241" spans="1:7" x14ac:dyDescent="0.25">
      <c r="A241" s="2">
        <v>45056</v>
      </c>
      <c r="B241" s="20">
        <v>2804</v>
      </c>
      <c r="C241" s="14">
        <f t="shared" si="15"/>
        <v>2.857144800779744E-3</v>
      </c>
      <c r="D241" s="68">
        <f t="shared" si="16"/>
        <v>2.0305392701880559E-2</v>
      </c>
      <c r="E241" s="68">
        <f t="shared" si="17"/>
        <v>-3.4091115447927771E-5</v>
      </c>
      <c r="F241" s="68">
        <f t="shared" si="18"/>
        <v>-4.7271498259032173E-2</v>
      </c>
      <c r="G241" s="72">
        <f t="shared" si="19"/>
        <v>0</v>
      </c>
    </row>
    <row r="242" spans="1:7" x14ac:dyDescent="0.25">
      <c r="A242" s="2">
        <v>45055</v>
      </c>
      <c r="B242" s="20">
        <v>2796</v>
      </c>
      <c r="C242" s="14">
        <f t="shared" si="15"/>
        <v>1.0787591128997385E-2</v>
      </c>
      <c r="D242" s="68">
        <f t="shared" si="16"/>
        <v>2.0403040546587176E-2</v>
      </c>
      <c r="E242" s="68">
        <f t="shared" si="17"/>
        <v>8.0927615886343287E-5</v>
      </c>
      <c r="F242" s="68">
        <f t="shared" si="18"/>
        <v>-4.7383642383635807E-2</v>
      </c>
      <c r="G242" s="72">
        <f t="shared" si="19"/>
        <v>0</v>
      </c>
    </row>
    <row r="243" spans="1:7" x14ac:dyDescent="0.25">
      <c r="A243" s="2">
        <v>45054</v>
      </c>
      <c r="B243" s="20">
        <v>2766</v>
      </c>
      <c r="C243" s="14">
        <f t="shared" si="15"/>
        <v>-5.0486944599792225E-3</v>
      </c>
      <c r="D243" s="68">
        <f t="shared" si="16"/>
        <v>2.0426486548884792E-2</v>
      </c>
      <c r="E243" s="68">
        <f t="shared" si="17"/>
        <v>-3.7423806630234955E-5</v>
      </c>
      <c r="F243" s="68">
        <f t="shared" si="18"/>
        <v>-4.7556537363752205E-2</v>
      </c>
      <c r="G243" s="72">
        <f t="shared" si="19"/>
        <v>0</v>
      </c>
    </row>
    <row r="244" spans="1:7" x14ac:dyDescent="0.25">
      <c r="A244" s="2">
        <v>45051</v>
      </c>
      <c r="B244" s="20">
        <v>2780</v>
      </c>
      <c r="C244" s="14">
        <f t="shared" si="15"/>
        <v>-7.168489478612516E-3</v>
      </c>
      <c r="D244" s="68">
        <f t="shared" si="16"/>
        <v>2.0430161918317008E-2</v>
      </c>
      <c r="E244" s="68">
        <f t="shared" si="17"/>
        <v>1.4414430013196879E-5</v>
      </c>
      <c r="F244" s="68">
        <f t="shared" si="18"/>
        <v>-4.7513249314973721E-2</v>
      </c>
      <c r="G244" s="72">
        <f t="shared" si="19"/>
        <v>0</v>
      </c>
    </row>
    <row r="245" spans="1:7" x14ac:dyDescent="0.25">
      <c r="A245" s="2">
        <v>45050</v>
      </c>
      <c r="B245" s="20">
        <v>2800</v>
      </c>
      <c r="C245" s="14">
        <f t="shared" si="15"/>
        <v>-2.1405644991109884E-3</v>
      </c>
      <c r="D245" s="68">
        <f t="shared" si="16"/>
        <v>2.0568141620412688E-2</v>
      </c>
      <c r="E245" s="68">
        <f t="shared" si="17"/>
        <v>-1.0990476513606826E-4</v>
      </c>
      <c r="F245" s="68">
        <f t="shared" si="18"/>
        <v>-4.7958557296754058E-2</v>
      </c>
      <c r="G245" s="72">
        <f t="shared" si="19"/>
        <v>0</v>
      </c>
    </row>
    <row r="246" spans="1:7" x14ac:dyDescent="0.25">
      <c r="A246" s="2">
        <v>45049</v>
      </c>
      <c r="B246" s="20">
        <v>2806</v>
      </c>
      <c r="C246" s="14">
        <f t="shared" si="15"/>
        <v>2.0159070001789271E-2</v>
      </c>
      <c r="D246" s="68">
        <f t="shared" si="16"/>
        <v>2.0596225547541036E-2</v>
      </c>
      <c r="E246" s="68">
        <f t="shared" si="17"/>
        <v>-1.7023845767518062E-4</v>
      </c>
      <c r="F246" s="68">
        <f t="shared" si="18"/>
        <v>-4.8084223973462917E-2</v>
      </c>
      <c r="G246" s="72">
        <f t="shared" si="19"/>
        <v>0</v>
      </c>
    </row>
    <row r="247" spans="1:7" x14ac:dyDescent="0.25">
      <c r="A247" s="2">
        <v>45048</v>
      </c>
      <c r="B247" s="20">
        <v>2750</v>
      </c>
      <c r="C247" s="14">
        <f t="shared" si="15"/>
        <v>2.9133305383573071E-3</v>
      </c>
      <c r="D247" s="68">
        <f t="shared" si="16"/>
        <v>2.0597387093178019E-2</v>
      </c>
      <c r="E247" s="68">
        <f t="shared" si="17"/>
        <v>-3.3468990289645773E-4</v>
      </c>
      <c r="F247" s="68">
        <f t="shared" si="18"/>
        <v>-4.8251377577907394E-2</v>
      </c>
      <c r="G247" s="72">
        <f t="shared" si="19"/>
        <v>0</v>
      </c>
    </row>
    <row r="248" spans="1:7" x14ac:dyDescent="0.25">
      <c r="A248" s="2">
        <v>45044</v>
      </c>
      <c r="B248" s="20">
        <v>2742</v>
      </c>
      <c r="C248" s="14">
        <f t="shared" si="15"/>
        <v>2.9218428383647722E-3</v>
      </c>
      <c r="D248" s="68">
        <f t="shared" si="16"/>
        <v>2.0610995360841544E-2</v>
      </c>
      <c r="E248" s="68">
        <f t="shared" si="17"/>
        <v>-3.9685901774031616E-4</v>
      </c>
      <c r="F248" s="68">
        <f t="shared" si="18"/>
        <v>-4.834520425729967E-2</v>
      </c>
      <c r="G248" s="72">
        <f t="shared" si="19"/>
        <v>0</v>
      </c>
    </row>
    <row r="249" spans="1:7" x14ac:dyDescent="0.25">
      <c r="A249" s="2">
        <v>45043</v>
      </c>
      <c r="B249" s="20">
        <v>2734</v>
      </c>
      <c r="C249" s="14">
        <f t="shared" si="15"/>
        <v>3.9542637679393658E-2</v>
      </c>
      <c r="D249" s="68">
        <f t="shared" si="16"/>
        <v>2.0609998352005988E-2</v>
      </c>
      <c r="E249" s="68">
        <f t="shared" si="17"/>
        <v>-4.1382691791346665E-4</v>
      </c>
      <c r="F249" s="68">
        <f t="shared" si="18"/>
        <v>-4.8359852768087824E-2</v>
      </c>
      <c r="G249" s="72">
        <f t="shared" si="19"/>
        <v>0</v>
      </c>
    </row>
    <row r="250" spans="1:7" x14ac:dyDescent="0.25">
      <c r="A250" s="2">
        <v>45042</v>
      </c>
      <c r="B250" s="20">
        <v>2628</v>
      </c>
      <c r="C250" s="14">
        <f t="shared" si="15"/>
        <v>4.5766670274118935E-3</v>
      </c>
      <c r="D250" s="68">
        <f t="shared" si="16"/>
        <v>2.0622108131388654E-2</v>
      </c>
      <c r="E250" s="68">
        <f t="shared" si="17"/>
        <v>-4.0771992224414511E-4</v>
      </c>
      <c r="F250" s="68">
        <f t="shared" si="18"/>
        <v>-4.8381917331940472E-2</v>
      </c>
      <c r="G250" s="72">
        <f t="shared" si="19"/>
        <v>0</v>
      </c>
    </row>
    <row r="251" spans="1:7" x14ac:dyDescent="0.25">
      <c r="A251" s="2">
        <v>45041</v>
      </c>
      <c r="B251" s="20">
        <v>2616</v>
      </c>
      <c r="C251" s="14">
        <f t="shared" si="15"/>
        <v>-1.2158204479809519E-2</v>
      </c>
      <c r="D251" s="68">
        <f t="shared" si="16"/>
        <v>2.0852960718839589E-2</v>
      </c>
      <c r="E251" s="68">
        <f t="shared" si="17"/>
        <v>-6.2445869564767005E-4</v>
      </c>
      <c r="F251" s="68">
        <f t="shared" si="18"/>
        <v>-4.9135699531377315E-2</v>
      </c>
      <c r="G251" s="72">
        <f t="shared" si="19"/>
        <v>0</v>
      </c>
    </row>
    <row r="252" spans="1:7" x14ac:dyDescent="0.25">
      <c r="A252" s="2">
        <v>45040</v>
      </c>
      <c r="B252" s="20">
        <v>2648</v>
      </c>
      <c r="C252" s="14">
        <f t="shared" si="15"/>
        <v>-2.240571697526678E-2</v>
      </c>
      <c r="D252" s="68">
        <f t="shared" si="16"/>
        <v>2.084116494893061E-2</v>
      </c>
      <c r="E252" s="68">
        <f t="shared" si="17"/>
        <v>-5.9149169409737287E-4</v>
      </c>
      <c r="F252" s="68">
        <f t="shared" si="18"/>
        <v>-4.9075291465576584E-2</v>
      </c>
      <c r="G252" s="72">
        <f t="shared" si="19"/>
        <v>0</v>
      </c>
    </row>
    <row r="253" spans="1:7" x14ac:dyDescent="0.25">
      <c r="A253" s="2">
        <v>45037</v>
      </c>
      <c r="B253" s="20">
        <v>2708</v>
      </c>
      <c r="C253" s="14">
        <f t="shared" si="15"/>
        <v>1.0393560527263302E-2</v>
      </c>
      <c r="D253" s="68">
        <f t="shared" si="16"/>
        <v>2.0882950385535452E-2</v>
      </c>
      <c r="E253" s="68">
        <f t="shared" si="17"/>
        <v>-3.8285178186913494E-4</v>
      </c>
      <c r="F253" s="68">
        <f t="shared" si="18"/>
        <v>-4.8963859014959886E-2</v>
      </c>
      <c r="G253" s="72">
        <f t="shared" si="19"/>
        <v>0</v>
      </c>
    </row>
    <row r="254" spans="1:7" x14ac:dyDescent="0.25">
      <c r="A254" s="2">
        <v>45036</v>
      </c>
      <c r="B254" s="20">
        <v>2680</v>
      </c>
      <c r="C254" s="14">
        <f t="shared" si="15"/>
        <v>3.7383221106071581E-3</v>
      </c>
      <c r="D254" s="68">
        <f t="shared" si="16"/>
        <v>2.0875493945929555E-2</v>
      </c>
      <c r="E254" s="68">
        <f t="shared" si="17"/>
        <v>-4.5118197658137489E-4</v>
      </c>
      <c r="F254" s="68">
        <f t="shared" si="18"/>
        <v>-4.9014842937247033E-2</v>
      </c>
      <c r="G254" s="72">
        <f t="shared" si="19"/>
        <v>0</v>
      </c>
    </row>
    <row r="255" spans="1:7" x14ac:dyDescent="0.25">
      <c r="A255" s="2">
        <v>45035</v>
      </c>
      <c r="B255" s="20">
        <v>2670</v>
      </c>
      <c r="C255" s="14">
        <f t="shared" si="15"/>
        <v>-1.6345089000519248E-2</v>
      </c>
      <c r="D255" s="68">
        <f t="shared" si="16"/>
        <v>2.087458234525693E-2</v>
      </c>
      <c r="E255" s="68">
        <f t="shared" si="17"/>
        <v>-4.7944642539450208E-4</v>
      </c>
      <c r="F255" s="68">
        <f t="shared" si="18"/>
        <v>-4.9040986685773426E-2</v>
      </c>
      <c r="G255" s="72">
        <f t="shared" si="19"/>
        <v>0</v>
      </c>
    </row>
    <row r="256" spans="1:7" x14ac:dyDescent="0.25">
      <c r="A256" s="2">
        <v>45034</v>
      </c>
      <c r="B256" s="20">
        <v>2714</v>
      </c>
      <c r="C256" s="14">
        <f t="shared" si="15"/>
        <v>0</v>
      </c>
      <c r="D256" s="68">
        <f t="shared" si="16"/>
        <v>2.0874979996972225E-2</v>
      </c>
      <c r="E256" s="68">
        <f t="shared" si="17"/>
        <v>-4.799654182064455E-4</v>
      </c>
      <c r="F256" s="68">
        <f t="shared" si="18"/>
        <v>-4.904243075480786E-2</v>
      </c>
      <c r="G256" s="72">
        <f t="shared" si="19"/>
        <v>0</v>
      </c>
    </row>
    <row r="257" spans="1:7" x14ac:dyDescent="0.25">
      <c r="A257" s="2">
        <v>45033</v>
      </c>
      <c r="B257" s="20">
        <v>2714</v>
      </c>
      <c r="C257" s="14">
        <f t="shared" si="15"/>
        <v>5.9128036271133217E-3</v>
      </c>
      <c r="D257" s="68">
        <f t="shared" si="16"/>
        <v>2.0893181813373331E-2</v>
      </c>
      <c r="E257" s="68">
        <f t="shared" si="17"/>
        <v>-5.3707216363317698E-4</v>
      </c>
      <c r="F257" s="68">
        <f t="shared" si="18"/>
        <v>-4.9141881257122981E-2</v>
      </c>
      <c r="G257" s="72">
        <f t="shared" si="19"/>
        <v>0</v>
      </c>
    </row>
    <row r="258" spans="1:7" x14ac:dyDescent="0.25">
      <c r="A258" s="2">
        <v>45030</v>
      </c>
      <c r="B258" s="20">
        <v>2698</v>
      </c>
      <c r="C258" s="14">
        <f t="shared" si="15"/>
        <v>3.2394546371379507E-2</v>
      </c>
      <c r="D258" s="68">
        <f t="shared" si="16"/>
        <v>2.0913818862628851E-2</v>
      </c>
      <c r="E258" s="68">
        <f t="shared" si="17"/>
        <v>-6.2717858079225212E-4</v>
      </c>
      <c r="F258" s="68">
        <f t="shared" si="18"/>
        <v>-4.9279996629944117E-2</v>
      </c>
      <c r="G258" s="72">
        <f t="shared" si="19"/>
        <v>0</v>
      </c>
    </row>
    <row r="259" spans="1:7" x14ac:dyDescent="0.25">
      <c r="A259" s="2">
        <v>45029</v>
      </c>
      <c r="B259" s="20">
        <v>2612</v>
      </c>
      <c r="C259" s="14">
        <f t="shared" si="15"/>
        <v>-1.7457748876868923E-2</v>
      </c>
      <c r="D259" s="68">
        <f t="shared" si="16"/>
        <v>2.0882246183572185E-2</v>
      </c>
      <c r="E259" s="68">
        <f t="shared" si="17"/>
        <v>-6.4885041548496183E-4</v>
      </c>
      <c r="F259" s="68">
        <f t="shared" si="18"/>
        <v>-4.9228219429835574E-2</v>
      </c>
      <c r="G259" s="72">
        <f t="shared" si="19"/>
        <v>0</v>
      </c>
    </row>
    <row r="260" spans="1:7" x14ac:dyDescent="0.25">
      <c r="A260" s="2">
        <v>45028</v>
      </c>
      <c r="B260" s="20">
        <v>2658</v>
      </c>
      <c r="C260" s="14">
        <f t="shared" si="15"/>
        <v>-1.9374674600555905E-2</v>
      </c>
      <c r="D260" s="68">
        <f t="shared" si="16"/>
        <v>2.0911492051846274E-2</v>
      </c>
      <c r="E260" s="68">
        <f t="shared" si="17"/>
        <v>-4.8415331350822174E-4</v>
      </c>
      <c r="F260" s="68">
        <f t="shared" si="18"/>
        <v>-4.9131558391342742E-2</v>
      </c>
      <c r="G260" s="72">
        <f t="shared" si="19"/>
        <v>0</v>
      </c>
    </row>
    <row r="261" spans="1:7" x14ac:dyDescent="0.25">
      <c r="A261" s="2">
        <v>45027</v>
      </c>
      <c r="B261" s="20">
        <v>2710</v>
      </c>
      <c r="C261" s="14">
        <f t="shared" ref="C261:C324" si="20">+LN(B261/B262)</f>
        <v>-1.4749265210678676E-3</v>
      </c>
      <c r="D261" s="68">
        <f t="shared" ref="D261:D324" si="21">STDEV(C261:C510)</f>
        <v>2.1018258005837842E-2</v>
      </c>
      <c r="E261" s="68">
        <f t="shared" ref="E261:E324" si="22">AVERAGE(C261:C510)</f>
        <v>-2.5446234455587841E-4</v>
      </c>
      <c r="F261" s="68">
        <f t="shared" ref="F261:F324" si="23">E261+$L$8*D261</f>
        <v>-4.9150242172478625E-2</v>
      </c>
      <c r="G261" s="72">
        <f t="shared" si="19"/>
        <v>0</v>
      </c>
    </row>
    <row r="262" spans="1:7" x14ac:dyDescent="0.25">
      <c r="A262" s="2">
        <v>45022</v>
      </c>
      <c r="B262" s="20">
        <v>2714</v>
      </c>
      <c r="C262" s="14">
        <f t="shared" si="20"/>
        <v>3.6914032319596769E-3</v>
      </c>
      <c r="D262" s="68">
        <f t="shared" si="21"/>
        <v>2.1110507267239141E-2</v>
      </c>
      <c r="E262" s="68">
        <f t="shared" si="22"/>
        <v>-1.2478342307392084E-4</v>
      </c>
      <c r="F262" s="68">
        <f t="shared" si="23"/>
        <v>-4.9235167124139417E-2</v>
      </c>
      <c r="G262" s="72">
        <f t="shared" ref="G262:G325" si="24">IF(C261&lt;F262,1,0)</f>
        <v>0</v>
      </c>
    </row>
    <row r="263" spans="1:7" x14ac:dyDescent="0.25">
      <c r="A263" s="2">
        <v>45021</v>
      </c>
      <c r="B263" s="20">
        <v>2704</v>
      </c>
      <c r="C263" s="14">
        <f t="shared" si="20"/>
        <v>9.6619109117368901E-3</v>
      </c>
      <c r="D263" s="68">
        <f t="shared" si="21"/>
        <v>2.1109118258334589E-2</v>
      </c>
      <c r="E263" s="68">
        <f t="shared" si="22"/>
        <v>-1.3954903600175969E-4</v>
      </c>
      <c r="F263" s="68">
        <f t="shared" si="23"/>
        <v>-4.9246701419155124E-2</v>
      </c>
      <c r="G263" s="72">
        <f t="shared" si="24"/>
        <v>0</v>
      </c>
    </row>
    <row r="264" spans="1:7" x14ac:dyDescent="0.25">
      <c r="A264" s="2">
        <v>45020</v>
      </c>
      <c r="B264" s="20">
        <v>2678</v>
      </c>
      <c r="C264" s="14">
        <f t="shared" si="20"/>
        <v>2.8789867178667126E-2</v>
      </c>
      <c r="D264" s="68">
        <f t="shared" si="21"/>
        <v>2.1103250918092509E-2</v>
      </c>
      <c r="E264" s="68">
        <f t="shared" si="22"/>
        <v>-1.5527398081276688E-4</v>
      </c>
      <c r="F264" s="68">
        <f t="shared" si="23"/>
        <v>-4.9248776889467695E-2</v>
      </c>
      <c r="G264" s="72">
        <f t="shared" si="24"/>
        <v>0</v>
      </c>
    </row>
    <row r="265" spans="1:7" x14ac:dyDescent="0.25">
      <c r="A265" s="2">
        <v>45019</v>
      </c>
      <c r="B265" s="20">
        <v>2602</v>
      </c>
      <c r="C265" s="14">
        <f t="shared" si="20"/>
        <v>1.471184103188982E-2</v>
      </c>
      <c r="D265" s="68">
        <f t="shared" si="21"/>
        <v>2.10380581719125E-2</v>
      </c>
      <c r="E265" s="68">
        <f t="shared" si="22"/>
        <v>-2.2128212635266236E-4</v>
      </c>
      <c r="F265" s="68">
        <f t="shared" si="23"/>
        <v>-4.9163124028528842E-2</v>
      </c>
      <c r="G265" s="72">
        <f t="shared" si="24"/>
        <v>0</v>
      </c>
    </row>
    <row r="266" spans="1:7" x14ac:dyDescent="0.25">
      <c r="A266" s="2">
        <v>45016</v>
      </c>
      <c r="B266" s="20">
        <v>2564</v>
      </c>
      <c r="C266" s="14">
        <f t="shared" si="20"/>
        <v>2.5277807184268607E-2</v>
      </c>
      <c r="D266" s="68">
        <f t="shared" si="21"/>
        <v>2.1017255622196942E-2</v>
      </c>
      <c r="E266" s="68">
        <f t="shared" si="22"/>
        <v>-2.7139268322085675E-4</v>
      </c>
      <c r="F266" s="68">
        <f t="shared" si="23"/>
        <v>-4.9164840618091621E-2</v>
      </c>
      <c r="G266" s="72">
        <f t="shared" si="24"/>
        <v>0</v>
      </c>
    </row>
    <row r="267" spans="1:7" x14ac:dyDescent="0.25">
      <c r="A267" s="2">
        <v>45015</v>
      </c>
      <c r="B267" s="20">
        <v>2500</v>
      </c>
      <c r="C267" s="14">
        <f t="shared" si="20"/>
        <v>-2.1370025736192521E-2</v>
      </c>
      <c r="D267" s="68">
        <f t="shared" si="21"/>
        <v>2.1088538631476608E-2</v>
      </c>
      <c r="E267" s="68">
        <f t="shared" si="22"/>
        <v>-5.241130496256122E-4</v>
      </c>
      <c r="F267" s="68">
        <f t="shared" si="23"/>
        <v>-4.9583390061589357E-2</v>
      </c>
      <c r="G267" s="72">
        <f t="shared" si="24"/>
        <v>0</v>
      </c>
    </row>
    <row r="268" spans="1:7" x14ac:dyDescent="0.25">
      <c r="A268" s="2">
        <v>45014</v>
      </c>
      <c r="B268" s="20">
        <v>2554</v>
      </c>
      <c r="C268" s="14">
        <f t="shared" si="20"/>
        <v>4.7095848430851669E-3</v>
      </c>
      <c r="D268" s="68">
        <f t="shared" si="21"/>
        <v>2.1136035602092988E-2</v>
      </c>
      <c r="E268" s="68">
        <f t="shared" si="22"/>
        <v>-5.6299529496096695E-4</v>
      </c>
      <c r="F268" s="68">
        <f t="shared" si="23"/>
        <v>-4.9732766783541514E-2</v>
      </c>
      <c r="G268" s="72">
        <f t="shared" si="24"/>
        <v>0</v>
      </c>
    </row>
    <row r="269" spans="1:7" x14ac:dyDescent="0.25">
      <c r="A269" s="2">
        <v>45013</v>
      </c>
      <c r="B269" s="20">
        <v>2542</v>
      </c>
      <c r="C269" s="14">
        <f t="shared" si="20"/>
        <v>1.9865571842055504E-2</v>
      </c>
      <c r="D269" s="68">
        <f t="shared" si="21"/>
        <v>2.1145957118109085E-2</v>
      </c>
      <c r="E269" s="68">
        <f t="shared" si="22"/>
        <v>-5.3805754761603844E-4</v>
      </c>
      <c r="F269" s="68">
        <f t="shared" si="23"/>
        <v>-4.9730909933887894E-2</v>
      </c>
      <c r="G269" s="72">
        <f t="shared" si="24"/>
        <v>0</v>
      </c>
    </row>
    <row r="270" spans="1:7" x14ac:dyDescent="0.25">
      <c r="A270" s="2">
        <v>45012</v>
      </c>
      <c r="B270" s="20">
        <v>2492</v>
      </c>
      <c r="C270" s="14">
        <f t="shared" si="20"/>
        <v>7.2493269549105347E-3</v>
      </c>
      <c r="D270" s="68">
        <f t="shared" si="21"/>
        <v>2.1110761233486604E-2</v>
      </c>
      <c r="E270" s="68">
        <f t="shared" si="22"/>
        <v>-6.4766728841507252E-4</v>
      </c>
      <c r="F270" s="68">
        <f t="shared" si="23"/>
        <v>-4.975864180332043E-2</v>
      </c>
      <c r="G270" s="72">
        <f t="shared" si="24"/>
        <v>0</v>
      </c>
    </row>
    <row r="271" spans="1:7" x14ac:dyDescent="0.25">
      <c r="A271" s="2">
        <v>45009</v>
      </c>
      <c r="B271" s="20">
        <v>2474</v>
      </c>
      <c r="C271" s="14">
        <f t="shared" si="20"/>
        <v>-2.8687226164918655E-2</v>
      </c>
      <c r="D271" s="68">
        <f t="shared" si="21"/>
        <v>2.1108357694335091E-2</v>
      </c>
      <c r="E271" s="68">
        <f t="shared" si="22"/>
        <v>-7.0387558552572466E-4</v>
      </c>
      <c r="F271" s="68">
        <f t="shared" si="23"/>
        <v>-4.9809258632235787E-2</v>
      </c>
      <c r="G271" s="72">
        <f t="shared" si="24"/>
        <v>0</v>
      </c>
    </row>
    <row r="272" spans="1:7" x14ac:dyDescent="0.25">
      <c r="A272" s="2">
        <v>45008</v>
      </c>
      <c r="B272" s="20">
        <v>2546</v>
      </c>
      <c r="C272" s="14">
        <f t="shared" si="20"/>
        <v>3.4362150190943297E-2</v>
      </c>
      <c r="D272" s="68">
        <f t="shared" si="21"/>
        <v>2.1070516018378661E-2</v>
      </c>
      <c r="E272" s="68">
        <f t="shared" si="22"/>
        <v>-5.1246451229630468E-4</v>
      </c>
      <c r="F272" s="68">
        <f t="shared" si="23"/>
        <v>-4.9529814656594985E-2</v>
      </c>
      <c r="G272" s="72">
        <f t="shared" si="24"/>
        <v>0</v>
      </c>
    </row>
    <row r="273" spans="1:7" x14ac:dyDescent="0.25">
      <c r="A273" s="2">
        <v>45007</v>
      </c>
      <c r="B273" s="20">
        <v>2460</v>
      </c>
      <c r="C273" s="14">
        <f t="shared" si="20"/>
        <v>-1.6129381929883644E-2</v>
      </c>
      <c r="D273" s="68">
        <f t="shared" si="21"/>
        <v>2.1057246743439766E-2</v>
      </c>
      <c r="E273" s="68">
        <f t="shared" si="22"/>
        <v>-5.2068839188217097E-4</v>
      </c>
      <c r="F273" s="68">
        <f t="shared" si="23"/>
        <v>-4.9507169586636687E-2</v>
      </c>
      <c r="G273" s="72">
        <f t="shared" si="24"/>
        <v>0</v>
      </c>
    </row>
    <row r="274" spans="1:7" x14ac:dyDescent="0.25">
      <c r="A274" s="2">
        <v>45006</v>
      </c>
      <c r="B274" s="20">
        <v>2500</v>
      </c>
      <c r="C274" s="14">
        <f t="shared" si="20"/>
        <v>0</v>
      </c>
      <c r="D274" s="68">
        <f t="shared" si="21"/>
        <v>2.1034452176072974E-2</v>
      </c>
      <c r="E274" s="68">
        <f t="shared" si="22"/>
        <v>-4.6757500588599267E-4</v>
      </c>
      <c r="F274" s="68">
        <f t="shared" si="23"/>
        <v>-4.9401028107307093E-2</v>
      </c>
      <c r="G274" s="72">
        <f t="shared" si="24"/>
        <v>0</v>
      </c>
    </row>
    <row r="275" spans="1:7" x14ac:dyDescent="0.25">
      <c r="A275" s="2">
        <v>45005</v>
      </c>
      <c r="B275" s="20">
        <v>2500</v>
      </c>
      <c r="C275" s="14">
        <f t="shared" si="20"/>
        <v>3.3349979681554121E-2</v>
      </c>
      <c r="D275" s="68">
        <f t="shared" si="21"/>
        <v>2.1039940297084534E-2</v>
      </c>
      <c r="E275" s="68">
        <f t="shared" si="22"/>
        <v>-4.390034558364718E-4</v>
      </c>
      <c r="F275" s="68">
        <f t="shared" si="23"/>
        <v>-4.9385223835905295E-2</v>
      </c>
      <c r="G275" s="72">
        <f t="shared" si="24"/>
        <v>0</v>
      </c>
    </row>
    <row r="276" spans="1:7" x14ac:dyDescent="0.25">
      <c r="A276" s="2">
        <v>45002</v>
      </c>
      <c r="B276" s="20">
        <v>2418</v>
      </c>
      <c r="C276" s="14">
        <f t="shared" si="20"/>
        <v>8.3056955872783996E-3</v>
      </c>
      <c r="D276" s="68">
        <f t="shared" si="21"/>
        <v>2.0931116225496035E-2</v>
      </c>
      <c r="E276" s="68">
        <f t="shared" si="22"/>
        <v>-5.8671465995422387E-4</v>
      </c>
      <c r="F276" s="68">
        <f t="shared" si="23"/>
        <v>-4.9279772392438671E-2</v>
      </c>
      <c r="G276" s="72">
        <f t="shared" si="24"/>
        <v>0</v>
      </c>
    </row>
    <row r="277" spans="1:7" x14ac:dyDescent="0.25">
      <c r="A277" s="2">
        <v>45001</v>
      </c>
      <c r="B277" s="20">
        <v>2398</v>
      </c>
      <c r="C277" s="14">
        <f t="shared" si="20"/>
        <v>-2.5526293338948881E-2</v>
      </c>
      <c r="D277" s="68">
        <f t="shared" si="21"/>
        <v>2.1217794712473183E-2</v>
      </c>
      <c r="E277" s="68">
        <f t="shared" si="22"/>
        <v>-3.9969833357122813E-4</v>
      </c>
      <c r="F277" s="68">
        <f t="shared" si="23"/>
        <v>-4.9759669954768208E-2</v>
      </c>
      <c r="G277" s="72">
        <f t="shared" si="24"/>
        <v>0</v>
      </c>
    </row>
    <row r="278" spans="1:7" x14ac:dyDescent="0.25">
      <c r="A278" s="2">
        <v>44999</v>
      </c>
      <c r="B278" s="20">
        <v>2460</v>
      </c>
      <c r="C278" s="14">
        <f t="shared" si="20"/>
        <v>-3.1215019347924526E-2</v>
      </c>
      <c r="D278" s="68">
        <f t="shared" si="21"/>
        <v>2.1161536797313484E-2</v>
      </c>
      <c r="E278" s="68">
        <f t="shared" si="22"/>
        <v>-2.7336901350726614E-4</v>
      </c>
      <c r="F278" s="68">
        <f t="shared" si="23"/>
        <v>-4.950246515337451E-2</v>
      </c>
      <c r="G278" s="72">
        <f t="shared" si="24"/>
        <v>0</v>
      </c>
    </row>
    <row r="279" spans="1:7" x14ac:dyDescent="0.25">
      <c r="A279" s="2">
        <v>44998</v>
      </c>
      <c r="B279" s="20">
        <v>2538</v>
      </c>
      <c r="C279" s="14">
        <f t="shared" si="20"/>
        <v>-1.0192169766227685E-2</v>
      </c>
      <c r="D279" s="68">
        <f t="shared" si="21"/>
        <v>2.1147872773438076E-2</v>
      </c>
      <c r="E279" s="68">
        <f t="shared" si="22"/>
        <v>-3.4523556797095356E-5</v>
      </c>
      <c r="F279" s="68">
        <f t="shared" si="23"/>
        <v>-4.9231832423770945E-2</v>
      </c>
      <c r="G279" s="72">
        <f t="shared" si="24"/>
        <v>0</v>
      </c>
    </row>
    <row r="280" spans="1:7" x14ac:dyDescent="0.25">
      <c r="A280" s="2">
        <v>44995</v>
      </c>
      <c r="B280" s="20">
        <v>2564</v>
      </c>
      <c r="C280" s="14">
        <f t="shared" si="20"/>
        <v>-6.2208598751025057E-3</v>
      </c>
      <c r="D280" s="68">
        <f t="shared" si="21"/>
        <v>2.124112030498379E-2</v>
      </c>
      <c r="E280" s="68">
        <f t="shared" si="22"/>
        <v>-1.2592210653735635E-4</v>
      </c>
      <c r="F280" s="68">
        <f t="shared" si="23"/>
        <v>-4.954015717028213E-2</v>
      </c>
      <c r="G280" s="72">
        <f t="shared" si="24"/>
        <v>0</v>
      </c>
    </row>
    <row r="281" spans="1:7" x14ac:dyDescent="0.25">
      <c r="A281" s="2">
        <v>44994</v>
      </c>
      <c r="B281" s="20">
        <v>2580</v>
      </c>
      <c r="C281" s="14">
        <f t="shared" si="20"/>
        <v>-1.5384918839479456E-2</v>
      </c>
      <c r="D281" s="68">
        <f t="shared" si="21"/>
        <v>2.1238123755242595E-2</v>
      </c>
      <c r="E281" s="68">
        <f t="shared" si="22"/>
        <v>-9.1958072898790346E-5</v>
      </c>
      <c r="F281" s="68">
        <f t="shared" si="23"/>
        <v>-4.9499222119523678E-2</v>
      </c>
      <c r="G281" s="72">
        <f t="shared" si="24"/>
        <v>0</v>
      </c>
    </row>
    <row r="282" spans="1:7" x14ac:dyDescent="0.25">
      <c r="A282" s="2">
        <v>44993</v>
      </c>
      <c r="B282" s="20">
        <v>2620</v>
      </c>
      <c r="C282" s="14">
        <f t="shared" si="20"/>
        <v>-5.3292855480838452E-3</v>
      </c>
      <c r="D282" s="68">
        <f t="shared" si="21"/>
        <v>2.1250458942973238E-2</v>
      </c>
      <c r="E282" s="68">
        <f t="shared" si="22"/>
        <v>4.6065768246241308E-5</v>
      </c>
      <c r="F282" s="68">
        <f t="shared" si="23"/>
        <v>-4.938989421613172E-2</v>
      </c>
      <c r="G282" s="72">
        <f t="shared" si="24"/>
        <v>0</v>
      </c>
    </row>
    <row r="283" spans="1:7" x14ac:dyDescent="0.25">
      <c r="A283" s="2">
        <v>44992</v>
      </c>
      <c r="B283" s="20">
        <v>2634</v>
      </c>
      <c r="C283" s="14">
        <f t="shared" si="20"/>
        <v>-2.1037590292658462E-2</v>
      </c>
      <c r="D283" s="68">
        <f t="shared" si="21"/>
        <v>2.1265973229907344E-2</v>
      </c>
      <c r="E283" s="68">
        <f t="shared" si="22"/>
        <v>1.2337138284297227E-4</v>
      </c>
      <c r="F283" s="68">
        <f t="shared" si="23"/>
        <v>-4.934868022996141E-2</v>
      </c>
      <c r="G283" s="72">
        <f t="shared" si="24"/>
        <v>0</v>
      </c>
    </row>
    <row r="284" spans="1:7" x14ac:dyDescent="0.25">
      <c r="A284" s="2">
        <v>44991</v>
      </c>
      <c r="B284" s="20">
        <v>2690</v>
      </c>
      <c r="C284" s="14">
        <f t="shared" si="20"/>
        <v>1.0463473640827854E-2</v>
      </c>
      <c r="D284" s="68">
        <f t="shared" si="21"/>
        <v>2.1337560868804804E-2</v>
      </c>
      <c r="E284" s="68">
        <f t="shared" si="22"/>
        <v>6.8993086497237007E-5</v>
      </c>
      <c r="F284" s="68">
        <f t="shared" si="23"/>
        <v>-4.9569596277863857E-2</v>
      </c>
      <c r="G284" s="72">
        <f t="shared" si="24"/>
        <v>0</v>
      </c>
    </row>
    <row r="285" spans="1:7" x14ac:dyDescent="0.25">
      <c r="A285" s="2">
        <v>44988</v>
      </c>
      <c r="B285" s="20">
        <v>2662</v>
      </c>
      <c r="C285" s="14">
        <f t="shared" si="20"/>
        <v>-3.7495357014793633E-3</v>
      </c>
      <c r="D285" s="68">
        <f t="shared" si="21"/>
        <v>2.132755697224057E-2</v>
      </c>
      <c r="E285" s="68">
        <f t="shared" si="22"/>
        <v>3.3195211258785933E-5</v>
      </c>
      <c r="F285" s="68">
        <f t="shared" si="23"/>
        <v>-4.9582121609597976E-2</v>
      </c>
      <c r="G285" s="72">
        <f t="shared" si="24"/>
        <v>0</v>
      </c>
    </row>
    <row r="286" spans="1:7" x14ac:dyDescent="0.25">
      <c r="A286" s="2">
        <v>44987</v>
      </c>
      <c r="B286" s="20">
        <v>2672</v>
      </c>
      <c r="C286" s="14">
        <f t="shared" si="20"/>
        <v>-1.559630573827806E-2</v>
      </c>
      <c r="D286" s="68">
        <f t="shared" si="21"/>
        <v>2.1343752172278196E-2</v>
      </c>
      <c r="E286" s="68">
        <f t="shared" si="22"/>
        <v>1.0311412531231146E-4</v>
      </c>
      <c r="F286" s="68">
        <f t="shared" si="23"/>
        <v>-4.9549878364721647E-2</v>
      </c>
      <c r="G286" s="72">
        <f t="shared" si="24"/>
        <v>0</v>
      </c>
    </row>
    <row r="287" spans="1:7" x14ac:dyDescent="0.25">
      <c r="A287" s="2">
        <v>44986</v>
      </c>
      <c r="B287" s="20">
        <v>2714</v>
      </c>
      <c r="C287" s="14">
        <f t="shared" si="20"/>
        <v>-2.9433428165969171E-3</v>
      </c>
      <c r="D287" s="68">
        <f t="shared" si="21"/>
        <v>2.1440369481591857E-2</v>
      </c>
      <c r="E287" s="68">
        <f t="shared" si="22"/>
        <v>3.0937725122690555E-4</v>
      </c>
      <c r="F287" s="68">
        <f t="shared" si="23"/>
        <v>-4.9568380710924433E-2</v>
      </c>
      <c r="G287" s="72">
        <f t="shared" si="24"/>
        <v>0</v>
      </c>
    </row>
    <row r="288" spans="1:7" x14ac:dyDescent="0.25">
      <c r="A288" s="2">
        <v>44985</v>
      </c>
      <c r="B288" s="20">
        <v>2722</v>
      </c>
      <c r="C288" s="14">
        <f t="shared" si="20"/>
        <v>-2.3957588669003129E-2</v>
      </c>
      <c r="D288" s="68">
        <f t="shared" si="21"/>
        <v>2.1441235167296169E-2</v>
      </c>
      <c r="E288" s="68">
        <f t="shared" si="22"/>
        <v>3.4030468942048168E-4</v>
      </c>
      <c r="F288" s="68">
        <f t="shared" si="23"/>
        <v>-4.9539467158828676E-2</v>
      </c>
      <c r="G288" s="72">
        <f t="shared" si="24"/>
        <v>0</v>
      </c>
    </row>
    <row r="289" spans="1:7" x14ac:dyDescent="0.25">
      <c r="A289" s="2">
        <v>44984</v>
      </c>
      <c r="B289" s="20">
        <v>2788</v>
      </c>
      <c r="C289" s="14">
        <f t="shared" si="20"/>
        <v>3.5932485661254862E-3</v>
      </c>
      <c r="D289" s="68">
        <f t="shared" si="21"/>
        <v>2.1425228074096334E-2</v>
      </c>
      <c r="E289" s="68">
        <f t="shared" si="22"/>
        <v>5.202125129927952E-4</v>
      </c>
      <c r="F289" s="68">
        <f t="shared" si="23"/>
        <v>-4.932232126802135E-2</v>
      </c>
      <c r="G289" s="72">
        <f t="shared" si="24"/>
        <v>0</v>
      </c>
    </row>
    <row r="290" spans="1:7" x14ac:dyDescent="0.25">
      <c r="A290" s="2">
        <v>44981</v>
      </c>
      <c r="B290" s="20">
        <v>2778</v>
      </c>
      <c r="C290" s="14">
        <f t="shared" si="20"/>
        <v>0</v>
      </c>
      <c r="D290" s="68">
        <f t="shared" si="21"/>
        <v>2.1424458088906449E-2</v>
      </c>
      <c r="E290" s="68">
        <f t="shared" si="22"/>
        <v>5.1238081209121632E-4</v>
      </c>
      <c r="F290" s="68">
        <f t="shared" si="23"/>
        <v>-4.93283617155134E-2</v>
      </c>
      <c r="G290" s="72">
        <f t="shared" si="24"/>
        <v>0</v>
      </c>
    </row>
    <row r="291" spans="1:7" x14ac:dyDescent="0.25">
      <c r="A291" s="2">
        <v>44980</v>
      </c>
      <c r="B291" s="20">
        <v>2778</v>
      </c>
      <c r="C291" s="14">
        <f t="shared" si="20"/>
        <v>2.6999086151434419E-2</v>
      </c>
      <c r="D291" s="68">
        <f t="shared" si="21"/>
        <v>2.1741948551758285E-2</v>
      </c>
      <c r="E291" s="68">
        <f t="shared" si="22"/>
        <v>2.8029347448282617E-4</v>
      </c>
      <c r="F291" s="68">
        <f t="shared" si="23"/>
        <v>-5.0299042316405397E-2</v>
      </c>
      <c r="G291" s="72">
        <f t="shared" si="24"/>
        <v>0</v>
      </c>
    </row>
    <row r="292" spans="1:7" x14ac:dyDescent="0.25">
      <c r="A292" s="2">
        <v>44979</v>
      </c>
      <c r="B292" s="20">
        <v>2704</v>
      </c>
      <c r="C292" s="14">
        <f t="shared" si="20"/>
        <v>-6.6347460485566973E-3</v>
      </c>
      <c r="D292" s="68">
        <f t="shared" si="21"/>
        <v>2.1917349076976896E-2</v>
      </c>
      <c r="E292" s="68">
        <f t="shared" si="22"/>
        <v>3.7828323294578835E-4</v>
      </c>
      <c r="F292" s="68">
        <f t="shared" si="23"/>
        <v>-5.06090951968904E-2</v>
      </c>
      <c r="G292" s="72">
        <f t="shared" si="24"/>
        <v>0</v>
      </c>
    </row>
    <row r="293" spans="1:7" x14ac:dyDescent="0.25">
      <c r="A293" s="2">
        <v>44978</v>
      </c>
      <c r="B293" s="20">
        <v>2722</v>
      </c>
      <c r="C293" s="14">
        <f t="shared" si="20"/>
        <v>8.1151312189910278E-3</v>
      </c>
      <c r="D293" s="68">
        <f t="shared" si="21"/>
        <v>2.2136261953729554E-2</v>
      </c>
      <c r="E293" s="68">
        <f t="shared" si="22"/>
        <v>6.04863899438661E-4</v>
      </c>
      <c r="F293" s="68">
        <f t="shared" si="23"/>
        <v>-5.0891782035831237E-2</v>
      </c>
      <c r="G293" s="72">
        <f t="shared" si="24"/>
        <v>0</v>
      </c>
    </row>
    <row r="294" spans="1:7" x14ac:dyDescent="0.25">
      <c r="A294" s="2">
        <v>44977</v>
      </c>
      <c r="B294" s="20">
        <v>2700</v>
      </c>
      <c r="C294" s="14">
        <f t="shared" si="20"/>
        <v>-1.7621601349819559E-2</v>
      </c>
      <c r="D294" s="68">
        <f t="shared" si="21"/>
        <v>2.2640078921268167E-2</v>
      </c>
      <c r="E294" s="68">
        <f t="shared" si="22"/>
        <v>2.7279814187022579E-4</v>
      </c>
      <c r="F294" s="68">
        <f t="shared" si="23"/>
        <v>-5.2395901324738821E-2</v>
      </c>
      <c r="G294" s="72">
        <f t="shared" si="24"/>
        <v>0</v>
      </c>
    </row>
    <row r="295" spans="1:7" x14ac:dyDescent="0.25">
      <c r="A295" s="2">
        <v>44974</v>
      </c>
      <c r="B295" s="20">
        <v>2748</v>
      </c>
      <c r="C295" s="14">
        <f t="shared" si="20"/>
        <v>-1.5884810540023102E-2</v>
      </c>
      <c r="D295" s="68">
        <f t="shared" si="21"/>
        <v>2.2634406849901176E-2</v>
      </c>
      <c r="E295" s="68">
        <f t="shared" si="22"/>
        <v>2.8034068354224539E-4</v>
      </c>
      <c r="F295" s="68">
        <f t="shared" si="23"/>
        <v>-5.23751635719008E-2</v>
      </c>
      <c r="G295" s="72">
        <f t="shared" si="24"/>
        <v>0</v>
      </c>
    </row>
    <row r="296" spans="1:7" x14ac:dyDescent="0.25">
      <c r="A296" s="2">
        <v>44973</v>
      </c>
      <c r="B296" s="20">
        <v>2792</v>
      </c>
      <c r="C296" s="14">
        <f t="shared" si="20"/>
        <v>-1.4316394714377388E-3</v>
      </c>
      <c r="D296" s="68">
        <f t="shared" si="21"/>
        <v>2.2611250280525189E-2</v>
      </c>
      <c r="E296" s="68">
        <f t="shared" si="22"/>
        <v>3.5012992697390396E-4</v>
      </c>
      <c r="F296" s="68">
        <f t="shared" si="23"/>
        <v>-5.225150409253123E-2</v>
      </c>
      <c r="G296" s="72">
        <f t="shared" si="24"/>
        <v>0</v>
      </c>
    </row>
    <row r="297" spans="1:7" x14ac:dyDescent="0.25">
      <c r="A297" s="2">
        <v>44972</v>
      </c>
      <c r="B297" s="20">
        <v>2796</v>
      </c>
      <c r="C297" s="14">
        <f t="shared" si="20"/>
        <v>-2.85714480077978E-3</v>
      </c>
      <c r="D297" s="68">
        <f t="shared" si="21"/>
        <v>2.2653789125080859E-2</v>
      </c>
      <c r="E297" s="68">
        <f t="shared" si="22"/>
        <v>2.6923283667813812E-4</v>
      </c>
      <c r="F297" s="68">
        <f t="shared" si="23"/>
        <v>-5.2431361333423236E-2</v>
      </c>
      <c r="G297" s="72">
        <f t="shared" si="24"/>
        <v>0</v>
      </c>
    </row>
    <row r="298" spans="1:7" x14ac:dyDescent="0.25">
      <c r="A298" s="2">
        <v>44971</v>
      </c>
      <c r="B298" s="20">
        <v>2804</v>
      </c>
      <c r="C298" s="14">
        <f t="shared" si="20"/>
        <v>-5.6899157776785702E-3</v>
      </c>
      <c r="D298" s="68">
        <f t="shared" si="21"/>
        <v>2.2672026513258829E-2</v>
      </c>
      <c r="E298" s="68">
        <f t="shared" si="22"/>
        <v>2.2293158739491409E-4</v>
      </c>
      <c r="F298" s="68">
        <f t="shared" si="23"/>
        <v>-5.2520089091922337E-2</v>
      </c>
      <c r="G298" s="72">
        <f t="shared" si="24"/>
        <v>0</v>
      </c>
    </row>
    <row r="299" spans="1:7" x14ac:dyDescent="0.25">
      <c r="A299" s="2">
        <v>44970</v>
      </c>
      <c r="B299" s="20">
        <v>2820</v>
      </c>
      <c r="C299" s="14">
        <f t="shared" si="20"/>
        <v>8.5470605784583476E-3</v>
      </c>
      <c r="D299" s="68">
        <f t="shared" si="21"/>
        <v>2.267033622342246E-2</v>
      </c>
      <c r="E299" s="68">
        <f t="shared" si="22"/>
        <v>2.3063665990841285E-4</v>
      </c>
      <c r="F299" s="68">
        <f t="shared" si="23"/>
        <v>-5.2508451817241494E-2</v>
      </c>
      <c r="G299" s="72">
        <f t="shared" si="24"/>
        <v>0</v>
      </c>
    </row>
    <row r="300" spans="1:7" x14ac:dyDescent="0.25">
      <c r="A300" s="2">
        <v>44967</v>
      </c>
      <c r="B300" s="20">
        <v>2796</v>
      </c>
      <c r="C300" s="14">
        <f t="shared" si="20"/>
        <v>1.1510918466140272E-2</v>
      </c>
      <c r="D300" s="68">
        <f t="shared" si="21"/>
        <v>2.2666458106267721E-2</v>
      </c>
      <c r="E300" s="68">
        <f t="shared" si="22"/>
        <v>2.1754074518721167E-4</v>
      </c>
      <c r="F300" s="68">
        <f t="shared" si="23"/>
        <v>-5.2512525882364477E-2</v>
      </c>
      <c r="G300" s="72">
        <f t="shared" si="24"/>
        <v>0</v>
      </c>
    </row>
    <row r="301" spans="1:7" x14ac:dyDescent="0.25">
      <c r="A301" s="2">
        <v>44966</v>
      </c>
      <c r="B301" s="20">
        <v>2764</v>
      </c>
      <c r="C301" s="14">
        <f t="shared" si="20"/>
        <v>7.238509183230779E-4</v>
      </c>
      <c r="D301" s="68">
        <f t="shared" si="21"/>
        <v>2.2655113644438746E-2</v>
      </c>
      <c r="E301" s="68">
        <f t="shared" si="22"/>
        <v>1.7149707132265059E-4</v>
      </c>
      <c r="F301" s="68">
        <f t="shared" si="23"/>
        <v>-5.2532178391571073E-2</v>
      </c>
      <c r="G301" s="72">
        <f t="shared" si="24"/>
        <v>0</v>
      </c>
    </row>
    <row r="302" spans="1:7" x14ac:dyDescent="0.25">
      <c r="A302" s="2">
        <v>44965</v>
      </c>
      <c r="B302" s="20">
        <v>2762</v>
      </c>
      <c r="C302" s="14">
        <f t="shared" si="20"/>
        <v>9.4580552267963941E-3</v>
      </c>
      <c r="D302" s="68">
        <f t="shared" si="21"/>
        <v>2.2661378790313286E-2</v>
      </c>
      <c r="E302" s="68">
        <f t="shared" si="22"/>
        <v>1.3550633029977291E-4</v>
      </c>
      <c r="F302" s="68">
        <f t="shared" si="23"/>
        <v>-5.2582744041379741E-2</v>
      </c>
      <c r="G302" s="72">
        <f t="shared" si="24"/>
        <v>0</v>
      </c>
    </row>
    <row r="303" spans="1:7" x14ac:dyDescent="0.25">
      <c r="A303" s="2">
        <v>44964</v>
      </c>
      <c r="B303" s="20">
        <v>2736</v>
      </c>
      <c r="C303" s="14">
        <f t="shared" si="20"/>
        <v>1.9934214900817329E-2</v>
      </c>
      <c r="D303" s="68">
        <f t="shared" si="21"/>
        <v>2.2653646275619416E-2</v>
      </c>
      <c r="E303" s="68">
        <f t="shared" si="22"/>
        <v>9.767410939258764E-5</v>
      </c>
      <c r="F303" s="68">
        <f t="shared" si="23"/>
        <v>-5.2602587743167853E-2</v>
      </c>
      <c r="G303" s="72">
        <f t="shared" si="24"/>
        <v>0</v>
      </c>
    </row>
    <row r="304" spans="1:7" x14ac:dyDescent="0.25">
      <c r="A304" s="2">
        <v>44963</v>
      </c>
      <c r="B304" s="20">
        <v>2682</v>
      </c>
      <c r="C304" s="14">
        <f t="shared" si="20"/>
        <v>-2.1395135540492084E-2</v>
      </c>
      <c r="D304" s="68">
        <f t="shared" si="21"/>
        <v>2.2631185071713036E-2</v>
      </c>
      <c r="E304" s="68">
        <f t="shared" si="22"/>
        <v>-2.9717818714077629E-5</v>
      </c>
      <c r="F304" s="68">
        <f t="shared" si="23"/>
        <v>-5.2677727097318508E-2</v>
      </c>
      <c r="G304" s="72">
        <f t="shared" si="24"/>
        <v>0</v>
      </c>
    </row>
    <row r="305" spans="1:7" x14ac:dyDescent="0.25">
      <c r="A305" s="2">
        <v>44960</v>
      </c>
      <c r="B305" s="20">
        <v>2740</v>
      </c>
      <c r="C305" s="14">
        <f t="shared" si="20"/>
        <v>-3.6429912785010919E-3</v>
      </c>
      <c r="D305" s="68">
        <f t="shared" si="21"/>
        <v>2.2591286332241941E-2</v>
      </c>
      <c r="E305" s="68">
        <f t="shared" si="22"/>
        <v>4.4037142033481316E-5</v>
      </c>
      <c r="F305" s="68">
        <f t="shared" si="23"/>
        <v>-5.2511153788825461E-2</v>
      </c>
      <c r="G305" s="72">
        <f t="shared" si="24"/>
        <v>0</v>
      </c>
    </row>
    <row r="306" spans="1:7" x14ac:dyDescent="0.25">
      <c r="A306" s="2">
        <v>44959</v>
      </c>
      <c r="B306" s="20">
        <v>2750</v>
      </c>
      <c r="C306" s="14">
        <f t="shared" si="20"/>
        <v>1.4652276786870415E-2</v>
      </c>
      <c r="D306" s="68">
        <f t="shared" si="21"/>
        <v>2.2618144999220987E-2</v>
      </c>
      <c r="E306" s="68">
        <f t="shared" si="22"/>
        <v>1.300927668222444E-4</v>
      </c>
      <c r="F306" s="68">
        <f t="shared" si="23"/>
        <v>-5.2487580766862975E-2</v>
      </c>
      <c r="G306" s="72">
        <f t="shared" si="24"/>
        <v>0</v>
      </c>
    </row>
    <row r="307" spans="1:7" x14ac:dyDescent="0.25">
      <c r="A307" s="2">
        <v>44958</v>
      </c>
      <c r="B307" s="20">
        <v>2710</v>
      </c>
      <c r="C307" s="14">
        <f t="shared" si="20"/>
        <v>1.0385850032122834E-2</v>
      </c>
      <c r="D307" s="68">
        <f t="shared" si="21"/>
        <v>2.260259324552322E-2</v>
      </c>
      <c r="E307" s="68">
        <f t="shared" si="22"/>
        <v>4.7513550490519113E-5</v>
      </c>
      <c r="F307" s="68">
        <f t="shared" si="23"/>
        <v>-5.253398119404229E-2</v>
      </c>
      <c r="G307" s="72">
        <f t="shared" si="24"/>
        <v>0</v>
      </c>
    </row>
    <row r="308" spans="1:7" x14ac:dyDescent="0.25">
      <c r="A308" s="2">
        <v>44957</v>
      </c>
      <c r="B308" s="20">
        <v>2682</v>
      </c>
      <c r="C308" s="14">
        <f t="shared" si="20"/>
        <v>-7.4294546785203756E-3</v>
      </c>
      <c r="D308" s="68">
        <f t="shared" si="21"/>
        <v>2.259325647571302E-2</v>
      </c>
      <c r="E308" s="68">
        <f t="shared" si="22"/>
        <v>3.9109340765897119E-18</v>
      </c>
      <c r="F308" s="68">
        <f t="shared" si="23"/>
        <v>-5.2559774169934438E-2</v>
      </c>
      <c r="G308" s="72">
        <f t="shared" si="24"/>
        <v>0</v>
      </c>
    </row>
    <row r="309" spans="1:7" x14ac:dyDescent="0.25">
      <c r="A309" s="2">
        <v>44956</v>
      </c>
      <c r="B309" s="20">
        <v>2702</v>
      </c>
      <c r="C309" s="14">
        <f t="shared" si="20"/>
        <v>-3.1332253360270373E-2</v>
      </c>
      <c r="D309" s="68">
        <f t="shared" si="21"/>
        <v>2.259793398072777E-2</v>
      </c>
      <c r="E309" s="68">
        <f t="shared" si="22"/>
        <v>-1.1825581414405545E-5</v>
      </c>
      <c r="F309" s="68">
        <f t="shared" si="23"/>
        <v>-5.2582481255195726E-2</v>
      </c>
      <c r="G309" s="72">
        <f t="shared" si="24"/>
        <v>0</v>
      </c>
    </row>
    <row r="310" spans="1:7" x14ac:dyDescent="0.25">
      <c r="A310" s="2">
        <v>44953</v>
      </c>
      <c r="B310" s="20">
        <v>2788</v>
      </c>
      <c r="C310" s="14">
        <f t="shared" si="20"/>
        <v>1.4451118538174506E-2</v>
      </c>
      <c r="D310" s="68">
        <f t="shared" si="21"/>
        <v>2.251138627021709E-2</v>
      </c>
      <c r="E310" s="68">
        <f t="shared" si="22"/>
        <v>1.2829087955198068E-4</v>
      </c>
      <c r="F310" s="68">
        <f t="shared" si="23"/>
        <v>-5.2241024711879712E-2</v>
      </c>
      <c r="G310" s="72">
        <f t="shared" si="24"/>
        <v>0</v>
      </c>
    </row>
    <row r="311" spans="1:7" x14ac:dyDescent="0.25">
      <c r="A311" s="2">
        <v>44952</v>
      </c>
      <c r="B311" s="20">
        <v>2748</v>
      </c>
      <c r="C311" s="14">
        <f t="shared" si="20"/>
        <v>2.8794901947944641E-2</v>
      </c>
      <c r="D311" s="68">
        <f t="shared" si="21"/>
        <v>2.2523154888167977E-2</v>
      </c>
      <c r="E311" s="68">
        <f t="shared" si="22"/>
        <v>-2.9101492735032487E-6</v>
      </c>
      <c r="F311" s="68">
        <f t="shared" si="23"/>
        <v>-5.239960364005565E-2</v>
      </c>
      <c r="G311" s="72">
        <f t="shared" si="24"/>
        <v>0</v>
      </c>
    </row>
    <row r="312" spans="1:7" x14ac:dyDescent="0.25">
      <c r="A312" s="2">
        <v>44951</v>
      </c>
      <c r="B312" s="20">
        <v>2670</v>
      </c>
      <c r="C312" s="14">
        <f t="shared" si="20"/>
        <v>4.5045121211045079E-3</v>
      </c>
      <c r="D312" s="68">
        <f t="shared" si="21"/>
        <v>2.2454716431773551E-2</v>
      </c>
      <c r="E312" s="68">
        <f t="shared" si="22"/>
        <v>-8.5961070276224658E-5</v>
      </c>
      <c r="F312" s="68">
        <f t="shared" si="23"/>
        <v>-5.232344290352256E-2</v>
      </c>
      <c r="G312" s="72">
        <f t="shared" si="24"/>
        <v>0</v>
      </c>
    </row>
    <row r="313" spans="1:7" x14ac:dyDescent="0.25">
      <c r="A313" s="2">
        <v>44950</v>
      </c>
      <c r="B313" s="20">
        <v>2658</v>
      </c>
      <c r="C313" s="14">
        <f t="shared" si="20"/>
        <v>-6.7491819749284495E-3</v>
      </c>
      <c r="D313" s="68">
        <f t="shared" si="21"/>
        <v>2.2458422035716248E-2</v>
      </c>
      <c r="E313" s="68">
        <f t="shared" si="22"/>
        <v>-1.3610780554969984E-4</v>
      </c>
      <c r="F313" s="68">
        <f t="shared" si="23"/>
        <v>-5.2382210162650163E-2</v>
      </c>
      <c r="G313" s="72">
        <f t="shared" si="24"/>
        <v>0</v>
      </c>
    </row>
    <row r="314" spans="1:7" x14ac:dyDescent="0.25">
      <c r="A314" s="2">
        <v>44949</v>
      </c>
      <c r="B314" s="20">
        <v>2676</v>
      </c>
      <c r="C314" s="14">
        <f t="shared" si="20"/>
        <v>-5.2180513477656709E-3</v>
      </c>
      <c r="D314" s="68">
        <f t="shared" si="21"/>
        <v>2.2532567550644658E-2</v>
      </c>
      <c r="E314" s="68">
        <f t="shared" si="22"/>
        <v>8.97867941530113E-6</v>
      </c>
      <c r="F314" s="68">
        <f t="shared" si="23"/>
        <v>-5.2409611938708536E-2</v>
      </c>
      <c r="G314" s="72">
        <f t="shared" si="24"/>
        <v>0</v>
      </c>
    </row>
    <row r="315" spans="1:7" x14ac:dyDescent="0.25">
      <c r="A315" s="2">
        <v>44946</v>
      </c>
      <c r="B315" s="20">
        <v>2690</v>
      </c>
      <c r="C315" s="14">
        <f t="shared" si="20"/>
        <v>-3.7105793965356015E-3</v>
      </c>
      <c r="D315" s="68">
        <f t="shared" si="21"/>
        <v>2.2531352775567896E-2</v>
      </c>
      <c r="E315" s="68">
        <f t="shared" si="22"/>
        <v>4.4860283280565225E-5</v>
      </c>
      <c r="F315" s="68">
        <f t="shared" si="23"/>
        <v>-5.2370904345426003E-2</v>
      </c>
      <c r="G315" s="72">
        <f t="shared" si="24"/>
        <v>0</v>
      </c>
    </row>
    <row r="316" spans="1:7" x14ac:dyDescent="0.25">
      <c r="A316" s="2">
        <v>44945</v>
      </c>
      <c r="B316" s="20">
        <v>2700</v>
      </c>
      <c r="C316" s="14">
        <f t="shared" si="20"/>
        <v>4.4543503493803746E-3</v>
      </c>
      <c r="D316" s="68">
        <f t="shared" si="21"/>
        <v>2.2550300393398965E-2</v>
      </c>
      <c r="E316" s="68">
        <f t="shared" si="22"/>
        <v>1.2030982094911675E-4</v>
      </c>
      <c r="F316" s="68">
        <f t="shared" si="23"/>
        <v>-5.2339533558216897E-2</v>
      </c>
      <c r="G316" s="72">
        <f t="shared" si="24"/>
        <v>0</v>
      </c>
    </row>
    <row r="317" spans="1:7" x14ac:dyDescent="0.25">
      <c r="A317" s="2">
        <v>44944</v>
      </c>
      <c r="B317" s="20">
        <v>2688</v>
      </c>
      <c r="C317" s="14">
        <f t="shared" si="20"/>
        <v>7.443245598572956E-4</v>
      </c>
      <c r="D317" s="68">
        <f t="shared" si="21"/>
        <v>2.2600663672357742E-2</v>
      </c>
      <c r="E317" s="68">
        <f t="shared" si="22"/>
        <v>5.9568142058756542E-6</v>
      </c>
      <c r="F317" s="68">
        <f t="shared" si="23"/>
        <v>-5.2571049071895616E-2</v>
      </c>
      <c r="G317" s="72">
        <f t="shared" si="24"/>
        <v>0</v>
      </c>
    </row>
    <row r="318" spans="1:7" x14ac:dyDescent="0.25">
      <c r="A318" s="2">
        <v>44943</v>
      </c>
      <c r="B318" s="20">
        <v>2686</v>
      </c>
      <c r="C318" s="14">
        <f t="shared" si="20"/>
        <v>-8.1572569489827412E-3</v>
      </c>
      <c r="D318" s="68">
        <f t="shared" si="21"/>
        <v>2.2613335697198512E-2</v>
      </c>
      <c r="E318" s="68">
        <f t="shared" si="22"/>
        <v>5.0956103109723462E-5</v>
      </c>
      <c r="F318" s="68">
        <f t="shared" si="23"/>
        <v>-5.2555529321039886E-2</v>
      </c>
      <c r="G318" s="72">
        <f t="shared" si="24"/>
        <v>0</v>
      </c>
    </row>
    <row r="319" spans="1:7" x14ac:dyDescent="0.25">
      <c r="A319" s="2">
        <v>44942</v>
      </c>
      <c r="B319" s="20">
        <v>2708</v>
      </c>
      <c r="C319" s="14">
        <f t="shared" si="20"/>
        <v>7.4129323891255336E-3</v>
      </c>
      <c r="D319" s="68">
        <f t="shared" si="21"/>
        <v>2.2608176031322536E-2</v>
      </c>
      <c r="E319" s="68">
        <f t="shared" si="22"/>
        <v>7.1536929025688167E-5</v>
      </c>
      <c r="F319" s="68">
        <f t="shared" si="23"/>
        <v>-5.2522945317382587E-2</v>
      </c>
      <c r="G319" s="72">
        <f t="shared" si="24"/>
        <v>0</v>
      </c>
    </row>
    <row r="320" spans="1:7" x14ac:dyDescent="0.25">
      <c r="A320" s="2">
        <v>44939</v>
      </c>
      <c r="B320" s="20">
        <v>2688</v>
      </c>
      <c r="C320" s="14">
        <f t="shared" si="20"/>
        <v>-7.437709528446524E-4</v>
      </c>
      <c r="D320" s="68">
        <f t="shared" si="21"/>
        <v>2.2619691107736609E-2</v>
      </c>
      <c r="E320" s="68">
        <f t="shared" si="22"/>
        <v>9.6390206316246182E-5</v>
      </c>
      <c r="F320" s="68">
        <f t="shared" si="23"/>
        <v>-5.2524880113627326E-2</v>
      </c>
      <c r="G320" s="72">
        <f t="shared" si="24"/>
        <v>0</v>
      </c>
    </row>
    <row r="321" spans="1:7" x14ac:dyDescent="0.25">
      <c r="A321" s="2">
        <v>44938</v>
      </c>
      <c r="B321" s="20">
        <v>2690</v>
      </c>
      <c r="C321" s="14">
        <f t="shared" si="20"/>
        <v>-4.451045924259424E-3</v>
      </c>
      <c r="D321" s="68">
        <f t="shared" si="21"/>
        <v>2.2644359567437097E-2</v>
      </c>
      <c r="E321" s="68">
        <f t="shared" si="22"/>
        <v>3.2848262241485764E-5</v>
      </c>
      <c r="F321" s="68">
        <f t="shared" si="23"/>
        <v>-5.2645809476482175E-2</v>
      </c>
      <c r="G321" s="72">
        <f t="shared" si="24"/>
        <v>0</v>
      </c>
    </row>
    <row r="322" spans="1:7" x14ac:dyDescent="0.25">
      <c r="A322" s="2">
        <v>44937</v>
      </c>
      <c r="B322" s="20">
        <v>2702</v>
      </c>
      <c r="C322" s="14">
        <f t="shared" si="20"/>
        <v>8.1754450152418598E-3</v>
      </c>
      <c r="D322" s="68">
        <f t="shared" si="21"/>
        <v>2.2645711259755941E-2</v>
      </c>
      <c r="E322" s="68">
        <f t="shared" si="22"/>
        <v>7.4712668857568275E-5</v>
      </c>
      <c r="F322" s="68">
        <f t="shared" si="23"/>
        <v>-5.2607089576418395E-2</v>
      </c>
      <c r="G322" s="72">
        <f t="shared" si="24"/>
        <v>0</v>
      </c>
    </row>
    <row r="323" spans="1:7" x14ac:dyDescent="0.25">
      <c r="A323" s="2">
        <v>44936</v>
      </c>
      <c r="B323" s="20">
        <v>2680</v>
      </c>
      <c r="C323" s="14">
        <f t="shared" si="20"/>
        <v>7.4654725378456299E-4</v>
      </c>
      <c r="D323" s="68">
        <f t="shared" si="21"/>
        <v>2.2654294852848256E-2</v>
      </c>
      <c r="E323" s="68">
        <f t="shared" si="22"/>
        <v>-8.9452143131180654E-6</v>
      </c>
      <c r="F323" s="68">
        <f t="shared" si="23"/>
        <v>-5.2710715883131018E-2</v>
      </c>
      <c r="G323" s="72">
        <f t="shared" si="24"/>
        <v>0</v>
      </c>
    </row>
    <row r="324" spans="1:7" x14ac:dyDescent="0.25">
      <c r="A324" s="2">
        <v>44935</v>
      </c>
      <c r="B324" s="20">
        <v>2678</v>
      </c>
      <c r="C324" s="14">
        <f t="shared" si="20"/>
        <v>1.1265609194219086E-2</v>
      </c>
      <c r="D324" s="68">
        <f t="shared" si="21"/>
        <v>2.2654436419950533E-2</v>
      </c>
      <c r="E324" s="68">
        <f t="shared" si="22"/>
        <v>-1.7883785379064031E-5</v>
      </c>
      <c r="F324" s="68">
        <f t="shared" si="23"/>
        <v>-5.2719983788524383E-2</v>
      </c>
      <c r="G324" s="72">
        <f t="shared" si="24"/>
        <v>0</v>
      </c>
    </row>
    <row r="325" spans="1:7" x14ac:dyDescent="0.25">
      <c r="A325" s="2">
        <v>44932</v>
      </c>
      <c r="B325" s="20">
        <v>2648</v>
      </c>
      <c r="C325" s="14">
        <f t="shared" ref="C325:C388" si="25">+LN(B325/B326)</f>
        <v>1.139397058705351E-2</v>
      </c>
      <c r="D325" s="68">
        <f t="shared" ref="D325:D388" si="26">STDEV(C325:C574)</f>
        <v>2.2665141757769708E-2</v>
      </c>
      <c r="E325" s="68">
        <f t="shared" ref="E325:E388" si="27">AVERAGE(C325:C574)</f>
        <v>3.6221026178395733E-18</v>
      </c>
      <c r="F325" s="68">
        <f t="shared" ref="F325:F388" si="28">E325+$L$8*D325</f>
        <v>-5.2727004343021834E-2</v>
      </c>
      <c r="G325" s="72">
        <f t="shared" si="24"/>
        <v>0</v>
      </c>
    </row>
    <row r="326" spans="1:7" x14ac:dyDescent="0.25">
      <c r="A326" s="2">
        <v>44931</v>
      </c>
      <c r="B326" s="20">
        <v>2618</v>
      </c>
      <c r="C326" s="14">
        <f t="shared" si="25"/>
        <v>2.2944560735236254E-3</v>
      </c>
      <c r="D326" s="68">
        <f t="shared" si="26"/>
        <v>2.2655449061306444E-2</v>
      </c>
      <c r="E326" s="68">
        <f t="shared" si="27"/>
        <v>-2.7407796610206738E-5</v>
      </c>
      <c r="F326" s="68">
        <f t="shared" si="28"/>
        <v>-5.2731863555821018E-2</v>
      </c>
      <c r="G326" s="72">
        <f t="shared" ref="G326:G389" si="29">IF(C325&lt;F326,1,0)</f>
        <v>0</v>
      </c>
    </row>
    <row r="327" spans="1:7" x14ac:dyDescent="0.25">
      <c r="A327" s="2">
        <v>44930</v>
      </c>
      <c r="B327" s="20">
        <v>2612</v>
      </c>
      <c r="C327" s="14">
        <f t="shared" si="25"/>
        <v>-1.4443428583946231E-2</v>
      </c>
      <c r="D327" s="68">
        <f t="shared" si="26"/>
        <v>2.2671745843952377E-2</v>
      </c>
      <c r="E327" s="68">
        <f t="shared" si="27"/>
        <v>1.8419065546996634E-5</v>
      </c>
      <c r="F327" s="68">
        <f t="shared" si="28"/>
        <v>-5.272394867932588E-2</v>
      </c>
      <c r="G327" s="72">
        <f t="shared" si="29"/>
        <v>0</v>
      </c>
    </row>
    <row r="328" spans="1:7" x14ac:dyDescent="0.25">
      <c r="A328" s="2">
        <v>44929</v>
      </c>
      <c r="B328" s="20">
        <v>2650</v>
      </c>
      <c r="C328" s="14">
        <f t="shared" si="25"/>
        <v>1.5975995933724393E-2</v>
      </c>
      <c r="D328" s="68">
        <f t="shared" si="26"/>
        <v>2.2654493240119342E-2</v>
      </c>
      <c r="E328" s="68">
        <f t="shared" si="27"/>
        <v>6.0837674654118704E-5</v>
      </c>
      <c r="F328" s="68">
        <f t="shared" si="28"/>
        <v>-5.2641394511970113E-2</v>
      </c>
      <c r="G328" s="72">
        <f t="shared" si="29"/>
        <v>0</v>
      </c>
    </row>
    <row r="329" spans="1:7" x14ac:dyDescent="0.25">
      <c r="A329" s="2">
        <v>44928</v>
      </c>
      <c r="B329" s="20">
        <v>2608</v>
      </c>
      <c r="C329" s="14">
        <f t="shared" si="25"/>
        <v>2.3032639740930899E-3</v>
      </c>
      <c r="D329" s="68">
        <f t="shared" si="26"/>
        <v>2.263276674771833E-2</v>
      </c>
      <c r="E329" s="68">
        <f t="shared" si="27"/>
        <v>-1.5308093693203356E-5</v>
      </c>
      <c r="F329" s="68">
        <f t="shared" si="28"/>
        <v>-5.2666996900909979E-2</v>
      </c>
      <c r="G329" s="72">
        <f t="shared" si="29"/>
        <v>0</v>
      </c>
    </row>
    <row r="330" spans="1:7" x14ac:dyDescent="0.25">
      <c r="A330" s="2">
        <v>44925</v>
      </c>
      <c r="B330" s="20">
        <v>2602</v>
      </c>
      <c r="C330" s="14">
        <f t="shared" si="25"/>
        <v>-1.0703466099359698E-2</v>
      </c>
      <c r="D330" s="68">
        <f t="shared" si="26"/>
        <v>2.2636523868417208E-2</v>
      </c>
      <c r="E330" s="68">
        <f t="shared" si="27"/>
        <v>3.0757402515119158E-6</v>
      </c>
      <c r="F330" s="68">
        <f t="shared" si="28"/>
        <v>-5.2657353436715612E-2</v>
      </c>
      <c r="G330" s="72">
        <f t="shared" si="29"/>
        <v>0</v>
      </c>
    </row>
    <row r="331" spans="1:7" x14ac:dyDescent="0.25">
      <c r="A331" s="2">
        <v>44924</v>
      </c>
      <c r="B331" s="20">
        <v>2630</v>
      </c>
      <c r="C331" s="14">
        <f t="shared" si="25"/>
        <v>5.3374125947209753E-3</v>
      </c>
      <c r="D331" s="68">
        <f t="shared" si="26"/>
        <v>2.2629629965876412E-2</v>
      </c>
      <c r="E331" s="68">
        <f t="shared" si="27"/>
        <v>7.0581041077274781E-5</v>
      </c>
      <c r="F331" s="68">
        <f t="shared" si="28"/>
        <v>-5.2573810520370218E-2</v>
      </c>
      <c r="G331" s="72">
        <f t="shared" si="29"/>
        <v>0</v>
      </c>
    </row>
    <row r="332" spans="1:7" x14ac:dyDescent="0.25">
      <c r="A332" s="2">
        <v>44923</v>
      </c>
      <c r="B332" s="20">
        <v>2616</v>
      </c>
      <c r="C332" s="14">
        <f t="shared" si="25"/>
        <v>-6.0975798681184449E-3</v>
      </c>
      <c r="D332" s="68">
        <f t="shared" si="26"/>
        <v>2.2682468032260972E-2</v>
      </c>
      <c r="E332" s="68">
        <f t="shared" si="27"/>
        <v>1.4955012828648449E-4</v>
      </c>
      <c r="F332" s="68">
        <f t="shared" si="28"/>
        <v>-5.2617761156563164E-2</v>
      </c>
      <c r="G332" s="72">
        <f t="shared" si="29"/>
        <v>0</v>
      </c>
    </row>
    <row r="333" spans="1:7" x14ac:dyDescent="0.25">
      <c r="A333" s="2">
        <v>44922</v>
      </c>
      <c r="B333" s="20">
        <v>2632</v>
      </c>
      <c r="C333" s="14">
        <f t="shared" si="25"/>
        <v>-3.034903695154047E-3</v>
      </c>
      <c r="D333" s="68">
        <f t="shared" si="26"/>
        <v>2.2684354731751059E-2</v>
      </c>
      <c r="E333" s="68">
        <f t="shared" si="27"/>
        <v>2.0581312635566573E-4</v>
      </c>
      <c r="F333" s="68">
        <f t="shared" si="28"/>
        <v>-5.2565887277841693E-2</v>
      </c>
      <c r="G333" s="72">
        <f t="shared" si="29"/>
        <v>0</v>
      </c>
    </row>
    <row r="334" spans="1:7" x14ac:dyDescent="0.25">
      <c r="A334" s="2">
        <v>44918</v>
      </c>
      <c r="B334" s="20">
        <v>2640</v>
      </c>
      <c r="C334" s="14">
        <f t="shared" si="25"/>
        <v>0</v>
      </c>
      <c r="D334" s="68">
        <f t="shared" si="26"/>
        <v>2.2734462965410724E-2</v>
      </c>
      <c r="E334" s="68">
        <f t="shared" si="27"/>
        <v>3.1512351141245996E-4</v>
      </c>
      <c r="F334" s="68">
        <f t="shared" si="28"/>
        <v>-5.2573146075631003E-2</v>
      </c>
      <c r="G334" s="72">
        <f t="shared" si="29"/>
        <v>0</v>
      </c>
    </row>
    <row r="335" spans="1:7" x14ac:dyDescent="0.25">
      <c r="A335" s="2">
        <v>44917</v>
      </c>
      <c r="B335" s="20">
        <v>2640</v>
      </c>
      <c r="C335" s="14">
        <f t="shared" si="25"/>
        <v>3.0349036951541112E-3</v>
      </c>
      <c r="D335" s="68">
        <f t="shared" si="26"/>
        <v>2.2737660851809151E-2</v>
      </c>
      <c r="E335" s="68">
        <f t="shared" si="27"/>
        <v>2.9223828347802334E-4</v>
      </c>
      <c r="F335" s="68">
        <f t="shared" si="28"/>
        <v>-5.2603470699789844E-2</v>
      </c>
      <c r="G335" s="72">
        <f t="shared" si="29"/>
        <v>0</v>
      </c>
    </row>
    <row r="336" spans="1:7" x14ac:dyDescent="0.25">
      <c r="A336" s="2">
        <v>44916</v>
      </c>
      <c r="B336" s="20">
        <v>2632</v>
      </c>
      <c r="C336" s="14">
        <f t="shared" si="25"/>
        <v>-6.060624611690958E-3</v>
      </c>
      <c r="D336" s="68">
        <f t="shared" si="26"/>
        <v>2.2741037028000222E-2</v>
      </c>
      <c r="E336" s="68">
        <f t="shared" si="27"/>
        <v>2.5410345129274226E-4</v>
      </c>
      <c r="F336" s="68">
        <f t="shared" si="28"/>
        <v>-5.2649459692279611E-2</v>
      </c>
      <c r="G336" s="72">
        <f t="shared" si="29"/>
        <v>0</v>
      </c>
    </row>
    <row r="337" spans="1:7" x14ac:dyDescent="0.25">
      <c r="A337" s="2">
        <v>44915</v>
      </c>
      <c r="B337" s="20">
        <v>2648</v>
      </c>
      <c r="C337" s="14">
        <f t="shared" si="25"/>
        <v>1.5117160853219392E-3</v>
      </c>
      <c r="D337" s="68">
        <f t="shared" si="26"/>
        <v>2.2737508452432217E-2</v>
      </c>
      <c r="E337" s="68">
        <f t="shared" si="27"/>
        <v>2.7834594973950632E-4</v>
      </c>
      <c r="F337" s="68">
        <f t="shared" si="28"/>
        <v>-5.2617008499561829E-2</v>
      </c>
      <c r="G337" s="72">
        <f t="shared" si="29"/>
        <v>0</v>
      </c>
    </row>
    <row r="338" spans="1:7" x14ac:dyDescent="0.25">
      <c r="A338" s="2">
        <v>44914</v>
      </c>
      <c r="B338" s="20">
        <v>2644</v>
      </c>
      <c r="C338" s="14">
        <f t="shared" si="25"/>
        <v>1.0646488394487485E-2</v>
      </c>
      <c r="D338" s="68">
        <f t="shared" si="26"/>
        <v>2.2749924245885331E-2</v>
      </c>
      <c r="E338" s="68">
        <f t="shared" si="27"/>
        <v>3.2117953073732024E-4</v>
      </c>
      <c r="F338" s="68">
        <f t="shared" si="28"/>
        <v>-5.2603058373268195E-2</v>
      </c>
      <c r="G338" s="72">
        <f t="shared" si="29"/>
        <v>0</v>
      </c>
    </row>
    <row r="339" spans="1:7" x14ac:dyDescent="0.25">
      <c r="A339" s="2">
        <v>44911</v>
      </c>
      <c r="B339" s="20">
        <v>2616</v>
      </c>
      <c r="C339" s="14">
        <f t="shared" si="25"/>
        <v>3.0627895305457308E-3</v>
      </c>
      <c r="D339" s="68">
        <f t="shared" si="26"/>
        <v>2.2740500009805386E-2</v>
      </c>
      <c r="E339" s="68">
        <f t="shared" si="27"/>
        <v>2.8187361014349316E-4</v>
      </c>
      <c r="F339" s="68">
        <f t="shared" si="28"/>
        <v>-5.2620440242292982E-2</v>
      </c>
      <c r="G339" s="72">
        <f t="shared" si="29"/>
        <v>0</v>
      </c>
    </row>
    <row r="340" spans="1:7" x14ac:dyDescent="0.25">
      <c r="A340" s="2">
        <v>44910</v>
      </c>
      <c r="B340" s="20">
        <v>2608</v>
      </c>
      <c r="C340" s="14">
        <f t="shared" si="25"/>
        <v>-1.2952562035727092E-2</v>
      </c>
      <c r="D340" s="68">
        <f t="shared" si="26"/>
        <v>2.2742174837006378E-2</v>
      </c>
      <c r="E340" s="68">
        <f t="shared" si="27"/>
        <v>2.4998247803108709E-4</v>
      </c>
      <c r="F340" s="68">
        <f t="shared" si="28"/>
        <v>-5.26562276051038E-2</v>
      </c>
      <c r="G340" s="72">
        <f t="shared" si="29"/>
        <v>0</v>
      </c>
    </row>
    <row r="341" spans="1:7" x14ac:dyDescent="0.25">
      <c r="A341" s="2">
        <v>44909</v>
      </c>
      <c r="B341" s="20">
        <v>2642</v>
      </c>
      <c r="C341" s="14">
        <f t="shared" si="25"/>
        <v>1.2952562035727146E-2</v>
      </c>
      <c r="D341" s="68">
        <f t="shared" si="26"/>
        <v>2.2727979254646882E-2</v>
      </c>
      <c r="E341" s="68">
        <f t="shared" si="27"/>
        <v>3.1815266718009561E-4</v>
      </c>
      <c r="F341" s="68">
        <f t="shared" si="28"/>
        <v>-5.2555033553112009E-2</v>
      </c>
      <c r="G341" s="72">
        <f t="shared" si="29"/>
        <v>0</v>
      </c>
    </row>
    <row r="342" spans="1:7" x14ac:dyDescent="0.25">
      <c r="A342" s="2">
        <v>44908</v>
      </c>
      <c r="B342" s="20">
        <v>2608</v>
      </c>
      <c r="C342" s="14">
        <f t="shared" si="25"/>
        <v>1.0794245130880394E-2</v>
      </c>
      <c r="D342" s="68">
        <f t="shared" si="26"/>
        <v>2.2719397701159705E-2</v>
      </c>
      <c r="E342" s="68">
        <f t="shared" si="27"/>
        <v>2.992644155832489E-4</v>
      </c>
      <c r="F342" s="68">
        <f t="shared" si="28"/>
        <v>-5.2553958125997995E-2</v>
      </c>
      <c r="G342" s="72">
        <f t="shared" si="29"/>
        <v>0</v>
      </c>
    </row>
    <row r="343" spans="1:7" x14ac:dyDescent="0.25">
      <c r="A343" s="2">
        <v>44907</v>
      </c>
      <c r="B343" s="20">
        <v>2580</v>
      </c>
      <c r="C343" s="14">
        <f t="shared" si="25"/>
        <v>-7.7220460939102778E-3</v>
      </c>
      <c r="D343" s="68">
        <f t="shared" si="26"/>
        <v>2.2711311594173111E-2</v>
      </c>
      <c r="E343" s="68">
        <f t="shared" si="27"/>
        <v>2.3959256632427887E-4</v>
      </c>
      <c r="F343" s="68">
        <f t="shared" si="28"/>
        <v>-5.259481887745944E-2</v>
      </c>
      <c r="G343" s="72">
        <f t="shared" si="29"/>
        <v>0</v>
      </c>
    </row>
    <row r="344" spans="1:7" x14ac:dyDescent="0.25">
      <c r="A344" s="2">
        <v>44904</v>
      </c>
      <c r="B344" s="20">
        <v>2600</v>
      </c>
      <c r="C344" s="14">
        <f t="shared" si="25"/>
        <v>7.695267790285181E-4</v>
      </c>
      <c r="D344" s="68">
        <f t="shared" si="26"/>
        <v>2.2706490497730332E-2</v>
      </c>
      <c r="E344" s="68">
        <f t="shared" si="27"/>
        <v>2.8367119958614675E-4</v>
      </c>
      <c r="F344" s="68">
        <f t="shared" si="28"/>
        <v>-5.2539524696737366E-2</v>
      </c>
      <c r="G344" s="72">
        <f t="shared" si="29"/>
        <v>0</v>
      </c>
    </row>
    <row r="345" spans="1:7" x14ac:dyDescent="0.25">
      <c r="A345" s="2">
        <v>44903</v>
      </c>
      <c r="B345" s="20">
        <v>2598</v>
      </c>
      <c r="C345" s="14">
        <f t="shared" si="25"/>
        <v>-5.5403389097371497E-2</v>
      </c>
      <c r="D345" s="68">
        <f t="shared" si="26"/>
        <v>2.2715527919322364E-2</v>
      </c>
      <c r="E345" s="68">
        <f t="shared" si="27"/>
        <v>2.4115152393371227E-4</v>
      </c>
      <c r="F345" s="68">
        <f t="shared" si="28"/>
        <v>-5.2603068558897237E-2</v>
      </c>
      <c r="G345" s="72">
        <f t="shared" si="29"/>
        <v>0</v>
      </c>
    </row>
    <row r="346" spans="1:7" x14ac:dyDescent="0.25">
      <c r="A346" s="2">
        <v>44902</v>
      </c>
      <c r="B346" s="20">
        <v>2746</v>
      </c>
      <c r="C346" s="14">
        <f t="shared" si="25"/>
        <v>-2.5882106130709188E-2</v>
      </c>
      <c r="D346" s="68">
        <f t="shared" si="26"/>
        <v>2.2440875266501303E-2</v>
      </c>
      <c r="E346" s="68">
        <f t="shared" si="27"/>
        <v>4.4644518824353671E-4</v>
      </c>
      <c r="F346" s="68">
        <f t="shared" si="28"/>
        <v>-5.1758837279597458E-2</v>
      </c>
      <c r="G346" s="72">
        <f t="shared" si="29"/>
        <v>1</v>
      </c>
    </row>
    <row r="347" spans="1:7" x14ac:dyDescent="0.25">
      <c r="A347" s="2">
        <v>44901</v>
      </c>
      <c r="B347" s="20">
        <v>2818</v>
      </c>
      <c r="C347" s="14">
        <f t="shared" si="25"/>
        <v>2.0796733747429758E-2</v>
      </c>
      <c r="D347" s="68">
        <f t="shared" si="26"/>
        <v>2.2378518089562646E-2</v>
      </c>
      <c r="E347" s="68">
        <f t="shared" si="27"/>
        <v>5.5323226875107843E-4</v>
      </c>
      <c r="F347" s="68">
        <f t="shared" si="28"/>
        <v>-5.1506985713087483E-2</v>
      </c>
      <c r="G347" s="72">
        <f t="shared" si="29"/>
        <v>0</v>
      </c>
    </row>
    <row r="348" spans="1:7" x14ac:dyDescent="0.25">
      <c r="A348" s="2">
        <v>44900</v>
      </c>
      <c r="B348" s="20">
        <v>2760</v>
      </c>
      <c r="C348" s="14">
        <f t="shared" si="25"/>
        <v>-2.9980832211935784E-2</v>
      </c>
      <c r="D348" s="68">
        <f t="shared" si="26"/>
        <v>2.2341716655662994E-2</v>
      </c>
      <c r="E348" s="68">
        <f t="shared" si="27"/>
        <v>4.6678667777665393E-4</v>
      </c>
      <c r="F348" s="68">
        <f t="shared" si="28"/>
        <v>-5.1507818366547796E-2</v>
      </c>
      <c r="G348" s="72">
        <f t="shared" si="29"/>
        <v>0</v>
      </c>
    </row>
    <row r="349" spans="1:7" x14ac:dyDescent="0.25">
      <c r="A349" s="2">
        <v>44897</v>
      </c>
      <c r="B349" s="20">
        <v>2844</v>
      </c>
      <c r="C349" s="14">
        <f t="shared" si="25"/>
        <v>2.8169032711133734E-3</v>
      </c>
      <c r="D349" s="68">
        <f t="shared" si="26"/>
        <v>2.2264255434934113E-2</v>
      </c>
      <c r="E349" s="68">
        <f t="shared" si="27"/>
        <v>6.2270206950263969E-4</v>
      </c>
      <c r="F349" s="68">
        <f t="shared" si="28"/>
        <v>-5.1171701228658564E-2</v>
      </c>
      <c r="G349" s="72">
        <f t="shared" si="29"/>
        <v>0</v>
      </c>
    </row>
    <row r="350" spans="1:7" x14ac:dyDescent="0.25">
      <c r="A350" s="2">
        <v>44896</v>
      </c>
      <c r="B350" s="20">
        <v>2836</v>
      </c>
      <c r="C350" s="14">
        <f t="shared" si="25"/>
        <v>5.6577237198588547E-3</v>
      </c>
      <c r="D350" s="68">
        <f t="shared" si="26"/>
        <v>2.2271579909222083E-2</v>
      </c>
      <c r="E350" s="68">
        <f t="shared" si="27"/>
        <v>6.5107144466927322E-4</v>
      </c>
      <c r="F350" s="68">
        <f t="shared" si="28"/>
        <v>-5.1160371128680215E-2</v>
      </c>
      <c r="G350" s="72">
        <f t="shared" si="29"/>
        <v>0</v>
      </c>
    </row>
    <row r="351" spans="1:7" x14ac:dyDescent="0.25">
      <c r="A351" s="2">
        <v>44895</v>
      </c>
      <c r="B351" s="20">
        <v>2820</v>
      </c>
      <c r="C351" s="14">
        <f t="shared" si="25"/>
        <v>1.069528911674795E-2</v>
      </c>
      <c r="D351" s="68">
        <f t="shared" si="26"/>
        <v>2.2279285954614193E-2</v>
      </c>
      <c r="E351" s="68">
        <f t="shared" si="27"/>
        <v>5.8880356153875044E-4</v>
      </c>
      <c r="F351" s="68">
        <f t="shared" si="28"/>
        <v>-5.124056595412594E-2</v>
      </c>
      <c r="G351" s="72">
        <f t="shared" si="29"/>
        <v>0</v>
      </c>
    </row>
    <row r="352" spans="1:7" x14ac:dyDescent="0.25">
      <c r="A352" s="2">
        <v>44894</v>
      </c>
      <c r="B352" s="20">
        <v>2790</v>
      </c>
      <c r="C352" s="14">
        <f t="shared" si="25"/>
        <v>2.5409715525368221E-2</v>
      </c>
      <c r="D352" s="68">
        <f t="shared" si="26"/>
        <v>2.2272724353368724E-2</v>
      </c>
      <c r="E352" s="68">
        <f t="shared" si="27"/>
        <v>5.2635023427317787E-4</v>
      </c>
      <c r="F352" s="68">
        <f t="shared" si="28"/>
        <v>-5.1287754714283811E-2</v>
      </c>
      <c r="G352" s="72">
        <f t="shared" si="29"/>
        <v>0</v>
      </c>
    </row>
    <row r="353" spans="1:7" x14ac:dyDescent="0.25">
      <c r="A353" s="2">
        <v>44893</v>
      </c>
      <c r="B353" s="20">
        <v>2720</v>
      </c>
      <c r="C353" s="14">
        <f t="shared" si="25"/>
        <v>-1.749315744751723E-2</v>
      </c>
      <c r="D353" s="68">
        <f t="shared" si="26"/>
        <v>2.222938135246711E-2</v>
      </c>
      <c r="E353" s="68">
        <f t="shared" si="27"/>
        <v>4.7407440094135423E-4</v>
      </c>
      <c r="F353" s="68">
        <f t="shared" si="28"/>
        <v>-5.1239199649613619E-2</v>
      </c>
      <c r="G353" s="72">
        <f t="shared" si="29"/>
        <v>0</v>
      </c>
    </row>
    <row r="354" spans="1:7" x14ac:dyDescent="0.25">
      <c r="A354" s="2">
        <v>44890</v>
      </c>
      <c r="B354" s="20">
        <v>2768</v>
      </c>
      <c r="C354" s="14">
        <f t="shared" si="25"/>
        <v>2.1699827683227275E-3</v>
      </c>
      <c r="D354" s="68">
        <f t="shared" si="26"/>
        <v>2.220988382098725E-2</v>
      </c>
      <c r="E354" s="68">
        <f t="shared" si="27"/>
        <v>5.045079938012549E-4</v>
      </c>
      <c r="F354" s="68">
        <f t="shared" si="28"/>
        <v>-5.1163408015846498E-2</v>
      </c>
      <c r="G354" s="72">
        <f t="shared" si="29"/>
        <v>0</v>
      </c>
    </row>
    <row r="355" spans="1:7" x14ac:dyDescent="0.25">
      <c r="A355" s="2">
        <v>44889</v>
      </c>
      <c r="B355" s="20">
        <v>2762</v>
      </c>
      <c r="C355" s="14">
        <f t="shared" si="25"/>
        <v>7.9971345871214759E-3</v>
      </c>
      <c r="D355" s="68">
        <f t="shared" si="26"/>
        <v>2.2211527336577094E-2</v>
      </c>
      <c r="E355" s="68">
        <f t="shared" si="27"/>
        <v>4.794681217218632E-4</v>
      </c>
      <c r="F355" s="68">
        <f t="shared" si="28"/>
        <v>-5.1192271276924273E-2</v>
      </c>
      <c r="G355" s="72">
        <f t="shared" si="29"/>
        <v>0</v>
      </c>
    </row>
    <row r="356" spans="1:7" x14ac:dyDescent="0.25">
      <c r="A356" s="2">
        <v>44888</v>
      </c>
      <c r="B356" s="20">
        <v>2740</v>
      </c>
      <c r="C356" s="14">
        <f t="shared" si="25"/>
        <v>-1.0889399799268319E-2</v>
      </c>
      <c r="D356" s="68">
        <f t="shared" si="26"/>
        <v>2.2215760714923299E-2</v>
      </c>
      <c r="E356" s="68">
        <f t="shared" si="27"/>
        <v>4.0848658571873535E-4</v>
      </c>
      <c r="F356" s="68">
        <f t="shared" si="28"/>
        <v>-5.1273101123643104E-2</v>
      </c>
      <c r="G356" s="72">
        <f t="shared" si="29"/>
        <v>0</v>
      </c>
    </row>
    <row r="357" spans="1:7" x14ac:dyDescent="0.25">
      <c r="A357" s="2">
        <v>44887</v>
      </c>
      <c r="B357" s="20">
        <v>2770</v>
      </c>
      <c r="C357" s="14">
        <f t="shared" si="25"/>
        <v>2.633656241368305E-2</v>
      </c>
      <c r="D357" s="68">
        <f t="shared" si="26"/>
        <v>2.2264952027350154E-2</v>
      </c>
      <c r="E357" s="68">
        <f t="shared" si="27"/>
        <v>3.4988380362820884E-4</v>
      </c>
      <c r="F357" s="68">
        <f t="shared" si="28"/>
        <v>-5.1446140010819132E-2</v>
      </c>
      <c r="G357" s="72">
        <f t="shared" si="29"/>
        <v>0</v>
      </c>
    </row>
    <row r="358" spans="1:7" x14ac:dyDescent="0.25">
      <c r="A358" s="2">
        <v>44886</v>
      </c>
      <c r="B358" s="20">
        <v>2698</v>
      </c>
      <c r="C358" s="14">
        <f t="shared" si="25"/>
        <v>6.6939632627988147E-3</v>
      </c>
      <c r="D358" s="68">
        <f t="shared" si="26"/>
        <v>2.220475532482992E-2</v>
      </c>
      <c r="E358" s="68">
        <f t="shared" si="27"/>
        <v>2.3194903060140166E-4</v>
      </c>
      <c r="F358" s="68">
        <f t="shared" si="28"/>
        <v>-5.1424036312913722E-2</v>
      </c>
      <c r="G358" s="72">
        <f t="shared" si="29"/>
        <v>0</v>
      </c>
    </row>
    <row r="359" spans="1:7" x14ac:dyDescent="0.25">
      <c r="A359" s="2">
        <v>44883</v>
      </c>
      <c r="B359" s="20">
        <v>2680</v>
      </c>
      <c r="C359" s="14">
        <f t="shared" si="25"/>
        <v>1.05027221991492E-2</v>
      </c>
      <c r="D359" s="68">
        <f t="shared" si="26"/>
        <v>2.2394293231702382E-2</v>
      </c>
      <c r="E359" s="68">
        <f t="shared" si="27"/>
        <v>3.9170214868123763E-4</v>
      </c>
      <c r="F359" s="68">
        <f t="shared" si="28"/>
        <v>-5.1705214301536788E-2</v>
      </c>
      <c r="G359" s="72">
        <f t="shared" si="29"/>
        <v>0</v>
      </c>
    </row>
    <row r="360" spans="1:7" x14ac:dyDescent="0.25">
      <c r="A360" s="2">
        <v>44882</v>
      </c>
      <c r="B360" s="20">
        <v>2652</v>
      </c>
      <c r="C360" s="14">
        <f t="shared" si="25"/>
        <v>1.7497593620962631E-2</v>
      </c>
      <c r="D360" s="68">
        <f t="shared" si="26"/>
        <v>2.2385796690234109E-2</v>
      </c>
      <c r="E360" s="68">
        <f t="shared" si="27"/>
        <v>3.3982688990386679E-4</v>
      </c>
      <c r="F360" s="68">
        <f t="shared" si="28"/>
        <v>-5.1737323649132742E-2</v>
      </c>
      <c r="G360" s="72">
        <f t="shared" si="29"/>
        <v>0</v>
      </c>
    </row>
    <row r="361" spans="1:7" x14ac:dyDescent="0.25">
      <c r="A361" s="2">
        <v>44881</v>
      </c>
      <c r="B361" s="20">
        <v>2606</v>
      </c>
      <c r="C361" s="14">
        <f t="shared" si="25"/>
        <v>-4.5941887850548457E-3</v>
      </c>
      <c r="D361" s="68">
        <f t="shared" si="26"/>
        <v>2.2458703412946847E-2</v>
      </c>
      <c r="E361" s="68">
        <f t="shared" si="27"/>
        <v>1.3740617232199645E-4</v>
      </c>
      <c r="F361" s="68">
        <f t="shared" si="28"/>
        <v>-5.2109350766100675E-2</v>
      </c>
      <c r="G361" s="72">
        <f t="shared" si="29"/>
        <v>0</v>
      </c>
    </row>
    <row r="362" spans="1:7" x14ac:dyDescent="0.25">
      <c r="A362" s="2">
        <v>44880</v>
      </c>
      <c r="B362" s="20">
        <v>2618</v>
      </c>
      <c r="C362" s="14">
        <f t="shared" si="25"/>
        <v>-9.8822545017316511E-3</v>
      </c>
      <c r="D362" s="68">
        <f t="shared" si="26"/>
        <v>2.2457995117083383E-2</v>
      </c>
      <c r="E362" s="68">
        <f t="shared" si="27"/>
        <v>1.7170017886814019E-4</v>
      </c>
      <c r="F362" s="68">
        <f t="shared" si="28"/>
        <v>-5.2073409016978371E-2</v>
      </c>
      <c r="G362" s="72">
        <f t="shared" si="29"/>
        <v>0</v>
      </c>
    </row>
    <row r="363" spans="1:7" x14ac:dyDescent="0.25">
      <c r="A363" s="2">
        <v>44879</v>
      </c>
      <c r="B363" s="20">
        <v>2644</v>
      </c>
      <c r="C363" s="14">
        <f t="shared" si="25"/>
        <v>8.3555366479318369E-3</v>
      </c>
      <c r="D363" s="68">
        <f t="shared" si="26"/>
        <v>2.2449343571845196E-2</v>
      </c>
      <c r="E363" s="68">
        <f t="shared" si="27"/>
        <v>2.2081003977888637E-4</v>
      </c>
      <c r="F363" s="68">
        <f t="shared" si="28"/>
        <v>-5.2004172652195604E-2</v>
      </c>
      <c r="G363" s="72">
        <f t="shared" si="29"/>
        <v>0</v>
      </c>
    </row>
    <row r="364" spans="1:7" x14ac:dyDescent="0.25">
      <c r="A364" s="2">
        <v>44876</v>
      </c>
      <c r="B364" s="20">
        <v>2622</v>
      </c>
      <c r="C364" s="14">
        <f t="shared" si="25"/>
        <v>-7.6248574033448168E-4</v>
      </c>
      <c r="D364" s="68">
        <f t="shared" si="26"/>
        <v>2.2446364600166115E-2</v>
      </c>
      <c r="E364" s="68">
        <f t="shared" si="27"/>
        <v>1.6506818601326015E-4</v>
      </c>
      <c r="F364" s="68">
        <f t="shared" si="28"/>
        <v>-5.205298438152877E-2</v>
      </c>
      <c r="G364" s="72">
        <f t="shared" si="29"/>
        <v>0</v>
      </c>
    </row>
    <row r="365" spans="1:7" x14ac:dyDescent="0.25">
      <c r="A365" s="2">
        <v>44875</v>
      </c>
      <c r="B365" s="20">
        <v>2624</v>
      </c>
      <c r="C365" s="14">
        <f t="shared" si="25"/>
        <v>-1.0614201241773428E-2</v>
      </c>
      <c r="D365" s="68">
        <f t="shared" si="26"/>
        <v>2.2478746681424251E-2</v>
      </c>
      <c r="E365" s="68">
        <f t="shared" si="27"/>
        <v>2.4516706015480894E-4</v>
      </c>
      <c r="F365" s="68">
        <f t="shared" si="28"/>
        <v>-5.2048217493279099E-2</v>
      </c>
      <c r="G365" s="72">
        <f t="shared" si="29"/>
        <v>0</v>
      </c>
    </row>
    <row r="366" spans="1:7" x14ac:dyDescent="0.25">
      <c r="A366" s="2">
        <v>44874</v>
      </c>
      <c r="B366" s="20">
        <v>2652</v>
      </c>
      <c r="C366" s="14">
        <f t="shared" si="25"/>
        <v>9.0909717012521048E-3</v>
      </c>
      <c r="D366" s="68">
        <f t="shared" si="26"/>
        <v>2.2564744617003443E-2</v>
      </c>
      <c r="E366" s="68">
        <f t="shared" si="27"/>
        <v>1.5688285261312946E-4</v>
      </c>
      <c r="F366" s="68">
        <f t="shared" si="28"/>
        <v>-5.2336562815427333E-2</v>
      </c>
      <c r="G366" s="72">
        <f t="shared" si="29"/>
        <v>0</v>
      </c>
    </row>
    <row r="367" spans="1:7" x14ac:dyDescent="0.25">
      <c r="A367" s="2">
        <v>44873</v>
      </c>
      <c r="B367" s="20">
        <v>2628</v>
      </c>
      <c r="C367" s="14">
        <f t="shared" si="25"/>
        <v>-2.3318092991383644E-2</v>
      </c>
      <c r="D367" s="68">
        <f t="shared" si="26"/>
        <v>2.2770337500958731E-2</v>
      </c>
      <c r="E367" s="68">
        <f t="shared" si="27"/>
        <v>-7.5388586586463028E-5</v>
      </c>
      <c r="F367" s="68">
        <f t="shared" si="28"/>
        <v>-5.3047114823134234E-2</v>
      </c>
      <c r="G367" s="72">
        <f t="shared" si="29"/>
        <v>0</v>
      </c>
    </row>
    <row r="368" spans="1:7" x14ac:dyDescent="0.25">
      <c r="A368" s="2">
        <v>44872</v>
      </c>
      <c r="B368" s="20">
        <v>2690</v>
      </c>
      <c r="C368" s="14">
        <f t="shared" si="25"/>
        <v>2.1037590292658347E-2</v>
      </c>
      <c r="D368" s="68">
        <f t="shared" si="26"/>
        <v>2.2748025673313622E-2</v>
      </c>
      <c r="E368" s="68">
        <f t="shared" si="27"/>
        <v>-5.0240778694069221E-5</v>
      </c>
      <c r="F368" s="68">
        <f t="shared" si="28"/>
        <v>-5.2970061942433679E-2</v>
      </c>
      <c r="G368" s="72">
        <f t="shared" si="29"/>
        <v>0</v>
      </c>
    </row>
    <row r="369" spans="1:7" x14ac:dyDescent="0.25">
      <c r="A369" s="2">
        <v>44869</v>
      </c>
      <c r="B369" s="20">
        <v>2634</v>
      </c>
      <c r="C369" s="14">
        <f t="shared" si="25"/>
        <v>1.9939310896638644E-2</v>
      </c>
      <c r="D369" s="68">
        <f t="shared" si="26"/>
        <v>2.2715687480301436E-2</v>
      </c>
      <c r="E369" s="68">
        <f t="shared" si="27"/>
        <v>-9.8992678756772335E-5</v>
      </c>
      <c r="F369" s="68">
        <f t="shared" si="28"/>
        <v>-5.2943583955932162E-2</v>
      </c>
      <c r="G369" s="72">
        <f t="shared" si="29"/>
        <v>0</v>
      </c>
    </row>
    <row r="370" spans="1:7" x14ac:dyDescent="0.25">
      <c r="A370" s="2">
        <v>44868</v>
      </c>
      <c r="B370" s="20">
        <v>2582</v>
      </c>
      <c r="C370" s="14">
        <f t="shared" si="25"/>
        <v>3.8694128353218379E-2</v>
      </c>
      <c r="D370" s="68">
        <f t="shared" si="26"/>
        <v>2.2716508142144827E-2</v>
      </c>
      <c r="E370" s="68">
        <f t="shared" si="27"/>
        <v>-2.6086424290784176E-4</v>
      </c>
      <c r="F370" s="68">
        <f t="shared" si="28"/>
        <v>-5.3107364665017906E-2</v>
      </c>
      <c r="G370" s="72">
        <f t="shared" si="29"/>
        <v>0</v>
      </c>
    </row>
    <row r="371" spans="1:7" x14ac:dyDescent="0.25">
      <c r="A371" s="2">
        <v>44867</v>
      </c>
      <c r="B371" s="20">
        <v>2484</v>
      </c>
      <c r="C371" s="14">
        <f t="shared" si="25"/>
        <v>0</v>
      </c>
      <c r="D371" s="68">
        <f t="shared" si="26"/>
        <v>2.2597035113430988E-2</v>
      </c>
      <c r="E371" s="68">
        <f t="shared" si="27"/>
        <v>-4.7041638705414723E-4</v>
      </c>
      <c r="F371" s="68">
        <f t="shared" si="28"/>
        <v>-5.3038980982810555E-2</v>
      </c>
      <c r="G371" s="72">
        <f t="shared" si="29"/>
        <v>0</v>
      </c>
    </row>
    <row r="372" spans="1:7" x14ac:dyDescent="0.25">
      <c r="A372" s="2">
        <v>44862</v>
      </c>
      <c r="B372" s="20">
        <v>2484</v>
      </c>
      <c r="C372" s="14">
        <f t="shared" si="25"/>
        <v>1.6116038943416128E-3</v>
      </c>
      <c r="D372" s="68">
        <f t="shared" si="26"/>
        <v>2.2646444304574666E-2</v>
      </c>
      <c r="E372" s="68">
        <f t="shared" si="27"/>
        <v>-3.7772578050254067E-4</v>
      </c>
      <c r="F372" s="68">
        <f t="shared" si="28"/>
        <v>-5.3061233343034121E-2</v>
      </c>
      <c r="G372" s="72">
        <f t="shared" si="29"/>
        <v>0</v>
      </c>
    </row>
    <row r="373" spans="1:7" x14ac:dyDescent="0.25">
      <c r="A373" s="2">
        <v>44861</v>
      </c>
      <c r="B373" s="20">
        <v>2480</v>
      </c>
      <c r="C373" s="14">
        <f t="shared" si="25"/>
        <v>6.4725145056175196E-3</v>
      </c>
      <c r="D373" s="68">
        <f t="shared" si="26"/>
        <v>2.2682686836886623E-2</v>
      </c>
      <c r="E373" s="68">
        <f t="shared" si="27"/>
        <v>-3.0425832835636154E-4</v>
      </c>
      <c r="F373" s="68">
        <f t="shared" si="28"/>
        <v>-5.3072078628881726E-2</v>
      </c>
      <c r="G373" s="72">
        <f t="shared" si="29"/>
        <v>0</v>
      </c>
    </row>
    <row r="374" spans="1:7" x14ac:dyDescent="0.25">
      <c r="A374" s="2">
        <v>44860</v>
      </c>
      <c r="B374" s="20">
        <v>2464</v>
      </c>
      <c r="C374" s="14">
        <f t="shared" si="25"/>
        <v>-2.4321049686124399E-3</v>
      </c>
      <c r="D374" s="68">
        <f t="shared" si="26"/>
        <v>2.2682136240208338E-2</v>
      </c>
      <c r="E374" s="68">
        <f t="shared" si="27"/>
        <v>-3.0616030848933459E-4</v>
      </c>
      <c r="F374" s="68">
        <f t="shared" si="28"/>
        <v>-5.3072699729602713E-2</v>
      </c>
      <c r="G374" s="72">
        <f t="shared" si="29"/>
        <v>0</v>
      </c>
    </row>
    <row r="375" spans="1:7" x14ac:dyDescent="0.25">
      <c r="A375" s="2">
        <v>44859</v>
      </c>
      <c r="B375" s="20">
        <v>2470</v>
      </c>
      <c r="C375" s="14">
        <f t="shared" si="25"/>
        <v>8.1301260832503091E-3</v>
      </c>
      <c r="D375" s="68">
        <f t="shared" si="26"/>
        <v>2.2682310486358864E-2</v>
      </c>
      <c r="E375" s="68">
        <f t="shared" si="27"/>
        <v>-2.8739914108051753E-4</v>
      </c>
      <c r="F375" s="68">
        <f t="shared" si="28"/>
        <v>-5.3054343919355727E-2</v>
      </c>
      <c r="G375" s="72">
        <f t="shared" si="29"/>
        <v>0</v>
      </c>
    </row>
    <row r="376" spans="1:7" x14ac:dyDescent="0.25">
      <c r="A376" s="2">
        <v>44858</v>
      </c>
      <c r="B376" s="20">
        <v>2450</v>
      </c>
      <c r="C376" s="14">
        <f t="shared" si="25"/>
        <v>1.6339872916549549E-3</v>
      </c>
      <c r="D376" s="68">
        <f t="shared" si="26"/>
        <v>2.2744624259610664E-2</v>
      </c>
      <c r="E376" s="68">
        <f t="shared" si="27"/>
        <v>-4.3285433856092906E-4</v>
      </c>
      <c r="F376" s="68">
        <f t="shared" si="28"/>
        <v>-5.3344762630763924E-2</v>
      </c>
      <c r="G376" s="72">
        <f t="shared" si="29"/>
        <v>0</v>
      </c>
    </row>
    <row r="377" spans="1:7" x14ac:dyDescent="0.25">
      <c r="A377" s="2">
        <v>44855</v>
      </c>
      <c r="B377" s="20">
        <v>2446</v>
      </c>
      <c r="C377" s="14">
        <f t="shared" si="25"/>
        <v>3.2760062059007237E-3</v>
      </c>
      <c r="D377" s="68">
        <f t="shared" si="26"/>
        <v>2.2746812034748803E-2</v>
      </c>
      <c r="E377" s="68">
        <f t="shared" si="27"/>
        <v>-4.6276508032319245E-4</v>
      </c>
      <c r="F377" s="68">
        <f t="shared" si="28"/>
        <v>-5.3379762898567676E-2</v>
      </c>
      <c r="G377" s="72">
        <f t="shared" si="29"/>
        <v>0</v>
      </c>
    </row>
    <row r="378" spans="1:7" x14ac:dyDescent="0.25">
      <c r="A378" s="2">
        <v>44854</v>
      </c>
      <c r="B378" s="20">
        <v>2438</v>
      </c>
      <c r="C378" s="14">
        <f t="shared" si="25"/>
        <v>1.6420364937443893E-3</v>
      </c>
      <c r="D378" s="68">
        <f t="shared" si="26"/>
        <v>2.2745578574039214E-2</v>
      </c>
      <c r="E378" s="68">
        <f t="shared" si="27"/>
        <v>-4.7878137320409004E-4</v>
      </c>
      <c r="F378" s="68">
        <f t="shared" si="28"/>
        <v>-5.3392909732749114E-2</v>
      </c>
      <c r="G378" s="72">
        <f t="shared" si="29"/>
        <v>0</v>
      </c>
    </row>
    <row r="379" spans="1:7" x14ac:dyDescent="0.25">
      <c r="A379" s="2">
        <v>44853</v>
      </c>
      <c r="B379" s="20">
        <v>2434</v>
      </c>
      <c r="C379" s="14">
        <f t="shared" si="25"/>
        <v>-1.3872111477805996E-2</v>
      </c>
      <c r="D379" s="68">
        <f t="shared" si="26"/>
        <v>2.2750107866442899E-2</v>
      </c>
      <c r="E379" s="68">
        <f t="shared" si="27"/>
        <v>-5.1724530253564448E-4</v>
      </c>
      <c r="F379" s="68">
        <f t="shared" si="28"/>
        <v>-5.3441910371834885E-2</v>
      </c>
      <c r="G379" s="72">
        <f t="shared" si="29"/>
        <v>0</v>
      </c>
    </row>
    <row r="380" spans="1:7" x14ac:dyDescent="0.25">
      <c r="A380" s="2">
        <v>44852</v>
      </c>
      <c r="B380" s="20">
        <v>2468</v>
      </c>
      <c r="C380" s="14">
        <f t="shared" si="25"/>
        <v>4.0600948992983599E-3</v>
      </c>
      <c r="D380" s="68">
        <f t="shared" si="26"/>
        <v>2.2735761483728731E-2</v>
      </c>
      <c r="E380" s="68">
        <f t="shared" si="27"/>
        <v>-4.4729029474366652E-4</v>
      </c>
      <c r="F380" s="68">
        <f t="shared" si="28"/>
        <v>-5.3338580687115632E-2</v>
      </c>
      <c r="G380" s="72">
        <f t="shared" si="29"/>
        <v>0</v>
      </c>
    </row>
    <row r="381" spans="1:7" x14ac:dyDescent="0.25">
      <c r="A381" s="2">
        <v>44851</v>
      </c>
      <c r="B381" s="20">
        <v>2458</v>
      </c>
      <c r="C381" s="14">
        <f t="shared" si="25"/>
        <v>3.2599865872075008E-3</v>
      </c>
      <c r="D381" s="68">
        <f t="shared" si="26"/>
        <v>2.2753915038768738E-2</v>
      </c>
      <c r="E381" s="68">
        <f t="shared" si="27"/>
        <v>-4.0513547665624913E-4</v>
      </c>
      <c r="F381" s="68">
        <f t="shared" si="28"/>
        <v>-5.333865735320182E-2</v>
      </c>
      <c r="G381" s="72">
        <f t="shared" si="29"/>
        <v>0</v>
      </c>
    </row>
    <row r="382" spans="1:7" x14ac:dyDescent="0.25">
      <c r="A382" s="2">
        <v>44848</v>
      </c>
      <c r="B382" s="20">
        <v>2450</v>
      </c>
      <c r="C382" s="14">
        <f t="shared" si="25"/>
        <v>1.9786300898843895E-2</v>
      </c>
      <c r="D382" s="68">
        <f t="shared" si="26"/>
        <v>2.2753281651511161E-2</v>
      </c>
      <c r="E382" s="68">
        <f t="shared" si="27"/>
        <v>-4.2992286169831796E-4</v>
      </c>
      <c r="F382" s="68">
        <f t="shared" si="28"/>
        <v>-5.3361971259143777E-2</v>
      </c>
      <c r="G382" s="72">
        <f t="shared" si="29"/>
        <v>0</v>
      </c>
    </row>
    <row r="383" spans="1:7" x14ac:dyDescent="0.25">
      <c r="A383" s="2">
        <v>44847</v>
      </c>
      <c r="B383" s="20">
        <v>2402</v>
      </c>
      <c r="C383" s="14">
        <f t="shared" si="25"/>
        <v>-1.4876307401287946E-2</v>
      </c>
      <c r="D383" s="68">
        <f t="shared" si="26"/>
        <v>2.2718086186926532E-2</v>
      </c>
      <c r="E383" s="68">
        <f t="shared" si="27"/>
        <v>-4.9732062660045489E-4</v>
      </c>
      <c r="F383" s="68">
        <f t="shared" si="28"/>
        <v>-5.3347492129833585E-2</v>
      </c>
      <c r="G383" s="72">
        <f t="shared" si="29"/>
        <v>0</v>
      </c>
    </row>
    <row r="384" spans="1:7" x14ac:dyDescent="0.25">
      <c r="A384" s="2">
        <v>44846</v>
      </c>
      <c r="B384" s="20">
        <v>2438</v>
      </c>
      <c r="C384" s="14">
        <f t="shared" si="25"/>
        <v>-6.5413152296399423E-3</v>
      </c>
      <c r="D384" s="68">
        <f t="shared" si="26"/>
        <v>2.2703069432529484E-2</v>
      </c>
      <c r="E384" s="68">
        <f t="shared" si="27"/>
        <v>-4.6419878322870799E-4</v>
      </c>
      <c r="F384" s="68">
        <f t="shared" si="28"/>
        <v>-5.3279436091795272E-2</v>
      </c>
      <c r="G384" s="72">
        <f t="shared" si="29"/>
        <v>0</v>
      </c>
    </row>
    <row r="385" spans="1:7" x14ac:dyDescent="0.25">
      <c r="A385" s="2">
        <v>44845</v>
      </c>
      <c r="B385" s="20">
        <v>2454</v>
      </c>
      <c r="C385" s="14">
        <f t="shared" si="25"/>
        <v>-6.4988043511661278E-3</v>
      </c>
      <c r="D385" s="68">
        <f t="shared" si="26"/>
        <v>2.2709422848158953E-2</v>
      </c>
      <c r="E385" s="68">
        <f t="shared" si="27"/>
        <v>-4.8162276586681204E-4</v>
      </c>
      <c r="F385" s="68">
        <f t="shared" si="28"/>
        <v>-5.3311640329375888E-2</v>
      </c>
      <c r="G385" s="72">
        <f t="shared" si="29"/>
        <v>0</v>
      </c>
    </row>
    <row r="386" spans="1:7" x14ac:dyDescent="0.25">
      <c r="A386" s="2">
        <v>44844</v>
      </c>
      <c r="B386" s="20">
        <v>2470</v>
      </c>
      <c r="C386" s="14">
        <f t="shared" si="25"/>
        <v>-3.9687748267242577E-2</v>
      </c>
      <c r="D386" s="68">
        <f t="shared" si="26"/>
        <v>2.2772990551521145E-2</v>
      </c>
      <c r="E386" s="68">
        <f t="shared" si="27"/>
        <v>-3.4723570939314367E-4</v>
      </c>
      <c r="F386" s="68">
        <f t="shared" si="28"/>
        <v>-5.3325133864476508E-2</v>
      </c>
      <c r="G386" s="72">
        <f t="shared" si="29"/>
        <v>0</v>
      </c>
    </row>
    <row r="387" spans="1:7" x14ac:dyDescent="0.25">
      <c r="A387" s="2">
        <v>44841</v>
      </c>
      <c r="B387" s="20">
        <v>2570</v>
      </c>
      <c r="C387" s="14">
        <f t="shared" si="25"/>
        <v>-2.763030719300515E-2</v>
      </c>
      <c r="D387" s="68">
        <f t="shared" si="26"/>
        <v>2.2660311016179605E-2</v>
      </c>
      <c r="E387" s="68">
        <f t="shared" si="27"/>
        <v>-2.5620808597140004E-4</v>
      </c>
      <c r="F387" s="68">
        <f t="shared" si="28"/>
        <v>-5.2971974443565065E-2</v>
      </c>
      <c r="G387" s="72">
        <f t="shared" si="29"/>
        <v>0</v>
      </c>
    </row>
    <row r="388" spans="1:7" x14ac:dyDescent="0.25">
      <c r="A388" s="2">
        <v>44840</v>
      </c>
      <c r="B388" s="20">
        <v>2642</v>
      </c>
      <c r="C388" s="14">
        <f t="shared" si="25"/>
        <v>-2.2684319746281542E-3</v>
      </c>
      <c r="D388" s="68">
        <f t="shared" si="26"/>
        <v>2.2606062462054835E-2</v>
      </c>
      <c r="E388" s="68">
        <f t="shared" si="27"/>
        <v>-9.8696595799578407E-5</v>
      </c>
      <c r="F388" s="68">
        <f t="shared" si="28"/>
        <v>-5.26882619448353E-2</v>
      </c>
      <c r="G388" s="72">
        <f t="shared" si="29"/>
        <v>0</v>
      </c>
    </row>
    <row r="389" spans="1:7" x14ac:dyDescent="0.25">
      <c r="A389" s="2">
        <v>44839</v>
      </c>
      <c r="B389" s="20">
        <v>2648</v>
      </c>
      <c r="C389" s="14">
        <f t="shared" ref="C389:C452" si="30">+LN(B389/B390)</f>
        <v>9.1047669929190667E-3</v>
      </c>
      <c r="D389" s="68">
        <f t="shared" ref="D389:D452" si="31">STDEV(C389:C638)</f>
        <v>2.2612795277735968E-2</v>
      </c>
      <c r="E389" s="68">
        <f t="shared" ref="E389:E452" si="32">AVERAGE(C389:C638)</f>
        <v>-5.4014324138692492E-5</v>
      </c>
      <c r="F389" s="68">
        <f t="shared" ref="F389:F452" si="33">E389+$L$8*D389</f>
        <v>-5.2659242544620524E-2</v>
      </c>
      <c r="G389" s="72">
        <f t="shared" si="29"/>
        <v>0</v>
      </c>
    </row>
    <row r="390" spans="1:7" x14ac:dyDescent="0.25">
      <c r="A390" s="2">
        <v>44838</v>
      </c>
      <c r="B390" s="20">
        <v>2624</v>
      </c>
      <c r="C390" s="14">
        <f t="shared" si="30"/>
        <v>6.2102466339690014E-2</v>
      </c>
      <c r="D390" s="68">
        <f t="shared" si="31"/>
        <v>2.2605536720247999E-2</v>
      </c>
      <c r="E390" s="68">
        <f t="shared" si="32"/>
        <v>-8.4467693763688549E-5</v>
      </c>
      <c r="F390" s="68">
        <f t="shared" si="33"/>
        <v>-5.2672809984464782E-2</v>
      </c>
      <c r="G390" s="72">
        <f t="shared" ref="G390:G453" si="34">IF(C389&lt;F390,1,0)</f>
        <v>0</v>
      </c>
    </row>
    <row r="391" spans="1:7" x14ac:dyDescent="0.25">
      <c r="A391" s="2">
        <v>44837</v>
      </c>
      <c r="B391" s="20">
        <v>2466</v>
      </c>
      <c r="C391" s="14">
        <f t="shared" si="30"/>
        <v>2.4631787189665421E-2</v>
      </c>
      <c r="D391" s="68">
        <f t="shared" si="31"/>
        <v>2.2258592678273098E-2</v>
      </c>
      <c r="E391" s="68">
        <f t="shared" si="32"/>
        <v>-3.4480007167499963E-4</v>
      </c>
      <c r="F391" s="68">
        <f t="shared" si="33"/>
        <v>-5.2126029827916642E-2</v>
      </c>
      <c r="G391" s="72">
        <f t="shared" si="34"/>
        <v>0</v>
      </c>
    </row>
    <row r="392" spans="1:7" x14ac:dyDescent="0.25">
      <c r="A392" s="2">
        <v>44834</v>
      </c>
      <c r="B392" s="20">
        <v>2406</v>
      </c>
      <c r="C392" s="14">
        <f t="shared" si="30"/>
        <v>3.3815563456014448E-2</v>
      </c>
      <c r="D392" s="68">
        <f t="shared" si="31"/>
        <v>2.2212748979140141E-2</v>
      </c>
      <c r="E392" s="68">
        <f t="shared" si="32"/>
        <v>-4.0144202096447978E-4</v>
      </c>
      <c r="F392" s="68">
        <f t="shared" si="33"/>
        <v>-5.2076023385190004E-2</v>
      </c>
      <c r="G392" s="72">
        <f t="shared" si="34"/>
        <v>0</v>
      </c>
    </row>
    <row r="393" spans="1:7" x14ac:dyDescent="0.25">
      <c r="A393" s="2">
        <v>44833</v>
      </c>
      <c r="B393" s="20">
        <v>2326</v>
      </c>
      <c r="C393" s="14">
        <f t="shared" si="30"/>
        <v>-1.7050711459722343E-2</v>
      </c>
      <c r="D393" s="68">
        <f t="shared" si="31"/>
        <v>2.2146274397619577E-2</v>
      </c>
      <c r="E393" s="68">
        <f t="shared" si="32"/>
        <v>-4.5466569842472033E-4</v>
      </c>
      <c r="F393" s="68">
        <f t="shared" si="33"/>
        <v>-5.1974604061252122E-2</v>
      </c>
      <c r="G393" s="72">
        <f t="shared" si="34"/>
        <v>0</v>
      </c>
    </row>
    <row r="394" spans="1:7" x14ac:dyDescent="0.25">
      <c r="A394" s="2">
        <v>44832</v>
      </c>
      <c r="B394" s="20">
        <v>2366</v>
      </c>
      <c r="C394" s="14">
        <f t="shared" si="30"/>
        <v>-2.0912514516373448E-2</v>
      </c>
      <c r="D394" s="68">
        <f t="shared" si="31"/>
        <v>2.2123449645681421E-2</v>
      </c>
      <c r="E394" s="68">
        <f t="shared" si="32"/>
        <v>-3.6800128135222636E-4</v>
      </c>
      <c r="F394" s="68">
        <f t="shared" si="33"/>
        <v>-5.1834841331032791E-2</v>
      </c>
      <c r="G394" s="72">
        <f t="shared" si="34"/>
        <v>0</v>
      </c>
    </row>
    <row r="395" spans="1:7" x14ac:dyDescent="0.25">
      <c r="A395" s="2">
        <v>44831</v>
      </c>
      <c r="B395" s="20">
        <v>2416</v>
      </c>
      <c r="C395" s="14">
        <f t="shared" si="30"/>
        <v>-4.9545931246833411E-3</v>
      </c>
      <c r="D395" s="68">
        <f t="shared" si="31"/>
        <v>2.2086510624817153E-2</v>
      </c>
      <c r="E395" s="68">
        <f t="shared" si="32"/>
        <v>-2.6890122339114526E-4</v>
      </c>
      <c r="F395" s="68">
        <f t="shared" si="33"/>
        <v>-5.1649808260414973E-2</v>
      </c>
      <c r="G395" s="72">
        <f t="shared" si="34"/>
        <v>0</v>
      </c>
    </row>
    <row r="396" spans="1:7" x14ac:dyDescent="0.25">
      <c r="A396" s="2">
        <v>44830</v>
      </c>
      <c r="B396" s="20">
        <v>2428</v>
      </c>
      <c r="C396" s="14">
        <f t="shared" si="30"/>
        <v>7.4411256946881749E-3</v>
      </c>
      <c r="D396" s="68">
        <f t="shared" si="31"/>
        <v>2.2114524036993346E-2</v>
      </c>
      <c r="E396" s="68">
        <f t="shared" si="32"/>
        <v>-1.7723398437977393E-4</v>
      </c>
      <c r="F396" s="68">
        <f t="shared" si="33"/>
        <v>-5.1623309963264315E-2</v>
      </c>
      <c r="G396" s="72">
        <f t="shared" si="34"/>
        <v>0</v>
      </c>
    </row>
    <row r="397" spans="1:7" x14ac:dyDescent="0.25">
      <c r="A397" s="2">
        <v>44827</v>
      </c>
      <c r="B397" s="20">
        <v>2410</v>
      </c>
      <c r="C397" s="14">
        <f t="shared" si="30"/>
        <v>-2.7017607319786096E-2</v>
      </c>
      <c r="D397" s="68">
        <f t="shared" si="31"/>
        <v>2.2165426470785926E-2</v>
      </c>
      <c r="E397" s="68">
        <f t="shared" si="32"/>
        <v>-1.0807042927914141E-4</v>
      </c>
      <c r="F397" s="68">
        <f t="shared" si="33"/>
        <v>-5.1672563176800558E-2</v>
      </c>
      <c r="G397" s="72">
        <f t="shared" si="34"/>
        <v>0</v>
      </c>
    </row>
    <row r="398" spans="1:7" x14ac:dyDescent="0.25">
      <c r="A398" s="2">
        <v>44826</v>
      </c>
      <c r="B398" s="20">
        <v>2476</v>
      </c>
      <c r="C398" s="14">
        <f t="shared" si="30"/>
        <v>-9.6463770518054499E-3</v>
      </c>
      <c r="D398" s="68">
        <f t="shared" si="31"/>
        <v>2.2102374004765786E-2</v>
      </c>
      <c r="E398" s="68">
        <f t="shared" si="32"/>
        <v>2.2681308240354893E-5</v>
      </c>
      <c r="F398" s="68">
        <f t="shared" si="33"/>
        <v>-5.1395129469002078E-2</v>
      </c>
      <c r="G398" s="72">
        <f t="shared" si="34"/>
        <v>0</v>
      </c>
    </row>
    <row r="399" spans="1:7" x14ac:dyDescent="0.25">
      <c r="A399" s="2">
        <v>44825</v>
      </c>
      <c r="B399" s="20">
        <v>2500</v>
      </c>
      <c r="C399" s="14">
        <f t="shared" si="30"/>
        <v>0</v>
      </c>
      <c r="D399" s="68">
        <f t="shared" si="31"/>
        <v>2.209389556268657E-2</v>
      </c>
      <c r="E399" s="68">
        <f t="shared" si="32"/>
        <v>6.4517527719537603E-5</v>
      </c>
      <c r="F399" s="68">
        <f t="shared" si="33"/>
        <v>-5.1333569443816729E-2</v>
      </c>
      <c r="G399" s="72">
        <f t="shared" si="34"/>
        <v>0</v>
      </c>
    </row>
    <row r="400" spans="1:7" x14ac:dyDescent="0.25">
      <c r="A400" s="2">
        <v>44824</v>
      </c>
      <c r="B400" s="20">
        <v>2500</v>
      </c>
      <c r="C400" s="14">
        <f t="shared" si="30"/>
        <v>-6.3796069640390399E-3</v>
      </c>
      <c r="D400" s="68">
        <f t="shared" si="31"/>
        <v>2.2096777077278258E-2</v>
      </c>
      <c r="E400" s="68">
        <f t="shared" si="32"/>
        <v>8.7346778436701085E-5</v>
      </c>
      <c r="F400" s="68">
        <f t="shared" si="33"/>
        <v>-5.1317443598443958E-2</v>
      </c>
      <c r="G400" s="72">
        <f t="shared" si="34"/>
        <v>0</v>
      </c>
    </row>
    <row r="401" spans="1:7" x14ac:dyDescent="0.25">
      <c r="A401" s="2">
        <v>44823</v>
      </c>
      <c r="B401" s="20">
        <v>2516</v>
      </c>
      <c r="C401" s="14">
        <f t="shared" si="30"/>
        <v>0</v>
      </c>
      <c r="D401" s="68">
        <f t="shared" si="31"/>
        <v>2.2112551383393221E-2</v>
      </c>
      <c r="E401" s="68">
        <f t="shared" si="32"/>
        <v>1.7217436534252501E-4</v>
      </c>
      <c r="F401" s="68">
        <f t="shared" si="33"/>
        <v>-5.1269312535033147E-2</v>
      </c>
      <c r="G401" s="72">
        <f t="shared" si="34"/>
        <v>0</v>
      </c>
    </row>
    <row r="402" spans="1:7" x14ac:dyDescent="0.25">
      <c r="A402" s="2">
        <v>44820</v>
      </c>
      <c r="B402" s="20">
        <v>2516</v>
      </c>
      <c r="C402" s="14">
        <f t="shared" si="30"/>
        <v>-3.2841106189242221E-2</v>
      </c>
      <c r="D402" s="68">
        <f t="shared" si="31"/>
        <v>2.2145515642410133E-2</v>
      </c>
      <c r="E402" s="68">
        <f t="shared" si="32"/>
        <v>2.4926095717737231E-4</v>
      </c>
      <c r="F402" s="68">
        <f t="shared" si="33"/>
        <v>-5.1268912277081621E-2</v>
      </c>
      <c r="G402" s="72">
        <f t="shared" si="34"/>
        <v>0</v>
      </c>
    </row>
    <row r="403" spans="1:7" x14ac:dyDescent="0.25">
      <c r="A403" s="2">
        <v>44819</v>
      </c>
      <c r="B403" s="20">
        <v>2600</v>
      </c>
      <c r="C403" s="14">
        <f t="shared" si="30"/>
        <v>-2.9558802241544391E-2</v>
      </c>
      <c r="D403" s="68">
        <f t="shared" si="31"/>
        <v>2.2049190939057165E-2</v>
      </c>
      <c r="E403" s="68">
        <f t="shared" si="32"/>
        <v>3.5700658703538779E-4</v>
      </c>
      <c r="F403" s="68">
        <f t="shared" si="33"/>
        <v>-5.0937081878360817E-2</v>
      </c>
      <c r="G403" s="72">
        <f t="shared" si="34"/>
        <v>0</v>
      </c>
    </row>
    <row r="404" spans="1:7" x14ac:dyDescent="0.25">
      <c r="A404" s="2">
        <v>44818</v>
      </c>
      <c r="B404" s="20">
        <v>2678</v>
      </c>
      <c r="C404" s="14">
        <f t="shared" si="30"/>
        <v>-2.9828508320650245E-3</v>
      </c>
      <c r="D404" s="68">
        <f t="shared" si="31"/>
        <v>2.2022121858989972E-2</v>
      </c>
      <c r="E404" s="68">
        <f t="shared" si="32"/>
        <v>3.7885158968532356E-4</v>
      </c>
      <c r="F404" s="68">
        <f t="shared" si="33"/>
        <v>-5.085226477884433E-2</v>
      </c>
      <c r="G404" s="72">
        <f t="shared" si="34"/>
        <v>0</v>
      </c>
    </row>
    <row r="405" spans="1:7" x14ac:dyDescent="0.25">
      <c r="A405" s="2">
        <v>44817</v>
      </c>
      <c r="B405" s="20">
        <v>2686</v>
      </c>
      <c r="C405" s="14">
        <f t="shared" si="30"/>
        <v>1.3493458102915032E-2</v>
      </c>
      <c r="D405" s="68">
        <f t="shared" si="31"/>
        <v>2.2021220878663775E-2</v>
      </c>
      <c r="E405" s="68">
        <f t="shared" si="32"/>
        <v>3.8750026816786659E-4</v>
      </c>
      <c r="F405" s="68">
        <f t="shared" si="33"/>
        <v>-5.0841520106695376E-2</v>
      </c>
      <c r="G405" s="72">
        <f t="shared" si="34"/>
        <v>0</v>
      </c>
    </row>
    <row r="406" spans="1:7" x14ac:dyDescent="0.25">
      <c r="A406" s="2">
        <v>44816</v>
      </c>
      <c r="B406" s="20">
        <v>2650</v>
      </c>
      <c r="C406" s="14">
        <f t="shared" si="30"/>
        <v>0</v>
      </c>
      <c r="D406" s="68">
        <f t="shared" si="31"/>
        <v>2.2006198568142735E-2</v>
      </c>
      <c r="E406" s="68">
        <f t="shared" si="32"/>
        <v>3.2369439475513024E-4</v>
      </c>
      <c r="F406" s="68">
        <f t="shared" si="33"/>
        <v>-5.0870378859964316E-2</v>
      </c>
      <c r="G406" s="72">
        <f t="shared" si="34"/>
        <v>0</v>
      </c>
    </row>
    <row r="407" spans="1:7" x14ac:dyDescent="0.25">
      <c r="A407" s="2">
        <v>44813</v>
      </c>
      <c r="B407" s="20">
        <v>2650</v>
      </c>
      <c r="C407" s="14">
        <f t="shared" si="30"/>
        <v>-6.0195817583860393E-3</v>
      </c>
      <c r="D407" s="68">
        <f t="shared" si="31"/>
        <v>2.204075703254588E-2</v>
      </c>
      <c r="E407" s="68">
        <f t="shared" si="32"/>
        <v>4.0303583897971382E-4</v>
      </c>
      <c r="F407" s="68">
        <f t="shared" si="33"/>
        <v>-5.0871432425934102E-2</v>
      </c>
      <c r="G407" s="72">
        <f t="shared" si="34"/>
        <v>0</v>
      </c>
    </row>
    <row r="408" spans="1:7" x14ac:dyDescent="0.25">
      <c r="A408" s="2">
        <v>44812</v>
      </c>
      <c r="B408" s="20">
        <v>2666</v>
      </c>
      <c r="C408" s="14">
        <f t="shared" si="30"/>
        <v>-6.7289973529184709E-3</v>
      </c>
      <c r="D408" s="68">
        <f t="shared" si="31"/>
        <v>2.2037128335912023E-2</v>
      </c>
      <c r="E408" s="68">
        <f t="shared" si="32"/>
        <v>4.2377666060477976E-4</v>
      </c>
      <c r="F408" s="68">
        <f t="shared" si="33"/>
        <v>-5.0842249993609326E-2</v>
      </c>
      <c r="G408" s="72">
        <f t="shared" si="34"/>
        <v>0</v>
      </c>
    </row>
    <row r="409" spans="1:7" x14ac:dyDescent="0.25">
      <c r="A409" s="2">
        <v>44811</v>
      </c>
      <c r="B409" s="20">
        <v>2684</v>
      </c>
      <c r="C409" s="14">
        <f t="shared" si="30"/>
        <v>-5.9435539008479941E-3</v>
      </c>
      <c r="D409" s="68">
        <f t="shared" si="31"/>
        <v>2.2032597363786353E-2</v>
      </c>
      <c r="E409" s="68">
        <f t="shared" si="32"/>
        <v>4.4735792702214357E-4</v>
      </c>
      <c r="F409" s="68">
        <f t="shared" si="33"/>
        <v>-5.0808128109820071E-2</v>
      </c>
      <c r="G409" s="72">
        <f t="shared" si="34"/>
        <v>0</v>
      </c>
    </row>
    <row r="410" spans="1:7" x14ac:dyDescent="0.25">
      <c r="A410" s="2">
        <v>44810</v>
      </c>
      <c r="B410" s="20">
        <v>2700</v>
      </c>
      <c r="C410" s="14">
        <f t="shared" si="30"/>
        <v>2.2246950221111086E-3</v>
      </c>
      <c r="D410" s="68">
        <f t="shared" si="31"/>
        <v>2.2028879946613747E-2</v>
      </c>
      <c r="E410" s="68">
        <f t="shared" si="32"/>
        <v>4.7113214262553554E-4</v>
      </c>
      <c r="F410" s="68">
        <f t="shared" si="33"/>
        <v>-5.0775705888680266E-2</v>
      </c>
      <c r="G410" s="72">
        <f t="shared" si="34"/>
        <v>0</v>
      </c>
    </row>
    <row r="411" spans="1:7" x14ac:dyDescent="0.25">
      <c r="A411" s="2">
        <v>44809</v>
      </c>
      <c r="B411" s="20">
        <v>2694</v>
      </c>
      <c r="C411" s="14">
        <f t="shared" si="30"/>
        <v>-2.2027322318290819E-2</v>
      </c>
      <c r="D411" s="68">
        <f t="shared" si="31"/>
        <v>2.2029903907832195E-2</v>
      </c>
      <c r="E411" s="68">
        <f t="shared" si="32"/>
        <v>4.4892220216639222E-4</v>
      </c>
      <c r="F411" s="68">
        <f t="shared" si="33"/>
        <v>-5.0800297919143048E-2</v>
      </c>
      <c r="G411" s="72">
        <f t="shared" si="34"/>
        <v>0</v>
      </c>
    </row>
    <row r="412" spans="1:7" x14ac:dyDescent="0.25">
      <c r="A412" s="2">
        <v>44806</v>
      </c>
      <c r="B412" s="20">
        <v>2754</v>
      </c>
      <c r="C412" s="14">
        <f t="shared" si="30"/>
        <v>1.0953012019197145E-2</v>
      </c>
      <c r="D412" s="68">
        <f t="shared" si="31"/>
        <v>2.1984330369458276E-2</v>
      </c>
      <c r="E412" s="68">
        <f t="shared" si="32"/>
        <v>5.5034265181025475E-4</v>
      </c>
      <c r="F412" s="68">
        <f t="shared" si="33"/>
        <v>-5.0592857565390496E-2</v>
      </c>
      <c r="G412" s="72">
        <f t="shared" si="34"/>
        <v>0</v>
      </c>
    </row>
    <row r="413" spans="1:7" x14ac:dyDescent="0.25">
      <c r="A413" s="2">
        <v>44805</v>
      </c>
      <c r="B413" s="20">
        <v>2724</v>
      </c>
      <c r="C413" s="14">
        <f t="shared" si="30"/>
        <v>-9.499523391214031E-3</v>
      </c>
      <c r="D413" s="68">
        <f t="shared" si="31"/>
        <v>2.1976386044508581E-2</v>
      </c>
      <c r="E413" s="68">
        <f t="shared" si="32"/>
        <v>4.8989856313881141E-4</v>
      </c>
      <c r="F413" s="68">
        <f t="shared" si="33"/>
        <v>-5.0634820390604532E-2</v>
      </c>
      <c r="G413" s="72">
        <f t="shared" si="34"/>
        <v>0</v>
      </c>
    </row>
    <row r="414" spans="1:7" x14ac:dyDescent="0.25">
      <c r="A414" s="2">
        <v>44804</v>
      </c>
      <c r="B414" s="20">
        <v>2750</v>
      </c>
      <c r="C414" s="14">
        <f t="shared" si="30"/>
        <v>-1.5873349156290122E-2</v>
      </c>
      <c r="D414" s="68">
        <f t="shared" si="31"/>
        <v>2.1969215796633024E-2</v>
      </c>
      <c r="E414" s="68">
        <f t="shared" si="32"/>
        <v>5.1133348603954194E-4</v>
      </c>
      <c r="F414" s="68">
        <f t="shared" si="33"/>
        <v>-5.0596704976802145E-2</v>
      </c>
      <c r="G414" s="72">
        <f t="shared" si="34"/>
        <v>0</v>
      </c>
    </row>
    <row r="415" spans="1:7" x14ac:dyDescent="0.25">
      <c r="A415" s="2">
        <v>44803</v>
      </c>
      <c r="B415" s="20">
        <v>2794</v>
      </c>
      <c r="C415" s="14">
        <f t="shared" si="30"/>
        <v>1.2243581105711408E-2</v>
      </c>
      <c r="D415" s="68">
        <f t="shared" si="31"/>
        <v>2.1945723217953454E-2</v>
      </c>
      <c r="E415" s="68">
        <f t="shared" si="32"/>
        <v>5.913900533288277E-4</v>
      </c>
      <c r="F415" s="68">
        <f t="shared" si="33"/>
        <v>-5.0461996499045911E-2</v>
      </c>
      <c r="G415" s="72">
        <f t="shared" si="34"/>
        <v>0</v>
      </c>
    </row>
    <row r="416" spans="1:7" x14ac:dyDescent="0.25">
      <c r="A416" s="2">
        <v>44802</v>
      </c>
      <c r="B416" s="20">
        <v>2760</v>
      </c>
      <c r="C416" s="14">
        <f t="shared" si="30"/>
        <v>-1.7241806434506103E-2</v>
      </c>
      <c r="D416" s="68">
        <f t="shared" si="31"/>
        <v>2.1936907902639993E-2</v>
      </c>
      <c r="E416" s="68">
        <f t="shared" si="32"/>
        <v>5.1924644608796454E-4</v>
      </c>
      <c r="F416" s="68">
        <f t="shared" si="33"/>
        <v>-5.0513632616248298E-2</v>
      </c>
      <c r="G416" s="72">
        <f t="shared" si="34"/>
        <v>0</v>
      </c>
    </row>
    <row r="417" spans="1:7" x14ac:dyDescent="0.25">
      <c r="A417" s="2">
        <v>44799</v>
      </c>
      <c r="B417" s="20">
        <v>2808</v>
      </c>
      <c r="C417" s="14">
        <f t="shared" si="30"/>
        <v>-8.5106896679086191E-3</v>
      </c>
      <c r="D417" s="68">
        <f t="shared" si="31"/>
        <v>2.1907928884290769E-2</v>
      </c>
      <c r="E417" s="68">
        <f t="shared" si="32"/>
        <v>5.8821367182598837E-4</v>
      </c>
      <c r="F417" s="68">
        <f t="shared" si="33"/>
        <v>-5.0377250112781768E-2</v>
      </c>
      <c r="G417" s="72">
        <f t="shared" si="34"/>
        <v>0</v>
      </c>
    </row>
    <row r="418" spans="1:7" x14ac:dyDescent="0.25">
      <c r="A418" s="2">
        <v>44798</v>
      </c>
      <c r="B418" s="20">
        <v>2832</v>
      </c>
      <c r="C418" s="14">
        <f t="shared" si="30"/>
        <v>1.1363758650315003E-2</v>
      </c>
      <c r="D418" s="68">
        <f t="shared" si="31"/>
        <v>2.190040501033574E-2</v>
      </c>
      <c r="E418" s="68">
        <f t="shared" si="32"/>
        <v>6.2886254265151487E-4</v>
      </c>
      <c r="F418" s="68">
        <f t="shared" si="33"/>
        <v>-5.031909809377641E-2</v>
      </c>
      <c r="G418" s="72">
        <f t="shared" si="34"/>
        <v>0</v>
      </c>
    </row>
    <row r="419" spans="1:7" x14ac:dyDescent="0.25">
      <c r="A419" s="2">
        <v>44797</v>
      </c>
      <c r="B419" s="20">
        <v>2800</v>
      </c>
      <c r="C419" s="14">
        <f t="shared" si="30"/>
        <v>-7.1403073365706277E-4</v>
      </c>
      <c r="D419" s="68">
        <f t="shared" si="31"/>
        <v>2.1896466937896285E-2</v>
      </c>
      <c r="E419" s="68">
        <f t="shared" si="32"/>
        <v>6.1993744230334487E-4</v>
      </c>
      <c r="F419" s="68">
        <f t="shared" si="33"/>
        <v>-5.0318861867677235E-2</v>
      </c>
      <c r="G419" s="72">
        <f t="shared" si="34"/>
        <v>0</v>
      </c>
    </row>
    <row r="420" spans="1:7" x14ac:dyDescent="0.25">
      <c r="A420" s="2">
        <v>44796</v>
      </c>
      <c r="B420" s="20">
        <v>2802</v>
      </c>
      <c r="C420" s="14">
        <f t="shared" si="30"/>
        <v>-7.1352125752835579E-4</v>
      </c>
      <c r="D420" s="68">
        <f t="shared" si="31"/>
        <v>2.1905946612133659E-2</v>
      </c>
      <c r="E420" s="68">
        <f t="shared" si="32"/>
        <v>6.6639986711734681E-4</v>
      </c>
      <c r="F420" s="68">
        <f t="shared" si="33"/>
        <v>-5.0294452462871946E-2</v>
      </c>
      <c r="G420" s="72">
        <f t="shared" si="34"/>
        <v>0</v>
      </c>
    </row>
    <row r="421" spans="1:7" x14ac:dyDescent="0.25">
      <c r="A421" s="2">
        <v>44795</v>
      </c>
      <c r="B421" s="20">
        <v>2804</v>
      </c>
      <c r="C421" s="14">
        <f t="shared" si="30"/>
        <v>-1.0642172096144981E-2</v>
      </c>
      <c r="D421" s="68">
        <f t="shared" si="31"/>
        <v>2.1926042623404533E-2</v>
      </c>
      <c r="E421" s="68">
        <f t="shared" si="32"/>
        <v>6.1232540647942742E-4</v>
      </c>
      <c r="F421" s="68">
        <f t="shared" si="33"/>
        <v>-5.0395277236606563E-2</v>
      </c>
      <c r="G421" s="72">
        <f t="shared" si="34"/>
        <v>0</v>
      </c>
    </row>
    <row r="422" spans="1:7" x14ac:dyDescent="0.25">
      <c r="A422" s="2">
        <v>44792</v>
      </c>
      <c r="B422" s="20">
        <v>2834</v>
      </c>
      <c r="C422" s="14">
        <f t="shared" si="30"/>
        <v>8.5046579228343581E-3</v>
      </c>
      <c r="D422" s="68">
        <f t="shared" si="31"/>
        <v>2.1914701583654973E-2</v>
      </c>
      <c r="E422" s="68">
        <f t="shared" si="32"/>
        <v>6.648816156583562E-4</v>
      </c>
      <c r="F422" s="68">
        <f t="shared" si="33"/>
        <v>-5.0316337823716833E-2</v>
      </c>
      <c r="G422" s="72">
        <f t="shared" si="34"/>
        <v>0</v>
      </c>
    </row>
    <row r="423" spans="1:7" x14ac:dyDescent="0.25">
      <c r="A423" s="2">
        <v>44791</v>
      </c>
      <c r="B423" s="20">
        <v>2810</v>
      </c>
      <c r="C423" s="14">
        <f t="shared" si="30"/>
        <v>-1.8336197788604715E-2</v>
      </c>
      <c r="D423" s="68">
        <f t="shared" si="31"/>
        <v>2.1909940963182099E-2</v>
      </c>
      <c r="E423" s="68">
        <f t="shared" si="32"/>
        <v>6.2087546317266982E-4</v>
      </c>
      <c r="F423" s="68">
        <f t="shared" si="33"/>
        <v>-5.0349269116886343E-2</v>
      </c>
      <c r="G423" s="72">
        <f t="shared" si="34"/>
        <v>0</v>
      </c>
    </row>
    <row r="424" spans="1:7" x14ac:dyDescent="0.25">
      <c r="A424" s="2">
        <v>44790</v>
      </c>
      <c r="B424" s="20">
        <v>2862</v>
      </c>
      <c r="C424" s="14">
        <f t="shared" si="30"/>
        <v>-1.8692133012152522E-2</v>
      </c>
      <c r="D424" s="68">
        <f t="shared" si="31"/>
        <v>2.1905664022323319E-2</v>
      </c>
      <c r="E424" s="68">
        <f t="shared" si="32"/>
        <v>7.6804785343635457E-4</v>
      </c>
      <c r="F424" s="68">
        <f t="shared" si="33"/>
        <v>-5.019214707434843E-2</v>
      </c>
      <c r="G424" s="72">
        <f t="shared" si="34"/>
        <v>0</v>
      </c>
    </row>
    <row r="425" spans="1:7" x14ac:dyDescent="0.25">
      <c r="A425" s="2">
        <v>44789</v>
      </c>
      <c r="B425" s="20">
        <v>2916</v>
      </c>
      <c r="C425" s="14">
        <f t="shared" si="30"/>
        <v>1.0341353794732531E-2</v>
      </c>
      <c r="D425" s="68">
        <f t="shared" si="31"/>
        <v>2.1907821521520571E-2</v>
      </c>
      <c r="E425" s="68">
        <f t="shared" si="32"/>
        <v>7.6566514679934851E-4</v>
      </c>
      <c r="F425" s="68">
        <f t="shared" si="33"/>
        <v>-5.0199548874656205E-2</v>
      </c>
      <c r="G425" s="72">
        <f t="shared" si="34"/>
        <v>0</v>
      </c>
    </row>
    <row r="426" spans="1:7" x14ac:dyDescent="0.25">
      <c r="A426" s="2">
        <v>44788</v>
      </c>
      <c r="B426" s="20">
        <v>2886</v>
      </c>
      <c r="C426" s="14">
        <f t="shared" si="30"/>
        <v>0</v>
      </c>
      <c r="D426" s="68">
        <f t="shared" si="31"/>
        <v>2.1900326076135419E-2</v>
      </c>
      <c r="E426" s="68">
        <f t="shared" si="32"/>
        <v>7.14345350705358E-4</v>
      </c>
      <c r="F426" s="68">
        <f t="shared" si="33"/>
        <v>-5.0233431657313463E-2</v>
      </c>
      <c r="G426" s="72">
        <f t="shared" si="34"/>
        <v>0</v>
      </c>
    </row>
    <row r="427" spans="1:7" x14ac:dyDescent="0.25">
      <c r="A427" s="2">
        <v>44785</v>
      </c>
      <c r="B427" s="20">
        <v>2886</v>
      </c>
      <c r="C427" s="14">
        <f t="shared" si="30"/>
        <v>-2.3288723757508928E-2</v>
      </c>
      <c r="D427" s="68">
        <f t="shared" si="31"/>
        <v>2.1908133038036938E-2</v>
      </c>
      <c r="E427" s="68">
        <f t="shared" si="32"/>
        <v>7.5431237763303957E-4</v>
      </c>
      <c r="F427" s="68">
        <f t="shared" si="33"/>
        <v>-5.0211626339608094E-2</v>
      </c>
      <c r="G427" s="72">
        <f t="shared" si="34"/>
        <v>0</v>
      </c>
    </row>
    <row r="428" spans="1:7" x14ac:dyDescent="0.25">
      <c r="A428" s="2">
        <v>44784</v>
      </c>
      <c r="B428" s="20">
        <v>2954</v>
      </c>
      <c r="C428" s="14">
        <f t="shared" si="30"/>
        <v>2.0332097820978229E-3</v>
      </c>
      <c r="D428" s="68">
        <f t="shared" si="31"/>
        <v>2.188271578949021E-2</v>
      </c>
      <c r="E428" s="68">
        <f t="shared" si="32"/>
        <v>7.8107570702692366E-4</v>
      </c>
      <c r="F428" s="68">
        <f t="shared" si="33"/>
        <v>-5.0125733648093564E-2</v>
      </c>
      <c r="G428" s="72">
        <f t="shared" si="34"/>
        <v>0</v>
      </c>
    </row>
    <row r="429" spans="1:7" x14ac:dyDescent="0.25">
      <c r="A429" s="2">
        <v>44783</v>
      </c>
      <c r="B429" s="20">
        <v>2948</v>
      </c>
      <c r="C429" s="14">
        <f t="shared" si="30"/>
        <v>4.6520015634892907E-2</v>
      </c>
      <c r="D429" s="68">
        <f t="shared" si="31"/>
        <v>2.1882626384583253E-2</v>
      </c>
      <c r="E429" s="68">
        <f t="shared" si="32"/>
        <v>7.7294286789853243E-4</v>
      </c>
      <c r="F429" s="68">
        <f t="shared" si="33"/>
        <v>-5.0133658500306731E-2</v>
      </c>
      <c r="G429" s="72">
        <f t="shared" si="34"/>
        <v>0</v>
      </c>
    </row>
    <row r="430" spans="1:7" x14ac:dyDescent="0.25">
      <c r="A430" s="2">
        <v>44782</v>
      </c>
      <c r="B430" s="20">
        <v>2814</v>
      </c>
      <c r="C430" s="14">
        <f t="shared" si="30"/>
        <v>-4.2441152060071811E-2</v>
      </c>
      <c r="D430" s="68">
        <f t="shared" si="31"/>
        <v>2.169367165358331E-2</v>
      </c>
      <c r="E430" s="68">
        <f t="shared" si="32"/>
        <v>5.6061168570886645E-4</v>
      </c>
      <c r="F430" s="68">
        <f t="shared" si="33"/>
        <v>-4.9906415245744719E-2</v>
      </c>
      <c r="G430" s="72">
        <f t="shared" si="34"/>
        <v>0</v>
      </c>
    </row>
    <row r="431" spans="1:7" x14ac:dyDescent="0.25">
      <c r="A431" s="2">
        <v>44781</v>
      </c>
      <c r="B431" s="20">
        <v>2936</v>
      </c>
      <c r="C431" s="14">
        <f t="shared" si="30"/>
        <v>1.2337373759840784E-2</v>
      </c>
      <c r="D431" s="68">
        <f t="shared" si="31"/>
        <v>2.15493141443126E-2</v>
      </c>
      <c r="E431" s="68">
        <f t="shared" si="32"/>
        <v>8.0298554837790936E-4</v>
      </c>
      <c r="F431" s="68">
        <f t="shared" si="33"/>
        <v>-4.9328215598281926E-2</v>
      </c>
      <c r="G431" s="72">
        <f t="shared" si="34"/>
        <v>0</v>
      </c>
    </row>
    <row r="432" spans="1:7" x14ac:dyDescent="0.25">
      <c r="A432" s="2">
        <v>44778</v>
      </c>
      <c r="B432" s="20">
        <v>2900</v>
      </c>
      <c r="C432" s="14">
        <f t="shared" si="30"/>
        <v>-3.3901551675681339E-2</v>
      </c>
      <c r="D432" s="68">
        <f t="shared" si="31"/>
        <v>2.1684533953998917E-2</v>
      </c>
      <c r="E432" s="68">
        <f t="shared" si="32"/>
        <v>5.9688130115616972E-4</v>
      </c>
      <c r="F432" s="68">
        <f t="shared" si="33"/>
        <v>-4.9848888162295636E-2</v>
      </c>
      <c r="G432" s="72">
        <f t="shared" si="34"/>
        <v>0</v>
      </c>
    </row>
    <row r="433" spans="1:7" x14ac:dyDescent="0.25">
      <c r="A433" s="2">
        <v>44777</v>
      </c>
      <c r="B433" s="20">
        <v>3000</v>
      </c>
      <c r="C433" s="14">
        <f t="shared" si="30"/>
        <v>2.156417791584064E-2</v>
      </c>
      <c r="D433" s="68">
        <f t="shared" si="31"/>
        <v>2.1588483059250447E-2</v>
      </c>
      <c r="E433" s="68">
        <f t="shared" si="32"/>
        <v>6.8473524953399461E-4</v>
      </c>
      <c r="F433" s="68">
        <f t="shared" si="33"/>
        <v>-4.9537586419119983E-2</v>
      </c>
      <c r="G433" s="72">
        <f t="shared" si="34"/>
        <v>0</v>
      </c>
    </row>
    <row r="434" spans="1:7" x14ac:dyDescent="0.25">
      <c r="A434" s="2">
        <v>44776</v>
      </c>
      <c r="B434" s="20">
        <v>2936</v>
      </c>
      <c r="C434" s="14">
        <f t="shared" si="30"/>
        <v>1.6483889721689415E-2</v>
      </c>
      <c r="D434" s="68">
        <f t="shared" si="31"/>
        <v>2.156735904741865E-2</v>
      </c>
      <c r="E434" s="68">
        <f t="shared" si="32"/>
        <v>6.5906160110261198E-4</v>
      </c>
      <c r="F434" s="68">
        <f t="shared" si="33"/>
        <v>-4.9514118267535254E-2</v>
      </c>
      <c r="G434" s="72">
        <f t="shared" si="34"/>
        <v>0</v>
      </c>
    </row>
    <row r="435" spans="1:7" x14ac:dyDescent="0.25">
      <c r="A435" s="2">
        <v>44775</v>
      </c>
      <c r="B435" s="20">
        <v>2888</v>
      </c>
      <c r="C435" s="14">
        <f t="shared" si="30"/>
        <v>-7.5888601528213218E-3</v>
      </c>
      <c r="D435" s="68">
        <f t="shared" si="31"/>
        <v>2.1543969738984346E-2</v>
      </c>
      <c r="E435" s="68">
        <f t="shared" si="32"/>
        <v>5.9312604221585443E-4</v>
      </c>
      <c r="F435" s="68">
        <f t="shared" si="33"/>
        <v>-4.9525642158470586E-2</v>
      </c>
      <c r="G435" s="72">
        <f t="shared" si="34"/>
        <v>0</v>
      </c>
    </row>
    <row r="436" spans="1:7" x14ac:dyDescent="0.25">
      <c r="A436" s="2">
        <v>44774</v>
      </c>
      <c r="B436" s="20">
        <v>2910</v>
      </c>
      <c r="C436" s="14">
        <f t="shared" si="30"/>
        <v>1.3755160353098766E-3</v>
      </c>
      <c r="D436" s="68">
        <f t="shared" si="31"/>
        <v>2.1605608960224138E-2</v>
      </c>
      <c r="E436" s="68">
        <f t="shared" si="32"/>
        <v>7.3423774421000232E-4</v>
      </c>
      <c r="F436" s="68">
        <f t="shared" si="33"/>
        <v>-4.9527924727765162E-2</v>
      </c>
      <c r="G436" s="72">
        <f t="shared" si="34"/>
        <v>0</v>
      </c>
    </row>
    <row r="437" spans="1:7" x14ac:dyDescent="0.25">
      <c r="A437" s="2">
        <v>44771</v>
      </c>
      <c r="B437" s="20">
        <v>2906</v>
      </c>
      <c r="C437" s="14">
        <f t="shared" si="30"/>
        <v>8.9872710002366768E-3</v>
      </c>
      <c r="D437" s="68">
        <f t="shared" si="31"/>
        <v>2.1609760351855984E-2</v>
      </c>
      <c r="E437" s="68">
        <f t="shared" si="32"/>
        <v>7.5857419390052013E-4</v>
      </c>
      <c r="F437" s="68">
        <f t="shared" si="33"/>
        <v>-4.9513245859171703E-2</v>
      </c>
      <c r="G437" s="72">
        <f t="shared" si="34"/>
        <v>0</v>
      </c>
    </row>
    <row r="438" spans="1:7" x14ac:dyDescent="0.25">
      <c r="A438" s="2">
        <v>44770</v>
      </c>
      <c r="B438" s="20">
        <v>2880</v>
      </c>
      <c r="C438" s="14">
        <f t="shared" si="30"/>
        <v>1.7513582492708211E-2</v>
      </c>
      <c r="D438" s="68">
        <f t="shared" si="31"/>
        <v>2.1604401069293001E-2</v>
      </c>
      <c r="E438" s="68">
        <f t="shared" si="32"/>
        <v>7.1265418658116345E-4</v>
      </c>
      <c r="F438" s="68">
        <f t="shared" si="33"/>
        <v>-4.9546698310894276E-2</v>
      </c>
      <c r="G438" s="72">
        <f t="shared" si="34"/>
        <v>0</v>
      </c>
    </row>
    <row r="439" spans="1:7" x14ac:dyDescent="0.25">
      <c r="A439" s="2">
        <v>44769</v>
      </c>
      <c r="B439" s="20">
        <v>2830</v>
      </c>
      <c r="C439" s="14">
        <f t="shared" si="30"/>
        <v>1.280245082037618E-2</v>
      </c>
      <c r="D439" s="68">
        <f t="shared" si="31"/>
        <v>2.1587688203454788E-2</v>
      </c>
      <c r="E439" s="68">
        <f t="shared" si="32"/>
        <v>6.8598784980817185E-4</v>
      </c>
      <c r="F439" s="68">
        <f t="shared" si="33"/>
        <v>-4.9534484707755407E-2</v>
      </c>
      <c r="G439" s="72">
        <f t="shared" si="34"/>
        <v>0</v>
      </c>
    </row>
    <row r="440" spans="1:7" x14ac:dyDescent="0.25">
      <c r="A440" s="2">
        <v>44768</v>
      </c>
      <c r="B440" s="20">
        <v>2794</v>
      </c>
      <c r="C440" s="14">
        <f t="shared" si="30"/>
        <v>-1.6329791338344574E-2</v>
      </c>
      <c r="D440" s="68">
        <f t="shared" si="31"/>
        <v>2.1574175168446012E-2</v>
      </c>
      <c r="E440" s="68">
        <f t="shared" si="32"/>
        <v>6.314237486361832E-4</v>
      </c>
      <c r="F440" s="68">
        <f t="shared" si="33"/>
        <v>-4.95576127886629E-2</v>
      </c>
      <c r="G440" s="72">
        <f t="shared" si="34"/>
        <v>0</v>
      </c>
    </row>
    <row r="441" spans="1:7" x14ac:dyDescent="0.25">
      <c r="A441" s="2">
        <v>44767</v>
      </c>
      <c r="B441" s="20">
        <v>2840</v>
      </c>
      <c r="C441" s="14">
        <f t="shared" si="30"/>
        <v>-3.0515543925950489E-2</v>
      </c>
      <c r="D441" s="68">
        <f t="shared" si="31"/>
        <v>2.158298583224396E-2</v>
      </c>
      <c r="E441" s="68">
        <f t="shared" si="32"/>
        <v>7.7803275649295281E-4</v>
      </c>
      <c r="F441" s="68">
        <f t="shared" si="33"/>
        <v>-4.9431500449801373E-2</v>
      </c>
      <c r="G441" s="72">
        <f t="shared" si="34"/>
        <v>0</v>
      </c>
    </row>
    <row r="442" spans="1:7" x14ac:dyDescent="0.25">
      <c r="A442" s="2">
        <v>44764</v>
      </c>
      <c r="B442" s="20">
        <v>2928</v>
      </c>
      <c r="C442" s="14">
        <f t="shared" si="30"/>
        <v>1.3755375068485419E-2</v>
      </c>
      <c r="D442" s="68">
        <f t="shared" si="31"/>
        <v>2.1493803464282812E-2</v>
      </c>
      <c r="E442" s="68">
        <f t="shared" si="32"/>
        <v>8.8302277653286125E-4</v>
      </c>
      <c r="F442" s="68">
        <f t="shared" si="33"/>
        <v>-4.9119041217653113E-2</v>
      </c>
      <c r="G442" s="72">
        <f t="shared" si="34"/>
        <v>0</v>
      </c>
    </row>
    <row r="443" spans="1:7" x14ac:dyDescent="0.25">
      <c r="A443" s="2">
        <v>44763</v>
      </c>
      <c r="B443" s="20">
        <v>2888</v>
      </c>
      <c r="C443" s="14">
        <f t="shared" si="30"/>
        <v>3.6675478558406568E-2</v>
      </c>
      <c r="D443" s="68">
        <f t="shared" si="31"/>
        <v>2.148786058915161E-2</v>
      </c>
      <c r="E443" s="68">
        <f t="shared" si="32"/>
        <v>7.906970635341605E-4</v>
      </c>
      <c r="F443" s="68">
        <f t="shared" si="33"/>
        <v>-4.9197541735724659E-2</v>
      </c>
      <c r="G443" s="72">
        <f t="shared" si="34"/>
        <v>0</v>
      </c>
    </row>
    <row r="444" spans="1:7" x14ac:dyDescent="0.25">
      <c r="A444" s="2">
        <v>44762</v>
      </c>
      <c r="B444" s="20">
        <v>2784</v>
      </c>
      <c r="C444" s="14">
        <f t="shared" si="30"/>
        <v>-8.8626451364927888E-2</v>
      </c>
      <c r="D444" s="68">
        <f t="shared" si="31"/>
        <v>2.1373011691621875E-2</v>
      </c>
      <c r="E444" s="68">
        <f t="shared" si="32"/>
        <v>6.1373018776727107E-4</v>
      </c>
      <c r="F444" s="68">
        <f t="shared" si="33"/>
        <v>-4.9107330122887309E-2</v>
      </c>
      <c r="G444" s="72">
        <f t="shared" si="34"/>
        <v>0</v>
      </c>
    </row>
    <row r="445" spans="1:7" x14ac:dyDescent="0.25">
      <c r="A445" s="2">
        <v>44761</v>
      </c>
      <c r="B445" s="20">
        <v>3042</v>
      </c>
      <c r="C445" s="14">
        <f t="shared" si="30"/>
        <v>7.2583624503229013E-3</v>
      </c>
      <c r="D445" s="68">
        <f t="shared" si="31"/>
        <v>2.0623309422300735E-2</v>
      </c>
      <c r="E445" s="68">
        <f t="shared" si="32"/>
        <v>1.0221997121910426E-3</v>
      </c>
      <c r="F445" s="68">
        <f t="shared" si="33"/>
        <v>-4.6954792318064709E-2</v>
      </c>
      <c r="G445" s="72">
        <f t="shared" si="34"/>
        <v>1</v>
      </c>
    </row>
    <row r="446" spans="1:7" x14ac:dyDescent="0.25">
      <c r="A446" s="2">
        <v>44760</v>
      </c>
      <c r="B446" s="20">
        <v>3020</v>
      </c>
      <c r="C446" s="14">
        <f t="shared" si="30"/>
        <v>2.548763052014855E-2</v>
      </c>
      <c r="D446" s="68">
        <f t="shared" si="31"/>
        <v>2.0656685253705752E-2</v>
      </c>
      <c r="E446" s="68">
        <f t="shared" si="32"/>
        <v>1.0755019309637002E-3</v>
      </c>
      <c r="F446" s="68">
        <f t="shared" si="33"/>
        <v>-4.6979133893725461E-2</v>
      </c>
      <c r="G446" s="72">
        <f t="shared" si="34"/>
        <v>0</v>
      </c>
    </row>
    <row r="447" spans="1:7" x14ac:dyDescent="0.25">
      <c r="A447" s="2">
        <v>44757</v>
      </c>
      <c r="B447" s="20">
        <v>2944</v>
      </c>
      <c r="C447" s="14">
        <f t="shared" si="30"/>
        <v>1.5058463874201535E-2</v>
      </c>
      <c r="D447" s="68">
        <f t="shared" si="31"/>
        <v>2.0598694669428819E-2</v>
      </c>
      <c r="E447" s="68">
        <f t="shared" si="32"/>
        <v>9.8396356226775517E-4</v>
      </c>
      <c r="F447" s="68">
        <f t="shared" si="33"/>
        <v>-4.6935765989974371E-2</v>
      </c>
      <c r="G447" s="72">
        <f t="shared" si="34"/>
        <v>0</v>
      </c>
    </row>
    <row r="448" spans="1:7" x14ac:dyDescent="0.25">
      <c r="A448" s="2">
        <v>44756</v>
      </c>
      <c r="B448" s="20">
        <v>2900</v>
      </c>
      <c r="C448" s="14">
        <f t="shared" si="30"/>
        <v>2.1611158254577524E-2</v>
      </c>
      <c r="D448" s="68">
        <f t="shared" si="31"/>
        <v>2.0735096984456206E-2</v>
      </c>
      <c r="E448" s="68">
        <f t="shared" si="32"/>
        <v>7.6698051942658725E-4</v>
      </c>
      <c r="F448" s="68">
        <f t="shared" si="33"/>
        <v>-4.7470068268393756E-2</v>
      </c>
      <c r="G448" s="72">
        <f t="shared" si="34"/>
        <v>0</v>
      </c>
    </row>
    <row r="449" spans="1:7" x14ac:dyDescent="0.25">
      <c r="A449" s="2">
        <v>44755</v>
      </c>
      <c r="B449" s="20">
        <v>2838</v>
      </c>
      <c r="C449" s="14">
        <f t="shared" si="30"/>
        <v>-2.8149209298096727E-3</v>
      </c>
      <c r="D449" s="68">
        <f t="shared" si="31"/>
        <v>2.0692903445823307E-2</v>
      </c>
      <c r="E449" s="68">
        <f t="shared" si="32"/>
        <v>6.8722485117772591E-4</v>
      </c>
      <c r="F449" s="68">
        <f t="shared" si="33"/>
        <v>-4.7451667087745716E-2</v>
      </c>
      <c r="G449" s="72">
        <f t="shared" si="34"/>
        <v>0</v>
      </c>
    </row>
    <row r="450" spans="1:7" x14ac:dyDescent="0.25">
      <c r="A450" s="2">
        <v>44754</v>
      </c>
      <c r="B450" s="20">
        <v>2846</v>
      </c>
      <c r="C450" s="14">
        <f t="shared" si="30"/>
        <v>-9.0941515183170975E-3</v>
      </c>
      <c r="D450" s="68">
        <f t="shared" si="31"/>
        <v>2.0694859225509801E-2</v>
      </c>
      <c r="E450" s="68">
        <f t="shared" si="32"/>
        <v>6.7845110403947468E-4</v>
      </c>
      <c r="F450" s="68">
        <f t="shared" si="33"/>
        <v>-4.7464990658799729E-2</v>
      </c>
      <c r="G450" s="72">
        <f t="shared" si="34"/>
        <v>0</v>
      </c>
    </row>
    <row r="451" spans="1:7" x14ac:dyDescent="0.25">
      <c r="A451" s="2">
        <v>44753</v>
      </c>
      <c r="B451" s="20">
        <v>2872</v>
      </c>
      <c r="C451" s="14">
        <f t="shared" si="30"/>
        <v>-1.4518056587035311E-2</v>
      </c>
      <c r="D451" s="68">
        <f t="shared" si="31"/>
        <v>2.0689674560983324E-2</v>
      </c>
      <c r="E451" s="68">
        <f t="shared" si="32"/>
        <v>6.9158148445363609E-4</v>
      </c>
      <c r="F451" s="68">
        <f t="shared" si="33"/>
        <v>-4.7439798945086785E-2</v>
      </c>
      <c r="G451" s="72">
        <f t="shared" si="34"/>
        <v>0</v>
      </c>
    </row>
    <row r="452" spans="1:7" x14ac:dyDescent="0.25">
      <c r="A452" s="2">
        <v>44750</v>
      </c>
      <c r="B452" s="20">
        <v>2914</v>
      </c>
      <c r="C452" s="14">
        <f t="shared" si="30"/>
        <v>8.9624867424333739E-3</v>
      </c>
      <c r="D452" s="68">
        <f t="shared" si="31"/>
        <v>2.0709775001242454E-2</v>
      </c>
      <c r="E452" s="68">
        <f t="shared" si="32"/>
        <v>8.3668643291664449E-4</v>
      </c>
      <c r="F452" s="68">
        <f t="shared" si="33"/>
        <v>-4.7341454613087891E-2</v>
      </c>
      <c r="G452" s="72">
        <f t="shared" si="34"/>
        <v>0</v>
      </c>
    </row>
    <row r="453" spans="1:7" x14ac:dyDescent="0.25">
      <c r="A453" s="2">
        <v>44749</v>
      </c>
      <c r="B453" s="20">
        <v>2888</v>
      </c>
      <c r="C453" s="14">
        <f t="shared" ref="C453:C516" si="35">+LN(B453/B454)</f>
        <v>-4.8359334314162635E-3</v>
      </c>
      <c r="D453" s="68">
        <f t="shared" ref="D453:D510" si="36">STDEV(C453:C702)</f>
        <v>2.0707693493006777E-2</v>
      </c>
      <c r="E453" s="68">
        <f t="shared" ref="E453:E510" si="37">AVERAGE(C453:C702)</f>
        <v>7.7721769104795754E-4</v>
      </c>
      <c r="F453" s="68">
        <f t="shared" ref="F453:F510" si="38">E453+$L$8*D453</f>
        <v>-4.7396081042697706E-2</v>
      </c>
      <c r="G453" s="72">
        <f t="shared" si="34"/>
        <v>0</v>
      </c>
    </row>
    <row r="454" spans="1:7" x14ac:dyDescent="0.25">
      <c r="A454" s="2">
        <v>44748</v>
      </c>
      <c r="B454" s="20">
        <v>2902</v>
      </c>
      <c r="C454" s="14">
        <f t="shared" si="35"/>
        <v>-1.0284629562409008E-2</v>
      </c>
      <c r="D454" s="68">
        <f t="shared" si="36"/>
        <v>2.0705751760393173E-2</v>
      </c>
      <c r="E454" s="68">
        <f t="shared" si="37"/>
        <v>8.1341774976094634E-4</v>
      </c>
      <c r="F454" s="68">
        <f t="shared" si="38"/>
        <v>-4.7355363838447108E-2</v>
      </c>
      <c r="G454" s="72">
        <f t="shared" ref="G454:G510" si="39">IF(C453&lt;F454,1,0)</f>
        <v>0</v>
      </c>
    </row>
    <row r="455" spans="1:7" x14ac:dyDescent="0.25">
      <c r="A455" s="2">
        <v>44747</v>
      </c>
      <c r="B455" s="20">
        <v>2932</v>
      </c>
      <c r="C455" s="14">
        <f t="shared" si="35"/>
        <v>-6.1203863273234134E-3</v>
      </c>
      <c r="D455" s="68">
        <f t="shared" si="36"/>
        <v>2.0715821383689006E-2</v>
      </c>
      <c r="E455" s="68">
        <f t="shared" si="37"/>
        <v>7.9753224146645208E-4</v>
      </c>
      <c r="F455" s="68">
        <f t="shared" si="38"/>
        <v>-4.7394674793488252E-2</v>
      </c>
      <c r="G455" s="72">
        <f t="shared" si="39"/>
        <v>0</v>
      </c>
    </row>
    <row r="456" spans="1:7" x14ac:dyDescent="0.25">
      <c r="A456" s="2">
        <v>44746</v>
      </c>
      <c r="B456" s="20">
        <v>2950</v>
      </c>
      <c r="C456" s="14">
        <f t="shared" si="35"/>
        <v>1.2965040017288876E-2</v>
      </c>
      <c r="D456" s="68">
        <f t="shared" si="36"/>
        <v>2.0711231639460082E-2</v>
      </c>
      <c r="E456" s="68">
        <f t="shared" si="37"/>
        <v>8.2868045498562268E-4</v>
      </c>
      <c r="F456" s="68">
        <f t="shared" si="38"/>
        <v>-4.7352849238239736E-2</v>
      </c>
      <c r="G456" s="72">
        <f t="shared" si="39"/>
        <v>0</v>
      </c>
    </row>
    <row r="457" spans="1:7" x14ac:dyDescent="0.25">
      <c r="A457" s="2">
        <v>44743</v>
      </c>
      <c r="B457" s="20">
        <v>2912</v>
      </c>
      <c r="C457" s="14">
        <f t="shared" si="35"/>
        <v>-2.0583197661543586E-3</v>
      </c>
      <c r="D457" s="68">
        <f t="shared" si="36"/>
        <v>2.0702462771810912E-2</v>
      </c>
      <c r="E457" s="68">
        <f t="shared" si="37"/>
        <v>8.1032132826339717E-4</v>
      </c>
      <c r="F457" s="68">
        <f t="shared" si="38"/>
        <v>-4.7350808928348566E-2</v>
      </c>
      <c r="G457" s="72">
        <f t="shared" si="39"/>
        <v>0</v>
      </c>
    </row>
    <row r="458" spans="1:7" x14ac:dyDescent="0.25">
      <c r="A458" s="2">
        <v>44742</v>
      </c>
      <c r="B458" s="20">
        <v>2918</v>
      </c>
      <c r="C458" s="14">
        <f t="shared" si="35"/>
        <v>-1.7663502714014311E-2</v>
      </c>
      <c r="D458" s="68">
        <f t="shared" si="36"/>
        <v>2.0701928401336958E-2</v>
      </c>
      <c r="E458" s="68">
        <f t="shared" si="37"/>
        <v>8.1519184966884163E-4</v>
      </c>
      <c r="F458" s="68">
        <f t="shared" si="38"/>
        <v>-4.7344695275327094E-2</v>
      </c>
      <c r="G458" s="72">
        <f t="shared" si="39"/>
        <v>0</v>
      </c>
    </row>
    <row r="459" spans="1:7" x14ac:dyDescent="0.25">
      <c r="A459" s="2">
        <v>44741</v>
      </c>
      <c r="B459" s="20">
        <v>2970</v>
      </c>
      <c r="C459" s="14">
        <f t="shared" si="35"/>
        <v>-7.3801072976225337E-3</v>
      </c>
      <c r="D459" s="68">
        <f t="shared" si="36"/>
        <v>2.0668906317205919E-2</v>
      </c>
      <c r="E459" s="68">
        <f t="shared" si="37"/>
        <v>8.959426265085261E-4</v>
      </c>
      <c r="F459" s="68">
        <f t="shared" si="38"/>
        <v>-4.7187123643272766E-2</v>
      </c>
      <c r="G459" s="72">
        <f t="shared" si="39"/>
        <v>0</v>
      </c>
    </row>
    <row r="460" spans="1:7" x14ac:dyDescent="0.25">
      <c r="A460" s="2">
        <v>44740</v>
      </c>
      <c r="B460" s="20">
        <v>2992</v>
      </c>
      <c r="C460" s="14">
        <f t="shared" si="35"/>
        <v>2.7101929777791179E-2</v>
      </c>
      <c r="D460" s="68">
        <f t="shared" si="36"/>
        <v>2.0665517694110659E-2</v>
      </c>
      <c r="E460" s="68">
        <f t="shared" si="37"/>
        <v>9.5251303198820483E-4</v>
      </c>
      <c r="F460" s="68">
        <f t="shared" si="38"/>
        <v>-4.71226701216595E-2</v>
      </c>
      <c r="G460" s="72">
        <f t="shared" si="39"/>
        <v>0</v>
      </c>
    </row>
    <row r="461" spans="1:7" x14ac:dyDescent="0.25">
      <c r="A461" s="2">
        <v>44739</v>
      </c>
      <c r="B461" s="20">
        <v>2912</v>
      </c>
      <c r="C461" s="14">
        <f t="shared" si="35"/>
        <v>-4.7961722634930551E-3</v>
      </c>
      <c r="D461" s="68">
        <f t="shared" si="36"/>
        <v>2.0605634954138804E-2</v>
      </c>
      <c r="E461" s="68">
        <f t="shared" si="37"/>
        <v>8.1368691533616352E-4</v>
      </c>
      <c r="F461" s="68">
        <f t="shared" si="38"/>
        <v>-4.7122188153486282E-2</v>
      </c>
      <c r="G461" s="72">
        <f t="shared" si="39"/>
        <v>0</v>
      </c>
    </row>
    <row r="462" spans="1:7" x14ac:dyDescent="0.25">
      <c r="A462" s="2">
        <v>44736</v>
      </c>
      <c r="B462" s="20">
        <v>2926</v>
      </c>
      <c r="C462" s="14">
        <f t="shared" si="35"/>
        <v>-1.366120431043414E-3</v>
      </c>
      <c r="D462" s="68">
        <f t="shared" si="36"/>
        <v>2.0614057454509699E-2</v>
      </c>
      <c r="E462" s="68">
        <f t="shared" si="37"/>
        <v>7.9267026097612991E-4</v>
      </c>
      <c r="F462" s="68">
        <f t="shared" si="38"/>
        <v>-4.7162798473678248E-2</v>
      </c>
      <c r="G462" s="72">
        <f t="shared" si="39"/>
        <v>0</v>
      </c>
    </row>
    <row r="463" spans="1:7" x14ac:dyDescent="0.25">
      <c r="A463" s="2">
        <v>44735</v>
      </c>
      <c r="B463" s="20">
        <v>2930</v>
      </c>
      <c r="C463" s="14">
        <f t="shared" si="35"/>
        <v>5.4757152559627631E-3</v>
      </c>
      <c r="D463" s="68">
        <f t="shared" si="36"/>
        <v>2.0613601756627291E-2</v>
      </c>
      <c r="E463" s="68">
        <f t="shared" si="37"/>
        <v>8.0146946569461326E-4</v>
      </c>
      <c r="F463" s="68">
        <f t="shared" si="38"/>
        <v>-4.7152939157159825E-2</v>
      </c>
      <c r="G463" s="72">
        <f t="shared" si="39"/>
        <v>0</v>
      </c>
    </row>
    <row r="464" spans="1:7" x14ac:dyDescent="0.25">
      <c r="A464" s="2">
        <v>44734</v>
      </c>
      <c r="B464" s="20">
        <v>2914</v>
      </c>
      <c r="C464" s="14">
        <f t="shared" si="35"/>
        <v>-3.9035911748264679E-2</v>
      </c>
      <c r="D464" s="68">
        <f t="shared" si="36"/>
        <v>2.0611718279353344E-2</v>
      </c>
      <c r="E464" s="68">
        <f t="shared" si="37"/>
        <v>7.7623188167645228E-4</v>
      </c>
      <c r="F464" s="68">
        <f t="shared" si="38"/>
        <v>-4.7173795117825941E-2</v>
      </c>
      <c r="G464" s="72">
        <f t="shared" si="39"/>
        <v>0</v>
      </c>
    </row>
    <row r="465" spans="1:7" x14ac:dyDescent="0.25">
      <c r="A465" s="2">
        <v>44733</v>
      </c>
      <c r="B465" s="20">
        <v>3030</v>
      </c>
      <c r="C465" s="14">
        <f t="shared" si="35"/>
        <v>4.385188252884941E-2</v>
      </c>
      <c r="D465" s="68">
        <f t="shared" si="36"/>
        <v>2.0456757960394364E-2</v>
      </c>
      <c r="E465" s="68">
        <f t="shared" si="37"/>
        <v>9.2571441139326506E-4</v>
      </c>
      <c r="F465" s="68">
        <f t="shared" si="38"/>
        <v>-4.6663820979538209E-2</v>
      </c>
      <c r="G465" s="72">
        <f t="shared" si="39"/>
        <v>0</v>
      </c>
    </row>
    <row r="466" spans="1:7" x14ac:dyDescent="0.25">
      <c r="A466" s="2">
        <v>44732</v>
      </c>
      <c r="B466" s="20">
        <v>2900</v>
      </c>
      <c r="C466" s="14">
        <f t="shared" si="35"/>
        <v>2.7624326959100796E-3</v>
      </c>
      <c r="D466" s="68">
        <f t="shared" si="36"/>
        <v>2.0284445574447221E-2</v>
      </c>
      <c r="E466" s="68">
        <f t="shared" si="37"/>
        <v>7.9380375489535298E-4</v>
      </c>
      <c r="F466" s="68">
        <f t="shared" si="38"/>
        <v>-4.6394873083317086E-2</v>
      </c>
      <c r="G466" s="72">
        <f t="shared" si="39"/>
        <v>0</v>
      </c>
    </row>
    <row r="467" spans="1:7" x14ac:dyDescent="0.25">
      <c r="A467" s="2">
        <v>44729</v>
      </c>
      <c r="B467" s="20">
        <v>2892</v>
      </c>
      <c r="C467" s="14">
        <f t="shared" si="35"/>
        <v>-2.7624326959100726E-3</v>
      </c>
      <c r="D467" s="68">
        <f t="shared" si="36"/>
        <v>2.0307197721372877E-2</v>
      </c>
      <c r="E467" s="68">
        <f t="shared" si="37"/>
        <v>8.4718949970763251E-4</v>
      </c>
      <c r="F467" s="68">
        <f t="shared" si="38"/>
        <v>-4.6394416747135167E-2</v>
      </c>
      <c r="G467" s="72">
        <f t="shared" si="39"/>
        <v>0</v>
      </c>
    </row>
    <row r="468" spans="1:7" x14ac:dyDescent="0.25">
      <c r="A468" s="2">
        <v>44728</v>
      </c>
      <c r="B468" s="20">
        <v>2900</v>
      </c>
      <c r="C468" s="14">
        <f t="shared" si="35"/>
        <v>0</v>
      </c>
      <c r="D468" s="68">
        <f t="shared" si="36"/>
        <v>2.0311776462237984E-2</v>
      </c>
      <c r="E468" s="68">
        <f t="shared" si="37"/>
        <v>8.9257420525683858E-4</v>
      </c>
      <c r="F468" s="68">
        <f t="shared" si="38"/>
        <v>-4.6359683785663283E-2</v>
      </c>
      <c r="G468" s="72">
        <f t="shared" si="39"/>
        <v>0</v>
      </c>
    </row>
    <row r="469" spans="1:7" x14ac:dyDescent="0.25">
      <c r="A469" s="2">
        <v>44727</v>
      </c>
      <c r="B469" s="20">
        <v>2900</v>
      </c>
      <c r="C469" s="14">
        <f t="shared" si="35"/>
        <v>3.7236476157658321E-2</v>
      </c>
      <c r="D469" s="68">
        <f t="shared" si="36"/>
        <v>2.0414132612379041E-2</v>
      </c>
      <c r="E469" s="68">
        <f t="shared" si="37"/>
        <v>7.6698051942658703E-4</v>
      </c>
      <c r="F469" s="68">
        <f t="shared" si="38"/>
        <v>-4.6723393483769193E-2</v>
      </c>
      <c r="G469" s="72">
        <f t="shared" si="39"/>
        <v>0</v>
      </c>
    </row>
    <row r="470" spans="1:7" x14ac:dyDescent="0.25">
      <c r="A470" s="2">
        <v>44726</v>
      </c>
      <c r="B470" s="20">
        <v>2794</v>
      </c>
      <c r="C470" s="14">
        <f t="shared" si="35"/>
        <v>6.3536875493261979E-2</v>
      </c>
      <c r="D470" s="68">
        <f t="shared" si="36"/>
        <v>2.0290233933269994E-2</v>
      </c>
      <c r="E470" s="68">
        <f t="shared" si="37"/>
        <v>5.8475655263772028E-4</v>
      </c>
      <c r="F470" s="68">
        <f t="shared" si="38"/>
        <v>-4.6617386021816261E-2</v>
      </c>
      <c r="G470" s="72">
        <f t="shared" si="39"/>
        <v>0</v>
      </c>
    </row>
    <row r="471" spans="1:7" x14ac:dyDescent="0.25">
      <c r="A471" s="2">
        <v>44725</v>
      </c>
      <c r="B471" s="20">
        <v>2622</v>
      </c>
      <c r="C471" s="14">
        <f t="shared" si="35"/>
        <v>-1.5140334631411749E-2</v>
      </c>
      <c r="D471" s="68">
        <f t="shared" si="36"/>
        <v>1.9908730628859377E-2</v>
      </c>
      <c r="E471" s="68">
        <f t="shared" si="37"/>
        <v>2.8120537612863613E-4</v>
      </c>
      <c r="F471" s="68">
        <f t="shared" si="38"/>
        <v>-4.6033427797170151E-2</v>
      </c>
      <c r="G471" s="72">
        <f t="shared" si="39"/>
        <v>0</v>
      </c>
    </row>
    <row r="472" spans="1:7" x14ac:dyDescent="0.25">
      <c r="A472" s="2">
        <v>44722</v>
      </c>
      <c r="B472" s="20">
        <v>2662</v>
      </c>
      <c r="C472" s="14">
        <f t="shared" si="35"/>
        <v>-3.1067587372859383E-2</v>
      </c>
      <c r="D472" s="68">
        <f t="shared" si="36"/>
        <v>1.9889629512910355E-2</v>
      </c>
      <c r="E472" s="68">
        <f t="shared" si="37"/>
        <v>3.7133563780424527E-4</v>
      </c>
      <c r="F472" s="68">
        <f t="shared" si="38"/>
        <v>-4.5898861695014719E-2</v>
      </c>
      <c r="G472" s="72">
        <f t="shared" si="39"/>
        <v>0</v>
      </c>
    </row>
    <row r="473" spans="1:7" x14ac:dyDescent="0.25">
      <c r="A473" s="2">
        <v>44721</v>
      </c>
      <c r="B473" s="20">
        <v>2746</v>
      </c>
      <c r="C473" s="14">
        <f t="shared" si="35"/>
        <v>-2.0188140569035919E-2</v>
      </c>
      <c r="D473" s="68">
        <f t="shared" si="36"/>
        <v>1.979216858762638E-2</v>
      </c>
      <c r="E473" s="68">
        <f t="shared" si="37"/>
        <v>4.7586910514679749E-4</v>
      </c>
      <c r="F473" s="68">
        <f t="shared" si="38"/>
        <v>-4.556760021133574E-2</v>
      </c>
      <c r="G473" s="72">
        <f t="shared" si="39"/>
        <v>0</v>
      </c>
    </row>
    <row r="474" spans="1:7" x14ac:dyDescent="0.25">
      <c r="A474" s="2">
        <v>44720</v>
      </c>
      <c r="B474" s="20">
        <v>2802</v>
      </c>
      <c r="C474" s="14">
        <f t="shared" si="35"/>
        <v>1.4285716715259137E-3</v>
      </c>
      <c r="D474" s="68">
        <f t="shared" si="36"/>
        <v>1.9789754130603791E-2</v>
      </c>
      <c r="E474" s="68">
        <f t="shared" si="37"/>
        <v>6.3950900953783712E-4</v>
      </c>
      <c r="F474" s="68">
        <f t="shared" si="38"/>
        <v>-4.5398343439983238E-2</v>
      </c>
      <c r="G474" s="72">
        <f t="shared" si="39"/>
        <v>0</v>
      </c>
    </row>
    <row r="475" spans="1:7" x14ac:dyDescent="0.25">
      <c r="A475" s="2">
        <v>44719</v>
      </c>
      <c r="B475" s="20">
        <v>2798</v>
      </c>
      <c r="C475" s="14">
        <f t="shared" si="35"/>
        <v>-1.5603153431619492E-2</v>
      </c>
      <c r="D475" s="68">
        <f t="shared" si="36"/>
        <v>1.9790229965021697E-2</v>
      </c>
      <c r="E475" s="68">
        <f t="shared" si="37"/>
        <v>6.2710016061961473E-4</v>
      </c>
      <c r="F475" s="68">
        <f t="shared" si="38"/>
        <v>-4.5411859245287955E-2</v>
      </c>
      <c r="G475" s="72">
        <f t="shared" si="39"/>
        <v>0</v>
      </c>
    </row>
    <row r="476" spans="1:7" x14ac:dyDescent="0.25">
      <c r="A476" s="2">
        <v>44715</v>
      </c>
      <c r="B476" s="20">
        <v>2842</v>
      </c>
      <c r="C476" s="14">
        <f t="shared" si="35"/>
        <v>1.5603153431619523E-2</v>
      </c>
      <c r="D476" s="68">
        <f t="shared" si="36"/>
        <v>1.9763473618694852E-2</v>
      </c>
      <c r="E476" s="68">
        <f t="shared" si="37"/>
        <v>6.962073365782116E-4</v>
      </c>
      <c r="F476" s="68">
        <f t="shared" si="38"/>
        <v>-4.52805074999348E-2</v>
      </c>
      <c r="G476" s="72">
        <f t="shared" si="39"/>
        <v>0</v>
      </c>
    </row>
    <row r="477" spans="1:7" x14ac:dyDescent="0.25">
      <c r="A477" s="2">
        <v>44714</v>
      </c>
      <c r="B477" s="20">
        <v>2798</v>
      </c>
      <c r="C477" s="14">
        <f t="shared" si="35"/>
        <v>1.0057556044042223E-2</v>
      </c>
      <c r="D477" s="68">
        <f t="shared" si="36"/>
        <v>1.9741011939673963E-2</v>
      </c>
      <c r="E477" s="68">
        <f t="shared" si="37"/>
        <v>6.3044604119947873E-4</v>
      </c>
      <c r="F477" s="68">
        <f t="shared" si="38"/>
        <v>-4.5294015116075899E-2</v>
      </c>
      <c r="G477" s="72">
        <f t="shared" si="39"/>
        <v>0</v>
      </c>
    </row>
    <row r="478" spans="1:7" x14ac:dyDescent="0.25">
      <c r="A478" s="2">
        <v>44713</v>
      </c>
      <c r="B478" s="20">
        <v>2770</v>
      </c>
      <c r="C478" s="14">
        <f t="shared" si="35"/>
        <v>4.1273359908193585E-2</v>
      </c>
      <c r="D478" s="68">
        <f t="shared" si="36"/>
        <v>1.9749232154463173E-2</v>
      </c>
      <c r="E478" s="68">
        <f t="shared" si="37"/>
        <v>5.4031912012260711E-4</v>
      </c>
      <c r="F478" s="68">
        <f t="shared" si="38"/>
        <v>-4.5403265116351815E-2</v>
      </c>
      <c r="G478" s="72">
        <f t="shared" si="39"/>
        <v>0</v>
      </c>
    </row>
    <row r="479" spans="1:7" x14ac:dyDescent="0.25">
      <c r="A479" s="2">
        <v>44712</v>
      </c>
      <c r="B479" s="20">
        <v>2658</v>
      </c>
      <c r="C479" s="14">
        <f t="shared" si="35"/>
        <v>5.4903621452859555E-2</v>
      </c>
      <c r="D479" s="68">
        <f t="shared" si="36"/>
        <v>1.9590221372130116E-2</v>
      </c>
      <c r="E479" s="68">
        <f t="shared" si="37"/>
        <v>4.1843341262108813E-4</v>
      </c>
      <c r="F479" s="68">
        <f t="shared" si="38"/>
        <v>-4.515523642842325E-2</v>
      </c>
      <c r="G479" s="72">
        <f t="shared" si="39"/>
        <v>0</v>
      </c>
    </row>
    <row r="480" spans="1:7" x14ac:dyDescent="0.25">
      <c r="A480" s="2">
        <v>44711</v>
      </c>
      <c r="B480" s="20">
        <v>2516</v>
      </c>
      <c r="C480" s="14">
        <f t="shared" si="35"/>
        <v>-1.7336919653277039E-2</v>
      </c>
      <c r="D480" s="68">
        <f t="shared" si="36"/>
        <v>1.9285617771386303E-2</v>
      </c>
      <c r="E480" s="68">
        <f t="shared" si="37"/>
        <v>2.2227940461924176E-4</v>
      </c>
      <c r="F480" s="68">
        <f t="shared" si="38"/>
        <v>-4.4642776497409546E-2</v>
      </c>
      <c r="G480" s="72">
        <f t="shared" si="39"/>
        <v>0</v>
      </c>
    </row>
    <row r="481" spans="1:7" x14ac:dyDescent="0.25">
      <c r="A481" s="2">
        <v>44708</v>
      </c>
      <c r="B481" s="20">
        <v>2560</v>
      </c>
      <c r="C481" s="14">
        <f t="shared" si="35"/>
        <v>2.2117805253618974E-2</v>
      </c>
      <c r="D481" s="68">
        <f t="shared" si="36"/>
        <v>1.9298851327296775E-2</v>
      </c>
      <c r="E481" s="68">
        <f t="shared" si="37"/>
        <v>3.7655596365544623E-4</v>
      </c>
      <c r="F481" s="68">
        <f t="shared" si="38"/>
        <v>-4.451928579303166E-2</v>
      </c>
      <c r="G481" s="72">
        <f t="shared" si="39"/>
        <v>0</v>
      </c>
    </row>
    <row r="482" spans="1:7" x14ac:dyDescent="0.25">
      <c r="A482" s="2">
        <v>44707</v>
      </c>
      <c r="B482" s="20">
        <v>2504</v>
      </c>
      <c r="C482" s="14">
        <f t="shared" si="35"/>
        <v>-9.589089991356009E-2</v>
      </c>
      <c r="D482" s="68">
        <f t="shared" si="36"/>
        <v>1.9256618952075793E-2</v>
      </c>
      <c r="E482" s="68">
        <f t="shared" si="37"/>
        <v>3.2256771481659828E-4</v>
      </c>
      <c r="F482" s="68">
        <f t="shared" si="38"/>
        <v>-4.4475026845559484E-2</v>
      </c>
      <c r="G482" s="72">
        <f t="shared" si="39"/>
        <v>0</v>
      </c>
    </row>
    <row r="483" spans="1:7" x14ac:dyDescent="0.25">
      <c r="A483" s="2">
        <v>44706</v>
      </c>
      <c r="B483" s="20">
        <v>2756</v>
      </c>
      <c r="C483" s="14">
        <f t="shared" si="35"/>
        <v>-4.1228298034565555E-2</v>
      </c>
      <c r="D483" s="68">
        <f t="shared" si="36"/>
        <v>1.8266008414307137E-2</v>
      </c>
      <c r="E483" s="68">
        <f t="shared" si="37"/>
        <v>7.3393333777693195E-4</v>
      </c>
      <c r="F483" s="68">
        <f t="shared" si="38"/>
        <v>-4.1759156504058585E-2</v>
      </c>
      <c r="G483" s="72">
        <f t="shared" si="39"/>
        <v>1</v>
      </c>
    </row>
    <row r="484" spans="1:7" x14ac:dyDescent="0.25">
      <c r="A484" s="2">
        <v>44705</v>
      </c>
      <c r="B484" s="20">
        <v>2872</v>
      </c>
      <c r="C484" s="14">
        <f t="shared" si="35"/>
        <v>1.0500621511068889E-2</v>
      </c>
      <c r="D484" s="68">
        <f t="shared" si="36"/>
        <v>1.8087244937988273E-2</v>
      </c>
      <c r="E484" s="68">
        <f t="shared" si="37"/>
        <v>9.5150196338016394E-4</v>
      </c>
      <c r="F484" s="68">
        <f t="shared" si="38"/>
        <v>-4.1125721845364817E-2</v>
      </c>
      <c r="G484" s="72">
        <f t="shared" si="39"/>
        <v>1</v>
      </c>
    </row>
    <row r="485" spans="1:7" x14ac:dyDescent="0.25">
      <c r="A485" s="2">
        <v>44704</v>
      </c>
      <c r="B485" s="20">
        <v>2842</v>
      </c>
      <c r="C485" s="14">
        <f t="shared" si="35"/>
        <v>5.1256256664625438E-2</v>
      </c>
      <c r="D485" s="68">
        <f t="shared" si="36"/>
        <v>1.8078480039339481E-2</v>
      </c>
      <c r="E485" s="68">
        <f t="shared" si="37"/>
        <v>8.9891279272638971E-4</v>
      </c>
      <c r="F485" s="68">
        <f t="shared" si="38"/>
        <v>-4.1157920812680784E-2</v>
      </c>
      <c r="G485" s="72">
        <f t="shared" si="39"/>
        <v>0</v>
      </c>
    </row>
    <row r="486" spans="1:7" x14ac:dyDescent="0.25">
      <c r="A486" s="2">
        <v>44701</v>
      </c>
      <c r="B486" s="20">
        <v>2700</v>
      </c>
      <c r="C486" s="14">
        <f t="shared" si="35"/>
        <v>-5.9084366861662831E-3</v>
      </c>
      <c r="D486" s="68">
        <f t="shared" si="36"/>
        <v>1.7798005687370978E-2</v>
      </c>
      <c r="E486" s="68">
        <f t="shared" si="37"/>
        <v>7.2218142957079486E-4</v>
      </c>
      <c r="F486" s="68">
        <f t="shared" si="38"/>
        <v>-4.0682171263411469E-2</v>
      </c>
      <c r="G486" s="72">
        <f t="shared" si="39"/>
        <v>0</v>
      </c>
    </row>
    <row r="487" spans="1:7" x14ac:dyDescent="0.25">
      <c r="A487" s="2">
        <v>44700</v>
      </c>
      <c r="B487" s="20">
        <v>2716</v>
      </c>
      <c r="C487" s="14">
        <f t="shared" si="35"/>
        <v>-5.5151820075080099E-2</v>
      </c>
      <c r="D487" s="68">
        <f t="shared" si="36"/>
        <v>1.7803343791498078E-2</v>
      </c>
      <c r="E487" s="68">
        <f t="shared" si="37"/>
        <v>7.1047925747242096E-4</v>
      </c>
      <c r="F487" s="68">
        <f t="shared" si="38"/>
        <v>-4.0706291722697338E-2</v>
      </c>
      <c r="G487" s="72">
        <f t="shared" si="39"/>
        <v>0</v>
      </c>
    </row>
    <row r="488" spans="1:7" x14ac:dyDescent="0.25">
      <c r="A488" s="2">
        <v>44699</v>
      </c>
      <c r="B488" s="20">
        <v>2870</v>
      </c>
      <c r="C488" s="14">
        <f t="shared" si="35"/>
        <v>1.2622888503040938E-2</v>
      </c>
      <c r="D488" s="68">
        <f t="shared" si="36"/>
        <v>1.7450784033095218E-2</v>
      </c>
      <c r="E488" s="68">
        <f t="shared" si="37"/>
        <v>9.1003385759564237E-4</v>
      </c>
      <c r="F488" s="68">
        <f t="shared" si="38"/>
        <v>-3.9686560478141265E-2</v>
      </c>
      <c r="G488" s="72">
        <f t="shared" si="39"/>
        <v>1</v>
      </c>
    </row>
    <row r="489" spans="1:7" x14ac:dyDescent="0.25">
      <c r="A489" s="2">
        <v>44698</v>
      </c>
      <c r="B489" s="20">
        <v>2834</v>
      </c>
      <c r="C489" s="14">
        <f t="shared" si="35"/>
        <v>1.2069724087330543E-2</v>
      </c>
      <c r="D489" s="68">
        <f t="shared" si="36"/>
        <v>1.7460753876485768E-2</v>
      </c>
      <c r="E489" s="68">
        <f t="shared" si="37"/>
        <v>9.2303570020863944E-4</v>
      </c>
      <c r="F489" s="68">
        <f t="shared" si="38"/>
        <v>-3.9696751959504402E-2</v>
      </c>
      <c r="G489" s="72">
        <f t="shared" si="39"/>
        <v>0</v>
      </c>
    </row>
    <row r="490" spans="1:7" x14ac:dyDescent="0.25">
      <c r="A490" s="2">
        <v>44697</v>
      </c>
      <c r="B490" s="20">
        <v>2800</v>
      </c>
      <c r="C490" s="14">
        <f t="shared" si="35"/>
        <v>-9.950330853168092E-3</v>
      </c>
      <c r="D490" s="68">
        <f t="shared" si="36"/>
        <v>1.7466503622488489E-2</v>
      </c>
      <c r="E490" s="68">
        <f t="shared" si="37"/>
        <v>8.2528620862467054E-4</v>
      </c>
      <c r="F490" s="68">
        <f t="shared" si="38"/>
        <v>-3.9807877360478069E-2</v>
      </c>
      <c r="G490" s="72">
        <f t="shared" si="39"/>
        <v>0</v>
      </c>
    </row>
    <row r="491" spans="1:7" x14ac:dyDescent="0.25">
      <c r="A491" s="2">
        <v>44694</v>
      </c>
      <c r="B491" s="20">
        <v>2828</v>
      </c>
      <c r="C491" s="14">
        <f t="shared" si="35"/>
        <v>3.1611827634347514E-2</v>
      </c>
      <c r="D491" s="68">
        <f t="shared" si="36"/>
        <v>1.7453182307003542E-2</v>
      </c>
      <c r="E491" s="68">
        <f t="shared" si="37"/>
        <v>8.6508753203734263E-4</v>
      </c>
      <c r="F491" s="68">
        <f t="shared" si="38"/>
        <v>-3.9737086023107562E-2</v>
      </c>
      <c r="G491" s="72">
        <f t="shared" si="39"/>
        <v>0</v>
      </c>
    </row>
    <row r="492" spans="1:7" x14ac:dyDescent="0.25">
      <c r="A492" s="2">
        <v>44693</v>
      </c>
      <c r="B492" s="20">
        <v>2740</v>
      </c>
      <c r="C492" s="14">
        <f t="shared" si="35"/>
        <v>-1.8800264500147146E-2</v>
      </c>
      <c r="D492" s="68">
        <f t="shared" si="36"/>
        <v>1.7344946610007149E-2</v>
      </c>
      <c r="E492" s="68">
        <f t="shared" si="37"/>
        <v>7.2811851442485995E-4</v>
      </c>
      <c r="F492" s="68">
        <f t="shared" si="38"/>
        <v>-3.9622261157117165E-2</v>
      </c>
      <c r="G492" s="72">
        <f t="shared" si="39"/>
        <v>0</v>
      </c>
    </row>
    <row r="493" spans="1:7" x14ac:dyDescent="0.25">
      <c r="A493" s="2">
        <v>44692</v>
      </c>
      <c r="B493" s="20">
        <v>2792</v>
      </c>
      <c r="C493" s="14">
        <f t="shared" si="35"/>
        <v>7.9108647008787995E-3</v>
      </c>
      <c r="D493" s="68">
        <f t="shared" si="36"/>
        <v>1.7311564222145751E-2</v>
      </c>
      <c r="E493" s="68">
        <f t="shared" si="37"/>
        <v>8.4557348646372484E-4</v>
      </c>
      <c r="F493" s="68">
        <f t="shared" si="38"/>
        <v>-3.9427147138046521E-2</v>
      </c>
      <c r="G493" s="72">
        <f t="shared" si="39"/>
        <v>0</v>
      </c>
    </row>
    <row r="494" spans="1:7" x14ac:dyDescent="0.25">
      <c r="A494" s="2">
        <v>44691</v>
      </c>
      <c r="B494" s="20">
        <v>2770</v>
      </c>
      <c r="C494" s="14">
        <f t="shared" si="35"/>
        <v>-3.8248288265928937E-2</v>
      </c>
      <c r="D494" s="68">
        <f t="shared" si="36"/>
        <v>1.7384239438943093E-2</v>
      </c>
      <c r="E494" s="68">
        <f t="shared" si="37"/>
        <v>9.2155983933990722E-4</v>
      </c>
      <c r="F494" s="68">
        <f t="shared" si="38"/>
        <v>-3.9520228621262296E-2</v>
      </c>
      <c r="G494" s="72">
        <f t="shared" si="39"/>
        <v>0</v>
      </c>
    </row>
    <row r="495" spans="1:7" x14ac:dyDescent="0.25">
      <c r="A495" s="2">
        <v>44690</v>
      </c>
      <c r="B495" s="20">
        <v>2878</v>
      </c>
      <c r="C495" s="14">
        <f t="shared" si="35"/>
        <v>-1.7223987633889101E-2</v>
      </c>
      <c r="D495" s="68">
        <f t="shared" si="36"/>
        <v>1.7207962252263929E-2</v>
      </c>
      <c r="E495" s="68">
        <f t="shared" si="37"/>
        <v>1.0600339202013079E-3</v>
      </c>
      <c r="F495" s="68">
        <f t="shared" si="38"/>
        <v>-3.897167248192792E-2</v>
      </c>
      <c r="G495" s="72">
        <f t="shared" si="39"/>
        <v>0</v>
      </c>
    </row>
    <row r="496" spans="1:7" x14ac:dyDescent="0.25">
      <c r="A496" s="2">
        <v>44687</v>
      </c>
      <c r="B496" s="20">
        <v>2928</v>
      </c>
      <c r="C496" s="14">
        <f t="shared" si="35"/>
        <v>-2.095379130352994E-2</v>
      </c>
      <c r="D496" s="68">
        <f t="shared" si="36"/>
        <v>1.7203604740077292E-2</v>
      </c>
      <c r="E496" s="68">
        <f t="shared" si="37"/>
        <v>1.0642384337544604E-3</v>
      </c>
      <c r="F496" s="68">
        <f t="shared" si="38"/>
        <v>-3.8957330879163282E-2</v>
      </c>
      <c r="G496" s="72">
        <f t="shared" si="39"/>
        <v>0</v>
      </c>
    </row>
    <row r="497" spans="1:7" x14ac:dyDescent="0.25">
      <c r="A497" s="2">
        <v>44686</v>
      </c>
      <c r="B497" s="20">
        <v>2990</v>
      </c>
      <c r="C497" s="14">
        <f t="shared" si="35"/>
        <v>-1.2628948172607336E-2</v>
      </c>
      <c r="D497" s="68">
        <f t="shared" si="36"/>
        <v>1.7191263060248929E-2</v>
      </c>
      <c r="E497" s="68">
        <f t="shared" si="37"/>
        <v>1.2309021256846605E-3</v>
      </c>
      <c r="F497" s="68">
        <f t="shared" si="38"/>
        <v>-3.8761956146602272E-2</v>
      </c>
      <c r="G497" s="72">
        <f t="shared" si="39"/>
        <v>0</v>
      </c>
    </row>
    <row r="498" spans="1:7" x14ac:dyDescent="0.25">
      <c r="A498" s="2">
        <v>44685</v>
      </c>
      <c r="B498" s="20">
        <v>3028</v>
      </c>
      <c r="C498" s="14">
        <f t="shared" si="35"/>
        <v>-1.320132204922844E-3</v>
      </c>
      <c r="D498" s="68">
        <f t="shared" si="36"/>
        <v>1.7210434425300975E-2</v>
      </c>
      <c r="E498" s="68">
        <f t="shared" si="37"/>
        <v>1.362303027364021E-3</v>
      </c>
      <c r="F498" s="68">
        <f t="shared" si="38"/>
        <v>-3.8675154509254198E-2</v>
      </c>
      <c r="G498" s="72">
        <f t="shared" si="39"/>
        <v>0</v>
      </c>
    </row>
    <row r="499" spans="1:7" x14ac:dyDescent="0.25">
      <c r="A499" s="2">
        <v>44684</v>
      </c>
      <c r="B499" s="20">
        <v>3032</v>
      </c>
      <c r="C499" s="14">
        <f t="shared" si="35"/>
        <v>4.1069386596724149E-2</v>
      </c>
      <c r="D499" s="68">
        <f t="shared" si="36"/>
        <v>1.7211597438437028E-2</v>
      </c>
      <c r="E499" s="68">
        <f t="shared" si="37"/>
        <v>1.356456984336205E-3</v>
      </c>
      <c r="F499" s="68">
        <f t="shared" si="38"/>
        <v>-3.8683706125418563E-2</v>
      </c>
      <c r="G499" s="72">
        <f t="shared" si="39"/>
        <v>0</v>
      </c>
    </row>
    <row r="500" spans="1:7" x14ac:dyDescent="0.25">
      <c r="A500" s="2">
        <v>44683</v>
      </c>
      <c r="B500" s="20">
        <v>2910</v>
      </c>
      <c r="C500" s="14">
        <f t="shared" si="35"/>
        <v>-4.9608026323469362E-2</v>
      </c>
      <c r="D500" s="68">
        <f t="shared" si="36"/>
        <v>1.7033573869965086E-2</v>
      </c>
      <c r="E500" s="68">
        <f t="shared" si="37"/>
        <v>1.2293890085985631E-3</v>
      </c>
      <c r="F500" s="68">
        <f t="shared" si="38"/>
        <v>-3.8396629351112328E-2</v>
      </c>
      <c r="G500" s="72">
        <f t="shared" si="39"/>
        <v>0</v>
      </c>
    </row>
    <row r="501" spans="1:7" x14ac:dyDescent="0.25">
      <c r="A501" s="2">
        <v>44680</v>
      </c>
      <c r="B501" s="20">
        <v>3058</v>
      </c>
      <c r="C501" s="14">
        <f t="shared" si="35"/>
        <v>-3.916454092235273E-3</v>
      </c>
      <c r="D501" s="68">
        <f t="shared" si="36"/>
        <v>1.6860606472211805E-2</v>
      </c>
      <c r="E501" s="68">
        <f t="shared" si="37"/>
        <v>1.5685869472376933E-3</v>
      </c>
      <c r="F501" s="68">
        <f t="shared" si="38"/>
        <v>-3.7655049074431478E-2</v>
      </c>
      <c r="G501" s="72">
        <f t="shared" si="39"/>
        <v>1</v>
      </c>
    </row>
    <row r="502" spans="1:7" x14ac:dyDescent="0.25">
      <c r="A502" s="2">
        <v>44679</v>
      </c>
      <c r="B502" s="20">
        <v>3070</v>
      </c>
      <c r="C502" s="14">
        <f t="shared" si="35"/>
        <v>2.9754261081792716E-2</v>
      </c>
      <c r="D502" s="68">
        <f t="shared" si="36"/>
        <v>1.6858482662503265E-2</v>
      </c>
      <c r="E502" s="68">
        <f t="shared" si="37"/>
        <v>1.5765158172873111E-3</v>
      </c>
      <c r="F502" s="68">
        <f t="shared" si="38"/>
        <v>-3.7642179484181533E-2</v>
      </c>
      <c r="G502" s="72">
        <f t="shared" si="39"/>
        <v>0</v>
      </c>
    </row>
    <row r="503" spans="1:7" x14ac:dyDescent="0.25">
      <c r="A503" s="2">
        <v>44678</v>
      </c>
      <c r="B503" s="20">
        <v>2980</v>
      </c>
      <c r="C503" s="14">
        <f t="shared" si="35"/>
        <v>-6.688988150796652E-3</v>
      </c>
      <c r="D503" s="68">
        <f t="shared" si="36"/>
        <v>1.6818577962165061E-2</v>
      </c>
      <c r="E503" s="68">
        <f t="shared" si="37"/>
        <v>1.3771517386931905E-3</v>
      </c>
      <c r="F503" s="68">
        <f t="shared" si="38"/>
        <v>-3.7748711347979635E-2</v>
      </c>
      <c r="G503" s="72">
        <f t="shared" si="39"/>
        <v>0</v>
      </c>
    </row>
    <row r="504" spans="1:7" x14ac:dyDescent="0.25">
      <c r="A504" s="2">
        <v>44677</v>
      </c>
      <c r="B504" s="20">
        <v>3000</v>
      </c>
      <c r="C504" s="14">
        <f t="shared" si="35"/>
        <v>-3.327790092674691E-3</v>
      </c>
      <c r="D504" s="68">
        <f t="shared" si="36"/>
        <v>1.6811453910232189E-2</v>
      </c>
      <c r="E504" s="68">
        <f t="shared" si="37"/>
        <v>1.4190879751705835E-3</v>
      </c>
      <c r="F504" s="68">
        <f t="shared" si="38"/>
        <v>-3.7690202088433648E-2</v>
      </c>
      <c r="G504" s="72">
        <f t="shared" si="39"/>
        <v>0</v>
      </c>
    </row>
    <row r="505" spans="1:7" x14ac:dyDescent="0.25">
      <c r="A505" s="2">
        <v>44676</v>
      </c>
      <c r="B505" s="20">
        <v>3010</v>
      </c>
      <c r="C505" s="14">
        <f t="shared" si="35"/>
        <v>-1.6474837203505097E-2</v>
      </c>
      <c r="D505" s="68">
        <f t="shared" si="36"/>
        <v>1.6864378102189641E-2</v>
      </c>
      <c r="E505" s="68">
        <f t="shared" si="37"/>
        <v>1.524710924671461E-3</v>
      </c>
      <c r="F505" s="68">
        <f t="shared" si="38"/>
        <v>-3.7707699220378317E-2</v>
      </c>
      <c r="G505" s="72">
        <f t="shared" si="39"/>
        <v>0</v>
      </c>
    </row>
    <row r="506" spans="1:7" x14ac:dyDescent="0.25">
      <c r="A506" s="2">
        <v>44673</v>
      </c>
      <c r="B506" s="20">
        <v>3060</v>
      </c>
      <c r="C506" s="14">
        <f t="shared" si="35"/>
        <v>-1.4276686356682862E-2</v>
      </c>
      <c r="D506" s="68">
        <f t="shared" si="36"/>
        <v>1.6827092088837182E-2</v>
      </c>
      <c r="E506" s="68">
        <f t="shared" si="37"/>
        <v>1.5828357326511968E-3</v>
      </c>
      <c r="F506" s="68">
        <f t="shared" si="38"/>
        <v>-3.7562834174504636E-2</v>
      </c>
      <c r="G506" s="72">
        <f t="shared" si="39"/>
        <v>0</v>
      </c>
    </row>
    <row r="507" spans="1:7" x14ac:dyDescent="0.25">
      <c r="A507" s="2">
        <v>44672</v>
      </c>
      <c r="B507" s="20">
        <v>3104</v>
      </c>
      <c r="C507" s="14">
        <f t="shared" si="35"/>
        <v>-1.6613800662655446E-2</v>
      </c>
      <c r="D507" s="68">
        <f t="shared" si="36"/>
        <v>1.6827321476921644E-2</v>
      </c>
      <c r="E507" s="68">
        <f t="shared" si="37"/>
        <v>1.7104634035830105E-3</v>
      </c>
      <c r="F507" s="68">
        <f t="shared" si="38"/>
        <v>-3.7435740140055435E-2</v>
      </c>
      <c r="G507" s="72">
        <f t="shared" si="39"/>
        <v>0</v>
      </c>
    </row>
    <row r="508" spans="1:7" x14ac:dyDescent="0.25">
      <c r="A508" s="2">
        <v>44671</v>
      </c>
      <c r="B508" s="20">
        <v>3156</v>
      </c>
      <c r="C508" s="14">
        <f t="shared" si="35"/>
        <v>2.6976587698202076E-2</v>
      </c>
      <c r="D508" s="68">
        <f t="shared" si="36"/>
        <v>1.6805932194088376E-2</v>
      </c>
      <c r="E508" s="68">
        <f t="shared" si="37"/>
        <v>1.7336749418167699E-3</v>
      </c>
      <c r="F508" s="68">
        <f t="shared" si="38"/>
        <v>-3.7362769689175249E-2</v>
      </c>
      <c r="G508" s="72">
        <f t="shared" si="39"/>
        <v>0</v>
      </c>
    </row>
    <row r="509" spans="1:7" x14ac:dyDescent="0.25">
      <c r="A509" s="2">
        <v>44670</v>
      </c>
      <c r="B509" s="20">
        <v>3072</v>
      </c>
      <c r="C509" s="14">
        <f t="shared" si="35"/>
        <v>2.3716526617316065E-2</v>
      </c>
      <c r="D509" s="68">
        <f t="shared" si="36"/>
        <v>1.6729634854685246E-2</v>
      </c>
      <c r="E509" s="68">
        <f t="shared" si="37"/>
        <v>1.6257685910239616E-3</v>
      </c>
      <c r="F509" s="68">
        <f t="shared" si="38"/>
        <v>-3.7293181886652614E-2</v>
      </c>
      <c r="G509" s="72">
        <f t="shared" si="39"/>
        <v>0</v>
      </c>
    </row>
    <row r="510" spans="1:7" x14ac:dyDescent="0.25">
      <c r="A510" s="2">
        <v>44665</v>
      </c>
      <c r="B510" s="20">
        <v>3000</v>
      </c>
      <c r="C510" s="14">
        <f t="shared" si="35"/>
        <v>3.8048067637529964E-2</v>
      </c>
      <c r="D510" s="68">
        <f t="shared" si="36"/>
        <v>1.6670759308837279E-2</v>
      </c>
      <c r="E510" s="68">
        <f t="shared" si="37"/>
        <v>1.5348144653066042E-3</v>
      </c>
      <c r="F510" s="68">
        <f t="shared" si="38"/>
        <v>-3.7247171011453556E-2</v>
      </c>
      <c r="G510" s="72">
        <f t="shared" si="39"/>
        <v>0</v>
      </c>
    </row>
    <row r="511" spans="1:7" x14ac:dyDescent="0.25">
      <c r="A511" s="2">
        <v>44664</v>
      </c>
      <c r="B511" s="20">
        <v>2888</v>
      </c>
      <c r="C511" s="14">
        <f t="shared" si="35"/>
        <v>3.0944803849421491E-2</v>
      </c>
      <c r="D511" s="68"/>
      <c r="E511" s="68"/>
      <c r="F511" s="68"/>
      <c r="G511" s="72"/>
    </row>
    <row r="512" spans="1:7" x14ac:dyDescent="0.25">
      <c r="A512" s="2">
        <v>44663</v>
      </c>
      <c r="B512" s="20">
        <v>2800</v>
      </c>
      <c r="C512" s="14">
        <f t="shared" si="35"/>
        <v>0</v>
      </c>
      <c r="D512" s="68"/>
      <c r="E512" s="68"/>
      <c r="F512" s="68"/>
      <c r="G512" s="72"/>
    </row>
    <row r="513" spans="1:7" x14ac:dyDescent="0.25">
      <c r="A513" s="2">
        <v>44662</v>
      </c>
      <c r="B513" s="20">
        <v>2800</v>
      </c>
      <c r="C513" s="14">
        <f t="shared" si="35"/>
        <v>5.7306747089850745E-3</v>
      </c>
      <c r="D513" s="68"/>
      <c r="E513" s="68"/>
      <c r="F513" s="68"/>
      <c r="G513" s="72"/>
    </row>
    <row r="514" spans="1:7" x14ac:dyDescent="0.25">
      <c r="A514" s="2">
        <v>44659</v>
      </c>
      <c r="B514" s="20">
        <v>2784</v>
      </c>
      <c r="C514" s="14">
        <f t="shared" si="35"/>
        <v>1.2287830793693279E-2</v>
      </c>
      <c r="D514" s="68"/>
      <c r="E514" s="68"/>
      <c r="F514" s="68"/>
      <c r="G514" s="72"/>
    </row>
    <row r="515" spans="1:7" x14ac:dyDescent="0.25">
      <c r="A515" s="2">
        <v>44658</v>
      </c>
      <c r="B515" s="20">
        <v>2750</v>
      </c>
      <c r="C515" s="14">
        <f t="shared" si="35"/>
        <v>2.1842018148412073E-3</v>
      </c>
      <c r="D515" s="68"/>
      <c r="E515" s="68"/>
      <c r="F515" s="68"/>
      <c r="G515" s="72"/>
    </row>
    <row r="516" spans="1:7" x14ac:dyDescent="0.25">
      <c r="A516" s="2">
        <v>44657</v>
      </c>
      <c r="B516" s="20">
        <v>2744</v>
      </c>
      <c r="C516" s="14">
        <f t="shared" si="35"/>
        <v>-3.7902284416920347E-2</v>
      </c>
      <c r="D516" s="68"/>
      <c r="E516" s="68"/>
      <c r="F516" s="68"/>
      <c r="G516" s="72"/>
    </row>
    <row r="517" spans="1:7" x14ac:dyDescent="0.25">
      <c r="A517" s="2">
        <v>44656</v>
      </c>
      <c r="B517" s="20">
        <v>2850</v>
      </c>
      <c r="C517" s="14">
        <f t="shared" ref="C517:C580" si="40">+LN(B517/B518)</f>
        <v>-3.1090587070031119E-2</v>
      </c>
      <c r="D517" s="68"/>
      <c r="E517" s="68"/>
      <c r="F517" s="68"/>
      <c r="G517" s="72"/>
    </row>
    <row r="518" spans="1:7" x14ac:dyDescent="0.25">
      <c r="A518" s="2">
        <v>44655</v>
      </c>
      <c r="B518" s="20">
        <v>2940</v>
      </c>
      <c r="C518" s="14">
        <f t="shared" si="40"/>
        <v>1.094402167931721E-2</v>
      </c>
      <c r="D518" s="68"/>
      <c r="E518" s="68"/>
      <c r="F518" s="68"/>
      <c r="G518" s="72"/>
    </row>
    <row r="519" spans="1:7" x14ac:dyDescent="0.25">
      <c r="A519" s="2">
        <v>44652</v>
      </c>
      <c r="B519" s="20">
        <v>2908</v>
      </c>
      <c r="C519" s="14">
        <f t="shared" si="40"/>
        <v>-7.5368633577029614E-3</v>
      </c>
      <c r="D519" s="68"/>
      <c r="E519" s="68"/>
      <c r="F519" s="68"/>
      <c r="G519" s="72"/>
    </row>
    <row r="520" spans="1:7" x14ac:dyDescent="0.25">
      <c r="A520" s="2">
        <v>44651</v>
      </c>
      <c r="B520" s="20">
        <v>2930</v>
      </c>
      <c r="C520" s="14">
        <f t="shared" si="40"/>
        <v>-6.8027473227525231E-3</v>
      </c>
      <c r="D520" s="68"/>
      <c r="E520" s="68"/>
      <c r="F520" s="68"/>
      <c r="G520" s="72"/>
    </row>
    <row r="521" spans="1:7" x14ac:dyDescent="0.25">
      <c r="A521" s="2">
        <v>44650</v>
      </c>
      <c r="B521" s="20">
        <v>2950</v>
      </c>
      <c r="C521" s="14">
        <f t="shared" si="40"/>
        <v>1.9165542142436268E-2</v>
      </c>
      <c r="D521" s="68"/>
      <c r="E521" s="68"/>
      <c r="F521" s="68"/>
      <c r="G521" s="72"/>
    </row>
    <row r="522" spans="1:7" x14ac:dyDescent="0.25">
      <c r="A522" s="2">
        <v>44649</v>
      </c>
      <c r="B522" s="20">
        <v>2894</v>
      </c>
      <c r="C522" s="14">
        <f t="shared" si="40"/>
        <v>3.2306180294476815E-2</v>
      </c>
      <c r="D522" s="68"/>
      <c r="E522" s="68"/>
      <c r="F522" s="68"/>
      <c r="G522" s="72"/>
    </row>
    <row r="523" spans="1:7" x14ac:dyDescent="0.25">
      <c r="A523" s="2">
        <v>44648</v>
      </c>
      <c r="B523" s="20">
        <v>2802</v>
      </c>
      <c r="C523" s="14">
        <f t="shared" si="40"/>
        <v>-2.8510354308390832E-3</v>
      </c>
      <c r="D523" s="68"/>
      <c r="E523" s="68"/>
      <c r="F523" s="68"/>
      <c r="G523" s="72"/>
    </row>
    <row r="524" spans="1:7" x14ac:dyDescent="0.25">
      <c r="A524" s="2">
        <v>44645</v>
      </c>
      <c r="B524" s="20">
        <v>2810</v>
      </c>
      <c r="C524" s="14">
        <f t="shared" si="40"/>
        <v>7.1428875123802039E-3</v>
      </c>
      <c r="D524" s="68"/>
      <c r="E524" s="68"/>
      <c r="F524" s="68"/>
      <c r="G524" s="72"/>
    </row>
    <row r="525" spans="1:7" x14ac:dyDescent="0.25">
      <c r="A525" s="2">
        <v>44644</v>
      </c>
      <c r="B525" s="20">
        <v>2790</v>
      </c>
      <c r="C525" s="14">
        <f t="shared" si="40"/>
        <v>-3.5778213478839666E-3</v>
      </c>
      <c r="D525" s="68"/>
      <c r="E525" s="68"/>
      <c r="F525" s="68"/>
      <c r="G525" s="72"/>
    </row>
    <row r="526" spans="1:7" x14ac:dyDescent="0.25">
      <c r="A526" s="2">
        <v>44643</v>
      </c>
      <c r="B526" s="20">
        <v>2800</v>
      </c>
      <c r="C526" s="14">
        <f t="shared" si="40"/>
        <v>5.5059777183027389E-2</v>
      </c>
      <c r="D526" s="68"/>
      <c r="E526" s="68"/>
      <c r="F526" s="68"/>
      <c r="G526" s="72"/>
    </row>
    <row r="527" spans="1:7" x14ac:dyDescent="0.25">
      <c r="A527" s="2">
        <v>44642</v>
      </c>
      <c r="B527" s="20">
        <v>2650</v>
      </c>
      <c r="C527" s="14">
        <f t="shared" si="40"/>
        <v>6.0560366770416093E-3</v>
      </c>
      <c r="D527" s="68"/>
      <c r="E527" s="68"/>
      <c r="F527" s="68"/>
      <c r="G527" s="72"/>
    </row>
    <row r="528" spans="1:7" x14ac:dyDescent="0.25">
      <c r="A528" s="2">
        <v>44641</v>
      </c>
      <c r="B528" s="20">
        <v>2634</v>
      </c>
      <c r="C528" s="14">
        <f t="shared" si="40"/>
        <v>2.8496344829618107E-2</v>
      </c>
      <c r="D528" s="68"/>
      <c r="E528" s="68"/>
      <c r="F528" s="68"/>
      <c r="G528" s="72"/>
    </row>
    <row r="529" spans="1:7" x14ac:dyDescent="0.25">
      <c r="A529" s="2">
        <v>44638</v>
      </c>
      <c r="B529" s="20">
        <v>2560</v>
      </c>
      <c r="C529" s="14">
        <f t="shared" si="40"/>
        <v>-3.3041807201292808E-2</v>
      </c>
      <c r="D529" s="68"/>
      <c r="E529" s="68"/>
      <c r="F529" s="68"/>
      <c r="G529" s="72"/>
    </row>
    <row r="530" spans="1:7" x14ac:dyDescent="0.25">
      <c r="A530" s="2">
        <v>44637</v>
      </c>
      <c r="B530" s="20">
        <v>2646</v>
      </c>
      <c r="C530" s="14">
        <f t="shared" si="40"/>
        <v>2.2701485345390775E-3</v>
      </c>
      <c r="D530" s="68"/>
      <c r="E530" s="68"/>
      <c r="F530" s="68"/>
      <c r="G530" s="72"/>
    </row>
    <row r="531" spans="1:7" x14ac:dyDescent="0.25">
      <c r="A531" s="2">
        <v>44636</v>
      </c>
      <c r="B531" s="20">
        <v>2640</v>
      </c>
      <c r="C531" s="14">
        <f t="shared" si="40"/>
        <v>1.9121041446778377E-2</v>
      </c>
      <c r="D531" s="68"/>
      <c r="E531" s="68"/>
      <c r="F531" s="68"/>
      <c r="G531" s="72"/>
    </row>
    <row r="532" spans="1:7" x14ac:dyDescent="0.25">
      <c r="A532" s="2">
        <v>44631</v>
      </c>
      <c r="B532" s="20">
        <v>2590</v>
      </c>
      <c r="C532" s="14">
        <f t="shared" si="40"/>
        <v>1.3997118101098931E-2</v>
      </c>
      <c r="D532" s="68"/>
      <c r="E532" s="68"/>
      <c r="F532" s="68"/>
      <c r="G532" s="72"/>
    </row>
    <row r="533" spans="1:7" x14ac:dyDescent="0.25">
      <c r="A533" s="2">
        <v>44630</v>
      </c>
      <c r="B533" s="20">
        <v>2554</v>
      </c>
      <c r="C533" s="14">
        <f t="shared" si="40"/>
        <v>-3.4632164379092306E-2</v>
      </c>
      <c r="D533" s="68"/>
      <c r="E533" s="68"/>
      <c r="F533" s="68"/>
      <c r="G533" s="72"/>
    </row>
    <row r="534" spans="1:7" x14ac:dyDescent="0.25">
      <c r="A534" s="2">
        <v>44629</v>
      </c>
      <c r="B534" s="20">
        <v>2644</v>
      </c>
      <c r="C534" s="14">
        <f t="shared" si="40"/>
        <v>1.5140048312150113E-3</v>
      </c>
      <c r="D534" s="68"/>
      <c r="E534" s="68"/>
      <c r="F534" s="68"/>
      <c r="G534" s="72"/>
    </row>
    <row r="535" spans="1:7" x14ac:dyDescent="0.25">
      <c r="A535" s="2">
        <v>44628</v>
      </c>
      <c r="B535" s="20">
        <v>2640</v>
      </c>
      <c r="C535" s="14">
        <f t="shared" si="40"/>
        <v>1.3730192811902037E-2</v>
      </c>
      <c r="D535" s="68"/>
      <c r="E535" s="68"/>
      <c r="F535" s="68"/>
      <c r="G535" s="72"/>
    </row>
    <row r="536" spans="1:7" x14ac:dyDescent="0.25">
      <c r="A536" s="2">
        <v>44627</v>
      </c>
      <c r="B536" s="20">
        <v>2604</v>
      </c>
      <c r="C536" s="14">
        <f t="shared" si="40"/>
        <v>3.5969475740370502E-2</v>
      </c>
      <c r="D536" s="68"/>
      <c r="E536" s="68"/>
      <c r="F536" s="68"/>
      <c r="G536" s="72"/>
    </row>
    <row r="537" spans="1:7" x14ac:dyDescent="0.25">
      <c r="A537" s="2">
        <v>44624</v>
      </c>
      <c r="B537" s="20">
        <v>2512</v>
      </c>
      <c r="C537" s="14">
        <f t="shared" si="40"/>
        <v>4.7885167317970939E-3</v>
      </c>
      <c r="D537" s="68"/>
      <c r="E537" s="68"/>
      <c r="F537" s="68"/>
      <c r="G537" s="72"/>
    </row>
    <row r="538" spans="1:7" x14ac:dyDescent="0.25">
      <c r="A538" s="2">
        <v>44623</v>
      </c>
      <c r="B538" s="20">
        <v>2500</v>
      </c>
      <c r="C538" s="14">
        <f t="shared" si="40"/>
        <v>2.1019367224075342E-2</v>
      </c>
      <c r="D538" s="68"/>
      <c r="E538" s="68"/>
      <c r="F538" s="68"/>
      <c r="G538" s="72"/>
    </row>
    <row r="539" spans="1:7" x14ac:dyDescent="0.25">
      <c r="A539" s="2">
        <v>44622</v>
      </c>
      <c r="B539" s="20">
        <v>2448</v>
      </c>
      <c r="C539" s="14">
        <f t="shared" si="40"/>
        <v>1.635323340730838E-3</v>
      </c>
      <c r="D539" s="68"/>
      <c r="E539" s="68"/>
      <c r="F539" s="68"/>
      <c r="G539" s="72"/>
    </row>
    <row r="540" spans="1:7" x14ac:dyDescent="0.25">
      <c r="A540" s="2">
        <v>44621</v>
      </c>
      <c r="B540" s="20">
        <v>2444</v>
      </c>
      <c r="C540" s="14">
        <f t="shared" si="40"/>
        <v>-5.8021834402097537E-2</v>
      </c>
      <c r="D540" s="68"/>
      <c r="E540" s="68"/>
      <c r="F540" s="68"/>
      <c r="G540" s="72"/>
    </row>
    <row r="541" spans="1:7" x14ac:dyDescent="0.25">
      <c r="A541" s="2">
        <v>44620</v>
      </c>
      <c r="B541" s="20">
        <v>2590</v>
      </c>
      <c r="C541" s="14">
        <f t="shared" si="40"/>
        <v>5.1496525767174846E-2</v>
      </c>
      <c r="D541" s="68"/>
      <c r="E541" s="68"/>
      <c r="F541" s="68"/>
      <c r="G541" s="72"/>
    </row>
    <row r="542" spans="1:7" x14ac:dyDescent="0.25">
      <c r="A542" s="2">
        <v>44617</v>
      </c>
      <c r="B542" s="20">
        <v>2460</v>
      </c>
      <c r="C542" s="14">
        <f t="shared" si="40"/>
        <v>5.0010420574661416E-2</v>
      </c>
      <c r="D542" s="68"/>
      <c r="E542" s="68"/>
      <c r="F542" s="68"/>
      <c r="G542" s="72"/>
    </row>
    <row r="543" spans="1:7" x14ac:dyDescent="0.25">
      <c r="A543" s="2">
        <v>44616</v>
      </c>
      <c r="B543" s="20">
        <v>2340</v>
      </c>
      <c r="C543" s="14">
        <f t="shared" si="40"/>
        <v>-7.4901308173117714E-2</v>
      </c>
      <c r="D543" s="68"/>
      <c r="E543" s="68"/>
      <c r="F543" s="68"/>
      <c r="G543" s="72"/>
    </row>
    <row r="544" spans="1:7" x14ac:dyDescent="0.25">
      <c r="A544" s="2">
        <v>44615</v>
      </c>
      <c r="B544" s="20">
        <v>2522</v>
      </c>
      <c r="C544" s="14">
        <f t="shared" si="40"/>
        <v>-1.5735965931814706E-2</v>
      </c>
      <c r="D544" s="68"/>
      <c r="E544" s="68"/>
      <c r="F544" s="68"/>
      <c r="G544" s="72"/>
    </row>
    <row r="545" spans="1:7" x14ac:dyDescent="0.25">
      <c r="A545" s="2">
        <v>44614</v>
      </c>
      <c r="B545" s="20">
        <v>2562</v>
      </c>
      <c r="C545" s="14">
        <f t="shared" si="40"/>
        <v>1.5625003178916343E-3</v>
      </c>
      <c r="D545" s="68"/>
      <c r="E545" s="68"/>
      <c r="F545" s="68"/>
      <c r="G545" s="72"/>
    </row>
    <row r="546" spans="1:7" x14ac:dyDescent="0.25">
      <c r="A546" s="2">
        <v>44613</v>
      </c>
      <c r="B546" s="20">
        <v>2558</v>
      </c>
      <c r="C546" s="14">
        <f t="shared" si="40"/>
        <v>-2.1655912045379217E-2</v>
      </c>
      <c r="D546" s="68"/>
      <c r="E546" s="68"/>
      <c r="F546" s="68"/>
      <c r="G546" s="72"/>
    </row>
    <row r="547" spans="1:7" x14ac:dyDescent="0.25">
      <c r="A547" s="2">
        <v>44610</v>
      </c>
      <c r="B547" s="20">
        <v>2614</v>
      </c>
      <c r="C547" s="14">
        <f t="shared" si="40"/>
        <v>-1.4432457121585817E-2</v>
      </c>
      <c r="D547" s="68"/>
      <c r="E547" s="68"/>
      <c r="F547" s="68"/>
      <c r="G547" s="72"/>
    </row>
    <row r="548" spans="1:7" x14ac:dyDescent="0.25">
      <c r="A548" s="2">
        <v>44609</v>
      </c>
      <c r="B548" s="20">
        <v>2652</v>
      </c>
      <c r="C548" s="14">
        <f t="shared" si="40"/>
        <v>-3.7636476493038331E-3</v>
      </c>
      <c r="D548" s="68"/>
      <c r="E548" s="68"/>
      <c r="F548" s="68"/>
      <c r="G548" s="72"/>
    </row>
    <row r="549" spans="1:7" x14ac:dyDescent="0.25">
      <c r="A549" s="2">
        <v>44608</v>
      </c>
      <c r="B549" s="20">
        <v>2662</v>
      </c>
      <c r="C549" s="14">
        <f t="shared" si="40"/>
        <v>5.2730818981580408E-3</v>
      </c>
      <c r="D549" s="68"/>
      <c r="E549" s="68"/>
      <c r="F549" s="68"/>
      <c r="G549" s="72"/>
    </row>
    <row r="550" spans="1:7" x14ac:dyDescent="0.25">
      <c r="A550" s="2">
        <v>44607</v>
      </c>
      <c r="B550" s="20">
        <v>2648</v>
      </c>
      <c r="C550" s="14">
        <f t="shared" si="40"/>
        <v>0</v>
      </c>
      <c r="D550" s="68"/>
      <c r="E550" s="68"/>
      <c r="F550" s="68"/>
      <c r="G550" s="72"/>
    </row>
    <row r="551" spans="1:7" x14ac:dyDescent="0.25">
      <c r="A551" s="2">
        <v>44606</v>
      </c>
      <c r="B551" s="20">
        <v>2648</v>
      </c>
      <c r="C551" s="14">
        <f t="shared" si="40"/>
        <v>-8.2738343373963599E-3</v>
      </c>
      <c r="D551" s="68"/>
      <c r="E551" s="68"/>
      <c r="F551" s="68"/>
      <c r="G551" s="72"/>
    </row>
    <row r="552" spans="1:7" x14ac:dyDescent="0.25">
      <c r="A552" s="2">
        <v>44603</v>
      </c>
      <c r="B552" s="20">
        <v>2670</v>
      </c>
      <c r="C552" s="14">
        <f t="shared" si="40"/>
        <v>0</v>
      </c>
      <c r="D552" s="68"/>
      <c r="E552" s="68"/>
      <c r="F552" s="68"/>
      <c r="G552" s="72"/>
    </row>
    <row r="553" spans="1:7" x14ac:dyDescent="0.25">
      <c r="A553" s="2">
        <v>44602</v>
      </c>
      <c r="B553" s="20">
        <v>2670</v>
      </c>
      <c r="C553" s="14">
        <f t="shared" si="40"/>
        <v>-1.1913767125848931E-2</v>
      </c>
      <c r="D553" s="68"/>
      <c r="E553" s="68"/>
      <c r="F553" s="68"/>
      <c r="G553" s="72"/>
    </row>
    <row r="554" spans="1:7" x14ac:dyDescent="0.25">
      <c r="A554" s="2">
        <v>44601</v>
      </c>
      <c r="B554" s="20">
        <v>2702</v>
      </c>
      <c r="C554" s="14">
        <f t="shared" si="40"/>
        <v>-2.9563953536023775E-3</v>
      </c>
      <c r="D554" s="68"/>
      <c r="E554" s="68"/>
      <c r="F554" s="68"/>
      <c r="G554" s="72"/>
    </row>
    <row r="555" spans="1:7" x14ac:dyDescent="0.25">
      <c r="A555" s="2">
        <v>44600</v>
      </c>
      <c r="B555" s="20">
        <v>2710</v>
      </c>
      <c r="C555" s="14">
        <f t="shared" si="40"/>
        <v>1.7870914918689682E-2</v>
      </c>
      <c r="D555" s="68"/>
      <c r="E555" s="68"/>
      <c r="F555" s="68"/>
      <c r="G555" s="72"/>
    </row>
    <row r="556" spans="1:7" x14ac:dyDescent="0.25">
      <c r="A556" s="2">
        <v>44599</v>
      </c>
      <c r="B556" s="20">
        <v>2662</v>
      </c>
      <c r="C556" s="14">
        <f t="shared" si="40"/>
        <v>-5.9925272960608981E-3</v>
      </c>
      <c r="D556" s="68"/>
      <c r="E556" s="68"/>
      <c r="F556" s="68"/>
      <c r="G556" s="72"/>
    </row>
    <row r="557" spans="1:7" x14ac:dyDescent="0.25">
      <c r="A557" s="2">
        <v>44596</v>
      </c>
      <c r="B557" s="20">
        <v>2678</v>
      </c>
      <c r="C557" s="14">
        <f t="shared" si="40"/>
        <v>-1.4925375905059655E-3</v>
      </c>
      <c r="D557" s="68"/>
      <c r="E557" s="68"/>
      <c r="F557" s="68"/>
      <c r="G557" s="72"/>
    </row>
    <row r="558" spans="1:7" x14ac:dyDescent="0.25">
      <c r="A558" s="2">
        <v>44595</v>
      </c>
      <c r="B558" s="20">
        <v>2682</v>
      </c>
      <c r="C558" s="14">
        <f t="shared" si="40"/>
        <v>-1.0385850032122721E-2</v>
      </c>
      <c r="D558" s="68"/>
      <c r="E558" s="68"/>
      <c r="F558" s="68"/>
      <c r="G558" s="72"/>
    </row>
    <row r="559" spans="1:7" x14ac:dyDescent="0.25">
      <c r="A559" s="2">
        <v>44594</v>
      </c>
      <c r="B559" s="20">
        <v>2710</v>
      </c>
      <c r="C559" s="14">
        <f t="shared" si="40"/>
        <v>3.6968618813262026E-3</v>
      </c>
      <c r="D559" s="68"/>
      <c r="E559" s="68"/>
      <c r="F559" s="68"/>
      <c r="G559" s="72"/>
    </row>
    <row r="560" spans="1:7" x14ac:dyDescent="0.25">
      <c r="A560" s="2">
        <v>44593</v>
      </c>
      <c r="B560" s="20">
        <v>2700</v>
      </c>
      <c r="C560" s="14">
        <f t="shared" si="40"/>
        <v>-1.8349138668196541E-2</v>
      </c>
      <c r="D560" s="68"/>
      <c r="E560" s="68"/>
      <c r="F560" s="68"/>
      <c r="G560" s="72"/>
    </row>
    <row r="561" spans="1:7" x14ac:dyDescent="0.25">
      <c r="A561" s="2">
        <v>44592</v>
      </c>
      <c r="B561" s="20">
        <v>2750</v>
      </c>
      <c r="C561" s="14">
        <f t="shared" si="40"/>
        <v>8.0321716972642527E-3</v>
      </c>
      <c r="D561" s="68"/>
      <c r="E561" s="68"/>
      <c r="F561" s="68"/>
      <c r="G561" s="72"/>
    </row>
    <row r="562" spans="1:7" x14ac:dyDescent="0.25">
      <c r="A562" s="2">
        <v>44589</v>
      </c>
      <c r="B562" s="20">
        <v>2728</v>
      </c>
      <c r="C562" s="14">
        <f t="shared" si="40"/>
        <v>-8.0321716972642666E-3</v>
      </c>
      <c r="D562" s="68"/>
      <c r="E562" s="68"/>
      <c r="F562" s="68"/>
      <c r="G562" s="72"/>
    </row>
    <row r="563" spans="1:7" x14ac:dyDescent="0.25">
      <c r="A563" s="2">
        <v>44588</v>
      </c>
      <c r="B563" s="20">
        <v>2750</v>
      </c>
      <c r="C563" s="14">
        <f t="shared" si="40"/>
        <v>2.9522439266321834E-2</v>
      </c>
      <c r="D563" s="68"/>
      <c r="E563" s="68"/>
      <c r="F563" s="68"/>
      <c r="G563" s="72"/>
    </row>
    <row r="564" spans="1:7" x14ac:dyDescent="0.25">
      <c r="A564" s="2">
        <v>44587</v>
      </c>
      <c r="B564" s="20">
        <v>2670</v>
      </c>
      <c r="C564" s="14">
        <f t="shared" si="40"/>
        <v>3.7523496185503718E-3</v>
      </c>
      <c r="D564" s="68"/>
      <c r="E564" s="68"/>
      <c r="F564" s="68"/>
      <c r="G564" s="72"/>
    </row>
    <row r="565" spans="1:7" x14ac:dyDescent="0.25">
      <c r="A565" s="2">
        <v>44586</v>
      </c>
      <c r="B565" s="20">
        <v>2660</v>
      </c>
      <c r="C565" s="14">
        <f t="shared" si="40"/>
        <v>1.5151805020602246E-2</v>
      </c>
      <c r="D565" s="68"/>
      <c r="E565" s="68"/>
      <c r="F565" s="68"/>
      <c r="G565" s="72"/>
    </row>
    <row r="566" spans="1:7" x14ac:dyDescent="0.25">
      <c r="A566" s="2">
        <v>44585</v>
      </c>
      <c r="B566" s="20">
        <v>2620</v>
      </c>
      <c r="C566" s="14">
        <f t="shared" si="40"/>
        <v>-2.4133901336429859E-2</v>
      </c>
      <c r="D566" s="68"/>
      <c r="E566" s="68"/>
      <c r="F566" s="68"/>
      <c r="G566" s="72"/>
    </row>
    <row r="567" spans="1:7" x14ac:dyDescent="0.25">
      <c r="A567" s="2">
        <v>44582</v>
      </c>
      <c r="B567" s="20">
        <v>2684</v>
      </c>
      <c r="C567" s="14">
        <f t="shared" si="40"/>
        <v>1.1994146785819242E-2</v>
      </c>
      <c r="D567" s="68"/>
      <c r="E567" s="68"/>
      <c r="F567" s="68"/>
      <c r="G567" s="72"/>
    </row>
    <row r="568" spans="1:7" x14ac:dyDescent="0.25">
      <c r="A568" s="2">
        <v>44581</v>
      </c>
      <c r="B568" s="20">
        <v>2652</v>
      </c>
      <c r="C568" s="14">
        <f t="shared" si="40"/>
        <v>-3.0120504699916095E-3</v>
      </c>
      <c r="D568" s="68"/>
      <c r="E568" s="68"/>
      <c r="F568" s="68"/>
      <c r="G568" s="72"/>
    </row>
    <row r="569" spans="1:7" x14ac:dyDescent="0.25">
      <c r="A569" s="2">
        <v>44580</v>
      </c>
      <c r="B569" s="20">
        <v>2660</v>
      </c>
      <c r="C569" s="14">
        <f t="shared" si="40"/>
        <v>1.3626251711765056E-2</v>
      </c>
      <c r="D569" s="68"/>
      <c r="E569" s="68"/>
      <c r="F569" s="68"/>
      <c r="G569" s="72"/>
    </row>
    <row r="570" spans="1:7" x14ac:dyDescent="0.25">
      <c r="A570" s="2">
        <v>44579</v>
      </c>
      <c r="B570" s="20">
        <v>2624</v>
      </c>
      <c r="C570" s="14">
        <f t="shared" si="40"/>
        <v>-1.6629256971534719E-2</v>
      </c>
      <c r="D570" s="68"/>
      <c r="E570" s="68"/>
      <c r="F570" s="68"/>
      <c r="G570" s="72"/>
    </row>
    <row r="571" spans="1:7" x14ac:dyDescent="0.25">
      <c r="A571" s="2">
        <v>44578</v>
      </c>
      <c r="B571" s="20">
        <v>2668</v>
      </c>
      <c r="C571" s="14">
        <f t="shared" si="40"/>
        <v>6.015055729761189E-3</v>
      </c>
      <c r="D571" s="68"/>
      <c r="E571" s="68"/>
      <c r="F571" s="68"/>
      <c r="G571" s="72"/>
    </row>
    <row r="572" spans="1:7" x14ac:dyDescent="0.25">
      <c r="A572" s="2">
        <v>44575</v>
      </c>
      <c r="B572" s="20">
        <v>2652</v>
      </c>
      <c r="C572" s="14">
        <f t="shared" si="40"/>
        <v>-1.2739025777429714E-2</v>
      </c>
      <c r="D572" s="68"/>
      <c r="E572" s="68"/>
      <c r="F572" s="68"/>
      <c r="G572" s="72"/>
    </row>
    <row r="573" spans="1:7" x14ac:dyDescent="0.25">
      <c r="A573" s="2">
        <v>44574</v>
      </c>
      <c r="B573" s="20">
        <v>2686</v>
      </c>
      <c r="C573" s="14">
        <f t="shared" si="40"/>
        <v>-1.4880955127019556E-3</v>
      </c>
      <c r="D573" s="68"/>
      <c r="E573" s="68"/>
      <c r="F573" s="68"/>
      <c r="G573" s="72"/>
    </row>
    <row r="574" spans="1:7" x14ac:dyDescent="0.25">
      <c r="A574" s="2">
        <v>44573</v>
      </c>
      <c r="B574" s="20">
        <v>2690</v>
      </c>
      <c r="C574" s="14">
        <f t="shared" si="40"/>
        <v>1.5736555538985966E-2</v>
      </c>
      <c r="D574" s="68"/>
      <c r="E574" s="68"/>
      <c r="F574" s="68"/>
      <c r="G574" s="72"/>
    </row>
    <row r="575" spans="1:7" x14ac:dyDescent="0.25">
      <c r="A575" s="2">
        <v>44572</v>
      </c>
      <c r="B575" s="20">
        <v>2648</v>
      </c>
      <c r="C575" s="14">
        <f t="shared" si="40"/>
        <v>4.5420214345009858E-3</v>
      </c>
      <c r="D575" s="68"/>
      <c r="E575" s="68"/>
      <c r="F575" s="68"/>
      <c r="G575" s="72"/>
    </row>
    <row r="576" spans="1:7" x14ac:dyDescent="0.25">
      <c r="A576" s="2">
        <v>44571</v>
      </c>
      <c r="B576" s="20">
        <v>2636</v>
      </c>
      <c r="C576" s="14">
        <f t="shared" si="40"/>
        <v>1.3751171612824419E-2</v>
      </c>
      <c r="D576" s="68"/>
      <c r="E576" s="68"/>
      <c r="F576" s="68"/>
      <c r="G576" s="72"/>
    </row>
    <row r="577" spans="1:7" x14ac:dyDescent="0.25">
      <c r="A577" s="2">
        <v>44568</v>
      </c>
      <c r="B577" s="20">
        <v>2600</v>
      </c>
      <c r="C577" s="14">
        <f t="shared" si="40"/>
        <v>-3.8387763071657129E-3</v>
      </c>
      <c r="D577" s="68"/>
      <c r="E577" s="68"/>
      <c r="F577" s="68"/>
      <c r="G577" s="72"/>
    </row>
    <row r="578" spans="1:7" x14ac:dyDescent="0.25">
      <c r="A578" s="2">
        <v>44567</v>
      </c>
      <c r="B578" s="20">
        <v>2610</v>
      </c>
      <c r="C578" s="14">
        <f t="shared" si="40"/>
        <v>-3.0604461531060934E-3</v>
      </c>
      <c r="D578" s="68"/>
      <c r="E578" s="68"/>
      <c r="F578" s="68"/>
      <c r="G578" s="72"/>
    </row>
    <row r="579" spans="1:7" x14ac:dyDescent="0.25">
      <c r="A579" s="2">
        <v>44566</v>
      </c>
      <c r="B579" s="20">
        <v>2618</v>
      </c>
      <c r="C579" s="14">
        <f t="shared" si="40"/>
        <v>6.8992224602719334E-3</v>
      </c>
      <c r="D579" s="68"/>
      <c r="E579" s="68"/>
      <c r="F579" s="68"/>
      <c r="G579" s="72"/>
    </row>
    <row r="580" spans="1:7" x14ac:dyDescent="0.25">
      <c r="A580" s="2">
        <v>44565</v>
      </c>
      <c r="B580" s="20">
        <v>2600</v>
      </c>
      <c r="C580" s="14">
        <f t="shared" si="40"/>
        <v>6.1728591070810161E-3</v>
      </c>
      <c r="D580" s="68"/>
      <c r="E580" s="68"/>
      <c r="F580" s="68"/>
      <c r="G580" s="72"/>
    </row>
    <row r="581" spans="1:7" x14ac:dyDescent="0.25">
      <c r="A581" s="2">
        <v>44564</v>
      </c>
      <c r="B581" s="20">
        <v>2584</v>
      </c>
      <c r="C581" s="14">
        <f t="shared" ref="C581:C644" si="41">+LN(B581/B582)</f>
        <v>2.5079684397023391E-2</v>
      </c>
      <c r="D581" s="68"/>
      <c r="E581" s="68"/>
      <c r="F581" s="68"/>
      <c r="G581" s="72"/>
    </row>
    <row r="582" spans="1:7" x14ac:dyDescent="0.25">
      <c r="A582" s="2">
        <v>44560</v>
      </c>
      <c r="B582" s="20">
        <v>2520</v>
      </c>
      <c r="C582" s="14">
        <f t="shared" si="41"/>
        <v>7.9681696491768813E-3</v>
      </c>
      <c r="D582" s="68"/>
      <c r="E582" s="68"/>
      <c r="F582" s="68"/>
      <c r="G582" s="72"/>
    </row>
    <row r="583" spans="1:7" x14ac:dyDescent="0.25">
      <c r="A583" s="2">
        <v>44559</v>
      </c>
      <c r="B583" s="20">
        <v>2500</v>
      </c>
      <c r="C583" s="14">
        <f t="shared" si="41"/>
        <v>2.4292692569044483E-2</v>
      </c>
      <c r="D583" s="68"/>
      <c r="E583" s="68"/>
      <c r="F583" s="68"/>
      <c r="G583" s="72"/>
    </row>
    <row r="584" spans="1:7" x14ac:dyDescent="0.25">
      <c r="A584" s="2">
        <v>44558</v>
      </c>
      <c r="B584" s="20">
        <v>2440</v>
      </c>
      <c r="C584" s="14">
        <f t="shared" si="41"/>
        <v>-5.7213069836091653E-3</v>
      </c>
      <c r="D584" s="68"/>
      <c r="E584" s="68"/>
      <c r="F584" s="68"/>
      <c r="G584" s="72"/>
    </row>
    <row r="585" spans="1:7" x14ac:dyDescent="0.25">
      <c r="A585" s="2">
        <v>44557</v>
      </c>
      <c r="B585" s="20">
        <v>2454</v>
      </c>
      <c r="C585" s="14">
        <f t="shared" si="41"/>
        <v>-6.4988043511661278E-3</v>
      </c>
      <c r="D585" s="68"/>
      <c r="E585" s="68"/>
      <c r="F585" s="68"/>
      <c r="G585" s="72"/>
    </row>
    <row r="586" spans="1:7" x14ac:dyDescent="0.25">
      <c r="A586" s="2">
        <v>44553</v>
      </c>
      <c r="B586" s="20">
        <v>2470</v>
      </c>
      <c r="C586" s="14">
        <f t="shared" si="41"/>
        <v>0</v>
      </c>
      <c r="D586" s="68"/>
      <c r="E586" s="68"/>
      <c r="F586" s="68"/>
      <c r="G586" s="72"/>
    </row>
    <row r="587" spans="1:7" x14ac:dyDescent="0.25">
      <c r="A587" s="2">
        <v>44552</v>
      </c>
      <c r="B587" s="20">
        <v>2470</v>
      </c>
      <c r="C587" s="14">
        <f t="shared" si="41"/>
        <v>1.2220111334775397E-2</v>
      </c>
      <c r="D587" s="68"/>
      <c r="E587" s="68"/>
      <c r="F587" s="68"/>
      <c r="G587" s="72"/>
    </row>
    <row r="588" spans="1:7" x14ac:dyDescent="0.25">
      <c r="A588" s="2">
        <v>44551</v>
      </c>
      <c r="B588" s="20">
        <v>2440</v>
      </c>
      <c r="C588" s="14">
        <f t="shared" si="41"/>
        <v>8.2000824603074601E-4</v>
      </c>
      <c r="D588" s="68"/>
      <c r="E588" s="68"/>
      <c r="F588" s="68"/>
      <c r="G588" s="72"/>
    </row>
    <row r="589" spans="1:7" x14ac:dyDescent="0.25">
      <c r="A589" s="2">
        <v>44550</v>
      </c>
      <c r="B589" s="20">
        <v>2438</v>
      </c>
      <c r="C589" s="14">
        <f t="shared" si="41"/>
        <v>-4.9099934975557818E-3</v>
      </c>
      <c r="D589" s="68"/>
      <c r="E589" s="68"/>
      <c r="F589" s="68"/>
      <c r="G589" s="72"/>
    </row>
    <row r="590" spans="1:7" x14ac:dyDescent="0.25">
      <c r="A590" s="2">
        <v>44547</v>
      </c>
      <c r="B590" s="20">
        <v>2450</v>
      </c>
      <c r="C590" s="14">
        <f t="shared" si="41"/>
        <v>4.0899852515250664E-3</v>
      </c>
      <c r="D590" s="68"/>
      <c r="E590" s="68"/>
      <c r="F590" s="68"/>
      <c r="G590" s="72"/>
    </row>
    <row r="591" spans="1:7" x14ac:dyDescent="0.25">
      <c r="A591" s="2">
        <v>44546</v>
      </c>
      <c r="B591" s="20">
        <v>2440</v>
      </c>
      <c r="C591" s="14">
        <f t="shared" si="41"/>
        <v>8.2304991365154435E-3</v>
      </c>
      <c r="D591" s="68"/>
      <c r="E591" s="68"/>
      <c r="F591" s="68"/>
      <c r="G591" s="72"/>
    </row>
    <row r="592" spans="1:7" x14ac:dyDescent="0.25">
      <c r="A592" s="2">
        <v>44545</v>
      </c>
      <c r="B592" s="20">
        <v>2420</v>
      </c>
      <c r="C592" s="14">
        <f t="shared" si="41"/>
        <v>-4.1237171838620409E-3</v>
      </c>
      <c r="D592" s="68"/>
      <c r="E592" s="68"/>
      <c r="F592" s="68"/>
      <c r="G592" s="72"/>
    </row>
    <row r="593" spans="1:7" x14ac:dyDescent="0.25">
      <c r="A593" s="2">
        <v>44544</v>
      </c>
      <c r="B593" s="20">
        <v>2430</v>
      </c>
      <c r="C593" s="14">
        <f t="shared" si="41"/>
        <v>3.2976122215566729E-3</v>
      </c>
      <c r="D593" s="68"/>
      <c r="E593" s="68"/>
      <c r="F593" s="68"/>
      <c r="G593" s="72"/>
    </row>
    <row r="594" spans="1:7" x14ac:dyDescent="0.25">
      <c r="A594" s="2">
        <v>44543</v>
      </c>
      <c r="B594" s="20">
        <v>2422</v>
      </c>
      <c r="C594" s="14">
        <f t="shared" si="41"/>
        <v>-9.8603921340801402E-3</v>
      </c>
      <c r="D594" s="68"/>
      <c r="E594" s="68"/>
      <c r="F594" s="68"/>
      <c r="G594" s="72"/>
    </row>
    <row r="595" spans="1:7" x14ac:dyDescent="0.25">
      <c r="A595" s="2">
        <v>44540</v>
      </c>
      <c r="B595" s="20">
        <v>2446</v>
      </c>
      <c r="C595" s="14">
        <f t="shared" si="41"/>
        <v>-4.0799730199154189E-3</v>
      </c>
      <c r="D595" s="68"/>
      <c r="E595" s="68"/>
      <c r="F595" s="68"/>
      <c r="G595" s="72"/>
    </row>
    <row r="596" spans="1:7" x14ac:dyDescent="0.25">
      <c r="A596" s="2">
        <v>44539</v>
      </c>
      <c r="B596" s="20">
        <v>2456</v>
      </c>
      <c r="C596" s="14">
        <f t="shared" si="41"/>
        <v>8.1466399617628358E-4</v>
      </c>
      <c r="D596" s="68"/>
      <c r="E596" s="68"/>
      <c r="F596" s="68"/>
      <c r="G596" s="72"/>
    </row>
    <row r="597" spans="1:7" x14ac:dyDescent="0.25">
      <c r="A597" s="2">
        <v>44538</v>
      </c>
      <c r="B597" s="20">
        <v>2454</v>
      </c>
      <c r="C597" s="14">
        <f t="shared" si="41"/>
        <v>-8.1466399617633573E-4</v>
      </c>
      <c r="D597" s="68"/>
      <c r="E597" s="68"/>
      <c r="F597" s="68"/>
      <c r="G597" s="72"/>
    </row>
    <row r="598" spans="1:7" x14ac:dyDescent="0.25">
      <c r="A598" s="2">
        <v>44537</v>
      </c>
      <c r="B598" s="20">
        <v>2456</v>
      </c>
      <c r="C598" s="14">
        <f t="shared" si="41"/>
        <v>8.9980157195605828E-3</v>
      </c>
      <c r="D598" s="68"/>
      <c r="E598" s="68"/>
      <c r="F598" s="68"/>
      <c r="G598" s="72"/>
    </row>
    <row r="599" spans="1:7" x14ac:dyDescent="0.25">
      <c r="A599" s="2">
        <v>44536</v>
      </c>
      <c r="B599" s="20">
        <v>2434</v>
      </c>
      <c r="C599" s="14">
        <f t="shared" si="41"/>
        <v>9.9092470627717682E-3</v>
      </c>
      <c r="D599" s="68"/>
      <c r="E599" s="68"/>
      <c r="F599" s="68"/>
      <c r="G599" s="72"/>
    </row>
    <row r="600" spans="1:7" x14ac:dyDescent="0.25">
      <c r="A600" s="2">
        <v>44533</v>
      </c>
      <c r="B600" s="20">
        <v>2410</v>
      </c>
      <c r="C600" s="14">
        <f t="shared" si="41"/>
        <v>-9.9092470627718046E-3</v>
      </c>
      <c r="D600" s="68"/>
      <c r="E600" s="68"/>
      <c r="F600" s="68"/>
      <c r="G600" s="72"/>
    </row>
    <row r="601" spans="1:7" x14ac:dyDescent="0.25">
      <c r="A601" s="2">
        <v>44532</v>
      </c>
      <c r="B601" s="20">
        <v>2434</v>
      </c>
      <c r="C601" s="14">
        <f t="shared" si="41"/>
        <v>-4.9180426996451448E-3</v>
      </c>
      <c r="D601" s="68"/>
      <c r="E601" s="68"/>
      <c r="F601" s="68"/>
      <c r="G601" s="72"/>
    </row>
    <row r="602" spans="1:7" x14ac:dyDescent="0.25">
      <c r="A602" s="2">
        <v>44531</v>
      </c>
      <c r="B602" s="20">
        <v>2446</v>
      </c>
      <c r="C602" s="14">
        <f t="shared" si="41"/>
        <v>1.2340757192412188E-2</v>
      </c>
      <c r="D602" s="68"/>
      <c r="E602" s="68"/>
      <c r="F602" s="68"/>
      <c r="G602" s="72"/>
    </row>
    <row r="603" spans="1:7" x14ac:dyDescent="0.25">
      <c r="A603" s="2">
        <v>44530</v>
      </c>
      <c r="B603" s="20">
        <v>2416</v>
      </c>
      <c r="C603" s="14">
        <f t="shared" si="41"/>
        <v>-9.8847592325419734E-3</v>
      </c>
      <c r="D603" s="68"/>
      <c r="E603" s="68"/>
      <c r="F603" s="68"/>
      <c r="G603" s="72"/>
    </row>
    <row r="604" spans="1:7" x14ac:dyDescent="0.25">
      <c r="A604" s="2">
        <v>44529</v>
      </c>
      <c r="B604" s="20">
        <v>2440</v>
      </c>
      <c r="C604" s="14">
        <f t="shared" si="41"/>
        <v>-4.0899852515251661E-3</v>
      </c>
      <c r="D604" s="68"/>
      <c r="E604" s="68"/>
      <c r="F604" s="68"/>
      <c r="G604" s="72"/>
    </row>
    <row r="605" spans="1:7" x14ac:dyDescent="0.25">
      <c r="A605" s="2">
        <v>44526</v>
      </c>
      <c r="B605" s="20">
        <v>2450</v>
      </c>
      <c r="C605" s="14">
        <f t="shared" si="41"/>
        <v>-9.7482494136605907E-3</v>
      </c>
      <c r="D605" s="68"/>
      <c r="E605" s="68"/>
      <c r="F605" s="68"/>
      <c r="G605" s="72"/>
    </row>
    <row r="606" spans="1:7" x14ac:dyDescent="0.25">
      <c r="A606" s="2">
        <v>44525</v>
      </c>
      <c r="B606" s="20">
        <v>2474</v>
      </c>
      <c r="C606" s="14">
        <f t="shared" si="41"/>
        <v>-2.5540095321899797E-2</v>
      </c>
      <c r="D606" s="68"/>
      <c r="E606" s="68"/>
      <c r="F606" s="68"/>
      <c r="G606" s="72"/>
    </row>
    <row r="607" spans="1:7" x14ac:dyDescent="0.25">
      <c r="A607" s="2">
        <v>44524</v>
      </c>
      <c r="B607" s="20">
        <v>2538</v>
      </c>
      <c r="C607" s="14">
        <f t="shared" si="41"/>
        <v>-3.1471308430188502E-3</v>
      </c>
      <c r="D607" s="68"/>
      <c r="E607" s="68"/>
      <c r="F607" s="68"/>
      <c r="G607" s="72"/>
    </row>
    <row r="608" spans="1:7" x14ac:dyDescent="0.25">
      <c r="A608" s="2">
        <v>44523</v>
      </c>
      <c r="B608" s="20">
        <v>2546</v>
      </c>
      <c r="C608" s="14">
        <f t="shared" si="41"/>
        <v>4.663224278275778E-2</v>
      </c>
      <c r="D608" s="68"/>
      <c r="E608" s="68"/>
      <c r="F608" s="68"/>
      <c r="G608" s="72"/>
    </row>
    <row r="609" spans="1:7" x14ac:dyDescent="0.25">
      <c r="A609" s="2">
        <v>44522</v>
      </c>
      <c r="B609" s="20">
        <v>2430</v>
      </c>
      <c r="C609" s="14">
        <f t="shared" si="41"/>
        <v>-2.4660924951935542E-3</v>
      </c>
      <c r="D609" s="68"/>
      <c r="E609" s="68"/>
      <c r="F609" s="68"/>
      <c r="G609" s="72"/>
    </row>
    <row r="610" spans="1:7" x14ac:dyDescent="0.25">
      <c r="A610" s="2">
        <v>44519</v>
      </c>
      <c r="B610" s="20">
        <v>2436</v>
      </c>
      <c r="C610" s="14">
        <f t="shared" si="41"/>
        <v>-3.3107585774504879E-2</v>
      </c>
      <c r="D610" s="68"/>
      <c r="E610" s="68"/>
      <c r="F610" s="68"/>
      <c r="G610" s="72"/>
    </row>
    <row r="611" spans="1:7" x14ac:dyDescent="0.25">
      <c r="A611" s="2">
        <v>44518</v>
      </c>
      <c r="B611" s="20">
        <v>2518</v>
      </c>
      <c r="C611" s="14">
        <f t="shared" si="41"/>
        <v>3.9793128514810537E-3</v>
      </c>
      <c r="D611" s="68"/>
      <c r="E611" s="68"/>
      <c r="F611" s="68"/>
      <c r="G611" s="72"/>
    </row>
    <row r="612" spans="1:7" x14ac:dyDescent="0.25">
      <c r="A612" s="2">
        <v>44517</v>
      </c>
      <c r="B612" s="20">
        <v>2508</v>
      </c>
      <c r="C612" s="14">
        <f t="shared" si="41"/>
        <v>2.3952107259548501E-3</v>
      </c>
      <c r="D612" s="68"/>
      <c r="E612" s="68"/>
      <c r="F612" s="68"/>
      <c r="G612" s="72"/>
    </row>
    <row r="613" spans="1:7" x14ac:dyDescent="0.25">
      <c r="A613" s="2">
        <v>44516</v>
      </c>
      <c r="B613" s="20">
        <v>2502</v>
      </c>
      <c r="C613" s="14">
        <f t="shared" si="41"/>
        <v>-5.5799267934746504E-3</v>
      </c>
      <c r="D613" s="68"/>
      <c r="E613" s="68"/>
      <c r="F613" s="68"/>
      <c r="G613" s="72"/>
    </row>
    <row r="614" spans="1:7" x14ac:dyDescent="0.25">
      <c r="A614" s="2">
        <v>44515</v>
      </c>
      <c r="B614" s="20">
        <v>2516</v>
      </c>
      <c r="C614" s="14">
        <f t="shared" si="41"/>
        <v>1.9262232795052708E-2</v>
      </c>
      <c r="D614" s="68"/>
      <c r="E614" s="68"/>
      <c r="F614" s="68"/>
      <c r="G614" s="72"/>
    </row>
    <row r="615" spans="1:7" x14ac:dyDescent="0.25">
      <c r="A615" s="2">
        <v>44512</v>
      </c>
      <c r="B615" s="20">
        <v>2468</v>
      </c>
      <c r="C615" s="14">
        <f t="shared" si="41"/>
        <v>-3.2685253127193351E-2</v>
      </c>
      <c r="D615" s="68"/>
      <c r="E615" s="68"/>
      <c r="F615" s="68"/>
      <c r="G615" s="72"/>
    </row>
    <row r="616" spans="1:7" x14ac:dyDescent="0.25">
      <c r="A616" s="2">
        <v>44511</v>
      </c>
      <c r="B616" s="20">
        <v>2550</v>
      </c>
      <c r="C616" s="14">
        <f t="shared" si="41"/>
        <v>-4.8976888098645949E-2</v>
      </c>
      <c r="D616" s="68"/>
      <c r="E616" s="68"/>
      <c r="F616" s="68"/>
      <c r="G616" s="72"/>
    </row>
    <row r="617" spans="1:7" x14ac:dyDescent="0.25">
      <c r="A617" s="2">
        <v>44510</v>
      </c>
      <c r="B617" s="20">
        <v>2678</v>
      </c>
      <c r="C617" s="14">
        <f t="shared" si="41"/>
        <v>-1.7031141018285189E-2</v>
      </c>
      <c r="D617" s="68"/>
      <c r="E617" s="68"/>
      <c r="F617" s="68"/>
      <c r="G617" s="72"/>
    </row>
    <row r="618" spans="1:7" x14ac:dyDescent="0.25">
      <c r="A618" s="2">
        <v>44509</v>
      </c>
      <c r="B618" s="20">
        <v>2724</v>
      </c>
      <c r="C618" s="14">
        <f t="shared" si="41"/>
        <v>8.8496152769826E-3</v>
      </c>
      <c r="D618" s="68"/>
      <c r="E618" s="68"/>
      <c r="F618" s="68"/>
      <c r="G618" s="72"/>
    </row>
    <row r="619" spans="1:7" x14ac:dyDescent="0.25">
      <c r="A619" s="2">
        <v>44508</v>
      </c>
      <c r="B619" s="20">
        <v>2700</v>
      </c>
      <c r="C619" s="14">
        <f t="shared" si="41"/>
        <v>-2.0528580141128707E-2</v>
      </c>
      <c r="D619" s="68"/>
      <c r="E619" s="68"/>
      <c r="F619" s="68"/>
      <c r="G619" s="72"/>
    </row>
    <row r="620" spans="1:7" x14ac:dyDescent="0.25">
      <c r="A620" s="2">
        <v>44505</v>
      </c>
      <c r="B620" s="20">
        <v>2756</v>
      </c>
      <c r="C620" s="14">
        <f t="shared" si="41"/>
        <v>-1.3693907683357985E-2</v>
      </c>
      <c r="D620" s="68"/>
      <c r="E620" s="68"/>
      <c r="F620" s="68"/>
      <c r="G620" s="72"/>
    </row>
    <row r="621" spans="1:7" x14ac:dyDescent="0.25">
      <c r="A621" s="2">
        <v>44504</v>
      </c>
      <c r="B621" s="20">
        <v>2794</v>
      </c>
      <c r="C621" s="14">
        <f t="shared" si="41"/>
        <v>2.317265163790163E-2</v>
      </c>
      <c r="D621" s="68"/>
      <c r="E621" s="68"/>
      <c r="F621" s="68"/>
      <c r="G621" s="72"/>
    </row>
    <row r="622" spans="1:7" x14ac:dyDescent="0.25">
      <c r="A622" s="2">
        <v>44503</v>
      </c>
      <c r="B622" s="20">
        <v>2730</v>
      </c>
      <c r="C622" s="14">
        <f t="shared" si="41"/>
        <v>1.9978466930886295E-2</v>
      </c>
      <c r="D622" s="68"/>
      <c r="E622" s="68"/>
      <c r="F622" s="68"/>
      <c r="G622" s="72"/>
    </row>
    <row r="623" spans="1:7" x14ac:dyDescent="0.25">
      <c r="A623" s="2">
        <v>44502</v>
      </c>
      <c r="B623" s="20">
        <v>2676</v>
      </c>
      <c r="C623" s="14">
        <f t="shared" si="41"/>
        <v>5.9970194723742657E-3</v>
      </c>
      <c r="D623" s="68"/>
      <c r="E623" s="68"/>
      <c r="F623" s="68"/>
      <c r="G623" s="72"/>
    </row>
    <row r="624" spans="1:7" x14ac:dyDescent="0.25">
      <c r="A624" s="2">
        <v>44498</v>
      </c>
      <c r="B624" s="20">
        <v>2660</v>
      </c>
      <c r="C624" s="14">
        <f t="shared" si="41"/>
        <v>2.2581868835918847E-3</v>
      </c>
      <c r="D624" s="68"/>
      <c r="E624" s="68"/>
      <c r="F624" s="68"/>
      <c r="G624" s="72"/>
    </row>
    <row r="625" spans="1:7" x14ac:dyDescent="0.25">
      <c r="A625" s="2">
        <v>44497</v>
      </c>
      <c r="B625" s="20">
        <v>2654</v>
      </c>
      <c r="C625" s="14">
        <f t="shared" si="41"/>
        <v>-2.8233673286852612E-2</v>
      </c>
      <c r="D625" s="68"/>
      <c r="E625" s="68"/>
      <c r="F625" s="68"/>
      <c r="G625" s="72"/>
    </row>
    <row r="626" spans="1:7" x14ac:dyDescent="0.25">
      <c r="A626" s="2">
        <v>44496</v>
      </c>
      <c r="B626" s="20">
        <v>2730</v>
      </c>
      <c r="C626" s="14">
        <f t="shared" si="41"/>
        <v>-5.8436981489109197E-3</v>
      </c>
      <c r="D626" s="68"/>
      <c r="E626" s="68"/>
      <c r="F626" s="68"/>
      <c r="G626" s="72"/>
    </row>
    <row r="627" spans="1:7" x14ac:dyDescent="0.25">
      <c r="A627" s="2">
        <v>44495</v>
      </c>
      <c r="B627" s="20">
        <v>2746</v>
      </c>
      <c r="C627" s="14">
        <f t="shared" si="41"/>
        <v>-7.2806701432362008E-4</v>
      </c>
      <c r="D627" s="68"/>
      <c r="E627" s="68"/>
      <c r="F627" s="68"/>
      <c r="G627" s="72"/>
    </row>
    <row r="628" spans="1:7" x14ac:dyDescent="0.25">
      <c r="A628" s="2">
        <v>44494</v>
      </c>
      <c r="B628" s="20">
        <v>2748</v>
      </c>
      <c r="C628" s="14">
        <f t="shared" si="41"/>
        <v>-7.9739458391442277E-3</v>
      </c>
      <c r="D628" s="68"/>
      <c r="E628" s="68"/>
      <c r="F628" s="68"/>
      <c r="G628" s="72"/>
    </row>
    <row r="629" spans="1:7" x14ac:dyDescent="0.25">
      <c r="A629" s="2">
        <v>44491</v>
      </c>
      <c r="B629" s="20">
        <v>2770</v>
      </c>
      <c r="C629" s="14">
        <f t="shared" si="41"/>
        <v>3.6166404701885148E-3</v>
      </c>
      <c r="D629" s="68"/>
      <c r="E629" s="68"/>
      <c r="F629" s="68"/>
      <c r="G629" s="72"/>
    </row>
    <row r="630" spans="1:7" x14ac:dyDescent="0.25">
      <c r="A630" s="2">
        <v>44490</v>
      </c>
      <c r="B630" s="20">
        <v>2760</v>
      </c>
      <c r="C630" s="14">
        <f t="shared" si="41"/>
        <v>1.4598799421152631E-2</v>
      </c>
      <c r="D630" s="68"/>
      <c r="E630" s="68"/>
      <c r="F630" s="68"/>
      <c r="G630" s="72"/>
    </row>
    <row r="631" spans="1:7" x14ac:dyDescent="0.25">
      <c r="A631" s="2">
        <v>44489</v>
      </c>
      <c r="B631" s="20">
        <v>2720</v>
      </c>
      <c r="C631" s="14">
        <f t="shared" si="41"/>
        <v>-2.9368596733097135E-3</v>
      </c>
      <c r="D631" s="68"/>
      <c r="E631" s="68"/>
      <c r="F631" s="68"/>
      <c r="G631" s="72"/>
    </row>
    <row r="632" spans="1:7" x14ac:dyDescent="0.25">
      <c r="A632" s="2">
        <v>44488</v>
      </c>
      <c r="B632" s="20">
        <v>2728</v>
      </c>
      <c r="C632" s="14">
        <f t="shared" si="41"/>
        <v>2.9368596733097057E-3</v>
      </c>
      <c r="D632" s="68"/>
      <c r="E632" s="68"/>
      <c r="F632" s="68"/>
      <c r="G632" s="72"/>
    </row>
    <row r="633" spans="1:7" x14ac:dyDescent="0.25">
      <c r="A633" s="2">
        <v>44487</v>
      </c>
      <c r="B633" s="20">
        <v>2720</v>
      </c>
      <c r="C633" s="14">
        <f t="shared" si="41"/>
        <v>-6.5958465583511889E-3</v>
      </c>
      <c r="D633" s="68"/>
      <c r="E633" s="68"/>
      <c r="F633" s="68"/>
      <c r="G633" s="72"/>
    </row>
    <row r="634" spans="1:7" x14ac:dyDescent="0.25">
      <c r="A634" s="2">
        <v>44484</v>
      </c>
      <c r="B634" s="20">
        <v>2738</v>
      </c>
      <c r="C634" s="14">
        <f t="shared" si="41"/>
        <v>-1.0897310889166002E-2</v>
      </c>
      <c r="D634" s="68"/>
      <c r="E634" s="68"/>
      <c r="F634" s="68"/>
      <c r="G634" s="72"/>
    </row>
    <row r="635" spans="1:7" x14ac:dyDescent="0.25">
      <c r="A635" s="2">
        <v>44483</v>
      </c>
      <c r="B635" s="20">
        <v>2768</v>
      </c>
      <c r="C635" s="14">
        <f t="shared" si="41"/>
        <v>2.7097959767250993E-2</v>
      </c>
      <c r="D635" s="68"/>
      <c r="E635" s="68"/>
      <c r="F635" s="68"/>
      <c r="G635" s="72"/>
    </row>
    <row r="636" spans="1:7" x14ac:dyDescent="0.25">
      <c r="A636" s="2">
        <v>44482</v>
      </c>
      <c r="B636" s="20">
        <v>2694</v>
      </c>
      <c r="C636" s="14">
        <f t="shared" si="41"/>
        <v>-1.6930842411806604E-2</v>
      </c>
      <c r="D636" s="68"/>
      <c r="E636" s="68"/>
      <c r="F636" s="68"/>
      <c r="G636" s="72"/>
    </row>
    <row r="637" spans="1:7" x14ac:dyDescent="0.25">
      <c r="A637" s="2">
        <v>44481</v>
      </c>
      <c r="B637" s="20">
        <v>2740</v>
      </c>
      <c r="C637" s="14">
        <f t="shared" si="41"/>
        <v>1.1747565349950235E-2</v>
      </c>
      <c r="D637" s="68"/>
      <c r="E637" s="68"/>
      <c r="F637" s="68"/>
      <c r="G637" s="72"/>
    </row>
    <row r="638" spans="1:7" x14ac:dyDescent="0.25">
      <c r="A638" s="2">
        <v>44480</v>
      </c>
      <c r="B638" s="20">
        <v>2708</v>
      </c>
      <c r="C638" s="14">
        <f t="shared" si="41"/>
        <v>8.9021359405932511E-3</v>
      </c>
      <c r="D638" s="68"/>
      <c r="E638" s="68"/>
      <c r="F638" s="68"/>
      <c r="G638" s="72"/>
    </row>
    <row r="639" spans="1:7" x14ac:dyDescent="0.25">
      <c r="A639" s="2">
        <v>44477</v>
      </c>
      <c r="B639" s="20">
        <v>2684</v>
      </c>
      <c r="C639" s="14">
        <f t="shared" si="41"/>
        <v>1.4914245866701199E-3</v>
      </c>
      <c r="D639" s="68"/>
      <c r="E639" s="68"/>
      <c r="F639" s="68"/>
      <c r="G639" s="72"/>
    </row>
    <row r="640" spans="1:7" x14ac:dyDescent="0.25">
      <c r="A640" s="2">
        <v>44476</v>
      </c>
      <c r="B640" s="20">
        <v>2680</v>
      </c>
      <c r="C640" s="14">
        <f t="shared" si="41"/>
        <v>-2.9806281381377893E-3</v>
      </c>
      <c r="D640" s="68"/>
      <c r="E640" s="68"/>
      <c r="F640" s="68"/>
      <c r="G640" s="72"/>
    </row>
    <row r="641" spans="1:7" x14ac:dyDescent="0.25">
      <c r="A641" s="2">
        <v>44475</v>
      </c>
      <c r="B641" s="20">
        <v>2688</v>
      </c>
      <c r="C641" s="14">
        <f t="shared" si="41"/>
        <v>1.0471299867295437E-2</v>
      </c>
      <c r="D641" s="68"/>
      <c r="E641" s="68"/>
      <c r="F641" s="68"/>
      <c r="G641" s="72"/>
    </row>
    <row r="642" spans="1:7" x14ac:dyDescent="0.25">
      <c r="A642" s="2">
        <v>44474</v>
      </c>
      <c r="B642" s="20">
        <v>2660</v>
      </c>
      <c r="C642" s="14">
        <f t="shared" si="41"/>
        <v>2.0509644090954363E-2</v>
      </c>
      <c r="D642" s="68"/>
      <c r="E642" s="68"/>
      <c r="F642" s="68"/>
      <c r="G642" s="72"/>
    </row>
    <row r="643" spans="1:7" x14ac:dyDescent="0.25">
      <c r="A643" s="2">
        <v>44473</v>
      </c>
      <c r="B643" s="20">
        <v>2606</v>
      </c>
      <c r="C643" s="14">
        <f t="shared" si="41"/>
        <v>4.6153928084011831E-3</v>
      </c>
      <c r="D643" s="68"/>
      <c r="E643" s="68"/>
      <c r="F643" s="68"/>
      <c r="G643" s="72"/>
    </row>
    <row r="644" spans="1:7" x14ac:dyDescent="0.25">
      <c r="A644" s="2">
        <v>44470</v>
      </c>
      <c r="B644" s="20">
        <v>2594</v>
      </c>
      <c r="C644" s="14">
        <f t="shared" si="41"/>
        <v>3.8624999738967676E-3</v>
      </c>
      <c r="D644" s="68"/>
      <c r="E644" s="68"/>
      <c r="F644" s="68"/>
      <c r="G644" s="72"/>
    </row>
    <row r="645" spans="1:7" x14ac:dyDescent="0.25">
      <c r="A645" s="2">
        <v>44469</v>
      </c>
      <c r="B645" s="20">
        <v>2584</v>
      </c>
      <c r="C645" s="14">
        <f t="shared" ref="C645:C708" si="42">+LN(B645/B646)</f>
        <v>1.7962216628159416E-2</v>
      </c>
      <c r="D645" s="68"/>
      <c r="E645" s="68"/>
      <c r="F645" s="68"/>
      <c r="G645" s="72"/>
    </row>
    <row r="646" spans="1:7" x14ac:dyDescent="0.25">
      <c r="A646" s="2">
        <v>44468</v>
      </c>
      <c r="B646" s="20">
        <v>2538</v>
      </c>
      <c r="C646" s="14">
        <f t="shared" si="42"/>
        <v>2.4732014469846349E-2</v>
      </c>
      <c r="D646" s="68"/>
      <c r="E646" s="68"/>
      <c r="F646" s="68"/>
      <c r="G646" s="72"/>
    </row>
    <row r="647" spans="1:7" x14ac:dyDescent="0.25">
      <c r="A647" s="2">
        <v>44467</v>
      </c>
      <c r="B647" s="20">
        <v>2476</v>
      </c>
      <c r="C647" s="14">
        <f t="shared" si="42"/>
        <v>5.6703270600879496E-3</v>
      </c>
      <c r="D647" s="68"/>
      <c r="E647" s="68"/>
      <c r="F647" s="68"/>
      <c r="G647" s="72"/>
    </row>
    <row r="648" spans="1:7" x14ac:dyDescent="0.25">
      <c r="A648" s="2">
        <v>44466</v>
      </c>
      <c r="B648" s="20">
        <v>2462</v>
      </c>
      <c r="C648" s="14">
        <f t="shared" si="42"/>
        <v>8.1267781799025782E-4</v>
      </c>
      <c r="D648" s="68"/>
      <c r="E648" s="68"/>
      <c r="F648" s="68"/>
      <c r="G648" s="72"/>
    </row>
    <row r="649" spans="1:7" x14ac:dyDescent="0.25">
      <c r="A649" s="2">
        <v>44463</v>
      </c>
      <c r="B649" s="20">
        <v>2460</v>
      </c>
      <c r="C649" s="14">
        <f t="shared" si="42"/>
        <v>5.7073126792908727E-3</v>
      </c>
      <c r="D649" s="68"/>
      <c r="E649" s="68"/>
      <c r="F649" s="68"/>
      <c r="G649" s="72"/>
    </row>
    <row r="650" spans="1:7" x14ac:dyDescent="0.25">
      <c r="A650" s="2">
        <v>44462</v>
      </c>
      <c r="B650" s="20">
        <v>2446</v>
      </c>
      <c r="C650" s="14">
        <f t="shared" si="42"/>
        <v>1.4827289762416932E-2</v>
      </c>
      <c r="D650" s="68"/>
      <c r="E650" s="68"/>
      <c r="F650" s="68"/>
      <c r="G650" s="72"/>
    </row>
    <row r="651" spans="1:7" x14ac:dyDescent="0.25">
      <c r="A651" s="2">
        <v>44461</v>
      </c>
      <c r="B651" s="20">
        <v>2410</v>
      </c>
      <c r="C651" s="14">
        <f t="shared" si="42"/>
        <v>1.9271647958711828E-2</v>
      </c>
      <c r="D651" s="68"/>
      <c r="E651" s="68"/>
      <c r="F651" s="68"/>
      <c r="G651" s="72"/>
    </row>
    <row r="652" spans="1:7" x14ac:dyDescent="0.25">
      <c r="A652" s="2">
        <v>44460</v>
      </c>
      <c r="B652" s="20">
        <v>2364</v>
      </c>
      <c r="C652" s="14">
        <f t="shared" si="42"/>
        <v>-5.9046987247383326E-3</v>
      </c>
      <c r="D652" s="68"/>
      <c r="E652" s="68"/>
      <c r="F652" s="68"/>
      <c r="G652" s="72"/>
    </row>
    <row r="653" spans="1:7" x14ac:dyDescent="0.25">
      <c r="A653" s="2">
        <v>44459</v>
      </c>
      <c r="B653" s="20">
        <v>2378</v>
      </c>
      <c r="C653" s="14">
        <f t="shared" si="42"/>
        <v>-2.409755157906053E-2</v>
      </c>
      <c r="D653" s="68"/>
      <c r="E653" s="68"/>
      <c r="F653" s="68"/>
      <c r="G653" s="72"/>
    </row>
    <row r="654" spans="1:7" x14ac:dyDescent="0.25">
      <c r="A654" s="2">
        <v>44456</v>
      </c>
      <c r="B654" s="20">
        <v>2436</v>
      </c>
      <c r="C654" s="14">
        <f t="shared" si="42"/>
        <v>-8.2068121142922067E-4</v>
      </c>
      <c r="D654" s="68"/>
      <c r="E654" s="68"/>
      <c r="F654" s="68"/>
      <c r="G654" s="72"/>
    </row>
    <row r="655" spans="1:7" x14ac:dyDescent="0.25">
      <c r="A655" s="2">
        <v>44455</v>
      </c>
      <c r="B655" s="20">
        <v>2438</v>
      </c>
      <c r="C655" s="14">
        <f t="shared" si="42"/>
        <v>-2.4580102502691154E-3</v>
      </c>
      <c r="D655" s="68"/>
      <c r="E655" s="68"/>
      <c r="F655" s="68"/>
      <c r="G655" s="72"/>
    </row>
    <row r="656" spans="1:7" x14ac:dyDescent="0.25">
      <c r="A656" s="2">
        <v>44454</v>
      </c>
      <c r="B656" s="20">
        <v>2444</v>
      </c>
      <c r="C656" s="14">
        <f t="shared" si="42"/>
        <v>1.9835361056145896E-2</v>
      </c>
      <c r="D656" s="68"/>
      <c r="E656" s="68"/>
      <c r="F656" s="68"/>
      <c r="G656" s="72"/>
    </row>
    <row r="657" spans="1:7" x14ac:dyDescent="0.25">
      <c r="A657" s="2">
        <v>44453</v>
      </c>
      <c r="B657" s="20">
        <v>2396</v>
      </c>
      <c r="C657" s="14">
        <f t="shared" si="42"/>
        <v>-8.34376352119561E-4</v>
      </c>
      <c r="D657" s="68"/>
      <c r="E657" s="68"/>
      <c r="F657" s="68"/>
      <c r="G657" s="72"/>
    </row>
    <row r="658" spans="1:7" x14ac:dyDescent="0.25">
      <c r="A658" s="2">
        <v>44452</v>
      </c>
      <c r="B658" s="20">
        <v>2398</v>
      </c>
      <c r="C658" s="14">
        <f t="shared" si="42"/>
        <v>-8.3368074857745312E-4</v>
      </c>
      <c r="D658" s="68"/>
      <c r="E658" s="68"/>
      <c r="F658" s="68"/>
      <c r="G658" s="72"/>
    </row>
    <row r="659" spans="1:7" x14ac:dyDescent="0.25">
      <c r="A659" s="2">
        <v>44449</v>
      </c>
      <c r="B659" s="20">
        <v>2400</v>
      </c>
      <c r="C659" s="14">
        <f t="shared" si="42"/>
        <v>0</v>
      </c>
      <c r="D659" s="68"/>
      <c r="E659" s="68"/>
      <c r="F659" s="68"/>
      <c r="G659" s="72"/>
    </row>
    <row r="660" spans="1:7" x14ac:dyDescent="0.25">
      <c r="A660" s="2">
        <v>44448</v>
      </c>
      <c r="B660" s="20">
        <v>2400</v>
      </c>
      <c r="C660" s="14">
        <f t="shared" si="42"/>
        <v>-3.327790092674691E-3</v>
      </c>
      <c r="D660" s="68"/>
      <c r="E660" s="68"/>
      <c r="F660" s="68"/>
      <c r="G660" s="72"/>
    </row>
    <row r="661" spans="1:7" x14ac:dyDescent="0.25">
      <c r="A661" s="2">
        <v>44447</v>
      </c>
      <c r="B661" s="20">
        <v>2408</v>
      </c>
      <c r="C661" s="14">
        <f t="shared" si="42"/>
        <v>3.3277900926747457E-3</v>
      </c>
      <c r="D661" s="68"/>
      <c r="E661" s="68"/>
      <c r="F661" s="68"/>
      <c r="G661" s="72"/>
    </row>
    <row r="662" spans="1:7" x14ac:dyDescent="0.25">
      <c r="A662" s="2">
        <v>44446</v>
      </c>
      <c r="B662" s="20">
        <v>2400</v>
      </c>
      <c r="C662" s="14">
        <f t="shared" si="42"/>
        <v>-4.158010148663677E-3</v>
      </c>
      <c r="D662" s="68"/>
      <c r="E662" s="68"/>
      <c r="F662" s="68"/>
      <c r="G662" s="72"/>
    </row>
    <row r="663" spans="1:7" x14ac:dyDescent="0.25">
      <c r="A663" s="2">
        <v>44445</v>
      </c>
      <c r="B663" s="20">
        <v>2410</v>
      </c>
      <c r="C663" s="14">
        <f t="shared" si="42"/>
        <v>-4.1407926660313879E-3</v>
      </c>
      <c r="D663" s="68"/>
      <c r="E663" s="68"/>
      <c r="F663" s="68"/>
      <c r="G663" s="72"/>
    </row>
    <row r="664" spans="1:7" x14ac:dyDescent="0.25">
      <c r="A664" s="2">
        <v>44442</v>
      </c>
      <c r="B664" s="20">
        <v>2420</v>
      </c>
      <c r="C664" s="14">
        <f t="shared" si="42"/>
        <v>4.1407926660313871E-3</v>
      </c>
      <c r="D664" s="68"/>
      <c r="E664" s="68"/>
      <c r="F664" s="68"/>
      <c r="G664" s="72"/>
    </row>
    <row r="665" spans="1:7" x14ac:dyDescent="0.25">
      <c r="A665" s="2">
        <v>44441</v>
      </c>
      <c r="B665" s="20">
        <v>2410</v>
      </c>
      <c r="C665" s="14">
        <f t="shared" si="42"/>
        <v>-5.7923207045044332E-3</v>
      </c>
      <c r="D665" s="68"/>
      <c r="E665" s="68"/>
      <c r="F665" s="68"/>
      <c r="G665" s="72"/>
    </row>
    <row r="666" spans="1:7" x14ac:dyDescent="0.25">
      <c r="A666" s="2">
        <v>44440</v>
      </c>
      <c r="B666" s="20">
        <v>2424</v>
      </c>
      <c r="C666" s="14">
        <f t="shared" si="42"/>
        <v>0</v>
      </c>
      <c r="D666" s="68"/>
      <c r="E666" s="68"/>
      <c r="F666" s="68"/>
      <c r="G666" s="72"/>
    </row>
    <row r="667" spans="1:7" x14ac:dyDescent="0.25">
      <c r="A667" s="2">
        <v>44439</v>
      </c>
      <c r="B667" s="20">
        <v>2424</v>
      </c>
      <c r="C667" s="14">
        <f t="shared" si="42"/>
        <v>1.6515280384729392E-3</v>
      </c>
      <c r="D667" s="68"/>
      <c r="E667" s="68"/>
      <c r="F667" s="68"/>
      <c r="G667" s="72"/>
    </row>
    <row r="668" spans="1:7" x14ac:dyDescent="0.25">
      <c r="A668" s="2">
        <v>44438</v>
      </c>
      <c r="B668" s="20">
        <v>2420</v>
      </c>
      <c r="C668" s="14">
        <f t="shared" si="42"/>
        <v>9.1324835632724723E-3</v>
      </c>
      <c r="D668" s="68"/>
      <c r="E668" s="68"/>
      <c r="F668" s="68"/>
      <c r="G668" s="72"/>
    </row>
    <row r="669" spans="1:7" x14ac:dyDescent="0.25">
      <c r="A669" s="2">
        <v>44435</v>
      </c>
      <c r="B669" s="20">
        <v>2398</v>
      </c>
      <c r="C669" s="14">
        <f t="shared" si="42"/>
        <v>1.0901575469843402E-2</v>
      </c>
      <c r="D669" s="68"/>
      <c r="E669" s="68"/>
      <c r="F669" s="68"/>
      <c r="G669" s="72"/>
    </row>
    <row r="670" spans="1:7" x14ac:dyDescent="0.25">
      <c r="A670" s="2">
        <v>44434</v>
      </c>
      <c r="B670" s="20">
        <v>2372</v>
      </c>
      <c r="C670" s="14">
        <f t="shared" si="42"/>
        <v>-1.4232136417008162E-2</v>
      </c>
      <c r="D670" s="68"/>
      <c r="E670" s="68"/>
      <c r="F670" s="68"/>
      <c r="G670" s="72"/>
    </row>
    <row r="671" spans="1:7" x14ac:dyDescent="0.25">
      <c r="A671" s="2">
        <v>44433</v>
      </c>
      <c r="B671" s="20">
        <v>2406</v>
      </c>
      <c r="C671" s="14">
        <f t="shared" si="42"/>
        <v>2.4968801985871458E-3</v>
      </c>
      <c r="D671" s="68"/>
      <c r="E671" s="68"/>
      <c r="F671" s="68"/>
      <c r="G671" s="72"/>
    </row>
    <row r="672" spans="1:7" x14ac:dyDescent="0.25">
      <c r="A672" s="2">
        <v>44432</v>
      </c>
      <c r="B672" s="20">
        <v>2400</v>
      </c>
      <c r="C672" s="14">
        <f t="shared" si="42"/>
        <v>-2.4968801985871545E-3</v>
      </c>
      <c r="D672" s="68"/>
      <c r="E672" s="68"/>
      <c r="F672" s="68"/>
      <c r="G672" s="72"/>
    </row>
    <row r="673" spans="1:7" x14ac:dyDescent="0.25">
      <c r="A673" s="2">
        <v>44431</v>
      </c>
      <c r="B673" s="20">
        <v>2406</v>
      </c>
      <c r="C673" s="14">
        <f t="shared" si="42"/>
        <v>1.8456899777316474E-2</v>
      </c>
      <c r="D673" s="68"/>
      <c r="E673" s="68"/>
      <c r="F673" s="68"/>
      <c r="G673" s="72"/>
    </row>
    <row r="674" spans="1:7" x14ac:dyDescent="0.25">
      <c r="A674" s="2">
        <v>44427</v>
      </c>
      <c r="B674" s="20">
        <v>2362</v>
      </c>
      <c r="C674" s="14">
        <f t="shared" si="42"/>
        <v>-1.9287809671404029E-2</v>
      </c>
      <c r="D674" s="68"/>
      <c r="E674" s="68"/>
      <c r="F674" s="68"/>
      <c r="G674" s="72"/>
    </row>
    <row r="675" spans="1:7" x14ac:dyDescent="0.25">
      <c r="A675" s="2">
        <v>44426</v>
      </c>
      <c r="B675" s="20">
        <v>2408</v>
      </c>
      <c r="C675" s="14">
        <f t="shared" si="42"/>
        <v>-2.4885952287651311E-3</v>
      </c>
      <c r="D675" s="68"/>
      <c r="E675" s="68"/>
      <c r="F675" s="68"/>
      <c r="G675" s="72"/>
    </row>
    <row r="676" spans="1:7" x14ac:dyDescent="0.25">
      <c r="A676" s="2">
        <v>44425</v>
      </c>
      <c r="B676" s="20">
        <v>2414</v>
      </c>
      <c r="C676" s="14">
        <f t="shared" si="42"/>
        <v>9.9917567319203985E-3</v>
      </c>
      <c r="D676" s="68"/>
      <c r="E676" s="68"/>
      <c r="F676" s="68"/>
      <c r="G676" s="72"/>
    </row>
    <row r="677" spans="1:7" x14ac:dyDescent="0.25">
      <c r="A677" s="2">
        <v>44424</v>
      </c>
      <c r="B677" s="20">
        <v>2390</v>
      </c>
      <c r="C677" s="14">
        <f t="shared" si="42"/>
        <v>-1.6597891409037828E-2</v>
      </c>
      <c r="D677" s="68"/>
      <c r="E677" s="68"/>
      <c r="F677" s="68"/>
      <c r="G677" s="72"/>
    </row>
    <row r="678" spans="1:7" x14ac:dyDescent="0.25">
      <c r="A678" s="2">
        <v>44421</v>
      </c>
      <c r="B678" s="20">
        <v>2430</v>
      </c>
      <c r="C678" s="14">
        <f t="shared" si="42"/>
        <v>0</v>
      </c>
      <c r="D678" s="68"/>
      <c r="E678" s="68"/>
      <c r="F678" s="68"/>
      <c r="G678" s="72"/>
    </row>
    <row r="679" spans="1:7" x14ac:dyDescent="0.25">
      <c r="A679" s="2">
        <v>44420</v>
      </c>
      <c r="B679" s="20">
        <v>2430</v>
      </c>
      <c r="C679" s="14">
        <f t="shared" si="42"/>
        <v>-6.5627799125235484E-3</v>
      </c>
      <c r="D679" s="68"/>
      <c r="E679" s="68"/>
      <c r="F679" s="68"/>
      <c r="G679" s="72"/>
    </row>
    <row r="680" spans="1:7" x14ac:dyDescent="0.25">
      <c r="A680" s="2">
        <v>44419</v>
      </c>
      <c r="B680" s="20">
        <v>2446</v>
      </c>
      <c r="C680" s="14">
        <f t="shared" si="42"/>
        <v>1.8152313607188851E-2</v>
      </c>
      <c r="D680" s="68"/>
      <c r="E680" s="68"/>
      <c r="F680" s="68"/>
      <c r="G680" s="72"/>
    </row>
    <row r="681" spans="1:7" x14ac:dyDescent="0.25">
      <c r="A681" s="2">
        <v>44418</v>
      </c>
      <c r="B681" s="20">
        <v>2402</v>
      </c>
      <c r="C681" s="14">
        <f t="shared" si="42"/>
        <v>-3.9188688045594118E-2</v>
      </c>
      <c r="D681" s="68"/>
      <c r="E681" s="68"/>
      <c r="F681" s="68"/>
      <c r="G681" s="72"/>
    </row>
    <row r="682" spans="1:7" x14ac:dyDescent="0.25">
      <c r="A682" s="2">
        <v>44417</v>
      </c>
      <c r="B682" s="20">
        <v>2498</v>
      </c>
      <c r="C682" s="14">
        <f t="shared" si="42"/>
        <v>-1.1938064581225007E-2</v>
      </c>
      <c r="D682" s="68"/>
      <c r="E682" s="68"/>
      <c r="F682" s="68"/>
      <c r="G682" s="72"/>
    </row>
    <row r="683" spans="1:7" x14ac:dyDescent="0.25">
      <c r="A683" s="2">
        <v>44414</v>
      </c>
      <c r="B683" s="20">
        <v>2528</v>
      </c>
      <c r="C683" s="14">
        <f t="shared" si="42"/>
        <v>1.5145765807994841E-2</v>
      </c>
      <c r="D683" s="68"/>
      <c r="E683" s="68"/>
      <c r="F683" s="68"/>
      <c r="G683" s="72"/>
    </row>
    <row r="684" spans="1:7" x14ac:dyDescent="0.25">
      <c r="A684" s="2">
        <v>44413</v>
      </c>
      <c r="B684" s="20">
        <v>2490</v>
      </c>
      <c r="C684" s="14">
        <f t="shared" si="42"/>
        <v>0</v>
      </c>
      <c r="D684" s="68"/>
      <c r="E684" s="68"/>
      <c r="F684" s="68"/>
      <c r="G684" s="72"/>
    </row>
    <row r="685" spans="1:7" x14ac:dyDescent="0.25">
      <c r="A685" s="2">
        <v>44412</v>
      </c>
      <c r="B685" s="20">
        <v>2490</v>
      </c>
      <c r="C685" s="14">
        <f t="shared" si="42"/>
        <v>2.7689065345715646E-2</v>
      </c>
      <c r="D685" s="68"/>
      <c r="E685" s="68"/>
      <c r="F685" s="68"/>
      <c r="G685" s="72"/>
    </row>
    <row r="686" spans="1:7" x14ac:dyDescent="0.25">
      <c r="A686" s="2">
        <v>44411</v>
      </c>
      <c r="B686" s="20">
        <v>2422</v>
      </c>
      <c r="C686" s="14">
        <f t="shared" si="42"/>
        <v>7.4596284579393568E-3</v>
      </c>
      <c r="D686" s="68"/>
      <c r="E686" s="68"/>
      <c r="F686" s="68"/>
      <c r="G686" s="72"/>
    </row>
    <row r="687" spans="1:7" x14ac:dyDescent="0.25">
      <c r="A687" s="2">
        <v>44410</v>
      </c>
      <c r="B687" s="20">
        <v>2404</v>
      </c>
      <c r="C687" s="14">
        <f t="shared" si="42"/>
        <v>-2.4927308296024725E-3</v>
      </c>
      <c r="D687" s="68"/>
      <c r="E687" s="68"/>
      <c r="F687" s="68"/>
      <c r="G687" s="72"/>
    </row>
    <row r="688" spans="1:7" x14ac:dyDescent="0.25">
      <c r="A688" s="2">
        <v>44407</v>
      </c>
      <c r="B688" s="20">
        <v>2410</v>
      </c>
      <c r="C688" s="14">
        <f t="shared" si="42"/>
        <v>1.0846998299460354E-2</v>
      </c>
      <c r="D688" s="68"/>
      <c r="E688" s="68"/>
      <c r="F688" s="68"/>
      <c r="G688" s="72"/>
    </row>
    <row r="689" spans="1:7" x14ac:dyDescent="0.25">
      <c r="A689" s="2">
        <v>44406</v>
      </c>
      <c r="B689" s="20">
        <v>2384</v>
      </c>
      <c r="C689" s="14">
        <f t="shared" si="42"/>
        <v>-8.3857447262102741E-4</v>
      </c>
      <c r="D689" s="68"/>
      <c r="E689" s="68"/>
      <c r="F689" s="68"/>
      <c r="G689" s="72"/>
    </row>
    <row r="690" spans="1:7" x14ac:dyDescent="0.25">
      <c r="A690" s="2">
        <v>44405</v>
      </c>
      <c r="B690" s="20">
        <v>2386</v>
      </c>
      <c r="C690" s="14">
        <f t="shared" si="42"/>
        <v>2.0322460625847766E-2</v>
      </c>
      <c r="D690" s="68"/>
      <c r="E690" s="68"/>
      <c r="F690" s="68"/>
      <c r="G690" s="72"/>
    </row>
    <row r="691" spans="1:7" x14ac:dyDescent="0.25">
      <c r="A691" s="2">
        <v>44404</v>
      </c>
      <c r="B691" s="20">
        <v>2338</v>
      </c>
      <c r="C691" s="14">
        <f t="shared" si="42"/>
        <v>-4.2680389159732929E-3</v>
      </c>
      <c r="D691" s="68"/>
      <c r="E691" s="68"/>
      <c r="F691" s="68"/>
      <c r="G691" s="72"/>
    </row>
    <row r="692" spans="1:7" x14ac:dyDescent="0.25">
      <c r="A692" s="2">
        <v>44403</v>
      </c>
      <c r="B692" s="20">
        <v>2348</v>
      </c>
      <c r="C692" s="14">
        <f t="shared" si="42"/>
        <v>-9.3260531811897775E-3</v>
      </c>
      <c r="D692" s="68"/>
      <c r="E692" s="68"/>
      <c r="F692" s="68"/>
      <c r="G692" s="72"/>
    </row>
    <row r="693" spans="1:7" x14ac:dyDescent="0.25">
      <c r="A693" s="2">
        <v>44400</v>
      </c>
      <c r="B693" s="20">
        <v>2370</v>
      </c>
      <c r="C693" s="14">
        <f t="shared" si="42"/>
        <v>-7.5662403833158132E-3</v>
      </c>
      <c r="D693" s="68"/>
      <c r="E693" s="68"/>
      <c r="F693" s="68"/>
      <c r="G693" s="72"/>
    </row>
    <row r="694" spans="1:7" x14ac:dyDescent="0.25">
      <c r="A694" s="2">
        <v>44399</v>
      </c>
      <c r="B694" s="20">
        <v>2388</v>
      </c>
      <c r="C694" s="14">
        <f t="shared" si="42"/>
        <v>1.3490929741015288E-2</v>
      </c>
      <c r="D694" s="68"/>
      <c r="E694" s="68"/>
      <c r="F694" s="68"/>
      <c r="G694" s="72"/>
    </row>
    <row r="695" spans="1:7" x14ac:dyDescent="0.25">
      <c r="A695" s="2">
        <v>44398</v>
      </c>
      <c r="B695" s="20">
        <v>2356</v>
      </c>
      <c r="C695" s="14">
        <f t="shared" si="42"/>
        <v>2.0583917143487191E-2</v>
      </c>
      <c r="D695" s="68"/>
      <c r="E695" s="68"/>
      <c r="F695" s="68"/>
      <c r="G695" s="72"/>
    </row>
    <row r="696" spans="1:7" x14ac:dyDescent="0.25">
      <c r="A696" s="2">
        <v>44397</v>
      </c>
      <c r="B696" s="20">
        <v>2308</v>
      </c>
      <c r="C696" s="14">
        <f t="shared" si="42"/>
        <v>2.6030383461622081E-3</v>
      </c>
      <c r="D696" s="68"/>
      <c r="E696" s="68"/>
      <c r="F696" s="68"/>
      <c r="G696" s="72"/>
    </row>
    <row r="697" spans="1:7" x14ac:dyDescent="0.25">
      <c r="A697" s="2">
        <v>44396</v>
      </c>
      <c r="B697" s="20">
        <v>2302</v>
      </c>
      <c r="C697" s="14">
        <f t="shared" si="42"/>
        <v>-3.9187296836090499E-2</v>
      </c>
      <c r="D697" s="68"/>
      <c r="E697" s="68"/>
      <c r="F697" s="68"/>
      <c r="G697" s="72"/>
    </row>
    <row r="698" spans="1:7" x14ac:dyDescent="0.25">
      <c r="A698" s="2">
        <v>44393</v>
      </c>
      <c r="B698" s="20">
        <v>2394</v>
      </c>
      <c r="C698" s="14">
        <f t="shared" si="42"/>
        <v>1.6722411923621328E-3</v>
      </c>
      <c r="D698" s="68"/>
      <c r="E698" s="68"/>
      <c r="F698" s="68"/>
      <c r="G698" s="72"/>
    </row>
    <row r="699" spans="1:7" x14ac:dyDescent="0.25">
      <c r="A699" s="2">
        <v>44392</v>
      </c>
      <c r="B699" s="20">
        <v>2390</v>
      </c>
      <c r="C699" s="14">
        <f t="shared" si="42"/>
        <v>-5.0083577143725192E-3</v>
      </c>
      <c r="D699" s="68"/>
      <c r="E699" s="68"/>
      <c r="F699" s="68"/>
      <c r="G699" s="72"/>
    </row>
    <row r="700" spans="1:7" x14ac:dyDescent="0.25">
      <c r="A700" s="2">
        <v>44391</v>
      </c>
      <c r="B700" s="20">
        <v>2402</v>
      </c>
      <c r="C700" s="14">
        <f t="shared" si="42"/>
        <v>-5.8115564147766616E-3</v>
      </c>
      <c r="D700" s="68"/>
      <c r="E700" s="68"/>
      <c r="F700" s="68"/>
      <c r="G700" s="72"/>
    </row>
    <row r="701" spans="1:7" x14ac:dyDescent="0.25">
      <c r="A701" s="2">
        <v>44390</v>
      </c>
      <c r="B701" s="20">
        <v>2416</v>
      </c>
      <c r="C701" s="14">
        <f t="shared" si="42"/>
        <v>2.1758180528716777E-2</v>
      </c>
      <c r="D701" s="68"/>
      <c r="E701" s="68"/>
      <c r="F701" s="68"/>
      <c r="G701" s="72"/>
    </row>
    <row r="702" spans="1:7" x14ac:dyDescent="0.25">
      <c r="A702" s="2">
        <v>44389</v>
      </c>
      <c r="B702" s="20">
        <v>2364</v>
      </c>
      <c r="C702" s="14">
        <f t="shared" si="42"/>
        <v>-5.9046987247383326E-3</v>
      </c>
      <c r="D702" s="68"/>
      <c r="E702" s="68"/>
      <c r="F702" s="68"/>
      <c r="G702" s="72"/>
    </row>
    <row r="703" spans="1:7" x14ac:dyDescent="0.25">
      <c r="A703" s="2">
        <v>44386</v>
      </c>
      <c r="B703" s="20">
        <v>2378</v>
      </c>
      <c r="C703" s="14">
        <f t="shared" si="42"/>
        <v>4.2140812468308931E-3</v>
      </c>
      <c r="D703" s="68"/>
      <c r="E703" s="68"/>
      <c r="F703" s="68"/>
      <c r="G703" s="72"/>
    </row>
    <row r="704" spans="1:7" x14ac:dyDescent="0.25">
      <c r="A704" s="2">
        <v>44385</v>
      </c>
      <c r="B704" s="20">
        <v>2368</v>
      </c>
      <c r="C704" s="14">
        <f t="shared" si="42"/>
        <v>-1.4256006636032588E-2</v>
      </c>
      <c r="D704" s="68"/>
      <c r="E704" s="68"/>
      <c r="F704" s="68"/>
      <c r="G704" s="72"/>
    </row>
    <row r="705" spans="1:7" x14ac:dyDescent="0.25">
      <c r="A705" s="2">
        <v>44384</v>
      </c>
      <c r="B705" s="20">
        <v>2402</v>
      </c>
      <c r="C705" s="14">
        <f t="shared" si="42"/>
        <v>1.6666670524692463E-3</v>
      </c>
      <c r="D705" s="68"/>
      <c r="E705" s="68"/>
      <c r="F705" s="68"/>
      <c r="G705" s="72"/>
    </row>
    <row r="706" spans="1:7" x14ac:dyDescent="0.25">
      <c r="A706" s="2">
        <v>44383</v>
      </c>
      <c r="B706" s="20">
        <v>2398</v>
      </c>
      <c r="C706" s="14">
        <f t="shared" si="42"/>
        <v>8.3752583367324891E-3</v>
      </c>
      <c r="D706" s="68"/>
      <c r="E706" s="68"/>
      <c r="F706" s="68"/>
      <c r="G706" s="72"/>
    </row>
    <row r="707" spans="1:7" x14ac:dyDescent="0.25">
      <c r="A707" s="2">
        <v>44382</v>
      </c>
      <c r="B707" s="20">
        <v>2378</v>
      </c>
      <c r="C707" s="14">
        <f t="shared" si="42"/>
        <v>-8.4068941479323528E-4</v>
      </c>
      <c r="D707" s="68"/>
      <c r="E707" s="68"/>
      <c r="F707" s="68"/>
      <c r="G707" s="72"/>
    </row>
    <row r="708" spans="1:7" x14ac:dyDescent="0.25">
      <c r="A708" s="2">
        <v>44379</v>
      </c>
      <c r="B708" s="20">
        <v>2380</v>
      </c>
      <c r="C708" s="14">
        <f t="shared" si="42"/>
        <v>2.5241914959069226E-3</v>
      </c>
      <c r="D708" s="68"/>
      <c r="E708" s="68"/>
      <c r="F708" s="68"/>
      <c r="G708" s="72"/>
    </row>
    <row r="709" spans="1:7" x14ac:dyDescent="0.25">
      <c r="A709" s="2">
        <v>44378</v>
      </c>
      <c r="B709" s="20">
        <v>2374</v>
      </c>
      <c r="C709" s="14">
        <f t="shared" ref="C709:C759" si="43">+LN(B709/B710)</f>
        <v>6.7624940722971708E-3</v>
      </c>
      <c r="D709" s="68"/>
      <c r="E709" s="68"/>
      <c r="F709" s="68"/>
      <c r="G709" s="72"/>
    </row>
    <row r="710" spans="1:7" x14ac:dyDescent="0.25">
      <c r="A710" s="2">
        <v>44377</v>
      </c>
      <c r="B710" s="20">
        <v>2358</v>
      </c>
      <c r="C710" s="14">
        <f t="shared" si="43"/>
        <v>-7.6045993852193036E-3</v>
      </c>
      <c r="D710" s="68"/>
      <c r="E710" s="68"/>
      <c r="F710" s="68"/>
      <c r="G710" s="72"/>
    </row>
    <row r="711" spans="1:7" x14ac:dyDescent="0.25">
      <c r="A711" s="2">
        <v>44376</v>
      </c>
      <c r="B711" s="20">
        <v>2376</v>
      </c>
      <c r="C711" s="14">
        <f t="shared" si="43"/>
        <v>-1.0050335853501451E-2</v>
      </c>
      <c r="D711" s="68"/>
      <c r="E711" s="68"/>
      <c r="F711" s="68"/>
      <c r="G711" s="72"/>
    </row>
    <row r="712" spans="1:7" x14ac:dyDescent="0.25">
      <c r="A712" s="2">
        <v>44375</v>
      </c>
      <c r="B712" s="20">
        <v>2400</v>
      </c>
      <c r="C712" s="14">
        <f t="shared" si="43"/>
        <v>8.3368074857740867E-4</v>
      </c>
      <c r="D712" s="68"/>
      <c r="E712" s="68"/>
      <c r="F712" s="68"/>
      <c r="G712" s="72"/>
    </row>
    <row r="713" spans="1:7" x14ac:dyDescent="0.25">
      <c r="A713" s="2">
        <v>44372</v>
      </c>
      <c r="B713" s="20">
        <v>2398</v>
      </c>
      <c r="C713" s="14">
        <f t="shared" si="43"/>
        <v>-8.3368074857745312E-4</v>
      </c>
      <c r="D713" s="68"/>
      <c r="E713" s="68"/>
      <c r="F713" s="68"/>
      <c r="G713" s="72"/>
    </row>
    <row r="714" spans="1:7" x14ac:dyDescent="0.25">
      <c r="A714" s="2">
        <v>44371</v>
      </c>
      <c r="B714" s="20">
        <v>2400</v>
      </c>
      <c r="C714" s="14">
        <f t="shared" si="43"/>
        <v>-1.6652793190612089E-3</v>
      </c>
      <c r="D714" s="68"/>
      <c r="E714" s="68"/>
      <c r="F714" s="68"/>
      <c r="G714" s="72"/>
    </row>
    <row r="715" spans="1:7" x14ac:dyDescent="0.25">
      <c r="A715" s="2">
        <v>44370</v>
      </c>
      <c r="B715" s="20">
        <v>2404</v>
      </c>
      <c r="C715" s="14">
        <f t="shared" si="43"/>
        <v>1.087421840437109E-2</v>
      </c>
      <c r="D715" s="68"/>
      <c r="E715" s="68"/>
      <c r="F715" s="68"/>
      <c r="G715" s="72"/>
    </row>
    <row r="716" spans="1:7" x14ac:dyDescent="0.25">
      <c r="A716" s="2">
        <v>44369</v>
      </c>
      <c r="B716" s="20">
        <v>2378</v>
      </c>
      <c r="C716" s="14">
        <f t="shared" si="43"/>
        <v>1.6108868898979972E-2</v>
      </c>
      <c r="D716" s="68"/>
      <c r="E716" s="68"/>
      <c r="F716" s="68"/>
      <c r="G716" s="72"/>
    </row>
    <row r="717" spans="1:7" x14ac:dyDescent="0.25">
      <c r="A717" s="2">
        <v>44368</v>
      </c>
      <c r="B717" s="20">
        <v>2340</v>
      </c>
      <c r="C717" s="14">
        <f t="shared" si="43"/>
        <v>8.583743691391435E-3</v>
      </c>
      <c r="D717" s="68"/>
      <c r="E717" s="68"/>
      <c r="F717" s="68"/>
      <c r="G717" s="72"/>
    </row>
    <row r="718" spans="1:7" x14ac:dyDescent="0.25">
      <c r="A718" s="2">
        <v>44365</v>
      </c>
      <c r="B718" s="20">
        <v>2320</v>
      </c>
      <c r="C718" s="14">
        <f t="shared" si="43"/>
        <v>-3.1398421457562872E-2</v>
      </c>
      <c r="D718" s="68"/>
      <c r="E718" s="68"/>
      <c r="F718" s="68"/>
      <c r="G718" s="72"/>
    </row>
    <row r="719" spans="1:7" x14ac:dyDescent="0.25">
      <c r="A719" s="2">
        <v>44364</v>
      </c>
      <c r="B719" s="20">
        <v>2394</v>
      </c>
      <c r="C719" s="14">
        <f t="shared" si="43"/>
        <v>-8.3195155395583888E-3</v>
      </c>
      <c r="D719" s="68"/>
      <c r="E719" s="68"/>
      <c r="F719" s="68"/>
      <c r="G719" s="72"/>
    </row>
    <row r="720" spans="1:7" x14ac:dyDescent="0.25">
      <c r="A720" s="2">
        <v>44363</v>
      </c>
      <c r="B720" s="20">
        <v>2414</v>
      </c>
      <c r="C720" s="14">
        <f t="shared" si="43"/>
        <v>-1.235091863400917E-2</v>
      </c>
      <c r="D720" s="68"/>
      <c r="E720" s="68"/>
      <c r="F720" s="68"/>
      <c r="G720" s="72"/>
    </row>
    <row r="721" spans="1:7" x14ac:dyDescent="0.25">
      <c r="A721" s="2">
        <v>44362</v>
      </c>
      <c r="B721" s="20">
        <v>2444</v>
      </c>
      <c r="C721" s="14">
        <f t="shared" si="43"/>
        <v>7.3922307874905169E-3</v>
      </c>
      <c r="D721" s="68"/>
      <c r="E721" s="68"/>
      <c r="F721" s="68"/>
      <c r="G721" s="72"/>
    </row>
    <row r="722" spans="1:7" x14ac:dyDescent="0.25">
      <c r="A722" s="2">
        <v>44361</v>
      </c>
      <c r="B722" s="20">
        <v>2426</v>
      </c>
      <c r="C722" s="14">
        <f t="shared" si="43"/>
        <v>-4.9342205372213442E-3</v>
      </c>
      <c r="D722" s="68"/>
      <c r="E722" s="68"/>
      <c r="F722" s="68"/>
      <c r="G722" s="72"/>
    </row>
    <row r="723" spans="1:7" x14ac:dyDescent="0.25">
      <c r="A723" s="2">
        <v>44358</v>
      </c>
      <c r="B723" s="20">
        <v>2438</v>
      </c>
      <c r="C723" s="14">
        <f t="shared" si="43"/>
        <v>2.0721835528724128E-2</v>
      </c>
      <c r="D723" s="68"/>
      <c r="E723" s="68"/>
      <c r="F723" s="68"/>
      <c r="G723" s="72"/>
    </row>
    <row r="724" spans="1:7" x14ac:dyDescent="0.25">
      <c r="A724" s="2">
        <v>44357</v>
      </c>
      <c r="B724" s="20">
        <v>2388</v>
      </c>
      <c r="C724" s="14">
        <f t="shared" si="43"/>
        <v>-1.6736405580296484E-3</v>
      </c>
      <c r="D724" s="68"/>
      <c r="E724" s="68"/>
      <c r="F724" s="68"/>
      <c r="G724" s="72"/>
    </row>
    <row r="725" spans="1:7" x14ac:dyDescent="0.25">
      <c r="A725" s="2">
        <v>44356</v>
      </c>
      <c r="B725" s="20">
        <v>2392</v>
      </c>
      <c r="C725" s="14">
        <f t="shared" si="43"/>
        <v>1.6736405580296937E-3</v>
      </c>
      <c r="D725" s="68"/>
      <c r="E725" s="68"/>
      <c r="F725" s="68"/>
      <c r="G725" s="72"/>
    </row>
    <row r="726" spans="1:7" x14ac:dyDescent="0.25">
      <c r="A726" s="2">
        <v>44355</v>
      </c>
      <c r="B726" s="20">
        <v>2388</v>
      </c>
      <c r="C726" s="14">
        <f t="shared" si="43"/>
        <v>-8.3717041306365862E-4</v>
      </c>
      <c r="D726" s="68"/>
      <c r="E726" s="68"/>
      <c r="F726" s="68"/>
      <c r="G726" s="72"/>
    </row>
    <row r="727" spans="1:7" x14ac:dyDescent="0.25">
      <c r="A727" s="2">
        <v>44354</v>
      </c>
      <c r="B727" s="20">
        <v>2390</v>
      </c>
      <c r="C727" s="14">
        <f t="shared" si="43"/>
        <v>-1.2474174225175688E-2</v>
      </c>
      <c r="D727" s="68"/>
      <c r="E727" s="68"/>
      <c r="F727" s="68"/>
      <c r="G727" s="72"/>
    </row>
    <row r="728" spans="1:7" x14ac:dyDescent="0.25">
      <c r="A728" s="2">
        <v>44351</v>
      </c>
      <c r="B728" s="20">
        <v>2420</v>
      </c>
      <c r="C728" s="14">
        <f t="shared" si="43"/>
        <v>1.0801933032813679E-2</v>
      </c>
      <c r="D728" s="68"/>
      <c r="E728" s="68"/>
      <c r="F728" s="68"/>
      <c r="G728" s="72"/>
    </row>
    <row r="729" spans="1:7" x14ac:dyDescent="0.25">
      <c r="A729" s="2">
        <v>44350</v>
      </c>
      <c r="B729" s="20">
        <v>2394</v>
      </c>
      <c r="C729" s="14">
        <f t="shared" si="43"/>
        <v>5.8651194523980576E-3</v>
      </c>
      <c r="D729" s="68"/>
      <c r="E729" s="68"/>
      <c r="F729" s="68"/>
      <c r="G729" s="72"/>
    </row>
    <row r="730" spans="1:7" x14ac:dyDescent="0.25">
      <c r="A730" s="2">
        <v>44349</v>
      </c>
      <c r="B730" s="20">
        <v>2380</v>
      </c>
      <c r="C730" s="14">
        <f t="shared" si="43"/>
        <v>2.1232220105774118E-2</v>
      </c>
      <c r="D730" s="68"/>
      <c r="E730" s="68"/>
      <c r="F730" s="68"/>
      <c r="G730" s="72"/>
    </row>
    <row r="731" spans="1:7" x14ac:dyDescent="0.25">
      <c r="A731" s="2">
        <v>44348</v>
      </c>
      <c r="B731" s="20">
        <v>2330</v>
      </c>
      <c r="C731" s="14">
        <f t="shared" si="43"/>
        <v>8.6207430439069546E-3</v>
      </c>
      <c r="D731" s="68"/>
      <c r="E731" s="68"/>
      <c r="F731" s="68"/>
      <c r="G731" s="72"/>
    </row>
    <row r="732" spans="1:7" x14ac:dyDescent="0.25">
      <c r="A732" s="2">
        <v>44347</v>
      </c>
      <c r="B732" s="20">
        <v>2310</v>
      </c>
      <c r="C732" s="14">
        <f t="shared" si="43"/>
        <v>6.9505058265233316E-3</v>
      </c>
      <c r="D732" s="68"/>
      <c r="E732" s="68"/>
      <c r="F732" s="68"/>
      <c r="G732" s="72"/>
    </row>
    <row r="733" spans="1:7" x14ac:dyDescent="0.25">
      <c r="A733" s="2">
        <v>44344</v>
      </c>
      <c r="B733" s="20">
        <v>2294</v>
      </c>
      <c r="C733" s="14">
        <f t="shared" si="43"/>
        <v>1.316385836624254E-2</v>
      </c>
      <c r="D733" s="68"/>
      <c r="E733" s="68"/>
      <c r="F733" s="68"/>
      <c r="G733" s="72"/>
    </row>
    <row r="734" spans="1:7" x14ac:dyDescent="0.25">
      <c r="A734" s="2">
        <v>44343</v>
      </c>
      <c r="B734" s="20">
        <v>2264</v>
      </c>
      <c r="C734" s="14">
        <f t="shared" si="43"/>
        <v>-2.6466711523747601E-3</v>
      </c>
      <c r="D734" s="68"/>
      <c r="E734" s="68"/>
      <c r="F734" s="68"/>
      <c r="G734" s="72"/>
    </row>
    <row r="735" spans="1:7" x14ac:dyDescent="0.25">
      <c r="A735" s="2">
        <v>44342</v>
      </c>
      <c r="B735" s="20">
        <v>2270</v>
      </c>
      <c r="C735" s="14">
        <f t="shared" si="43"/>
        <v>7.0734158757266991E-3</v>
      </c>
      <c r="D735" s="68"/>
      <c r="E735" s="68"/>
      <c r="F735" s="68"/>
      <c r="G735" s="72"/>
    </row>
    <row r="736" spans="1:7" x14ac:dyDescent="0.25">
      <c r="A736" s="2">
        <v>44341</v>
      </c>
      <c r="B736" s="20">
        <v>2254</v>
      </c>
      <c r="C736" s="14">
        <f t="shared" si="43"/>
        <v>-8.8339797107597519E-3</v>
      </c>
      <c r="D736" s="68"/>
      <c r="E736" s="68"/>
      <c r="F736" s="68"/>
      <c r="G736" s="72"/>
    </row>
    <row r="737" spans="1:7" x14ac:dyDescent="0.25">
      <c r="A737" s="2">
        <v>44337</v>
      </c>
      <c r="B737" s="20">
        <v>2274</v>
      </c>
      <c r="C737" s="14">
        <f t="shared" si="43"/>
        <v>-5.263170044274644E-3</v>
      </c>
      <c r="D737" s="68"/>
      <c r="E737" s="68"/>
      <c r="F737" s="68"/>
      <c r="G737" s="72"/>
    </row>
    <row r="738" spans="1:7" x14ac:dyDescent="0.25">
      <c r="A738" s="2">
        <v>44336</v>
      </c>
      <c r="B738" s="20">
        <v>2286</v>
      </c>
      <c r="C738" s="14">
        <f t="shared" si="43"/>
        <v>1.5873349156290163E-2</v>
      </c>
      <c r="D738" s="68"/>
      <c r="E738" s="68"/>
      <c r="F738" s="68"/>
      <c r="G738" s="72"/>
    </row>
    <row r="739" spans="1:7" x14ac:dyDescent="0.25">
      <c r="A739" s="2">
        <v>44335</v>
      </c>
      <c r="B739" s="20">
        <v>2250</v>
      </c>
      <c r="C739" s="14">
        <f t="shared" si="43"/>
        <v>-1.2367648808661643E-2</v>
      </c>
      <c r="D739" s="68"/>
      <c r="E739" s="68"/>
      <c r="F739" s="68"/>
      <c r="G739" s="72"/>
    </row>
    <row r="740" spans="1:7" x14ac:dyDescent="0.25">
      <c r="A740" s="2">
        <v>44334</v>
      </c>
      <c r="B740" s="20">
        <v>2278</v>
      </c>
      <c r="C740" s="14">
        <f t="shared" si="43"/>
        <v>0</v>
      </c>
      <c r="D740" s="68"/>
      <c r="E740" s="68"/>
      <c r="F740" s="68"/>
      <c r="G740" s="72"/>
    </row>
    <row r="741" spans="1:7" x14ac:dyDescent="0.25">
      <c r="A741" s="2">
        <v>44333</v>
      </c>
      <c r="B741" s="20">
        <v>2278</v>
      </c>
      <c r="C741" s="14">
        <f t="shared" si="43"/>
        <v>-2.6304267687734108E-3</v>
      </c>
      <c r="D741" s="68"/>
      <c r="E741" s="68"/>
      <c r="F741" s="68"/>
      <c r="G741" s="72"/>
    </row>
    <row r="742" spans="1:7" x14ac:dyDescent="0.25">
      <c r="A742" s="2">
        <v>44330</v>
      </c>
      <c r="B742" s="20">
        <v>2284</v>
      </c>
      <c r="C742" s="14">
        <f t="shared" si="43"/>
        <v>1.0563478509569246E-2</v>
      </c>
      <c r="D742" s="68"/>
      <c r="E742" s="68"/>
      <c r="F742" s="68"/>
      <c r="G742" s="72"/>
    </row>
    <row r="743" spans="1:7" x14ac:dyDescent="0.25">
      <c r="A743" s="2">
        <v>44329</v>
      </c>
      <c r="B743" s="20">
        <v>2260</v>
      </c>
      <c r="C743" s="14">
        <f t="shared" si="43"/>
        <v>2.6907452919924402E-2</v>
      </c>
      <c r="D743" s="68"/>
      <c r="E743" s="68"/>
      <c r="F743" s="68"/>
      <c r="G743" s="72"/>
    </row>
    <row r="744" spans="1:7" x14ac:dyDescent="0.25">
      <c r="A744" s="2">
        <v>44328</v>
      </c>
      <c r="B744" s="20">
        <v>2200</v>
      </c>
      <c r="C744" s="14">
        <f t="shared" si="43"/>
        <v>-3.6297680505787237E-3</v>
      </c>
      <c r="D744" s="68"/>
      <c r="E744" s="68"/>
      <c r="F744" s="68"/>
      <c r="G744" s="72"/>
    </row>
    <row r="745" spans="1:7" x14ac:dyDescent="0.25">
      <c r="A745" s="2">
        <v>44327</v>
      </c>
      <c r="B745" s="20">
        <v>2208</v>
      </c>
      <c r="C745" s="14">
        <f t="shared" si="43"/>
        <v>-1.6172859245600957E-2</v>
      </c>
      <c r="D745" s="68"/>
      <c r="E745" s="68"/>
      <c r="F745" s="68"/>
      <c r="G745" s="72"/>
    </row>
    <row r="746" spans="1:7" x14ac:dyDescent="0.25">
      <c r="A746" s="2">
        <v>44326</v>
      </c>
      <c r="B746" s="20">
        <v>2244</v>
      </c>
      <c r="C746" s="14">
        <f t="shared" si="43"/>
        <v>2.0712131679020165E-2</v>
      </c>
      <c r="D746" s="68"/>
      <c r="E746" s="68"/>
      <c r="F746" s="68"/>
      <c r="G746" s="72"/>
    </row>
    <row r="747" spans="1:7" x14ac:dyDescent="0.25">
      <c r="A747" s="2">
        <v>44323</v>
      </c>
      <c r="B747" s="20">
        <v>2198</v>
      </c>
      <c r="C747" s="14">
        <f t="shared" si="43"/>
        <v>2.0221277247232858E-2</v>
      </c>
      <c r="D747" s="68"/>
      <c r="E747" s="68"/>
      <c r="F747" s="68"/>
      <c r="G747" s="72"/>
    </row>
    <row r="748" spans="1:7" x14ac:dyDescent="0.25">
      <c r="A748" s="2">
        <v>44322</v>
      </c>
      <c r="B748" s="20">
        <v>2154</v>
      </c>
      <c r="C748" s="14">
        <f t="shared" si="43"/>
        <v>-2.7816429618768026E-3</v>
      </c>
      <c r="D748" s="68"/>
      <c r="E748" s="68"/>
      <c r="F748" s="68"/>
      <c r="G748" s="72"/>
    </row>
    <row r="749" spans="1:7" x14ac:dyDescent="0.25">
      <c r="A749" s="2">
        <v>44321</v>
      </c>
      <c r="B749" s="20">
        <v>2160</v>
      </c>
      <c r="C749" s="14">
        <f t="shared" si="43"/>
        <v>9.3023926623134103E-3</v>
      </c>
      <c r="D749" s="68"/>
      <c r="E749" s="68"/>
      <c r="F749" s="68"/>
      <c r="G749" s="72"/>
    </row>
    <row r="750" spans="1:7" x14ac:dyDescent="0.25">
      <c r="A750" s="2">
        <v>44320</v>
      </c>
      <c r="B750" s="20">
        <v>2140</v>
      </c>
      <c r="C750" s="14">
        <f t="shared" si="43"/>
        <v>3.5191458336313326E-2</v>
      </c>
      <c r="D750" s="68"/>
      <c r="E750" s="68"/>
      <c r="F750" s="68"/>
      <c r="G750" s="72"/>
    </row>
    <row r="751" spans="1:7" x14ac:dyDescent="0.25">
      <c r="A751" s="2">
        <v>44319</v>
      </c>
      <c r="B751" s="20">
        <v>2066</v>
      </c>
      <c r="C751" s="14">
        <f t="shared" si="43"/>
        <v>-1.9342365798308656E-3</v>
      </c>
      <c r="D751" s="68"/>
      <c r="E751" s="68"/>
      <c r="F751" s="68"/>
      <c r="G751" s="72"/>
    </row>
    <row r="752" spans="1:7" x14ac:dyDescent="0.25">
      <c r="A752" s="2">
        <v>44316</v>
      </c>
      <c r="B752" s="20">
        <v>2070</v>
      </c>
      <c r="C752" s="14">
        <f t="shared" si="43"/>
        <v>-2.0086758566737344E-2</v>
      </c>
      <c r="D752" s="68"/>
      <c r="E752" s="68"/>
      <c r="F752" s="68"/>
      <c r="G752" s="72"/>
    </row>
    <row r="753" spans="1:7" x14ac:dyDescent="0.25">
      <c r="A753" s="2">
        <v>44315</v>
      </c>
      <c r="B753" s="20">
        <v>2112</v>
      </c>
      <c r="C753" s="14">
        <f t="shared" si="43"/>
        <v>3.7950709685515343E-3</v>
      </c>
      <c r="D753" s="68"/>
      <c r="E753" s="68"/>
      <c r="F753" s="68"/>
      <c r="G753" s="72"/>
    </row>
    <row r="754" spans="1:7" x14ac:dyDescent="0.25">
      <c r="A754" s="2">
        <v>44314</v>
      </c>
      <c r="B754" s="20">
        <v>2104</v>
      </c>
      <c r="C754" s="14">
        <f t="shared" si="43"/>
        <v>2.3077947282544673E-2</v>
      </c>
      <c r="D754" s="68"/>
      <c r="E754" s="68"/>
      <c r="F754" s="68"/>
      <c r="G754" s="72"/>
    </row>
    <row r="755" spans="1:7" x14ac:dyDescent="0.25">
      <c r="A755" s="2">
        <v>44313</v>
      </c>
      <c r="B755" s="20">
        <v>2056</v>
      </c>
      <c r="C755" s="14">
        <f t="shared" si="43"/>
        <v>-1.9436352085710144E-3</v>
      </c>
      <c r="D755" s="68"/>
      <c r="E755" s="68"/>
      <c r="F755" s="68"/>
      <c r="G755" s="72"/>
    </row>
    <row r="756" spans="1:7" x14ac:dyDescent="0.25">
      <c r="A756" s="2">
        <v>44312</v>
      </c>
      <c r="B756" s="20">
        <v>2060</v>
      </c>
      <c r="C756" s="14">
        <f t="shared" si="43"/>
        <v>1.7630231376270501E-2</v>
      </c>
      <c r="D756" s="68"/>
      <c r="E756" s="68"/>
      <c r="F756" s="68"/>
      <c r="G756" s="72"/>
    </row>
    <row r="757" spans="1:7" x14ac:dyDescent="0.25">
      <c r="A757" s="2">
        <v>44309</v>
      </c>
      <c r="B757" s="20">
        <v>2024</v>
      </c>
      <c r="C757" s="14">
        <f t="shared" si="43"/>
        <v>-1.0810916104215617E-2</v>
      </c>
      <c r="D757" s="68"/>
      <c r="E757" s="68"/>
      <c r="F757" s="68"/>
      <c r="G757" s="72"/>
    </row>
    <row r="758" spans="1:7" x14ac:dyDescent="0.25">
      <c r="A758" s="2">
        <v>44308</v>
      </c>
      <c r="B758" s="20">
        <v>2046</v>
      </c>
      <c r="C758" s="14">
        <f t="shared" si="43"/>
        <v>0</v>
      </c>
      <c r="D758" s="68"/>
      <c r="E758" s="68"/>
      <c r="F758" s="68"/>
      <c r="G758" s="72"/>
    </row>
    <row r="759" spans="1:7" x14ac:dyDescent="0.25">
      <c r="A759" s="2">
        <v>44307</v>
      </c>
      <c r="B759" s="20">
        <v>2046</v>
      </c>
      <c r="C759" s="14">
        <f t="shared" si="43"/>
        <v>9.7799518797670989E-4</v>
      </c>
      <c r="D759" s="68"/>
      <c r="E759" s="68"/>
      <c r="F759" s="68"/>
      <c r="G759" s="72"/>
    </row>
    <row r="760" spans="1:7" x14ac:dyDescent="0.25">
      <c r="A760" s="2">
        <v>44306</v>
      </c>
      <c r="B760" s="20">
        <v>2044</v>
      </c>
      <c r="C760" s="14"/>
      <c r="D760" s="68"/>
      <c r="E760" s="68"/>
      <c r="F760" s="68"/>
      <c r="G760" s="72"/>
    </row>
    <row r="761" spans="1:7" x14ac:dyDescent="0.25">
      <c r="A761" s="73"/>
      <c r="B761" s="31"/>
      <c r="D761" s="68"/>
      <c r="E761" s="68"/>
      <c r="F761" s="68"/>
      <c r="G761" s="72"/>
    </row>
    <row r="762" spans="1:7" x14ac:dyDescent="0.25">
      <c r="A762" s="73"/>
      <c r="B762" s="31"/>
      <c r="D762" s="68"/>
      <c r="E762" s="68"/>
      <c r="F762" s="68"/>
      <c r="G762" s="72"/>
    </row>
    <row r="763" spans="1:7" x14ac:dyDescent="0.25">
      <c r="A763" s="73"/>
      <c r="B763" s="31"/>
      <c r="D763" s="68"/>
      <c r="E763" s="68"/>
      <c r="F763" s="68"/>
      <c r="G763" s="72"/>
    </row>
    <row r="764" spans="1:7" x14ac:dyDescent="0.25">
      <c r="A764" s="73"/>
      <c r="B764" s="31"/>
      <c r="D764" s="68"/>
      <c r="E764" s="68"/>
      <c r="F764" s="68"/>
      <c r="G764" s="72"/>
    </row>
    <row r="765" spans="1:7" x14ac:dyDescent="0.25">
      <c r="A765" s="73"/>
      <c r="B765" s="31"/>
      <c r="D765" s="68"/>
      <c r="E765" s="68"/>
      <c r="F765" s="68"/>
      <c r="G765" s="72"/>
    </row>
    <row r="766" spans="1:7" x14ac:dyDescent="0.25">
      <c r="A766" s="73"/>
      <c r="B766" s="31"/>
      <c r="D766" s="68"/>
      <c r="E766" s="68"/>
      <c r="F766" s="68"/>
      <c r="G766" s="72"/>
    </row>
    <row r="767" spans="1:7" x14ac:dyDescent="0.25">
      <c r="A767" s="73"/>
      <c r="B767" s="31"/>
      <c r="D767" s="68"/>
      <c r="E767" s="68"/>
      <c r="F767" s="68"/>
      <c r="G767" s="72"/>
    </row>
    <row r="768" spans="1:7" x14ac:dyDescent="0.25">
      <c r="A768" s="73"/>
      <c r="B768" s="31"/>
      <c r="D768" s="68"/>
      <c r="E768" s="68"/>
      <c r="F768" s="68"/>
      <c r="G768" s="72"/>
    </row>
    <row r="769" spans="1:7" x14ac:dyDescent="0.25">
      <c r="A769" s="73"/>
      <c r="B769" s="31"/>
      <c r="D769" s="68"/>
      <c r="E769" s="68"/>
      <c r="F769" s="68"/>
      <c r="G769" s="72"/>
    </row>
    <row r="770" spans="1:7" x14ac:dyDescent="0.25">
      <c r="A770" s="73"/>
      <c r="B770" s="31"/>
      <c r="D770" s="68"/>
      <c r="E770" s="68"/>
      <c r="F770" s="68"/>
      <c r="G770" s="72"/>
    </row>
    <row r="771" spans="1:7" x14ac:dyDescent="0.25">
      <c r="A771" s="73"/>
      <c r="B771" s="31"/>
      <c r="D771" s="68"/>
      <c r="E771" s="68"/>
      <c r="F771" s="68"/>
      <c r="G771" s="72"/>
    </row>
    <row r="772" spans="1:7" x14ac:dyDescent="0.25">
      <c r="A772" s="73"/>
      <c r="B772" s="31"/>
      <c r="D772" s="68"/>
      <c r="E772" s="68"/>
      <c r="F772" s="68"/>
      <c r="G772" s="72"/>
    </row>
    <row r="773" spans="1:7" x14ac:dyDescent="0.25">
      <c r="A773" s="73"/>
      <c r="B773" s="31"/>
      <c r="D773" s="68"/>
      <c r="E773" s="68"/>
      <c r="F773" s="68"/>
      <c r="G773" s="72"/>
    </row>
    <row r="774" spans="1:7" x14ac:dyDescent="0.25">
      <c r="A774" s="76"/>
      <c r="B774" s="77"/>
      <c r="D774" s="68"/>
      <c r="E774" s="68"/>
      <c r="F774" s="68"/>
      <c r="G774" s="72"/>
    </row>
    <row r="775" spans="1:7" x14ac:dyDescent="0.25">
      <c r="A775" s="76"/>
      <c r="B775" s="77"/>
      <c r="D775" s="68"/>
      <c r="E775" s="68"/>
      <c r="F775" s="68"/>
      <c r="G775" s="72"/>
    </row>
    <row r="776" spans="1:7" x14ac:dyDescent="0.25">
      <c r="A776" s="76"/>
      <c r="B776" s="77"/>
      <c r="D776" s="68"/>
      <c r="E776" s="68"/>
      <c r="F776" s="68"/>
      <c r="G776" s="72"/>
    </row>
    <row r="777" spans="1:7" x14ac:dyDescent="0.25">
      <c r="A777" s="76"/>
      <c r="B777" s="77"/>
      <c r="D777" s="68"/>
      <c r="E777" s="68"/>
      <c r="F777" s="68"/>
      <c r="G777" s="72"/>
    </row>
    <row r="778" spans="1:7" x14ac:dyDescent="0.25">
      <c r="A778" s="76"/>
      <c r="B778" s="77"/>
      <c r="D778" s="68"/>
      <c r="E778" s="68"/>
      <c r="F778" s="68"/>
      <c r="G778" s="72"/>
    </row>
    <row r="779" spans="1:7" x14ac:dyDescent="0.25">
      <c r="A779" s="76"/>
      <c r="B779" s="77"/>
      <c r="D779" s="68"/>
      <c r="E779" s="68"/>
      <c r="F779" s="68"/>
      <c r="G779" s="72"/>
    </row>
    <row r="780" spans="1:7" x14ac:dyDescent="0.25">
      <c r="A780" s="76"/>
      <c r="B780" s="77"/>
      <c r="D780" s="68"/>
      <c r="E780" s="68"/>
      <c r="F780" s="68"/>
      <c r="G780" s="72"/>
    </row>
    <row r="781" spans="1:7" x14ac:dyDescent="0.25">
      <c r="A781" s="76"/>
      <c r="B781" s="77"/>
      <c r="D781" s="68"/>
      <c r="E781" s="68"/>
      <c r="F781" s="68"/>
      <c r="G781" s="72"/>
    </row>
    <row r="782" spans="1:7" x14ac:dyDescent="0.25">
      <c r="A782" s="76"/>
      <c r="B782" s="77"/>
      <c r="D782" s="68"/>
      <c r="E782" s="68"/>
      <c r="F782" s="68"/>
      <c r="G782" s="72"/>
    </row>
    <row r="783" spans="1:7" x14ac:dyDescent="0.25">
      <c r="A783" s="76"/>
      <c r="B783" s="77"/>
      <c r="D783" s="68"/>
      <c r="E783" s="68"/>
      <c r="F783" s="68"/>
      <c r="G783" s="72"/>
    </row>
    <row r="784" spans="1:7" x14ac:dyDescent="0.25">
      <c r="A784" s="76"/>
      <c r="B784" s="77"/>
      <c r="D784" s="68"/>
      <c r="E784" s="68"/>
      <c r="F784" s="68"/>
      <c r="G784" s="72"/>
    </row>
    <row r="785" spans="1:7" x14ac:dyDescent="0.25">
      <c r="A785" s="76"/>
      <c r="B785" s="77"/>
      <c r="D785" s="68"/>
      <c r="E785" s="68"/>
      <c r="F785" s="68"/>
      <c r="G785" s="72"/>
    </row>
    <row r="786" spans="1:7" x14ac:dyDescent="0.25">
      <c r="A786" s="76"/>
      <c r="B786" s="77"/>
      <c r="D786" s="68"/>
      <c r="E786" s="68"/>
      <c r="F786" s="68"/>
      <c r="G786" s="72"/>
    </row>
    <row r="787" spans="1:7" x14ac:dyDescent="0.25">
      <c r="A787" s="76"/>
      <c r="B787" s="77"/>
      <c r="D787" s="68"/>
      <c r="E787" s="68"/>
      <c r="F787" s="68"/>
      <c r="G787" s="72"/>
    </row>
    <row r="788" spans="1:7" x14ac:dyDescent="0.25">
      <c r="A788" s="76"/>
      <c r="B788" s="77"/>
      <c r="D788" s="68"/>
      <c r="E788" s="68"/>
      <c r="F788" s="68"/>
      <c r="G788" s="72"/>
    </row>
    <row r="789" spans="1:7" x14ac:dyDescent="0.25">
      <c r="A789" s="76"/>
      <c r="B789" s="77"/>
      <c r="D789" s="68"/>
      <c r="E789" s="68"/>
      <c r="F789" s="68"/>
      <c r="G789" s="72"/>
    </row>
    <row r="790" spans="1:7" x14ac:dyDescent="0.25">
      <c r="A790" s="76"/>
      <c r="B790" s="77"/>
      <c r="D790" s="68"/>
      <c r="E790" s="68"/>
      <c r="F790" s="68"/>
      <c r="G790" s="72"/>
    </row>
    <row r="791" spans="1:7" x14ac:dyDescent="0.25">
      <c r="A791" s="76"/>
      <c r="B791" s="77"/>
      <c r="D791" s="68"/>
      <c r="E791" s="68"/>
      <c r="F791" s="68"/>
      <c r="G791" s="72"/>
    </row>
    <row r="792" spans="1:7" x14ac:dyDescent="0.25">
      <c r="A792" s="76"/>
      <c r="B792" s="77"/>
      <c r="D792" s="68"/>
      <c r="E792" s="68"/>
      <c r="F792" s="68"/>
      <c r="G792" s="72"/>
    </row>
    <row r="793" spans="1:7" x14ac:dyDescent="0.25">
      <c r="A793" s="76"/>
      <c r="B793" s="77"/>
      <c r="D793" s="68"/>
      <c r="E793" s="68"/>
      <c r="F793" s="68"/>
      <c r="G793" s="72"/>
    </row>
    <row r="794" spans="1:7" x14ac:dyDescent="0.25">
      <c r="A794" s="76"/>
      <c r="B794" s="77"/>
      <c r="D794" s="68"/>
      <c r="E794" s="68"/>
      <c r="F794" s="68"/>
      <c r="G794" s="72"/>
    </row>
    <row r="795" spans="1:7" x14ac:dyDescent="0.25">
      <c r="A795" s="76"/>
      <c r="B795" s="77"/>
      <c r="D795" s="68"/>
      <c r="E795" s="68"/>
      <c r="F795" s="68"/>
      <c r="G795" s="72"/>
    </row>
    <row r="796" spans="1:7" x14ac:dyDescent="0.25">
      <c r="A796" s="76"/>
      <c r="B796" s="77"/>
      <c r="D796" s="68"/>
      <c r="E796" s="68"/>
      <c r="F796" s="68"/>
      <c r="G796" s="72"/>
    </row>
    <row r="797" spans="1:7" x14ac:dyDescent="0.25">
      <c r="A797" s="76"/>
      <c r="B797" s="77"/>
      <c r="D797" s="68"/>
      <c r="E797" s="68"/>
      <c r="F797" s="68"/>
      <c r="G797" s="72"/>
    </row>
    <row r="798" spans="1:7" x14ac:dyDescent="0.25">
      <c r="A798" s="76"/>
      <c r="B798" s="77"/>
      <c r="D798" s="68"/>
      <c r="E798" s="68"/>
      <c r="F798" s="68"/>
      <c r="G798" s="72"/>
    </row>
    <row r="799" spans="1:7" x14ac:dyDescent="0.25">
      <c r="A799" s="76"/>
      <c r="B799" s="77"/>
      <c r="D799" s="68"/>
      <c r="E799" s="68"/>
      <c r="F799" s="68"/>
      <c r="G799" s="72"/>
    </row>
    <row r="800" spans="1:7" x14ac:dyDescent="0.25">
      <c r="A800" s="76"/>
      <c r="B800" s="77"/>
      <c r="D800" s="68"/>
      <c r="E800" s="68"/>
      <c r="F800" s="68"/>
      <c r="G800" s="72"/>
    </row>
    <row r="801" spans="1:7" x14ac:dyDescent="0.25">
      <c r="A801" s="76"/>
      <c r="B801" s="77"/>
      <c r="D801" s="68"/>
      <c r="E801" s="68"/>
      <c r="F801" s="68"/>
      <c r="G801" s="72"/>
    </row>
    <row r="802" spans="1:7" x14ac:dyDescent="0.25">
      <c r="A802" s="76"/>
      <c r="B802" s="77"/>
      <c r="D802" s="68"/>
      <c r="E802" s="68"/>
      <c r="F802" s="68"/>
      <c r="G802" s="72"/>
    </row>
    <row r="803" spans="1:7" x14ac:dyDescent="0.25">
      <c r="A803" s="76"/>
      <c r="B803" s="77"/>
      <c r="D803" s="68"/>
      <c r="E803" s="68"/>
      <c r="F803" s="68"/>
      <c r="G803" s="72"/>
    </row>
    <row r="804" spans="1:7" x14ac:dyDescent="0.25">
      <c r="A804" s="76"/>
      <c r="B804" s="77"/>
      <c r="D804" s="68"/>
      <c r="E804" s="68"/>
      <c r="F804" s="68"/>
      <c r="G804" s="72"/>
    </row>
    <row r="805" spans="1:7" x14ac:dyDescent="0.25">
      <c r="A805" s="76"/>
      <c r="B805" s="77"/>
      <c r="D805" s="68"/>
      <c r="E805" s="68"/>
      <c r="F805" s="68"/>
      <c r="G805" s="72"/>
    </row>
    <row r="806" spans="1:7" x14ac:dyDescent="0.25">
      <c r="A806" s="76"/>
      <c r="B806" s="77"/>
      <c r="D806" s="68"/>
      <c r="E806" s="68"/>
      <c r="F806" s="68"/>
      <c r="G806" s="72"/>
    </row>
    <row r="807" spans="1:7" x14ac:dyDescent="0.25">
      <c r="A807" s="76"/>
      <c r="B807" s="77"/>
      <c r="D807" s="68"/>
      <c r="E807" s="68"/>
      <c r="F807" s="68"/>
      <c r="G807" s="72"/>
    </row>
    <row r="808" spans="1:7" x14ac:dyDescent="0.25">
      <c r="A808" s="76"/>
      <c r="B808" s="77"/>
      <c r="D808" s="68"/>
      <c r="E808" s="68"/>
      <c r="F808" s="68"/>
      <c r="G808" s="72"/>
    </row>
    <row r="809" spans="1:7" x14ac:dyDescent="0.25">
      <c r="A809" s="76"/>
      <c r="B809" s="77"/>
      <c r="D809" s="68"/>
      <c r="E809" s="68"/>
      <c r="F809" s="68"/>
      <c r="G809" s="72"/>
    </row>
    <row r="810" spans="1:7" x14ac:dyDescent="0.25">
      <c r="A810" s="76"/>
      <c r="B810" s="77"/>
      <c r="D810" s="68"/>
      <c r="E810" s="68"/>
      <c r="F810" s="68"/>
      <c r="G810" s="72"/>
    </row>
    <row r="811" spans="1:7" x14ac:dyDescent="0.25">
      <c r="A811" s="76"/>
      <c r="B811" s="77"/>
      <c r="D811" s="68"/>
      <c r="E811" s="68"/>
      <c r="F811" s="68"/>
      <c r="G811" s="72"/>
    </row>
    <row r="812" spans="1:7" x14ac:dyDescent="0.25">
      <c r="A812" s="76"/>
      <c r="B812" s="77"/>
      <c r="D812" s="68"/>
      <c r="E812" s="68"/>
      <c r="F812" s="68"/>
      <c r="G812" s="72"/>
    </row>
    <row r="813" spans="1:7" x14ac:dyDescent="0.25">
      <c r="A813" s="76"/>
      <c r="B813" s="77"/>
      <c r="D813" s="68"/>
      <c r="E813" s="68"/>
      <c r="F813" s="68"/>
      <c r="G813" s="72"/>
    </row>
    <row r="814" spans="1:7" x14ac:dyDescent="0.25">
      <c r="A814" s="76"/>
      <c r="B814" s="77"/>
      <c r="D814" s="68"/>
      <c r="E814" s="68"/>
      <c r="F814" s="68"/>
      <c r="G814" s="72"/>
    </row>
    <row r="815" spans="1:7" x14ac:dyDescent="0.25">
      <c r="A815" s="76"/>
      <c r="B815" s="77"/>
      <c r="D815" s="68"/>
      <c r="E815" s="68"/>
      <c r="F815" s="68"/>
      <c r="G815" s="72"/>
    </row>
    <row r="816" spans="1:7" x14ac:dyDescent="0.25">
      <c r="A816" s="76"/>
      <c r="B816" s="77"/>
      <c r="D816" s="68"/>
      <c r="E816" s="68"/>
      <c r="F816" s="68"/>
      <c r="G816" s="72"/>
    </row>
    <row r="817" spans="1:7" x14ac:dyDescent="0.25">
      <c r="A817" s="76"/>
      <c r="B817" s="77"/>
      <c r="D817" s="68"/>
      <c r="E817" s="68"/>
      <c r="F817" s="68"/>
      <c r="G817" s="72"/>
    </row>
    <row r="818" spans="1:7" x14ac:dyDescent="0.25">
      <c r="A818" s="76"/>
      <c r="B818" s="77"/>
      <c r="D818" s="68"/>
      <c r="E818" s="68"/>
      <c r="F818" s="68"/>
      <c r="G818" s="72"/>
    </row>
    <row r="819" spans="1:7" x14ac:dyDescent="0.25">
      <c r="A819" s="76"/>
      <c r="B819" s="77"/>
      <c r="D819" s="68"/>
      <c r="E819" s="68"/>
      <c r="F819" s="68"/>
      <c r="G819" s="72"/>
    </row>
    <row r="820" spans="1:7" x14ac:dyDescent="0.25">
      <c r="A820" s="76"/>
      <c r="B820" s="77"/>
      <c r="D820" s="68"/>
      <c r="E820" s="68"/>
      <c r="F820" s="68"/>
      <c r="G820" s="72"/>
    </row>
    <row r="821" spans="1:7" x14ac:dyDescent="0.25">
      <c r="A821" s="76"/>
      <c r="B821" s="77"/>
      <c r="D821" s="68"/>
      <c r="E821" s="68"/>
      <c r="F821" s="68"/>
      <c r="G821" s="72"/>
    </row>
    <row r="822" spans="1:7" x14ac:dyDescent="0.25">
      <c r="A822" s="76"/>
      <c r="B822" s="77"/>
      <c r="D822" s="68"/>
      <c r="E822" s="68"/>
      <c r="F822" s="68"/>
      <c r="G822" s="72"/>
    </row>
    <row r="823" spans="1:7" x14ac:dyDescent="0.25">
      <c r="A823" s="76"/>
      <c r="B823" s="77"/>
      <c r="D823" s="68"/>
      <c r="E823" s="68"/>
      <c r="F823" s="68"/>
      <c r="G823" s="72"/>
    </row>
    <row r="824" spans="1:7" x14ac:dyDescent="0.25">
      <c r="A824" s="76"/>
      <c r="B824" s="77"/>
      <c r="D824" s="68"/>
      <c r="E824" s="68"/>
      <c r="F824" s="68"/>
      <c r="G824" s="72"/>
    </row>
    <row r="825" spans="1:7" x14ac:dyDescent="0.25">
      <c r="A825" s="76"/>
      <c r="B825" s="77"/>
      <c r="D825" s="68"/>
      <c r="E825" s="68"/>
      <c r="F825" s="68"/>
      <c r="G825" s="72"/>
    </row>
    <row r="826" spans="1:7" x14ac:dyDescent="0.25">
      <c r="A826" s="76"/>
      <c r="B826" s="77"/>
      <c r="D826" s="68"/>
      <c r="E826" s="68"/>
      <c r="F826" s="68"/>
      <c r="G826" s="72"/>
    </row>
    <row r="827" spans="1:7" x14ac:dyDescent="0.25">
      <c r="A827" s="76"/>
      <c r="B827" s="77"/>
      <c r="D827" s="68"/>
      <c r="E827" s="68"/>
      <c r="F827" s="68"/>
      <c r="G827" s="72"/>
    </row>
    <row r="828" spans="1:7" x14ac:dyDescent="0.25">
      <c r="A828" s="76"/>
      <c r="B828" s="77"/>
      <c r="D828" s="68"/>
      <c r="E828" s="68"/>
      <c r="F828" s="68"/>
      <c r="G828" s="72"/>
    </row>
    <row r="829" spans="1:7" x14ac:dyDescent="0.25">
      <c r="A829" s="76"/>
      <c r="B829" s="77"/>
      <c r="D829" s="68"/>
      <c r="E829" s="68"/>
      <c r="F829" s="68"/>
      <c r="G829" s="72"/>
    </row>
    <row r="830" spans="1:7" x14ac:dyDescent="0.25">
      <c r="A830" s="76"/>
      <c r="B830" s="77"/>
      <c r="D830" s="68"/>
      <c r="E830" s="68"/>
      <c r="F830" s="68"/>
      <c r="G830" s="72"/>
    </row>
    <row r="831" spans="1:7" x14ac:dyDescent="0.25">
      <c r="A831" s="76"/>
      <c r="B831" s="77"/>
      <c r="D831" s="68"/>
      <c r="E831" s="68"/>
      <c r="F831" s="68"/>
      <c r="G831" s="72"/>
    </row>
    <row r="832" spans="1:7" x14ac:dyDescent="0.25">
      <c r="A832" s="76"/>
      <c r="B832" s="77"/>
      <c r="D832" s="68"/>
      <c r="E832" s="68"/>
      <c r="F832" s="68"/>
      <c r="G832" s="72"/>
    </row>
    <row r="833" spans="1:7" x14ac:dyDescent="0.25">
      <c r="A833" s="76"/>
      <c r="B833" s="77"/>
      <c r="D833" s="68"/>
      <c r="E833" s="68"/>
      <c r="F833" s="68"/>
      <c r="G833" s="72"/>
    </row>
    <row r="834" spans="1:7" x14ac:dyDescent="0.25">
      <c r="A834" s="76"/>
      <c r="B834" s="77"/>
      <c r="D834" s="68"/>
      <c r="E834" s="68"/>
      <c r="F834" s="68"/>
      <c r="G834" s="72"/>
    </row>
    <row r="835" spans="1:7" x14ac:dyDescent="0.25">
      <c r="A835" s="76"/>
      <c r="B835" s="77"/>
      <c r="D835" s="68"/>
      <c r="E835" s="68"/>
      <c r="F835" s="68"/>
      <c r="G835" s="72"/>
    </row>
    <row r="836" spans="1:7" x14ac:dyDescent="0.25">
      <c r="A836" s="76"/>
      <c r="B836" s="77"/>
      <c r="D836" s="68"/>
      <c r="E836" s="68"/>
      <c r="F836" s="68"/>
      <c r="G836" s="72"/>
    </row>
    <row r="837" spans="1:7" x14ac:dyDescent="0.25">
      <c r="A837" s="76"/>
      <c r="B837" s="77"/>
      <c r="D837" s="68"/>
      <c r="E837" s="68"/>
      <c r="F837" s="68"/>
      <c r="G837" s="72"/>
    </row>
    <row r="838" spans="1:7" x14ac:dyDescent="0.25">
      <c r="A838" s="76"/>
      <c r="B838" s="77"/>
      <c r="D838" s="68"/>
      <c r="E838" s="68"/>
      <c r="F838" s="68"/>
      <c r="G838" s="72"/>
    </row>
    <row r="839" spans="1:7" x14ac:dyDescent="0.25">
      <c r="A839" s="76"/>
      <c r="B839" s="77"/>
      <c r="D839" s="68"/>
      <c r="E839" s="68"/>
      <c r="F839" s="68"/>
      <c r="G839" s="72"/>
    </row>
    <row r="840" spans="1:7" x14ac:dyDescent="0.25">
      <c r="A840" s="76"/>
      <c r="B840" s="77"/>
      <c r="D840" s="68"/>
      <c r="E840" s="68"/>
      <c r="F840" s="68"/>
      <c r="G840" s="72"/>
    </row>
    <row r="841" spans="1:7" x14ac:dyDescent="0.25">
      <c r="A841" s="76"/>
      <c r="B841" s="77"/>
      <c r="D841" s="68"/>
      <c r="E841" s="68"/>
      <c r="F841" s="68"/>
      <c r="G841" s="72"/>
    </row>
    <row r="842" spans="1:7" x14ac:dyDescent="0.25">
      <c r="A842" s="76"/>
      <c r="B842" s="77"/>
      <c r="D842" s="68"/>
      <c r="E842" s="68"/>
      <c r="F842" s="68"/>
      <c r="G842" s="72"/>
    </row>
    <row r="843" spans="1:7" x14ac:dyDescent="0.25">
      <c r="A843" s="76"/>
      <c r="B843" s="77"/>
      <c r="D843" s="68"/>
      <c r="E843" s="68"/>
      <c r="F843" s="68"/>
      <c r="G843" s="72"/>
    </row>
    <row r="844" spans="1:7" x14ac:dyDescent="0.25">
      <c r="A844" s="76"/>
      <c r="B844" s="77"/>
      <c r="D844" s="68"/>
      <c r="E844" s="68"/>
      <c r="F844" s="68"/>
      <c r="G844" s="72"/>
    </row>
    <row r="845" spans="1:7" x14ac:dyDescent="0.25">
      <c r="A845" s="76"/>
      <c r="B845" s="77"/>
      <c r="D845" s="68"/>
      <c r="E845" s="68"/>
      <c r="F845" s="68"/>
      <c r="G845" s="72"/>
    </row>
    <row r="846" spans="1:7" x14ac:dyDescent="0.25">
      <c r="A846" s="76"/>
      <c r="B846" s="77"/>
      <c r="D846" s="68"/>
      <c r="E846" s="68"/>
      <c r="F846" s="68"/>
      <c r="G846" s="72"/>
    </row>
    <row r="847" spans="1:7" x14ac:dyDescent="0.25">
      <c r="A847" s="76"/>
      <c r="B847" s="77"/>
      <c r="D847" s="68"/>
      <c r="E847" s="68"/>
      <c r="F847" s="68"/>
      <c r="G847" s="72"/>
    </row>
    <row r="848" spans="1:7" x14ac:dyDescent="0.25">
      <c r="A848" s="76"/>
      <c r="B848" s="77"/>
      <c r="D848" s="68"/>
      <c r="E848" s="68"/>
      <c r="F848" s="68"/>
      <c r="G848" s="72"/>
    </row>
    <row r="849" spans="1:7" x14ac:dyDescent="0.25">
      <c r="A849" s="76"/>
      <c r="B849" s="77"/>
      <c r="D849" s="68"/>
      <c r="E849" s="68"/>
      <c r="F849" s="68"/>
      <c r="G849" s="72"/>
    </row>
    <row r="850" spans="1:7" x14ac:dyDescent="0.25">
      <c r="A850" s="76"/>
      <c r="B850" s="77"/>
      <c r="D850" s="68"/>
      <c r="E850" s="68"/>
      <c r="F850" s="68"/>
      <c r="G850" s="72"/>
    </row>
    <row r="851" spans="1:7" x14ac:dyDescent="0.25">
      <c r="A851" s="76"/>
      <c r="B851" s="77"/>
      <c r="D851" s="68"/>
      <c r="E851" s="68"/>
      <c r="F851" s="68"/>
      <c r="G851" s="72"/>
    </row>
    <row r="852" spans="1:7" x14ac:dyDescent="0.25">
      <c r="A852" s="76"/>
      <c r="B852" s="77"/>
      <c r="D852" s="68"/>
      <c r="E852" s="68"/>
      <c r="F852" s="68"/>
      <c r="G852" s="72"/>
    </row>
    <row r="853" spans="1:7" x14ac:dyDescent="0.25">
      <c r="A853" s="76"/>
      <c r="B853" s="77"/>
      <c r="D853" s="68"/>
      <c r="E853" s="68"/>
      <c r="F853" s="68"/>
      <c r="G853" s="72"/>
    </row>
    <row r="854" spans="1:7" x14ac:dyDescent="0.25">
      <c r="A854" s="76"/>
      <c r="B854" s="77"/>
      <c r="D854" s="68"/>
      <c r="E854" s="68"/>
      <c r="F854" s="68"/>
      <c r="G854" s="72"/>
    </row>
    <row r="855" spans="1:7" x14ac:dyDescent="0.25">
      <c r="A855" s="76"/>
      <c r="B855" s="77"/>
      <c r="D855" s="68"/>
      <c r="E855" s="68"/>
      <c r="F855" s="68"/>
      <c r="G855" s="72"/>
    </row>
    <row r="856" spans="1:7" x14ac:dyDescent="0.25">
      <c r="A856" s="76"/>
      <c r="B856" s="77"/>
      <c r="D856" s="68"/>
      <c r="E856" s="68"/>
      <c r="F856" s="68"/>
      <c r="G856" s="72"/>
    </row>
    <row r="857" spans="1:7" x14ac:dyDescent="0.25">
      <c r="A857" s="76"/>
      <c r="B857" s="77"/>
      <c r="D857" s="68"/>
      <c r="E857" s="68"/>
      <c r="F857" s="68"/>
      <c r="G857" s="72"/>
    </row>
    <row r="858" spans="1:7" x14ac:dyDescent="0.25">
      <c r="A858" s="76"/>
      <c r="B858" s="77"/>
      <c r="D858" s="68"/>
      <c r="E858" s="68"/>
      <c r="F858" s="68"/>
      <c r="G858" s="72"/>
    </row>
    <row r="859" spans="1:7" x14ac:dyDescent="0.25">
      <c r="A859" s="76"/>
      <c r="B859" s="77"/>
      <c r="D859" s="68"/>
      <c r="E859" s="68"/>
      <c r="F859" s="68"/>
      <c r="G859" s="72"/>
    </row>
    <row r="860" spans="1:7" x14ac:dyDescent="0.25">
      <c r="A860" s="76"/>
      <c r="B860" s="77"/>
      <c r="D860" s="68"/>
      <c r="E860" s="68"/>
      <c r="F860" s="68"/>
      <c r="G860" s="72"/>
    </row>
    <row r="861" spans="1:7" x14ac:dyDescent="0.25">
      <c r="A861" s="76"/>
      <c r="B861" s="77"/>
      <c r="D861" s="68"/>
      <c r="E861" s="68"/>
      <c r="F861" s="68"/>
      <c r="G861" s="72"/>
    </row>
    <row r="862" spans="1:7" x14ac:dyDescent="0.25">
      <c r="A862" s="76"/>
      <c r="B862" s="77"/>
      <c r="D862" s="68"/>
      <c r="E862" s="68"/>
      <c r="F862" s="68"/>
      <c r="G862" s="72"/>
    </row>
    <row r="863" spans="1:7" x14ac:dyDescent="0.25">
      <c r="A863" s="76"/>
      <c r="B863" s="77"/>
      <c r="D863" s="68"/>
      <c r="E863" s="68"/>
      <c r="F863" s="68"/>
      <c r="G863" s="72"/>
    </row>
    <row r="864" spans="1:7" x14ac:dyDescent="0.25">
      <c r="A864" s="76"/>
      <c r="B864" s="77"/>
      <c r="D864" s="68"/>
      <c r="E864" s="68"/>
      <c r="F864" s="68"/>
      <c r="G864" s="72"/>
    </row>
    <row r="865" spans="1:7" x14ac:dyDescent="0.25">
      <c r="A865" s="76"/>
      <c r="B865" s="77"/>
      <c r="D865" s="68"/>
      <c r="E865" s="68"/>
      <c r="F865" s="68"/>
      <c r="G865" s="72"/>
    </row>
    <row r="866" spans="1:7" x14ac:dyDescent="0.25">
      <c r="A866" s="76"/>
      <c r="B866" s="77"/>
      <c r="D866" s="68"/>
      <c r="E866" s="68"/>
      <c r="F866" s="68"/>
      <c r="G866" s="72"/>
    </row>
    <row r="867" spans="1:7" x14ac:dyDescent="0.25">
      <c r="A867" s="76"/>
      <c r="B867" s="77"/>
      <c r="D867" s="68"/>
      <c r="E867" s="68"/>
      <c r="F867" s="68"/>
      <c r="G867" s="72"/>
    </row>
    <row r="868" spans="1:7" x14ac:dyDescent="0.25">
      <c r="A868" s="76"/>
      <c r="B868" s="77"/>
      <c r="D868" s="68"/>
      <c r="E868" s="68"/>
      <c r="F868" s="68"/>
      <c r="G868" s="72"/>
    </row>
    <row r="869" spans="1:7" x14ac:dyDescent="0.25">
      <c r="A869" s="76"/>
      <c r="B869" s="77"/>
      <c r="D869" s="68"/>
      <c r="E869" s="68"/>
      <c r="F869" s="68"/>
      <c r="G869" s="72"/>
    </row>
    <row r="870" spans="1:7" x14ac:dyDescent="0.25">
      <c r="A870" s="76"/>
      <c r="B870" s="77"/>
      <c r="D870" s="68"/>
      <c r="E870" s="68"/>
      <c r="F870" s="68"/>
      <c r="G870" s="72"/>
    </row>
    <row r="871" spans="1:7" x14ac:dyDescent="0.25">
      <c r="A871" s="76"/>
      <c r="B871" s="77"/>
      <c r="D871" s="68"/>
      <c r="E871" s="68"/>
      <c r="F871" s="68"/>
      <c r="G871" s="72"/>
    </row>
    <row r="872" spans="1:7" x14ac:dyDescent="0.25">
      <c r="A872" s="76"/>
      <c r="B872" s="77"/>
      <c r="D872" s="68"/>
      <c r="E872" s="68"/>
      <c r="F872" s="68"/>
      <c r="G872" s="72"/>
    </row>
    <row r="873" spans="1:7" x14ac:dyDescent="0.25">
      <c r="A873" s="76"/>
      <c r="B873" s="77"/>
      <c r="D873" s="68"/>
      <c r="E873" s="68"/>
      <c r="F873" s="68"/>
      <c r="G873" s="72"/>
    </row>
    <row r="874" spans="1:7" x14ac:dyDescent="0.25">
      <c r="A874" s="76"/>
      <c r="B874" s="77"/>
      <c r="D874" s="68"/>
      <c r="E874" s="68"/>
      <c r="F874" s="68"/>
      <c r="G874" s="72"/>
    </row>
    <row r="875" spans="1:7" x14ac:dyDescent="0.25">
      <c r="A875" s="76"/>
      <c r="B875" s="77"/>
      <c r="D875" s="68"/>
      <c r="E875" s="68"/>
      <c r="F875" s="68"/>
      <c r="G875" s="72"/>
    </row>
    <row r="876" spans="1:7" x14ac:dyDescent="0.25">
      <c r="A876" s="76"/>
      <c r="B876" s="77"/>
      <c r="D876" s="68"/>
      <c r="E876" s="68"/>
      <c r="F876" s="68"/>
      <c r="G876" s="72"/>
    </row>
    <row r="877" spans="1:7" x14ac:dyDescent="0.25">
      <c r="A877" s="76"/>
      <c r="B877" s="77"/>
      <c r="D877" s="68"/>
      <c r="E877" s="68"/>
      <c r="F877" s="68"/>
      <c r="G877" s="72"/>
    </row>
    <row r="878" spans="1:7" x14ac:dyDescent="0.25">
      <c r="A878" s="76"/>
      <c r="B878" s="77"/>
      <c r="D878" s="68"/>
      <c r="E878" s="68"/>
      <c r="F878" s="68"/>
      <c r="G878" s="72"/>
    </row>
    <row r="879" spans="1:7" x14ac:dyDescent="0.25">
      <c r="A879" s="76"/>
      <c r="B879" s="77"/>
      <c r="D879" s="68"/>
      <c r="E879" s="68"/>
      <c r="F879" s="68"/>
      <c r="G879" s="72"/>
    </row>
    <row r="880" spans="1:7" x14ac:dyDescent="0.25">
      <c r="A880" s="76"/>
      <c r="B880" s="77"/>
      <c r="D880" s="68"/>
      <c r="E880" s="68"/>
      <c r="F880" s="68"/>
      <c r="G880" s="72"/>
    </row>
    <row r="881" spans="1:7" x14ac:dyDescent="0.25">
      <c r="A881" s="76"/>
      <c r="B881" s="77"/>
      <c r="D881" s="68"/>
      <c r="E881" s="68"/>
      <c r="F881" s="68"/>
      <c r="G881" s="72"/>
    </row>
    <row r="882" spans="1:7" x14ac:dyDescent="0.25">
      <c r="A882" s="76"/>
      <c r="B882" s="77"/>
      <c r="D882" s="68"/>
      <c r="E882" s="68"/>
      <c r="F882" s="68"/>
      <c r="G882" s="72"/>
    </row>
    <row r="883" spans="1:7" x14ac:dyDescent="0.25">
      <c r="A883" s="76"/>
      <c r="B883" s="77"/>
      <c r="D883" s="68"/>
      <c r="E883" s="68"/>
      <c r="F883" s="68"/>
      <c r="G883" s="72"/>
    </row>
    <row r="884" spans="1:7" x14ac:dyDescent="0.25">
      <c r="A884" s="76"/>
      <c r="B884" s="77"/>
      <c r="D884" s="68"/>
      <c r="E884" s="68"/>
      <c r="F884" s="68"/>
      <c r="G884" s="72"/>
    </row>
    <row r="885" spans="1:7" x14ac:dyDescent="0.25">
      <c r="A885" s="76"/>
      <c r="B885" s="77"/>
      <c r="D885" s="68"/>
      <c r="E885" s="68"/>
      <c r="F885" s="68"/>
      <c r="G885" s="72"/>
    </row>
    <row r="886" spans="1:7" x14ac:dyDescent="0.25">
      <c r="A886" s="76"/>
      <c r="B886" s="77"/>
      <c r="D886" s="68"/>
      <c r="E886" s="68"/>
      <c r="F886" s="68"/>
      <c r="G886" s="72"/>
    </row>
    <row r="887" spans="1:7" x14ac:dyDescent="0.25">
      <c r="A887" s="76"/>
      <c r="B887" s="77"/>
      <c r="D887" s="68"/>
      <c r="E887" s="68"/>
      <c r="F887" s="68"/>
      <c r="G887" s="72"/>
    </row>
    <row r="888" spans="1:7" x14ac:dyDescent="0.25">
      <c r="A888" s="76"/>
      <c r="B888" s="77"/>
      <c r="D888" s="68"/>
      <c r="E888" s="68"/>
      <c r="F888" s="68"/>
      <c r="G888" s="72"/>
    </row>
    <row r="889" spans="1:7" x14ac:dyDescent="0.25">
      <c r="A889" s="76"/>
      <c r="B889" s="77"/>
      <c r="D889" s="68"/>
      <c r="E889" s="68"/>
      <c r="F889" s="68"/>
      <c r="G889" s="72"/>
    </row>
    <row r="890" spans="1:7" x14ac:dyDescent="0.25">
      <c r="A890" s="76"/>
      <c r="B890" s="77"/>
      <c r="D890" s="68"/>
      <c r="E890" s="68"/>
      <c r="F890" s="68"/>
      <c r="G890" s="72"/>
    </row>
    <row r="891" spans="1:7" x14ac:dyDescent="0.25">
      <c r="A891" s="76"/>
      <c r="B891" s="77"/>
      <c r="D891" s="68"/>
      <c r="E891" s="68"/>
      <c r="F891" s="68"/>
      <c r="G891" s="72"/>
    </row>
    <row r="892" spans="1:7" x14ac:dyDescent="0.25">
      <c r="A892" s="76"/>
      <c r="B892" s="77"/>
      <c r="D892" s="68"/>
      <c r="E892" s="68"/>
      <c r="F892" s="68"/>
      <c r="G892" s="72"/>
    </row>
    <row r="893" spans="1:7" x14ac:dyDescent="0.25">
      <c r="A893" s="76"/>
      <c r="B893" s="77"/>
      <c r="D893" s="68"/>
      <c r="E893" s="68"/>
      <c r="F893" s="68"/>
      <c r="G893" s="72"/>
    </row>
    <row r="894" spans="1:7" x14ac:dyDescent="0.25">
      <c r="A894" s="76"/>
      <c r="B894" s="77"/>
      <c r="D894" s="68"/>
      <c r="E894" s="68"/>
      <c r="F894" s="68"/>
      <c r="G894" s="72"/>
    </row>
    <row r="895" spans="1:7" x14ac:dyDescent="0.25">
      <c r="A895" s="76"/>
      <c r="B895" s="77"/>
      <c r="D895" s="68"/>
      <c r="E895" s="68"/>
      <c r="F895" s="68"/>
      <c r="G895" s="72"/>
    </row>
    <row r="896" spans="1:7" x14ac:dyDescent="0.25">
      <c r="A896" s="76"/>
      <c r="B896" s="77"/>
      <c r="D896" s="68"/>
      <c r="E896" s="68"/>
      <c r="F896" s="68"/>
      <c r="G896" s="72"/>
    </row>
    <row r="897" spans="1:7" x14ac:dyDescent="0.25">
      <c r="A897" s="76"/>
      <c r="B897" s="77"/>
      <c r="D897" s="68"/>
      <c r="E897" s="68"/>
      <c r="F897" s="68"/>
      <c r="G897" s="72"/>
    </row>
    <row r="898" spans="1:7" x14ac:dyDescent="0.25">
      <c r="A898" s="76"/>
      <c r="B898" s="77"/>
      <c r="D898" s="68"/>
      <c r="E898" s="68"/>
      <c r="F898" s="68"/>
      <c r="G898" s="72"/>
    </row>
    <row r="899" spans="1:7" x14ac:dyDescent="0.25">
      <c r="A899" s="76"/>
      <c r="B899" s="77"/>
      <c r="D899" s="68"/>
      <c r="E899" s="68"/>
      <c r="F899" s="68"/>
      <c r="G899" s="72"/>
    </row>
    <row r="900" spans="1:7" x14ac:dyDescent="0.25">
      <c r="A900" s="76"/>
      <c r="B900" s="77"/>
      <c r="D900" s="68"/>
      <c r="E900" s="68"/>
      <c r="F900" s="68"/>
      <c r="G900" s="72"/>
    </row>
    <row r="901" spans="1:7" x14ac:dyDescent="0.25">
      <c r="A901" s="76"/>
      <c r="B901" s="77"/>
      <c r="D901" s="68"/>
      <c r="E901" s="68"/>
      <c r="F901" s="68"/>
      <c r="G901" s="72"/>
    </row>
    <row r="902" spans="1:7" x14ac:dyDescent="0.25">
      <c r="A902" s="76"/>
      <c r="B902" s="77"/>
      <c r="D902" s="68"/>
      <c r="E902" s="68"/>
      <c r="F902" s="68"/>
      <c r="G902" s="72"/>
    </row>
    <row r="903" spans="1:7" x14ac:dyDescent="0.25">
      <c r="A903" s="76"/>
      <c r="B903" s="77"/>
      <c r="D903" s="68"/>
      <c r="E903" s="68"/>
      <c r="F903" s="68"/>
      <c r="G903" s="72"/>
    </row>
    <row r="904" spans="1:7" x14ac:dyDescent="0.25">
      <c r="A904" s="76"/>
      <c r="B904" s="77"/>
      <c r="D904" s="68"/>
      <c r="E904" s="68"/>
      <c r="F904" s="68"/>
      <c r="G904" s="72"/>
    </row>
    <row r="905" spans="1:7" x14ac:dyDescent="0.25">
      <c r="A905" s="76"/>
      <c r="B905" s="77"/>
      <c r="D905" s="68"/>
      <c r="E905" s="68"/>
      <c r="F905" s="68"/>
      <c r="G905" s="72"/>
    </row>
    <row r="906" spans="1:7" x14ac:dyDescent="0.25">
      <c r="A906" s="76"/>
      <c r="B906" s="77"/>
      <c r="D906" s="68"/>
      <c r="E906" s="68"/>
      <c r="F906" s="68"/>
      <c r="G906" s="72"/>
    </row>
    <row r="907" spans="1:7" x14ac:dyDescent="0.25">
      <c r="A907" s="76"/>
      <c r="B907" s="77"/>
      <c r="D907" s="68"/>
      <c r="E907" s="68"/>
      <c r="F907" s="68"/>
      <c r="G907" s="72"/>
    </row>
    <row r="908" spans="1:7" x14ac:dyDescent="0.25">
      <c r="A908" s="76"/>
      <c r="B908" s="77"/>
      <c r="D908" s="68"/>
      <c r="E908" s="68"/>
      <c r="F908" s="68"/>
      <c r="G908" s="72"/>
    </row>
    <row r="909" spans="1:7" x14ac:dyDescent="0.25">
      <c r="A909" s="76"/>
      <c r="B909" s="77"/>
      <c r="D909" s="68"/>
      <c r="E909" s="68"/>
      <c r="F909" s="68"/>
      <c r="G909" s="72"/>
    </row>
    <row r="910" spans="1:7" x14ac:dyDescent="0.25">
      <c r="A910" s="76"/>
      <c r="B910" s="77"/>
      <c r="D910" s="68"/>
      <c r="E910" s="68"/>
      <c r="F910" s="68"/>
      <c r="G910" s="72"/>
    </row>
    <row r="911" spans="1:7" x14ac:dyDescent="0.25">
      <c r="A911" s="76"/>
      <c r="B911" s="77"/>
      <c r="D911" s="68"/>
      <c r="E911" s="68"/>
      <c r="F911" s="68"/>
      <c r="G911" s="72"/>
    </row>
    <row r="912" spans="1:7" x14ac:dyDescent="0.25">
      <c r="A912" s="76"/>
      <c r="B912" s="77"/>
      <c r="D912" s="68"/>
      <c r="E912" s="68"/>
      <c r="F912" s="68"/>
      <c r="G912" s="72"/>
    </row>
    <row r="913" spans="1:7" x14ac:dyDescent="0.25">
      <c r="A913" s="76"/>
      <c r="B913" s="77"/>
      <c r="D913" s="68"/>
      <c r="E913" s="68"/>
      <c r="F913" s="68"/>
      <c r="G913" s="72"/>
    </row>
    <row r="914" spans="1:7" x14ac:dyDescent="0.25">
      <c r="A914" s="76"/>
      <c r="B914" s="77"/>
      <c r="D914" s="68"/>
      <c r="E914" s="68"/>
      <c r="F914" s="68"/>
      <c r="G914" s="72"/>
    </row>
    <row r="915" spans="1:7" x14ac:dyDescent="0.25">
      <c r="A915" s="76"/>
      <c r="B915" s="77"/>
      <c r="D915" s="68"/>
      <c r="E915" s="68"/>
      <c r="F915" s="68"/>
      <c r="G915" s="72"/>
    </row>
    <row r="916" spans="1:7" x14ac:dyDescent="0.25">
      <c r="A916" s="76"/>
      <c r="B916" s="77"/>
      <c r="D916" s="68"/>
      <c r="E916" s="68"/>
      <c r="F916" s="68"/>
      <c r="G916" s="72"/>
    </row>
    <row r="917" spans="1:7" x14ac:dyDescent="0.25">
      <c r="A917" s="76"/>
      <c r="B917" s="77"/>
      <c r="D917" s="68"/>
      <c r="E917" s="68"/>
      <c r="F917" s="68"/>
      <c r="G917" s="72"/>
    </row>
    <row r="918" spans="1:7" x14ac:dyDescent="0.25">
      <c r="A918" s="76"/>
      <c r="B918" s="77"/>
      <c r="D918" s="68"/>
      <c r="E918" s="68"/>
      <c r="F918" s="68"/>
      <c r="G918" s="72"/>
    </row>
    <row r="919" spans="1:7" x14ac:dyDescent="0.25">
      <c r="A919" s="76"/>
      <c r="B919" s="77"/>
      <c r="D919" s="68"/>
      <c r="E919" s="68"/>
      <c r="F919" s="68"/>
      <c r="G919" s="72"/>
    </row>
    <row r="920" spans="1:7" x14ac:dyDescent="0.25">
      <c r="A920" s="76"/>
      <c r="B920" s="77"/>
      <c r="D920" s="68"/>
      <c r="E920" s="68"/>
      <c r="F920" s="68"/>
      <c r="G920" s="72"/>
    </row>
    <row r="921" spans="1:7" x14ac:dyDescent="0.25">
      <c r="A921" s="76"/>
      <c r="B921" s="77"/>
      <c r="D921" s="68"/>
      <c r="E921" s="68"/>
      <c r="F921" s="68"/>
      <c r="G921" s="72"/>
    </row>
    <row r="922" spans="1:7" x14ac:dyDescent="0.25">
      <c r="A922" s="76"/>
      <c r="B922" s="77"/>
      <c r="D922" s="68"/>
      <c r="E922" s="68"/>
      <c r="F922" s="68"/>
      <c r="G922" s="72"/>
    </row>
    <row r="923" spans="1:7" x14ac:dyDescent="0.25">
      <c r="A923" s="76"/>
      <c r="B923" s="77"/>
      <c r="D923" s="68"/>
      <c r="E923" s="68"/>
      <c r="F923" s="68"/>
      <c r="G923" s="72"/>
    </row>
    <row r="924" spans="1:7" x14ac:dyDescent="0.25">
      <c r="A924" s="76"/>
      <c r="B924" s="77"/>
      <c r="D924" s="68"/>
      <c r="E924" s="68"/>
      <c r="F924" s="68"/>
      <c r="G924" s="72"/>
    </row>
    <row r="925" spans="1:7" x14ac:dyDescent="0.25">
      <c r="A925" s="76"/>
      <c r="B925" s="77"/>
      <c r="D925" s="68"/>
      <c r="E925" s="68"/>
      <c r="F925" s="68"/>
      <c r="G925" s="72"/>
    </row>
    <row r="926" spans="1:7" x14ac:dyDescent="0.25">
      <c r="A926" s="76"/>
      <c r="B926" s="77"/>
      <c r="D926" s="68"/>
      <c r="E926" s="68"/>
      <c r="F926" s="68"/>
      <c r="G926" s="72"/>
    </row>
    <row r="927" spans="1:7" x14ac:dyDescent="0.25">
      <c r="A927" s="76"/>
      <c r="B927" s="77"/>
      <c r="D927" s="68"/>
      <c r="E927" s="68"/>
      <c r="F927" s="68"/>
      <c r="G927" s="72"/>
    </row>
    <row r="928" spans="1:7" x14ac:dyDescent="0.25">
      <c r="A928" s="76"/>
      <c r="B928" s="77"/>
      <c r="D928" s="68"/>
      <c r="E928" s="68"/>
      <c r="F928" s="68"/>
      <c r="G928" s="72"/>
    </row>
    <row r="929" spans="1:7" x14ac:dyDescent="0.25">
      <c r="A929" s="76"/>
      <c r="B929" s="77"/>
      <c r="D929" s="68"/>
      <c r="E929" s="68"/>
      <c r="F929" s="68"/>
      <c r="G929" s="72"/>
    </row>
    <row r="930" spans="1:7" x14ac:dyDescent="0.25">
      <c r="A930" s="76"/>
      <c r="B930" s="77"/>
      <c r="D930" s="68"/>
      <c r="E930" s="68"/>
      <c r="F930" s="68"/>
      <c r="G930" s="72"/>
    </row>
    <row r="931" spans="1:7" x14ac:dyDescent="0.25">
      <c r="A931" s="76"/>
      <c r="B931" s="77"/>
      <c r="D931" s="68"/>
      <c r="E931" s="68"/>
      <c r="F931" s="68"/>
      <c r="G931" s="72"/>
    </row>
    <row r="932" spans="1:7" x14ac:dyDescent="0.25">
      <c r="A932" s="76"/>
      <c r="B932" s="77"/>
      <c r="D932" s="68"/>
      <c r="E932" s="68"/>
      <c r="F932" s="68"/>
      <c r="G932" s="72"/>
    </row>
    <row r="933" spans="1:7" x14ac:dyDescent="0.25">
      <c r="A933" s="76"/>
      <c r="B933" s="77"/>
      <c r="D933" s="68"/>
      <c r="E933" s="68"/>
      <c r="F933" s="68"/>
      <c r="G933" s="72"/>
    </row>
    <row r="934" spans="1:7" x14ac:dyDescent="0.25">
      <c r="A934" s="76"/>
      <c r="B934" s="77"/>
      <c r="D934" s="68"/>
      <c r="E934" s="68"/>
      <c r="F934" s="68"/>
      <c r="G934" s="72"/>
    </row>
    <row r="935" spans="1:7" x14ac:dyDescent="0.25">
      <c r="A935" s="76"/>
      <c r="B935" s="77"/>
      <c r="D935" s="68"/>
      <c r="E935" s="68"/>
      <c r="F935" s="68"/>
      <c r="G935" s="72"/>
    </row>
    <row r="936" spans="1:7" x14ac:dyDescent="0.25">
      <c r="A936" s="76"/>
      <c r="B936" s="77"/>
      <c r="D936" s="68"/>
      <c r="E936" s="68"/>
      <c r="F936" s="68"/>
      <c r="G936" s="72"/>
    </row>
    <row r="937" spans="1:7" x14ac:dyDescent="0.25">
      <c r="A937" s="76"/>
      <c r="B937" s="77"/>
      <c r="D937" s="68"/>
      <c r="E937" s="68"/>
      <c r="F937" s="68"/>
      <c r="G937" s="72"/>
    </row>
    <row r="938" spans="1:7" x14ac:dyDescent="0.25">
      <c r="A938" s="76"/>
      <c r="B938" s="77"/>
      <c r="D938" s="68"/>
      <c r="E938" s="68"/>
      <c r="F938" s="68"/>
      <c r="G938" s="72"/>
    </row>
    <row r="939" spans="1:7" x14ac:dyDescent="0.25">
      <c r="A939" s="76"/>
      <c r="B939" s="77"/>
      <c r="D939" s="68"/>
      <c r="E939" s="68"/>
      <c r="F939" s="68"/>
      <c r="G939" s="72"/>
    </row>
    <row r="940" spans="1:7" x14ac:dyDescent="0.25">
      <c r="A940" s="76"/>
      <c r="B940" s="77"/>
      <c r="D940" s="68"/>
      <c r="E940" s="68"/>
      <c r="F940" s="68"/>
      <c r="G940" s="72"/>
    </row>
    <row r="941" spans="1:7" x14ac:dyDescent="0.25">
      <c r="A941" s="76"/>
      <c r="B941" s="77"/>
      <c r="D941" s="68"/>
      <c r="E941" s="68"/>
      <c r="F941" s="68"/>
      <c r="G941" s="72"/>
    </row>
    <row r="942" spans="1:7" x14ac:dyDescent="0.25">
      <c r="A942" s="76"/>
      <c r="B942" s="77"/>
      <c r="D942" s="68"/>
      <c r="E942" s="68"/>
      <c r="F942" s="68"/>
      <c r="G942" s="72"/>
    </row>
    <row r="943" spans="1:7" x14ac:dyDescent="0.25">
      <c r="A943" s="76"/>
      <c r="B943" s="77"/>
      <c r="D943" s="68"/>
      <c r="E943" s="68"/>
      <c r="F943" s="68"/>
      <c r="G943" s="72"/>
    </row>
    <row r="944" spans="1:7" x14ac:dyDescent="0.25">
      <c r="A944" s="76"/>
      <c r="B944" s="77"/>
      <c r="D944" s="68"/>
      <c r="E944" s="68"/>
      <c r="F944" s="68"/>
      <c r="G944" s="72"/>
    </row>
    <row r="945" spans="1:7" x14ac:dyDescent="0.25">
      <c r="A945" s="76"/>
      <c r="B945" s="77"/>
      <c r="D945" s="68"/>
      <c r="E945" s="68"/>
      <c r="F945" s="68"/>
      <c r="G945" s="72"/>
    </row>
    <row r="946" spans="1:7" x14ac:dyDescent="0.25">
      <c r="A946" s="76"/>
      <c r="B946" s="77"/>
      <c r="D946" s="68"/>
      <c r="E946" s="68"/>
      <c r="F946" s="68"/>
      <c r="G946" s="72"/>
    </row>
    <row r="947" spans="1:7" x14ac:dyDescent="0.25">
      <c r="A947" s="76"/>
      <c r="B947" s="77"/>
      <c r="D947" s="68"/>
      <c r="E947" s="68"/>
      <c r="F947" s="68"/>
      <c r="G947" s="72"/>
    </row>
    <row r="948" spans="1:7" x14ac:dyDescent="0.25">
      <c r="A948" s="76"/>
      <c r="B948" s="77"/>
      <c r="D948" s="68"/>
      <c r="E948" s="68"/>
      <c r="F948" s="68"/>
      <c r="G948" s="72"/>
    </row>
    <row r="949" spans="1:7" x14ac:dyDescent="0.25">
      <c r="A949" s="76"/>
      <c r="B949" s="77"/>
      <c r="D949" s="68"/>
      <c r="E949" s="68"/>
      <c r="F949" s="68"/>
      <c r="G949" s="72"/>
    </row>
    <row r="950" spans="1:7" x14ac:dyDescent="0.25">
      <c r="A950" s="76"/>
      <c r="B950" s="77"/>
      <c r="D950" s="68"/>
      <c r="E950" s="68"/>
      <c r="F950" s="68"/>
      <c r="G950" s="72"/>
    </row>
    <row r="951" spans="1:7" x14ac:dyDescent="0.25">
      <c r="A951" s="76"/>
      <c r="B951" s="77"/>
      <c r="D951" s="68"/>
      <c r="E951" s="68"/>
      <c r="F951" s="68"/>
      <c r="G951" s="72"/>
    </row>
    <row r="952" spans="1:7" x14ac:dyDescent="0.25">
      <c r="A952" s="76"/>
      <c r="B952" s="77"/>
      <c r="D952" s="68"/>
      <c r="E952" s="68"/>
      <c r="F952" s="68"/>
      <c r="G952" s="72"/>
    </row>
    <row r="953" spans="1:7" x14ac:dyDescent="0.25">
      <c r="A953" s="76"/>
      <c r="B953" s="77"/>
      <c r="D953" s="68"/>
      <c r="E953" s="68"/>
      <c r="F953" s="68"/>
      <c r="G953" s="72"/>
    </row>
    <row r="954" spans="1:7" x14ac:dyDescent="0.25">
      <c r="A954" s="76"/>
      <c r="B954" s="77"/>
      <c r="D954" s="68"/>
      <c r="E954" s="68"/>
      <c r="F954" s="68"/>
      <c r="G954" s="72"/>
    </row>
    <row r="955" spans="1:7" x14ac:dyDescent="0.25">
      <c r="A955" s="76"/>
      <c r="B955" s="77"/>
      <c r="D955" s="68"/>
      <c r="E955" s="68"/>
      <c r="F955" s="68"/>
      <c r="G955" s="72"/>
    </row>
    <row r="956" spans="1:7" x14ac:dyDescent="0.25">
      <c r="A956" s="76"/>
      <c r="B956" s="77"/>
      <c r="D956" s="68"/>
      <c r="E956" s="68"/>
      <c r="F956" s="68"/>
      <c r="G956" s="72"/>
    </row>
    <row r="957" spans="1:7" x14ac:dyDescent="0.25">
      <c r="A957" s="76"/>
      <c r="B957" s="77"/>
      <c r="D957" s="68"/>
      <c r="E957" s="68"/>
      <c r="F957" s="68"/>
      <c r="G957" s="72"/>
    </row>
    <row r="958" spans="1:7" x14ac:dyDescent="0.25">
      <c r="A958" s="76"/>
      <c r="B958" s="77"/>
      <c r="D958" s="68"/>
      <c r="E958" s="68"/>
      <c r="F958" s="68"/>
      <c r="G958" s="72"/>
    </row>
    <row r="959" spans="1:7" x14ac:dyDescent="0.25">
      <c r="A959" s="76"/>
      <c r="B959" s="77"/>
      <c r="D959" s="68"/>
      <c r="E959" s="68"/>
      <c r="F959" s="68"/>
      <c r="G959" s="72"/>
    </row>
    <row r="960" spans="1:7" x14ac:dyDescent="0.25">
      <c r="A960" s="76"/>
      <c r="B960" s="77"/>
      <c r="D960" s="68"/>
      <c r="E960" s="68"/>
      <c r="F960" s="68"/>
      <c r="G960" s="72"/>
    </row>
    <row r="961" spans="1:7" x14ac:dyDescent="0.25">
      <c r="A961" s="76"/>
      <c r="B961" s="77"/>
      <c r="D961" s="68"/>
      <c r="E961" s="68"/>
      <c r="F961" s="68"/>
      <c r="G961" s="72"/>
    </row>
    <row r="962" spans="1:7" x14ac:dyDescent="0.25">
      <c r="A962" s="76"/>
      <c r="B962" s="77"/>
      <c r="D962" s="68"/>
      <c r="E962" s="68"/>
      <c r="F962" s="68"/>
      <c r="G962" s="72"/>
    </row>
    <row r="963" spans="1:7" x14ac:dyDescent="0.25">
      <c r="A963" s="76"/>
      <c r="B963" s="77"/>
      <c r="D963" s="68"/>
      <c r="E963" s="68"/>
      <c r="F963" s="68"/>
      <c r="G963" s="72"/>
    </row>
    <row r="964" spans="1:7" x14ac:dyDescent="0.25">
      <c r="A964" s="76"/>
      <c r="B964" s="77"/>
      <c r="D964" s="68"/>
      <c r="E964" s="68"/>
      <c r="F964" s="68"/>
      <c r="G964" s="72"/>
    </row>
    <row r="965" spans="1:7" x14ac:dyDescent="0.25">
      <c r="A965" s="76"/>
      <c r="B965" s="77"/>
      <c r="D965" s="68"/>
      <c r="E965" s="68"/>
      <c r="F965" s="68"/>
      <c r="G965" s="72"/>
    </row>
    <row r="966" spans="1:7" x14ac:dyDescent="0.25">
      <c r="A966" s="76"/>
      <c r="B966" s="77"/>
      <c r="D966" s="68"/>
      <c r="E966" s="68"/>
      <c r="F966" s="68"/>
      <c r="G966" s="72"/>
    </row>
    <row r="967" spans="1:7" x14ac:dyDescent="0.25">
      <c r="A967" s="76"/>
      <c r="B967" s="77"/>
      <c r="D967" s="68"/>
      <c r="E967" s="68"/>
      <c r="F967" s="68"/>
      <c r="G967" s="72"/>
    </row>
    <row r="968" spans="1:7" x14ac:dyDescent="0.25">
      <c r="A968" s="76"/>
      <c r="B968" s="77"/>
      <c r="D968" s="68"/>
      <c r="E968" s="68"/>
      <c r="F968" s="68"/>
      <c r="G968" s="72"/>
    </row>
    <row r="969" spans="1:7" x14ac:dyDescent="0.25">
      <c r="A969" s="76"/>
      <c r="B969" s="77"/>
      <c r="D969" s="68"/>
      <c r="E969" s="68"/>
      <c r="F969" s="68"/>
      <c r="G969" s="72"/>
    </row>
    <row r="970" spans="1:7" x14ac:dyDescent="0.25">
      <c r="A970" s="76"/>
      <c r="B970" s="77"/>
      <c r="D970" s="68"/>
      <c r="E970" s="68"/>
      <c r="F970" s="68"/>
      <c r="G970" s="72"/>
    </row>
    <row r="971" spans="1:7" x14ac:dyDescent="0.25">
      <c r="A971" s="76"/>
      <c r="B971" s="77"/>
      <c r="D971" s="68"/>
      <c r="E971" s="68"/>
      <c r="F971" s="68"/>
      <c r="G971" s="72"/>
    </row>
    <row r="972" spans="1:7" x14ac:dyDescent="0.25">
      <c r="A972" s="76"/>
      <c r="B972" s="77"/>
      <c r="D972" s="68"/>
      <c r="E972" s="68"/>
      <c r="F972" s="68"/>
      <c r="G972" s="72"/>
    </row>
    <row r="973" spans="1:7" x14ac:dyDescent="0.25">
      <c r="A973" s="76"/>
      <c r="B973" s="77"/>
      <c r="D973" s="68"/>
      <c r="E973" s="68"/>
      <c r="F973" s="68"/>
      <c r="G973" s="72"/>
    </row>
    <row r="974" spans="1:7" x14ac:dyDescent="0.25">
      <c r="A974" s="76"/>
      <c r="B974" s="77"/>
      <c r="D974" s="68"/>
      <c r="E974" s="68"/>
      <c r="F974" s="68"/>
      <c r="G974" s="72"/>
    </row>
    <row r="975" spans="1:7" x14ac:dyDescent="0.25">
      <c r="A975" s="76"/>
      <c r="B975" s="77"/>
      <c r="D975" s="68"/>
      <c r="E975" s="68"/>
      <c r="F975" s="68"/>
      <c r="G975" s="72"/>
    </row>
    <row r="976" spans="1:7" x14ac:dyDescent="0.25">
      <c r="A976" s="76"/>
      <c r="B976" s="77"/>
      <c r="D976" s="68"/>
      <c r="E976" s="68"/>
      <c r="F976" s="68"/>
      <c r="G976" s="72"/>
    </row>
    <row r="977" spans="1:7" x14ac:dyDescent="0.25">
      <c r="A977" s="76"/>
      <c r="B977" s="77"/>
      <c r="D977" s="68"/>
      <c r="E977" s="68"/>
      <c r="F977" s="68"/>
      <c r="G977" s="72"/>
    </row>
    <row r="978" spans="1:7" x14ac:dyDescent="0.25">
      <c r="A978" s="76"/>
      <c r="B978" s="77"/>
      <c r="D978" s="68"/>
      <c r="E978" s="68"/>
      <c r="F978" s="68"/>
      <c r="G978" s="72"/>
    </row>
    <row r="979" spans="1:7" x14ac:dyDescent="0.25">
      <c r="A979" s="76"/>
      <c r="B979" s="77"/>
      <c r="D979" s="68"/>
      <c r="E979" s="68"/>
      <c r="F979" s="68"/>
      <c r="G979" s="72"/>
    </row>
    <row r="980" spans="1:7" x14ac:dyDescent="0.25">
      <c r="A980" s="76"/>
      <c r="B980" s="77"/>
      <c r="D980" s="68"/>
      <c r="E980" s="68"/>
      <c r="F980" s="68"/>
      <c r="G980" s="72"/>
    </row>
    <row r="981" spans="1:7" x14ac:dyDescent="0.25">
      <c r="A981" s="76"/>
      <c r="B981" s="77"/>
      <c r="D981" s="68"/>
      <c r="E981" s="68"/>
      <c r="F981" s="68"/>
      <c r="G981" s="72"/>
    </row>
    <row r="982" spans="1:7" x14ac:dyDescent="0.25">
      <c r="A982" s="76"/>
      <c r="B982" s="77"/>
      <c r="D982" s="68"/>
      <c r="E982" s="68"/>
      <c r="F982" s="68"/>
      <c r="G982" s="72"/>
    </row>
    <row r="983" spans="1:7" x14ac:dyDescent="0.25">
      <c r="A983" s="76"/>
      <c r="B983" s="77"/>
      <c r="D983" s="68"/>
      <c r="E983" s="68"/>
      <c r="F983" s="68"/>
      <c r="G983" s="72"/>
    </row>
    <row r="984" spans="1:7" x14ac:dyDescent="0.25">
      <c r="A984" s="76"/>
      <c r="B984" s="77"/>
      <c r="D984" s="68"/>
      <c r="E984" s="68"/>
      <c r="F984" s="68"/>
      <c r="G984" s="72"/>
    </row>
    <row r="985" spans="1:7" x14ac:dyDescent="0.25">
      <c r="A985" s="76"/>
      <c r="B985" s="77"/>
      <c r="D985" s="68"/>
      <c r="E985" s="68"/>
      <c r="F985" s="68"/>
      <c r="G985" s="72"/>
    </row>
    <row r="986" spans="1:7" x14ac:dyDescent="0.25">
      <c r="A986" s="76"/>
      <c r="B986" s="77"/>
      <c r="D986" s="68"/>
      <c r="E986" s="68"/>
      <c r="F986" s="68"/>
      <c r="G986" s="72"/>
    </row>
    <row r="987" spans="1:7" x14ac:dyDescent="0.25">
      <c r="A987" s="76"/>
      <c r="B987" s="77"/>
      <c r="D987" s="68"/>
      <c r="E987" s="68"/>
      <c r="F987" s="68"/>
      <c r="G987" s="72"/>
    </row>
    <row r="988" spans="1:7" x14ac:dyDescent="0.25">
      <c r="A988" s="76"/>
      <c r="B988" s="77"/>
      <c r="D988" s="68"/>
      <c r="E988" s="68"/>
      <c r="F988" s="68"/>
      <c r="G988" s="72"/>
    </row>
    <row r="989" spans="1:7" x14ac:dyDescent="0.25">
      <c r="A989" s="76"/>
      <c r="B989" s="77"/>
      <c r="D989" s="68"/>
      <c r="E989" s="68"/>
      <c r="F989" s="68"/>
      <c r="G989" s="72"/>
    </row>
    <row r="990" spans="1:7" x14ac:dyDescent="0.25">
      <c r="A990" s="76"/>
      <c r="B990" s="77"/>
      <c r="D990" s="68"/>
      <c r="E990" s="68"/>
      <c r="F990" s="68"/>
      <c r="G990" s="72"/>
    </row>
    <row r="991" spans="1:7" x14ac:dyDescent="0.25">
      <c r="A991" s="76"/>
      <c r="B991" s="77"/>
      <c r="D991" s="68"/>
      <c r="E991" s="68"/>
      <c r="F991" s="68"/>
      <c r="G991" s="72"/>
    </row>
    <row r="992" spans="1:7" x14ac:dyDescent="0.25">
      <c r="A992" s="76"/>
      <c r="B992" s="77"/>
      <c r="D992" s="68"/>
      <c r="E992" s="68"/>
      <c r="F992" s="68"/>
      <c r="G992" s="72"/>
    </row>
    <row r="993" spans="1:7" x14ac:dyDescent="0.25">
      <c r="A993" s="76"/>
      <c r="B993" s="77"/>
      <c r="D993" s="68"/>
      <c r="E993" s="68"/>
      <c r="F993" s="68"/>
      <c r="G993" s="72"/>
    </row>
    <row r="994" spans="1:7" x14ac:dyDescent="0.25">
      <c r="A994" s="76"/>
      <c r="B994" s="77"/>
      <c r="D994" s="68"/>
      <c r="E994" s="68"/>
      <c r="F994" s="68"/>
      <c r="G994" s="72"/>
    </row>
    <row r="995" spans="1:7" x14ac:dyDescent="0.25">
      <c r="A995" s="76"/>
      <c r="B995" s="77"/>
      <c r="D995" s="68"/>
      <c r="E995" s="68"/>
      <c r="F995" s="68"/>
      <c r="G995" s="72"/>
    </row>
    <row r="996" spans="1:7" x14ac:dyDescent="0.25">
      <c r="A996" s="76"/>
      <c r="B996" s="77"/>
      <c r="D996" s="68"/>
      <c r="E996" s="68"/>
      <c r="F996" s="68"/>
      <c r="G996" s="72"/>
    </row>
    <row r="997" spans="1:7" x14ac:dyDescent="0.25">
      <c r="A997" s="76"/>
      <c r="B997" s="77"/>
      <c r="D997" s="68"/>
      <c r="E997" s="68"/>
      <c r="F997" s="68"/>
      <c r="G997" s="72"/>
    </row>
    <row r="998" spans="1:7" x14ac:dyDescent="0.25">
      <c r="A998" s="76"/>
      <c r="B998" s="77"/>
      <c r="D998" s="68"/>
      <c r="E998" s="68"/>
      <c r="F998" s="68"/>
      <c r="G998" s="72"/>
    </row>
    <row r="999" spans="1:7" x14ac:dyDescent="0.25">
      <c r="A999" s="76"/>
      <c r="B999" s="77"/>
      <c r="D999" s="68"/>
      <c r="E999" s="68"/>
      <c r="F999" s="68"/>
      <c r="G999" s="72"/>
    </row>
    <row r="1000" spans="1:7" x14ac:dyDescent="0.25">
      <c r="A1000" s="76"/>
      <c r="B1000" s="77"/>
      <c r="D1000" s="68"/>
      <c r="E1000" s="68"/>
      <c r="F1000" s="68"/>
      <c r="G1000" s="72"/>
    </row>
    <row r="1001" spans="1:7" x14ac:dyDescent="0.25">
      <c r="A1001" s="76"/>
      <c r="B1001" s="77"/>
      <c r="D1001" s="68"/>
      <c r="E1001" s="68"/>
      <c r="F1001" s="68"/>
      <c r="G1001" s="72"/>
    </row>
    <row r="1002" spans="1:7" x14ac:dyDescent="0.25">
      <c r="A1002" s="76"/>
      <c r="B1002" s="77"/>
      <c r="D1002" s="68"/>
      <c r="E1002" s="68"/>
      <c r="F1002" s="68"/>
      <c r="G1002" s="72"/>
    </row>
    <row r="1003" spans="1:7" x14ac:dyDescent="0.25">
      <c r="A1003" s="76"/>
      <c r="B1003" s="77"/>
      <c r="D1003" s="68"/>
      <c r="E1003" s="68"/>
      <c r="F1003" s="68"/>
      <c r="G1003" s="72"/>
    </row>
    <row r="1004" spans="1:7" x14ac:dyDescent="0.25">
      <c r="A1004" s="76"/>
      <c r="B1004" s="77"/>
      <c r="D1004" s="68"/>
      <c r="E1004" s="68"/>
      <c r="F1004" s="68"/>
      <c r="G1004" s="72"/>
    </row>
    <row r="1005" spans="1:7" x14ac:dyDescent="0.25">
      <c r="A1005" s="76"/>
      <c r="B1005" s="77"/>
      <c r="D1005" s="68"/>
      <c r="E1005" s="68"/>
      <c r="F1005" s="68"/>
      <c r="G1005" s="72"/>
    </row>
    <row r="1006" spans="1:7" x14ac:dyDescent="0.25">
      <c r="A1006" s="76"/>
      <c r="B1006" s="77"/>
      <c r="D1006" s="68"/>
      <c r="E1006" s="68"/>
      <c r="F1006" s="68"/>
      <c r="G1006" s="72"/>
    </row>
    <row r="1007" spans="1:7" x14ac:dyDescent="0.25">
      <c r="A1007" s="76"/>
      <c r="B1007" s="77"/>
      <c r="D1007" s="68"/>
      <c r="E1007" s="68"/>
      <c r="F1007" s="68"/>
      <c r="G1007" s="72"/>
    </row>
    <row r="1008" spans="1:7" x14ac:dyDescent="0.25">
      <c r="A1008" s="76"/>
      <c r="B1008" s="77"/>
      <c r="D1008" s="68"/>
      <c r="E1008" s="68"/>
      <c r="F1008" s="68"/>
      <c r="G1008" s="72"/>
    </row>
    <row r="1009" spans="1:7" x14ac:dyDescent="0.25">
      <c r="A1009" s="76"/>
      <c r="B1009" s="77"/>
      <c r="D1009" s="68"/>
      <c r="E1009" s="68"/>
      <c r="F1009" s="68"/>
      <c r="G1009" s="72"/>
    </row>
    <row r="1010" spans="1:7" x14ac:dyDescent="0.25">
      <c r="A1010" s="76"/>
      <c r="B1010" s="77"/>
      <c r="D1010" s="68"/>
      <c r="E1010" s="68"/>
      <c r="F1010" s="68"/>
      <c r="G1010" s="72"/>
    </row>
    <row r="1011" spans="1:7" x14ac:dyDescent="0.25">
      <c r="A1011" s="76"/>
      <c r="B1011" s="77"/>
      <c r="D1011" s="68"/>
      <c r="E1011" s="68"/>
      <c r="F1011" s="68"/>
      <c r="G1011" s="72"/>
    </row>
    <row r="1012" spans="1:7" x14ac:dyDescent="0.25">
      <c r="A1012" s="76"/>
      <c r="B1012" s="77"/>
    </row>
    <row r="1013" spans="1:7" x14ac:dyDescent="0.25">
      <c r="A1013" s="76"/>
      <c r="B1013" s="77"/>
    </row>
    <row r="1014" spans="1:7" x14ac:dyDescent="0.25">
      <c r="A1014" s="76"/>
      <c r="B1014" s="77"/>
    </row>
    <row r="1015" spans="1:7" x14ac:dyDescent="0.25">
      <c r="A1015" s="76"/>
      <c r="B1015" s="77"/>
    </row>
    <row r="1016" spans="1:7" x14ac:dyDescent="0.25">
      <c r="A1016" s="76"/>
      <c r="B1016" s="77"/>
    </row>
    <row r="1017" spans="1:7" x14ac:dyDescent="0.25">
      <c r="A1017" s="76"/>
      <c r="B1017" s="77"/>
    </row>
    <row r="1018" spans="1:7" x14ac:dyDescent="0.25">
      <c r="A1018" s="76"/>
      <c r="B1018" s="77"/>
    </row>
    <row r="1019" spans="1:7" x14ac:dyDescent="0.25">
      <c r="A1019" s="76"/>
      <c r="B1019" s="77"/>
    </row>
    <row r="1020" spans="1:7" x14ac:dyDescent="0.25">
      <c r="A1020" s="76"/>
      <c r="B1020" s="77"/>
    </row>
    <row r="1021" spans="1:7" x14ac:dyDescent="0.25">
      <c r="A1021" s="76"/>
      <c r="B1021" s="77"/>
    </row>
    <row r="1022" spans="1:7" x14ac:dyDescent="0.25">
      <c r="A1022" s="76"/>
      <c r="B1022" s="77"/>
    </row>
    <row r="1023" spans="1:7" x14ac:dyDescent="0.25">
      <c r="A1023" s="76"/>
      <c r="B1023" s="77"/>
    </row>
    <row r="1024" spans="1:7" x14ac:dyDescent="0.25">
      <c r="A1024" s="76"/>
      <c r="B1024" s="77"/>
    </row>
    <row r="1025" spans="1:2" x14ac:dyDescent="0.25">
      <c r="A1025" s="76"/>
      <c r="B1025" s="77"/>
    </row>
    <row r="1026" spans="1:2" x14ac:dyDescent="0.25">
      <c r="A1026" s="76"/>
      <c r="B1026" s="77"/>
    </row>
    <row r="1027" spans="1:2" x14ac:dyDescent="0.25">
      <c r="A1027" s="76"/>
      <c r="B1027" s="77"/>
    </row>
    <row r="1028" spans="1:2" x14ac:dyDescent="0.25">
      <c r="A1028" s="76"/>
      <c r="B1028" s="77"/>
    </row>
    <row r="1029" spans="1:2" x14ac:dyDescent="0.25">
      <c r="A1029" s="76"/>
      <c r="B1029" s="77"/>
    </row>
    <row r="1030" spans="1:2" x14ac:dyDescent="0.25">
      <c r="A1030" s="76"/>
      <c r="B1030" s="77"/>
    </row>
    <row r="1031" spans="1:2" x14ac:dyDescent="0.25">
      <c r="A1031" s="76"/>
      <c r="B1031" s="77"/>
    </row>
    <row r="1032" spans="1:2" x14ac:dyDescent="0.25">
      <c r="A1032" s="76"/>
      <c r="B1032" s="77"/>
    </row>
    <row r="1033" spans="1:2" x14ac:dyDescent="0.25">
      <c r="A1033" s="76"/>
      <c r="B1033" s="77"/>
    </row>
    <row r="1034" spans="1:2" x14ac:dyDescent="0.25">
      <c r="A1034" s="76"/>
      <c r="B1034" s="77"/>
    </row>
    <row r="1035" spans="1:2" x14ac:dyDescent="0.25">
      <c r="A1035" s="76"/>
      <c r="B1035" s="77"/>
    </row>
    <row r="1036" spans="1:2" x14ac:dyDescent="0.25">
      <c r="A1036" s="76"/>
      <c r="B1036" s="77"/>
    </row>
    <row r="1037" spans="1:2" x14ac:dyDescent="0.25">
      <c r="A1037" s="76"/>
      <c r="B1037" s="77"/>
    </row>
    <row r="1038" spans="1:2" x14ac:dyDescent="0.25">
      <c r="A1038" s="76"/>
      <c r="B1038" s="77"/>
    </row>
    <row r="1039" spans="1:2" x14ac:dyDescent="0.25">
      <c r="A1039" s="76"/>
      <c r="B1039" s="77"/>
    </row>
    <row r="1040" spans="1:2" x14ac:dyDescent="0.25">
      <c r="A1040" s="76"/>
      <c r="B1040" s="77"/>
    </row>
    <row r="1041" spans="1:2" x14ac:dyDescent="0.25">
      <c r="A1041" s="76"/>
      <c r="B1041" s="77"/>
    </row>
    <row r="1042" spans="1:2" x14ac:dyDescent="0.25">
      <c r="A1042" s="76"/>
      <c r="B1042" s="77"/>
    </row>
    <row r="1043" spans="1:2" x14ac:dyDescent="0.25">
      <c r="A1043" s="76"/>
      <c r="B1043" s="77"/>
    </row>
    <row r="1044" spans="1:2" x14ac:dyDescent="0.25">
      <c r="A1044" s="76"/>
      <c r="B1044" s="77"/>
    </row>
    <row r="1045" spans="1:2" x14ac:dyDescent="0.25">
      <c r="A1045" s="76"/>
      <c r="B1045" s="77"/>
    </row>
    <row r="1046" spans="1:2" x14ac:dyDescent="0.25">
      <c r="A1046" s="76"/>
      <c r="B1046" s="77"/>
    </row>
    <row r="1047" spans="1:2" x14ac:dyDescent="0.25">
      <c r="A1047" s="76"/>
      <c r="B1047" s="77"/>
    </row>
    <row r="1048" spans="1:2" x14ac:dyDescent="0.25">
      <c r="A1048" s="76"/>
      <c r="B1048" s="77"/>
    </row>
    <row r="1049" spans="1:2" x14ac:dyDescent="0.25">
      <c r="A1049" s="76"/>
      <c r="B1049" s="77"/>
    </row>
    <row r="1050" spans="1:2" x14ac:dyDescent="0.25">
      <c r="A1050" s="76"/>
      <c r="B1050" s="77"/>
    </row>
    <row r="1051" spans="1:2" x14ac:dyDescent="0.25">
      <c r="A1051" s="76"/>
      <c r="B1051" s="77"/>
    </row>
    <row r="1052" spans="1:2" x14ac:dyDescent="0.25">
      <c r="A1052" s="76"/>
      <c r="B1052" s="77"/>
    </row>
    <row r="1053" spans="1:2" x14ac:dyDescent="0.25">
      <c r="A1053" s="76"/>
      <c r="B1053" s="77"/>
    </row>
    <row r="1054" spans="1:2" x14ac:dyDescent="0.25">
      <c r="A1054" s="76"/>
      <c r="B1054" s="77"/>
    </row>
    <row r="1055" spans="1:2" x14ac:dyDescent="0.25">
      <c r="A1055" s="76"/>
      <c r="B1055" s="77"/>
    </row>
    <row r="1056" spans="1:2" x14ac:dyDescent="0.25">
      <c r="A1056" s="76"/>
      <c r="B1056" s="77"/>
    </row>
    <row r="1057" spans="1:2" x14ac:dyDescent="0.25">
      <c r="A1057" s="76"/>
      <c r="B1057" s="77"/>
    </row>
    <row r="1058" spans="1:2" x14ac:dyDescent="0.25">
      <c r="A1058" s="76"/>
      <c r="B1058" s="77"/>
    </row>
    <row r="1059" spans="1:2" x14ac:dyDescent="0.25">
      <c r="A1059" s="76"/>
      <c r="B1059" s="77"/>
    </row>
    <row r="1060" spans="1:2" x14ac:dyDescent="0.25">
      <c r="A1060" s="76"/>
      <c r="B1060" s="77"/>
    </row>
    <row r="1061" spans="1:2" x14ac:dyDescent="0.25">
      <c r="A1061" s="76"/>
      <c r="B1061" s="77"/>
    </row>
    <row r="1062" spans="1:2" x14ac:dyDescent="0.25">
      <c r="A1062" s="76"/>
      <c r="B1062" s="77"/>
    </row>
    <row r="1063" spans="1:2" x14ac:dyDescent="0.25">
      <c r="A1063" s="76"/>
      <c r="B1063" s="77"/>
    </row>
    <row r="1064" spans="1:2" x14ac:dyDescent="0.25">
      <c r="A1064" s="76"/>
      <c r="B1064" s="77"/>
    </row>
    <row r="1065" spans="1:2" x14ac:dyDescent="0.25">
      <c r="A1065" s="76"/>
      <c r="B1065" s="77"/>
    </row>
    <row r="1066" spans="1:2" x14ac:dyDescent="0.25">
      <c r="A1066" s="76"/>
      <c r="B1066" s="77"/>
    </row>
    <row r="1067" spans="1:2" x14ac:dyDescent="0.25">
      <c r="A1067" s="76"/>
      <c r="B1067" s="77"/>
    </row>
    <row r="1068" spans="1:2" x14ac:dyDescent="0.25">
      <c r="A1068" s="76"/>
      <c r="B1068" s="77"/>
    </row>
    <row r="1069" spans="1:2" x14ac:dyDescent="0.25">
      <c r="A1069" s="76"/>
      <c r="B1069" s="77"/>
    </row>
    <row r="1070" spans="1:2" x14ac:dyDescent="0.25">
      <c r="A1070" s="76"/>
      <c r="B1070" s="77"/>
    </row>
    <row r="1071" spans="1:2" x14ac:dyDescent="0.25">
      <c r="A1071" s="76"/>
      <c r="B1071" s="77"/>
    </row>
    <row r="1072" spans="1:2" x14ac:dyDescent="0.25">
      <c r="A1072" s="76"/>
      <c r="B1072" s="77"/>
    </row>
    <row r="1073" spans="1:2" x14ac:dyDescent="0.25">
      <c r="A1073" s="76"/>
      <c r="B1073" s="77"/>
    </row>
    <row r="1074" spans="1:2" x14ac:dyDescent="0.25">
      <c r="A1074" s="76"/>
      <c r="B1074" s="77"/>
    </row>
    <row r="1075" spans="1:2" x14ac:dyDescent="0.25">
      <c r="A1075" s="76"/>
      <c r="B1075" s="77"/>
    </row>
    <row r="1076" spans="1:2" x14ac:dyDescent="0.25">
      <c r="A1076" s="76"/>
      <c r="B1076" s="77"/>
    </row>
    <row r="1077" spans="1:2" x14ac:dyDescent="0.25">
      <c r="A1077" s="76"/>
      <c r="B1077" s="77"/>
    </row>
    <row r="1078" spans="1:2" x14ac:dyDescent="0.25">
      <c r="A1078" s="76"/>
      <c r="B1078" s="77"/>
    </row>
    <row r="1079" spans="1:2" x14ac:dyDescent="0.25">
      <c r="A1079" s="76"/>
      <c r="B1079" s="77"/>
    </row>
    <row r="1080" spans="1:2" x14ac:dyDescent="0.25">
      <c r="A1080" s="76"/>
      <c r="B1080" s="77"/>
    </row>
    <row r="1081" spans="1:2" x14ac:dyDescent="0.25">
      <c r="A1081" s="76"/>
      <c r="B1081" s="77"/>
    </row>
    <row r="1082" spans="1:2" x14ac:dyDescent="0.25">
      <c r="A1082" s="76"/>
      <c r="B1082" s="77"/>
    </row>
    <row r="1083" spans="1:2" x14ac:dyDescent="0.25">
      <c r="A1083" s="76"/>
      <c r="B1083" s="77"/>
    </row>
    <row r="1084" spans="1:2" x14ac:dyDescent="0.25">
      <c r="A1084" s="76"/>
      <c r="B1084" s="77"/>
    </row>
    <row r="1085" spans="1:2" x14ac:dyDescent="0.25">
      <c r="A1085" s="76"/>
      <c r="B1085" s="77"/>
    </row>
    <row r="1086" spans="1:2" x14ac:dyDescent="0.25">
      <c r="A1086" s="76"/>
      <c r="B1086" s="77"/>
    </row>
    <row r="1087" spans="1:2" x14ac:dyDescent="0.25">
      <c r="A1087" s="76"/>
      <c r="B1087" s="77"/>
    </row>
    <row r="1088" spans="1:2" x14ac:dyDescent="0.25">
      <c r="A1088" s="76"/>
      <c r="B1088" s="77"/>
    </row>
    <row r="1089" spans="1:2" x14ac:dyDescent="0.25">
      <c r="A1089" s="76"/>
      <c r="B1089" s="77"/>
    </row>
    <row r="1090" spans="1:2" x14ac:dyDescent="0.25">
      <c r="A1090" s="76"/>
      <c r="B1090" s="77"/>
    </row>
    <row r="1091" spans="1:2" x14ac:dyDescent="0.25">
      <c r="A1091" s="76"/>
      <c r="B1091" s="77"/>
    </row>
    <row r="1092" spans="1:2" x14ac:dyDescent="0.25">
      <c r="A1092" s="76"/>
      <c r="B1092" s="77"/>
    </row>
    <row r="1093" spans="1:2" x14ac:dyDescent="0.25">
      <c r="A1093" s="76"/>
      <c r="B1093" s="77"/>
    </row>
    <row r="1094" spans="1:2" x14ac:dyDescent="0.25">
      <c r="A1094" s="76"/>
      <c r="B1094" s="77"/>
    </row>
    <row r="1095" spans="1:2" x14ac:dyDescent="0.25">
      <c r="A1095" s="76"/>
      <c r="B1095" s="77"/>
    </row>
    <row r="1096" spans="1:2" x14ac:dyDescent="0.25">
      <c r="A1096" s="76"/>
      <c r="B1096" s="77"/>
    </row>
    <row r="1097" spans="1:2" x14ac:dyDescent="0.25">
      <c r="A1097" s="76"/>
      <c r="B1097" s="77"/>
    </row>
    <row r="1098" spans="1:2" x14ac:dyDescent="0.25">
      <c r="A1098" s="76"/>
      <c r="B1098" s="77"/>
    </row>
    <row r="1099" spans="1:2" x14ac:dyDescent="0.25">
      <c r="A1099" s="76"/>
      <c r="B1099" s="77"/>
    </row>
    <row r="1100" spans="1:2" x14ac:dyDescent="0.25">
      <c r="A1100" s="76"/>
      <c r="B1100" s="77"/>
    </row>
    <row r="1101" spans="1:2" x14ac:dyDescent="0.25">
      <c r="A1101" s="76"/>
      <c r="B1101" s="77"/>
    </row>
    <row r="1102" spans="1:2" x14ac:dyDescent="0.25">
      <c r="A1102" s="76"/>
      <c r="B1102" s="77"/>
    </row>
    <row r="1103" spans="1:2" x14ac:dyDescent="0.25">
      <c r="A1103" s="76"/>
      <c r="B1103" s="77"/>
    </row>
    <row r="1104" spans="1:2" x14ac:dyDescent="0.25">
      <c r="A1104" s="76"/>
      <c r="B1104" s="77"/>
    </row>
    <row r="1105" spans="1:2" x14ac:dyDescent="0.25">
      <c r="A1105" s="76"/>
      <c r="B1105" s="77"/>
    </row>
    <row r="1106" spans="1:2" x14ac:dyDescent="0.25">
      <c r="A1106" s="76"/>
      <c r="B1106" s="77"/>
    </row>
    <row r="1107" spans="1:2" x14ac:dyDescent="0.25">
      <c r="A1107" s="76"/>
      <c r="B1107" s="77"/>
    </row>
    <row r="1108" spans="1:2" x14ac:dyDescent="0.25">
      <c r="A1108" s="76"/>
      <c r="B1108" s="77"/>
    </row>
    <row r="1109" spans="1:2" x14ac:dyDescent="0.25">
      <c r="A1109" s="76"/>
      <c r="B1109" s="77"/>
    </row>
    <row r="1110" spans="1:2" x14ac:dyDescent="0.25">
      <c r="A1110" s="76"/>
      <c r="B1110" s="77"/>
    </row>
    <row r="1111" spans="1:2" x14ac:dyDescent="0.25">
      <c r="A1111" s="76"/>
      <c r="B1111" s="77"/>
    </row>
    <row r="1112" spans="1:2" x14ac:dyDescent="0.25">
      <c r="A1112" s="76"/>
      <c r="B1112" s="77"/>
    </row>
    <row r="1113" spans="1:2" x14ac:dyDescent="0.25">
      <c r="A1113" s="76"/>
      <c r="B1113" s="77"/>
    </row>
    <row r="1114" spans="1:2" x14ac:dyDescent="0.25">
      <c r="A1114" s="76"/>
      <c r="B1114" s="77"/>
    </row>
    <row r="1115" spans="1:2" x14ac:dyDescent="0.25">
      <c r="A1115" s="76"/>
      <c r="B1115" s="77"/>
    </row>
    <row r="1116" spans="1:2" x14ac:dyDescent="0.25">
      <c r="A1116" s="76"/>
      <c r="B1116" s="77"/>
    </row>
    <row r="1117" spans="1:2" x14ac:dyDescent="0.25">
      <c r="A1117" s="76"/>
      <c r="B1117" s="77"/>
    </row>
    <row r="1118" spans="1:2" x14ac:dyDescent="0.25">
      <c r="A1118" s="76"/>
      <c r="B1118" s="77"/>
    </row>
    <row r="1119" spans="1:2" x14ac:dyDescent="0.25">
      <c r="A1119" s="76"/>
      <c r="B1119" s="77"/>
    </row>
    <row r="1120" spans="1:2" x14ac:dyDescent="0.25">
      <c r="A1120" s="76"/>
      <c r="B1120" s="77"/>
    </row>
    <row r="1121" spans="1:2" x14ac:dyDescent="0.25">
      <c r="A1121" s="76"/>
      <c r="B1121" s="77"/>
    </row>
    <row r="1122" spans="1:2" x14ac:dyDescent="0.25">
      <c r="A1122" s="76"/>
      <c r="B1122" s="77"/>
    </row>
    <row r="1123" spans="1:2" x14ac:dyDescent="0.25">
      <c r="A1123" s="76"/>
      <c r="B1123" s="77"/>
    </row>
    <row r="1124" spans="1:2" x14ac:dyDescent="0.25">
      <c r="A1124" s="76"/>
      <c r="B1124" s="77"/>
    </row>
    <row r="1125" spans="1:2" x14ac:dyDescent="0.25">
      <c r="A1125" s="76"/>
      <c r="B1125" s="77"/>
    </row>
    <row r="1126" spans="1:2" x14ac:dyDescent="0.25">
      <c r="A1126" s="76"/>
      <c r="B1126" s="77"/>
    </row>
    <row r="1127" spans="1:2" x14ac:dyDescent="0.25">
      <c r="A1127" s="76"/>
      <c r="B1127" s="77"/>
    </row>
    <row r="1128" spans="1:2" x14ac:dyDescent="0.25">
      <c r="A1128" s="76"/>
      <c r="B1128" s="77"/>
    </row>
    <row r="1129" spans="1:2" x14ac:dyDescent="0.25">
      <c r="A1129" s="76"/>
      <c r="B1129" s="77"/>
    </row>
    <row r="1130" spans="1:2" x14ac:dyDescent="0.25">
      <c r="A1130" s="76"/>
      <c r="B1130" s="77"/>
    </row>
    <row r="1131" spans="1:2" x14ac:dyDescent="0.25">
      <c r="A1131" s="76"/>
      <c r="B1131" s="77"/>
    </row>
    <row r="1132" spans="1:2" x14ac:dyDescent="0.25">
      <c r="A1132" s="76"/>
      <c r="B1132" s="77"/>
    </row>
    <row r="1133" spans="1:2" x14ac:dyDescent="0.25">
      <c r="A1133" s="76"/>
      <c r="B1133" s="77"/>
    </row>
    <row r="1134" spans="1:2" x14ac:dyDescent="0.25">
      <c r="A1134" s="76"/>
      <c r="B1134" s="77"/>
    </row>
    <row r="1135" spans="1:2" x14ac:dyDescent="0.25">
      <c r="A1135" s="76"/>
      <c r="B1135" s="77"/>
    </row>
    <row r="1136" spans="1:2" x14ac:dyDescent="0.25">
      <c r="A1136" s="76"/>
      <c r="B1136" s="77"/>
    </row>
    <row r="1137" spans="1:2" x14ac:dyDescent="0.25">
      <c r="A1137" s="76"/>
      <c r="B1137" s="77"/>
    </row>
    <row r="1138" spans="1:2" x14ac:dyDescent="0.25">
      <c r="A1138" s="76"/>
      <c r="B1138" s="77"/>
    </row>
    <row r="1139" spans="1:2" x14ac:dyDescent="0.25">
      <c r="A1139" s="76"/>
      <c r="B1139" s="77"/>
    </row>
    <row r="1140" spans="1:2" x14ac:dyDescent="0.25">
      <c r="A1140" s="76"/>
      <c r="B1140" s="77"/>
    </row>
    <row r="1141" spans="1:2" x14ac:dyDescent="0.25">
      <c r="A1141" s="76"/>
      <c r="B1141" s="77"/>
    </row>
    <row r="1142" spans="1:2" x14ac:dyDescent="0.25">
      <c r="A1142" s="76"/>
      <c r="B1142" s="77"/>
    </row>
    <row r="1143" spans="1:2" x14ac:dyDescent="0.25">
      <c r="A1143" s="76"/>
      <c r="B1143" s="77"/>
    </row>
    <row r="1144" spans="1:2" x14ac:dyDescent="0.25">
      <c r="A1144" s="76"/>
      <c r="B1144" s="77"/>
    </row>
    <row r="1145" spans="1:2" x14ac:dyDescent="0.25">
      <c r="A1145" s="76"/>
      <c r="B1145" s="77"/>
    </row>
    <row r="1146" spans="1:2" x14ac:dyDescent="0.25">
      <c r="A1146" s="76"/>
      <c r="B1146" s="77"/>
    </row>
    <row r="1147" spans="1:2" x14ac:dyDescent="0.25">
      <c r="A1147" s="76"/>
      <c r="B1147" s="77"/>
    </row>
    <row r="1148" spans="1:2" x14ac:dyDescent="0.25">
      <c r="A1148" s="76"/>
      <c r="B1148" s="77"/>
    </row>
    <row r="1149" spans="1:2" x14ac:dyDescent="0.25">
      <c r="A1149" s="76"/>
      <c r="B1149" s="77"/>
    </row>
    <row r="1150" spans="1:2" x14ac:dyDescent="0.25">
      <c r="A1150" s="76"/>
      <c r="B1150" s="77"/>
    </row>
    <row r="1151" spans="1:2" x14ac:dyDescent="0.25">
      <c r="A1151" s="76"/>
      <c r="B1151" s="77"/>
    </row>
    <row r="1152" spans="1:2" x14ac:dyDescent="0.25">
      <c r="A1152" s="76"/>
      <c r="B1152" s="77"/>
    </row>
    <row r="1153" spans="1:2" x14ac:dyDescent="0.25">
      <c r="A1153" s="76"/>
      <c r="B1153" s="77"/>
    </row>
    <row r="1154" spans="1:2" x14ac:dyDescent="0.25">
      <c r="A1154" s="76"/>
      <c r="B1154" s="77"/>
    </row>
    <row r="1155" spans="1:2" x14ac:dyDescent="0.25">
      <c r="A1155" s="76"/>
      <c r="B1155" s="77"/>
    </row>
    <row r="1156" spans="1:2" x14ac:dyDescent="0.25">
      <c r="A1156" s="76"/>
      <c r="B1156" s="77"/>
    </row>
    <row r="1157" spans="1:2" x14ac:dyDescent="0.25">
      <c r="A1157" s="76"/>
      <c r="B1157" s="77"/>
    </row>
    <row r="1158" spans="1:2" x14ac:dyDescent="0.25">
      <c r="A1158" s="76"/>
      <c r="B1158" s="77"/>
    </row>
    <row r="1159" spans="1:2" x14ac:dyDescent="0.25">
      <c r="A1159" s="76"/>
      <c r="B1159" s="77"/>
    </row>
    <row r="1160" spans="1:2" x14ac:dyDescent="0.25">
      <c r="A1160" s="76"/>
      <c r="B1160" s="77"/>
    </row>
    <row r="1161" spans="1:2" x14ac:dyDescent="0.25">
      <c r="A1161" s="76"/>
      <c r="B1161" s="77"/>
    </row>
    <row r="1162" spans="1:2" x14ac:dyDescent="0.25">
      <c r="A1162" s="76"/>
      <c r="B1162" s="77"/>
    </row>
    <row r="1163" spans="1:2" x14ac:dyDescent="0.25">
      <c r="A1163" s="76"/>
      <c r="B1163" s="77"/>
    </row>
    <row r="1164" spans="1:2" x14ac:dyDescent="0.25">
      <c r="A1164" s="76"/>
      <c r="B1164" s="77"/>
    </row>
    <row r="1165" spans="1:2" x14ac:dyDescent="0.25">
      <c r="A1165" s="76"/>
      <c r="B1165" s="77"/>
    </row>
    <row r="1166" spans="1:2" x14ac:dyDescent="0.25">
      <c r="A1166" s="76"/>
      <c r="B1166" s="77"/>
    </row>
    <row r="1167" spans="1:2" x14ac:dyDescent="0.25">
      <c r="A1167" s="76"/>
      <c r="B1167" s="77"/>
    </row>
    <row r="1168" spans="1:2" x14ac:dyDescent="0.25">
      <c r="A1168" s="76"/>
      <c r="B1168" s="77"/>
    </row>
    <row r="1169" spans="1:2" x14ac:dyDescent="0.25">
      <c r="A1169" s="76"/>
      <c r="B1169" s="77"/>
    </row>
    <row r="1170" spans="1:2" x14ac:dyDescent="0.25">
      <c r="A1170" s="76"/>
      <c r="B1170" s="77"/>
    </row>
    <row r="1171" spans="1:2" x14ac:dyDescent="0.25">
      <c r="A1171" s="76"/>
      <c r="B1171" s="77"/>
    </row>
    <row r="1172" spans="1:2" x14ac:dyDescent="0.25">
      <c r="A1172" s="76"/>
      <c r="B1172" s="77"/>
    </row>
    <row r="1173" spans="1:2" x14ac:dyDescent="0.25">
      <c r="A1173" s="76"/>
      <c r="B1173" s="77"/>
    </row>
    <row r="1174" spans="1:2" x14ac:dyDescent="0.25">
      <c r="A1174" s="76"/>
      <c r="B1174" s="77"/>
    </row>
    <row r="1175" spans="1:2" x14ac:dyDescent="0.25">
      <c r="A1175" s="76"/>
      <c r="B1175" s="77"/>
    </row>
    <row r="1176" spans="1:2" x14ac:dyDescent="0.25">
      <c r="A1176" s="76"/>
      <c r="B1176" s="77"/>
    </row>
    <row r="1177" spans="1:2" x14ac:dyDescent="0.25">
      <c r="A1177" s="76"/>
      <c r="B1177" s="77"/>
    </row>
    <row r="1178" spans="1:2" x14ac:dyDescent="0.25">
      <c r="A1178" s="76"/>
      <c r="B1178" s="77"/>
    </row>
    <row r="1179" spans="1:2" x14ac:dyDescent="0.25">
      <c r="A1179" s="76"/>
      <c r="B1179" s="77"/>
    </row>
    <row r="1180" spans="1:2" x14ac:dyDescent="0.25">
      <c r="A1180" s="76"/>
      <c r="B1180" s="77"/>
    </row>
    <row r="1181" spans="1:2" x14ac:dyDescent="0.25">
      <c r="A1181" s="76"/>
      <c r="B1181" s="77"/>
    </row>
    <row r="1182" spans="1:2" x14ac:dyDescent="0.25">
      <c r="A1182" s="76"/>
      <c r="B1182" s="77"/>
    </row>
    <row r="1183" spans="1:2" x14ac:dyDescent="0.25">
      <c r="A1183" s="76"/>
      <c r="B1183" s="77"/>
    </row>
    <row r="1184" spans="1:2" x14ac:dyDescent="0.25">
      <c r="A1184" s="76"/>
      <c r="B1184" s="77"/>
    </row>
    <row r="1185" spans="1:2" x14ac:dyDescent="0.25">
      <c r="A1185" s="76"/>
      <c r="B1185" s="77"/>
    </row>
    <row r="1186" spans="1:2" x14ac:dyDescent="0.25">
      <c r="A1186" s="76"/>
      <c r="B1186" s="77"/>
    </row>
    <row r="1187" spans="1:2" x14ac:dyDescent="0.25">
      <c r="A1187" s="76"/>
      <c r="B1187" s="77"/>
    </row>
    <row r="1188" spans="1:2" x14ac:dyDescent="0.25">
      <c r="A1188" s="76"/>
      <c r="B1188" s="77"/>
    </row>
    <row r="1189" spans="1:2" x14ac:dyDescent="0.25">
      <c r="A1189" s="76"/>
      <c r="B1189" s="77"/>
    </row>
    <row r="1190" spans="1:2" x14ac:dyDescent="0.25">
      <c r="A1190" s="76"/>
      <c r="B1190" s="77"/>
    </row>
    <row r="1191" spans="1:2" x14ac:dyDescent="0.25">
      <c r="A1191" s="76"/>
      <c r="B1191" s="77"/>
    </row>
    <row r="1192" spans="1:2" x14ac:dyDescent="0.25">
      <c r="A1192" s="76"/>
      <c r="B1192" s="77"/>
    </row>
    <row r="1193" spans="1:2" x14ac:dyDescent="0.25">
      <c r="A1193" s="76"/>
      <c r="B1193" s="77"/>
    </row>
    <row r="1194" spans="1:2" x14ac:dyDescent="0.25">
      <c r="A1194" s="76"/>
      <c r="B1194" s="77"/>
    </row>
    <row r="1195" spans="1:2" x14ac:dyDescent="0.25">
      <c r="A1195" s="76"/>
      <c r="B1195" s="77"/>
    </row>
    <row r="1196" spans="1:2" x14ac:dyDescent="0.25">
      <c r="A1196" s="76"/>
      <c r="B1196" s="77"/>
    </row>
    <row r="1197" spans="1:2" x14ac:dyDescent="0.25">
      <c r="A1197" s="76"/>
      <c r="B1197" s="77"/>
    </row>
    <row r="1198" spans="1:2" x14ac:dyDescent="0.25">
      <c r="A1198" s="76"/>
      <c r="B1198" s="77"/>
    </row>
    <row r="1199" spans="1:2" x14ac:dyDescent="0.25">
      <c r="A1199" s="76"/>
      <c r="B1199" s="77"/>
    </row>
    <row r="1200" spans="1:2" x14ac:dyDescent="0.25">
      <c r="A1200" s="76"/>
      <c r="B1200" s="77"/>
    </row>
    <row r="1201" spans="1:2" x14ac:dyDescent="0.25">
      <c r="A1201" s="76"/>
      <c r="B1201" s="77"/>
    </row>
    <row r="1202" spans="1:2" x14ac:dyDescent="0.25">
      <c r="A1202" s="76"/>
      <c r="B1202" s="77"/>
    </row>
    <row r="1203" spans="1:2" x14ac:dyDescent="0.25">
      <c r="A1203" s="76"/>
      <c r="B1203" s="77"/>
    </row>
    <row r="1204" spans="1:2" x14ac:dyDescent="0.25">
      <c r="A1204" s="76"/>
      <c r="B1204" s="77"/>
    </row>
    <row r="1205" spans="1:2" x14ac:dyDescent="0.25">
      <c r="A1205" s="76"/>
      <c r="B1205" s="77"/>
    </row>
    <row r="1206" spans="1:2" x14ac:dyDescent="0.25">
      <c r="A1206" s="76"/>
      <c r="B1206" s="77"/>
    </row>
    <row r="1207" spans="1:2" x14ac:dyDescent="0.25">
      <c r="A1207" s="76"/>
      <c r="B1207" s="77"/>
    </row>
    <row r="1208" spans="1:2" x14ac:dyDescent="0.25">
      <c r="A1208" s="76"/>
      <c r="B1208" s="77"/>
    </row>
    <row r="1209" spans="1:2" x14ac:dyDescent="0.25">
      <c r="A1209" s="76"/>
      <c r="B1209" s="77"/>
    </row>
    <row r="1210" spans="1:2" x14ac:dyDescent="0.25">
      <c r="A1210" s="76"/>
      <c r="B1210" s="77"/>
    </row>
    <row r="1211" spans="1:2" x14ac:dyDescent="0.25">
      <c r="A1211" s="76"/>
      <c r="B1211" s="77"/>
    </row>
    <row r="1212" spans="1:2" x14ac:dyDescent="0.25">
      <c r="A1212" s="76"/>
      <c r="B1212" s="77"/>
    </row>
    <row r="1213" spans="1:2" x14ac:dyDescent="0.25">
      <c r="A1213" s="76"/>
      <c r="B1213" s="77"/>
    </row>
    <row r="1214" spans="1:2" x14ac:dyDescent="0.25">
      <c r="A1214" s="76"/>
      <c r="B1214" s="77"/>
    </row>
    <row r="1215" spans="1:2" x14ac:dyDescent="0.25">
      <c r="A1215" s="76"/>
      <c r="B1215" s="77"/>
    </row>
    <row r="1216" spans="1:2" x14ac:dyDescent="0.25">
      <c r="A1216" s="76"/>
      <c r="B1216" s="77"/>
    </row>
    <row r="1217" spans="1:2" x14ac:dyDescent="0.25">
      <c r="A1217" s="76"/>
      <c r="B1217" s="77"/>
    </row>
    <row r="1218" spans="1:2" x14ac:dyDescent="0.25">
      <c r="A1218" s="76"/>
      <c r="B1218" s="77"/>
    </row>
    <row r="1219" spans="1:2" x14ac:dyDescent="0.25">
      <c r="A1219" s="76"/>
      <c r="B1219" s="77"/>
    </row>
    <row r="1220" spans="1:2" x14ac:dyDescent="0.25">
      <c r="A1220" s="76"/>
      <c r="B1220" s="77"/>
    </row>
    <row r="1221" spans="1:2" x14ac:dyDescent="0.25">
      <c r="A1221" s="76"/>
      <c r="B1221" s="77"/>
    </row>
    <row r="1222" spans="1:2" x14ac:dyDescent="0.25">
      <c r="A1222" s="76"/>
      <c r="B1222" s="77"/>
    </row>
    <row r="1223" spans="1:2" x14ac:dyDescent="0.25">
      <c r="A1223" s="76"/>
      <c r="B1223" s="77"/>
    </row>
    <row r="1224" spans="1:2" x14ac:dyDescent="0.25">
      <c r="A1224" s="76"/>
      <c r="B1224" s="77"/>
    </row>
    <row r="1225" spans="1:2" x14ac:dyDescent="0.25">
      <c r="A1225" s="76"/>
      <c r="B1225" s="77"/>
    </row>
    <row r="1226" spans="1:2" x14ac:dyDescent="0.25">
      <c r="A1226" s="76"/>
      <c r="B1226" s="77"/>
    </row>
    <row r="1227" spans="1:2" x14ac:dyDescent="0.25">
      <c r="A1227" s="76"/>
      <c r="B1227" s="77"/>
    </row>
    <row r="1228" spans="1:2" x14ac:dyDescent="0.25">
      <c r="A1228" s="76"/>
      <c r="B1228" s="77"/>
    </row>
    <row r="1229" spans="1:2" x14ac:dyDescent="0.25">
      <c r="A1229" s="76"/>
      <c r="B1229" s="77"/>
    </row>
    <row r="1230" spans="1:2" x14ac:dyDescent="0.25">
      <c r="A1230" s="76"/>
      <c r="B1230" s="77"/>
    </row>
    <row r="1231" spans="1:2" x14ac:dyDescent="0.25">
      <c r="A1231" s="76"/>
      <c r="B1231" s="77"/>
    </row>
    <row r="1232" spans="1:2" x14ac:dyDescent="0.25">
      <c r="A1232" s="76"/>
      <c r="B1232" s="77"/>
    </row>
    <row r="1233" spans="1:2" x14ac:dyDescent="0.25">
      <c r="A1233" s="76"/>
      <c r="B1233" s="77"/>
    </row>
    <row r="1234" spans="1:2" x14ac:dyDescent="0.25">
      <c r="A1234" s="76"/>
      <c r="B1234" s="77"/>
    </row>
    <row r="1235" spans="1:2" x14ac:dyDescent="0.25">
      <c r="A1235" s="76"/>
      <c r="B1235" s="77"/>
    </row>
    <row r="1236" spans="1:2" x14ac:dyDescent="0.25">
      <c r="A1236" s="76"/>
      <c r="B1236" s="77"/>
    </row>
    <row r="1237" spans="1:2" x14ac:dyDescent="0.25">
      <c r="A1237" s="76"/>
      <c r="B1237" s="77"/>
    </row>
    <row r="1238" spans="1:2" x14ac:dyDescent="0.25">
      <c r="A1238" s="76"/>
      <c r="B1238" s="77"/>
    </row>
    <row r="1239" spans="1:2" x14ac:dyDescent="0.25">
      <c r="A1239" s="76"/>
      <c r="B1239" s="77"/>
    </row>
    <row r="1240" spans="1:2" x14ac:dyDescent="0.25">
      <c r="A1240" s="76"/>
      <c r="B1240" s="77"/>
    </row>
    <row r="1241" spans="1:2" x14ac:dyDescent="0.25">
      <c r="A1241" s="76"/>
      <c r="B1241" s="77"/>
    </row>
    <row r="1242" spans="1:2" x14ac:dyDescent="0.25">
      <c r="A1242" s="76"/>
      <c r="B1242" s="77"/>
    </row>
    <row r="1243" spans="1:2" x14ac:dyDescent="0.25">
      <c r="A1243" s="76"/>
      <c r="B1243" s="77"/>
    </row>
    <row r="1244" spans="1:2" x14ac:dyDescent="0.25">
      <c r="A1244" s="76"/>
      <c r="B1244" s="77"/>
    </row>
    <row r="1245" spans="1:2" x14ac:dyDescent="0.25">
      <c r="A1245" s="76"/>
      <c r="B1245" s="77"/>
    </row>
    <row r="1246" spans="1:2" x14ac:dyDescent="0.25">
      <c r="A1246" s="76"/>
      <c r="B1246" s="77"/>
    </row>
    <row r="1247" spans="1:2" x14ac:dyDescent="0.25">
      <c r="A1247" s="76"/>
      <c r="B1247" s="77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41985" r:id="rId3">
          <objectPr defaultSize="0" autoPict="0" r:id="rId4">
            <anchor moveWithCells="1" sizeWithCells="1">
              <from>
                <xdr:col>10</xdr:col>
                <xdr:colOff>127000</xdr:colOff>
                <xdr:row>15</xdr:row>
                <xdr:rowOff>38100</xdr:rowOff>
              </from>
              <to>
                <xdr:col>14</xdr:col>
                <xdr:colOff>584200</xdr:colOff>
                <xdr:row>16</xdr:row>
                <xdr:rowOff>114300</xdr:rowOff>
              </to>
            </anchor>
          </objectPr>
        </oleObject>
      </mc:Choice>
      <mc:Fallback>
        <oleObject progId="Equation.3" shapeId="41985" r:id="rId3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F8B6-B259-4C29-9017-A227DCDAB221}">
  <sheetPr codeName="Sheet5"/>
  <dimension ref="A2:M9"/>
  <sheetViews>
    <sheetView workbookViewId="0">
      <selection activeCell="F7" sqref="F7"/>
    </sheetView>
  </sheetViews>
  <sheetFormatPr defaultRowHeight="12.5" x14ac:dyDescent="0.25"/>
  <cols>
    <col min="13" max="13" width="37.81640625" customWidth="1"/>
  </cols>
  <sheetData>
    <row r="2" spans="1:13" x14ac:dyDescent="0.25">
      <c r="A2" s="11"/>
      <c r="B2" s="11"/>
      <c r="C2" s="11"/>
      <c r="D2" s="78" t="s">
        <v>33</v>
      </c>
      <c r="E2" s="11">
        <v>0.95</v>
      </c>
      <c r="F2" s="11"/>
      <c r="G2" s="11"/>
      <c r="H2" s="11"/>
      <c r="I2" s="11"/>
      <c r="J2" s="11"/>
    </row>
    <row r="3" spans="1:13" x14ac:dyDescent="0.25">
      <c r="A3" s="78"/>
      <c r="B3" s="79"/>
      <c r="C3" s="11"/>
      <c r="D3" s="80" t="s">
        <v>40</v>
      </c>
      <c r="E3" s="81">
        <f>NORMSINV(1-E2)</f>
        <v>-1.6448536269514715</v>
      </c>
      <c r="F3" s="11"/>
      <c r="G3" s="80"/>
      <c r="H3" s="11"/>
      <c r="I3" s="11"/>
      <c r="J3" s="11"/>
    </row>
    <row r="4" spans="1:13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3" x14ac:dyDescent="0.25">
      <c r="A5" s="11"/>
      <c r="B5" s="83" t="s">
        <v>20</v>
      </c>
      <c r="C5" s="83" t="s">
        <v>42</v>
      </c>
      <c r="D5" s="82" t="s">
        <v>41</v>
      </c>
      <c r="E5" s="83" t="s">
        <v>43</v>
      </c>
      <c r="F5" s="82" t="s">
        <v>44</v>
      </c>
      <c r="H5" s="91"/>
      <c r="I5" s="11"/>
      <c r="J5" s="11"/>
    </row>
    <row r="6" spans="1:13" x14ac:dyDescent="0.25">
      <c r="A6" s="11"/>
      <c r="B6" s="84">
        <v>0.05</v>
      </c>
      <c r="C6" s="85">
        <v>3.5</v>
      </c>
      <c r="D6" s="27">
        <v>0.01</v>
      </c>
      <c r="E6" s="14">
        <f>+C6*D6</f>
        <v>3.5000000000000003E-2</v>
      </c>
      <c r="F6" s="86">
        <f>-E6*E3</f>
        <v>5.7569876943301512E-2</v>
      </c>
      <c r="G6" s="86"/>
      <c r="H6" s="92"/>
      <c r="I6" s="11"/>
      <c r="J6" s="11"/>
    </row>
    <row r="7" spans="1:13" ht="15.5" x14ac:dyDescent="0.25">
      <c r="A7" s="11"/>
      <c r="B7" s="84"/>
      <c r="C7" s="85"/>
      <c r="D7" s="27"/>
      <c r="E7" s="84"/>
      <c r="F7" s="86"/>
      <c r="G7" s="86"/>
      <c r="H7" s="84"/>
      <c r="I7" s="11"/>
      <c r="J7" s="11"/>
      <c r="M7" s="90"/>
    </row>
    <row r="8" spans="1:13" x14ac:dyDescent="0.25">
      <c r="A8" s="11"/>
      <c r="B8" s="84"/>
      <c r="C8" s="85"/>
      <c r="D8" s="27"/>
      <c r="E8" s="84"/>
      <c r="F8" s="86"/>
      <c r="G8" s="86"/>
      <c r="H8" s="84"/>
      <c r="I8" s="11"/>
      <c r="J8" s="11"/>
    </row>
    <row r="9" spans="1:13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9EC53-8E86-485B-84D6-E7F78E0C80F6}">
  <sheetPr codeName="Sheet6"/>
  <dimension ref="A1:J1007"/>
  <sheetViews>
    <sheetView topLeftCell="A6" workbookViewId="0">
      <selection activeCell="B11" sqref="B11"/>
    </sheetView>
  </sheetViews>
  <sheetFormatPr defaultColWidth="9.1796875" defaultRowHeight="12.5" x14ac:dyDescent="0.25"/>
  <cols>
    <col min="1" max="1" width="11.453125" style="94" customWidth="1"/>
    <col min="2" max="2" width="10.54296875" style="94" bestFit="1" customWidth="1"/>
    <col min="3" max="6" width="9.1796875" style="94"/>
    <col min="7" max="7" width="12.26953125" style="94" bestFit="1" customWidth="1"/>
    <col min="8" max="256" width="9.1796875" style="94"/>
    <col min="257" max="257" width="11.453125" style="94" customWidth="1"/>
    <col min="258" max="258" width="10.54296875" style="94" bestFit="1" customWidth="1"/>
    <col min="259" max="262" width="9.1796875" style="94"/>
    <col min="263" max="263" width="12.26953125" style="94" bestFit="1" customWidth="1"/>
    <col min="264" max="512" width="9.1796875" style="94"/>
    <col min="513" max="513" width="11.453125" style="94" customWidth="1"/>
    <col min="514" max="514" width="10.54296875" style="94" bestFit="1" customWidth="1"/>
    <col min="515" max="518" width="9.1796875" style="94"/>
    <col min="519" max="519" width="12.26953125" style="94" bestFit="1" customWidth="1"/>
    <col min="520" max="768" width="9.1796875" style="94"/>
    <col min="769" max="769" width="11.453125" style="94" customWidth="1"/>
    <col min="770" max="770" width="10.54296875" style="94" bestFit="1" customWidth="1"/>
    <col min="771" max="774" width="9.1796875" style="94"/>
    <col min="775" max="775" width="12.26953125" style="94" bestFit="1" customWidth="1"/>
    <col min="776" max="1024" width="9.1796875" style="94"/>
    <col min="1025" max="1025" width="11.453125" style="94" customWidth="1"/>
    <col min="1026" max="1026" width="10.54296875" style="94" bestFit="1" customWidth="1"/>
    <col min="1027" max="1030" width="9.1796875" style="94"/>
    <col min="1031" max="1031" width="12.26953125" style="94" bestFit="1" customWidth="1"/>
    <col min="1032" max="1280" width="9.1796875" style="94"/>
    <col min="1281" max="1281" width="11.453125" style="94" customWidth="1"/>
    <col min="1282" max="1282" width="10.54296875" style="94" bestFit="1" customWidth="1"/>
    <col min="1283" max="1286" width="9.1796875" style="94"/>
    <col min="1287" max="1287" width="12.26953125" style="94" bestFit="1" customWidth="1"/>
    <col min="1288" max="1536" width="9.1796875" style="94"/>
    <col min="1537" max="1537" width="11.453125" style="94" customWidth="1"/>
    <col min="1538" max="1538" width="10.54296875" style="94" bestFit="1" customWidth="1"/>
    <col min="1539" max="1542" width="9.1796875" style="94"/>
    <col min="1543" max="1543" width="12.26953125" style="94" bestFit="1" customWidth="1"/>
    <col min="1544" max="1792" width="9.1796875" style="94"/>
    <col min="1793" max="1793" width="11.453125" style="94" customWidth="1"/>
    <col min="1794" max="1794" width="10.54296875" style="94" bestFit="1" customWidth="1"/>
    <col min="1795" max="1798" width="9.1796875" style="94"/>
    <col min="1799" max="1799" width="12.26953125" style="94" bestFit="1" customWidth="1"/>
    <col min="1800" max="2048" width="9.1796875" style="94"/>
    <col min="2049" max="2049" width="11.453125" style="94" customWidth="1"/>
    <col min="2050" max="2050" width="10.54296875" style="94" bestFit="1" customWidth="1"/>
    <col min="2051" max="2054" width="9.1796875" style="94"/>
    <col min="2055" max="2055" width="12.26953125" style="94" bestFit="1" customWidth="1"/>
    <col min="2056" max="2304" width="9.1796875" style="94"/>
    <col min="2305" max="2305" width="11.453125" style="94" customWidth="1"/>
    <col min="2306" max="2306" width="10.54296875" style="94" bestFit="1" customWidth="1"/>
    <col min="2307" max="2310" width="9.1796875" style="94"/>
    <col min="2311" max="2311" width="12.26953125" style="94" bestFit="1" customWidth="1"/>
    <col min="2312" max="2560" width="9.1796875" style="94"/>
    <col min="2561" max="2561" width="11.453125" style="94" customWidth="1"/>
    <col min="2562" max="2562" width="10.54296875" style="94" bestFit="1" customWidth="1"/>
    <col min="2563" max="2566" width="9.1796875" style="94"/>
    <col min="2567" max="2567" width="12.26953125" style="94" bestFit="1" customWidth="1"/>
    <col min="2568" max="2816" width="9.1796875" style="94"/>
    <col min="2817" max="2817" width="11.453125" style="94" customWidth="1"/>
    <col min="2818" max="2818" width="10.54296875" style="94" bestFit="1" customWidth="1"/>
    <col min="2819" max="2822" width="9.1796875" style="94"/>
    <col min="2823" max="2823" width="12.26953125" style="94" bestFit="1" customWidth="1"/>
    <col min="2824" max="3072" width="9.1796875" style="94"/>
    <col min="3073" max="3073" width="11.453125" style="94" customWidth="1"/>
    <col min="3074" max="3074" width="10.54296875" style="94" bestFit="1" customWidth="1"/>
    <col min="3075" max="3078" width="9.1796875" style="94"/>
    <col min="3079" max="3079" width="12.26953125" style="94" bestFit="1" customWidth="1"/>
    <col min="3080" max="3328" width="9.1796875" style="94"/>
    <col min="3329" max="3329" width="11.453125" style="94" customWidth="1"/>
    <col min="3330" max="3330" width="10.54296875" style="94" bestFit="1" customWidth="1"/>
    <col min="3331" max="3334" width="9.1796875" style="94"/>
    <col min="3335" max="3335" width="12.26953125" style="94" bestFit="1" customWidth="1"/>
    <col min="3336" max="3584" width="9.1796875" style="94"/>
    <col min="3585" max="3585" width="11.453125" style="94" customWidth="1"/>
    <col min="3586" max="3586" width="10.54296875" style="94" bestFit="1" customWidth="1"/>
    <col min="3587" max="3590" width="9.1796875" style="94"/>
    <col min="3591" max="3591" width="12.26953125" style="94" bestFit="1" customWidth="1"/>
    <col min="3592" max="3840" width="9.1796875" style="94"/>
    <col min="3841" max="3841" width="11.453125" style="94" customWidth="1"/>
    <col min="3842" max="3842" width="10.54296875" style="94" bestFit="1" customWidth="1"/>
    <col min="3843" max="3846" width="9.1796875" style="94"/>
    <col min="3847" max="3847" width="12.26953125" style="94" bestFit="1" customWidth="1"/>
    <col min="3848" max="4096" width="9.1796875" style="94"/>
    <col min="4097" max="4097" width="11.453125" style="94" customWidth="1"/>
    <col min="4098" max="4098" width="10.54296875" style="94" bestFit="1" customWidth="1"/>
    <col min="4099" max="4102" width="9.1796875" style="94"/>
    <col min="4103" max="4103" width="12.26953125" style="94" bestFit="1" customWidth="1"/>
    <col min="4104" max="4352" width="9.1796875" style="94"/>
    <col min="4353" max="4353" width="11.453125" style="94" customWidth="1"/>
    <col min="4354" max="4354" width="10.54296875" style="94" bestFit="1" customWidth="1"/>
    <col min="4355" max="4358" width="9.1796875" style="94"/>
    <col min="4359" max="4359" width="12.26953125" style="94" bestFit="1" customWidth="1"/>
    <col min="4360" max="4608" width="9.1796875" style="94"/>
    <col min="4609" max="4609" width="11.453125" style="94" customWidth="1"/>
    <col min="4610" max="4610" width="10.54296875" style="94" bestFit="1" customWidth="1"/>
    <col min="4611" max="4614" width="9.1796875" style="94"/>
    <col min="4615" max="4615" width="12.26953125" style="94" bestFit="1" customWidth="1"/>
    <col min="4616" max="4864" width="9.1796875" style="94"/>
    <col min="4865" max="4865" width="11.453125" style="94" customWidth="1"/>
    <col min="4866" max="4866" width="10.54296875" style="94" bestFit="1" customWidth="1"/>
    <col min="4867" max="4870" width="9.1796875" style="94"/>
    <col min="4871" max="4871" width="12.26953125" style="94" bestFit="1" customWidth="1"/>
    <col min="4872" max="5120" width="9.1796875" style="94"/>
    <col min="5121" max="5121" width="11.453125" style="94" customWidth="1"/>
    <col min="5122" max="5122" width="10.54296875" style="94" bestFit="1" customWidth="1"/>
    <col min="5123" max="5126" width="9.1796875" style="94"/>
    <col min="5127" max="5127" width="12.26953125" style="94" bestFit="1" customWidth="1"/>
    <col min="5128" max="5376" width="9.1796875" style="94"/>
    <col min="5377" max="5377" width="11.453125" style="94" customWidth="1"/>
    <col min="5378" max="5378" width="10.54296875" style="94" bestFit="1" customWidth="1"/>
    <col min="5379" max="5382" width="9.1796875" style="94"/>
    <col min="5383" max="5383" width="12.26953125" style="94" bestFit="1" customWidth="1"/>
    <col min="5384" max="5632" width="9.1796875" style="94"/>
    <col min="5633" max="5633" width="11.453125" style="94" customWidth="1"/>
    <col min="5634" max="5634" width="10.54296875" style="94" bestFit="1" customWidth="1"/>
    <col min="5635" max="5638" width="9.1796875" style="94"/>
    <col min="5639" max="5639" width="12.26953125" style="94" bestFit="1" customWidth="1"/>
    <col min="5640" max="5888" width="9.1796875" style="94"/>
    <col min="5889" max="5889" width="11.453125" style="94" customWidth="1"/>
    <col min="5890" max="5890" width="10.54296875" style="94" bestFit="1" customWidth="1"/>
    <col min="5891" max="5894" width="9.1796875" style="94"/>
    <col min="5895" max="5895" width="12.26953125" style="94" bestFit="1" customWidth="1"/>
    <col min="5896" max="6144" width="9.1796875" style="94"/>
    <col min="6145" max="6145" width="11.453125" style="94" customWidth="1"/>
    <col min="6146" max="6146" width="10.54296875" style="94" bestFit="1" customWidth="1"/>
    <col min="6147" max="6150" width="9.1796875" style="94"/>
    <col min="6151" max="6151" width="12.26953125" style="94" bestFit="1" customWidth="1"/>
    <col min="6152" max="6400" width="9.1796875" style="94"/>
    <col min="6401" max="6401" width="11.453125" style="94" customWidth="1"/>
    <col min="6402" max="6402" width="10.54296875" style="94" bestFit="1" customWidth="1"/>
    <col min="6403" max="6406" width="9.1796875" style="94"/>
    <col min="6407" max="6407" width="12.26953125" style="94" bestFit="1" customWidth="1"/>
    <col min="6408" max="6656" width="9.1796875" style="94"/>
    <col min="6657" max="6657" width="11.453125" style="94" customWidth="1"/>
    <col min="6658" max="6658" width="10.54296875" style="94" bestFit="1" customWidth="1"/>
    <col min="6659" max="6662" width="9.1796875" style="94"/>
    <col min="6663" max="6663" width="12.26953125" style="94" bestFit="1" customWidth="1"/>
    <col min="6664" max="6912" width="9.1796875" style="94"/>
    <col min="6913" max="6913" width="11.453125" style="94" customWidth="1"/>
    <col min="6914" max="6914" width="10.54296875" style="94" bestFit="1" customWidth="1"/>
    <col min="6915" max="6918" width="9.1796875" style="94"/>
    <col min="6919" max="6919" width="12.26953125" style="94" bestFit="1" customWidth="1"/>
    <col min="6920" max="7168" width="9.1796875" style="94"/>
    <col min="7169" max="7169" width="11.453125" style="94" customWidth="1"/>
    <col min="7170" max="7170" width="10.54296875" style="94" bestFit="1" customWidth="1"/>
    <col min="7171" max="7174" width="9.1796875" style="94"/>
    <col min="7175" max="7175" width="12.26953125" style="94" bestFit="1" customWidth="1"/>
    <col min="7176" max="7424" width="9.1796875" style="94"/>
    <col min="7425" max="7425" width="11.453125" style="94" customWidth="1"/>
    <col min="7426" max="7426" width="10.54296875" style="94" bestFit="1" customWidth="1"/>
    <col min="7427" max="7430" width="9.1796875" style="94"/>
    <col min="7431" max="7431" width="12.26953125" style="94" bestFit="1" customWidth="1"/>
    <col min="7432" max="7680" width="9.1796875" style="94"/>
    <col min="7681" max="7681" width="11.453125" style="94" customWidth="1"/>
    <col min="7682" max="7682" width="10.54296875" style="94" bestFit="1" customWidth="1"/>
    <col min="7683" max="7686" width="9.1796875" style="94"/>
    <col min="7687" max="7687" width="12.26953125" style="94" bestFit="1" customWidth="1"/>
    <col min="7688" max="7936" width="9.1796875" style="94"/>
    <col min="7937" max="7937" width="11.453125" style="94" customWidth="1"/>
    <col min="7938" max="7938" width="10.54296875" style="94" bestFit="1" customWidth="1"/>
    <col min="7939" max="7942" width="9.1796875" style="94"/>
    <col min="7943" max="7943" width="12.26953125" style="94" bestFit="1" customWidth="1"/>
    <col min="7944" max="8192" width="9.1796875" style="94"/>
    <col min="8193" max="8193" width="11.453125" style="94" customWidth="1"/>
    <col min="8194" max="8194" width="10.54296875" style="94" bestFit="1" customWidth="1"/>
    <col min="8195" max="8198" width="9.1796875" style="94"/>
    <col min="8199" max="8199" width="12.26953125" style="94" bestFit="1" customWidth="1"/>
    <col min="8200" max="8448" width="9.1796875" style="94"/>
    <col min="8449" max="8449" width="11.453125" style="94" customWidth="1"/>
    <col min="8450" max="8450" width="10.54296875" style="94" bestFit="1" customWidth="1"/>
    <col min="8451" max="8454" width="9.1796875" style="94"/>
    <col min="8455" max="8455" width="12.26953125" style="94" bestFit="1" customWidth="1"/>
    <col min="8456" max="8704" width="9.1796875" style="94"/>
    <col min="8705" max="8705" width="11.453125" style="94" customWidth="1"/>
    <col min="8706" max="8706" width="10.54296875" style="94" bestFit="1" customWidth="1"/>
    <col min="8707" max="8710" width="9.1796875" style="94"/>
    <col min="8711" max="8711" width="12.26953125" style="94" bestFit="1" customWidth="1"/>
    <col min="8712" max="8960" width="9.1796875" style="94"/>
    <col min="8961" max="8961" width="11.453125" style="94" customWidth="1"/>
    <col min="8962" max="8962" width="10.54296875" style="94" bestFit="1" customWidth="1"/>
    <col min="8963" max="8966" width="9.1796875" style="94"/>
    <col min="8967" max="8967" width="12.26953125" style="94" bestFit="1" customWidth="1"/>
    <col min="8968" max="9216" width="9.1796875" style="94"/>
    <col min="9217" max="9217" width="11.453125" style="94" customWidth="1"/>
    <col min="9218" max="9218" width="10.54296875" style="94" bestFit="1" customWidth="1"/>
    <col min="9219" max="9222" width="9.1796875" style="94"/>
    <col min="9223" max="9223" width="12.26953125" style="94" bestFit="1" customWidth="1"/>
    <col min="9224" max="9472" width="9.1796875" style="94"/>
    <col min="9473" max="9473" width="11.453125" style="94" customWidth="1"/>
    <col min="9474" max="9474" width="10.54296875" style="94" bestFit="1" customWidth="1"/>
    <col min="9475" max="9478" width="9.1796875" style="94"/>
    <col min="9479" max="9479" width="12.26953125" style="94" bestFit="1" customWidth="1"/>
    <col min="9480" max="9728" width="9.1796875" style="94"/>
    <col min="9729" max="9729" width="11.453125" style="94" customWidth="1"/>
    <col min="9730" max="9730" width="10.54296875" style="94" bestFit="1" customWidth="1"/>
    <col min="9731" max="9734" width="9.1796875" style="94"/>
    <col min="9735" max="9735" width="12.26953125" style="94" bestFit="1" customWidth="1"/>
    <col min="9736" max="9984" width="9.1796875" style="94"/>
    <col min="9985" max="9985" width="11.453125" style="94" customWidth="1"/>
    <col min="9986" max="9986" width="10.54296875" style="94" bestFit="1" customWidth="1"/>
    <col min="9987" max="9990" width="9.1796875" style="94"/>
    <col min="9991" max="9991" width="12.26953125" style="94" bestFit="1" customWidth="1"/>
    <col min="9992" max="10240" width="9.1796875" style="94"/>
    <col min="10241" max="10241" width="11.453125" style="94" customWidth="1"/>
    <col min="10242" max="10242" width="10.54296875" style="94" bestFit="1" customWidth="1"/>
    <col min="10243" max="10246" width="9.1796875" style="94"/>
    <col min="10247" max="10247" width="12.26953125" style="94" bestFit="1" customWidth="1"/>
    <col min="10248" max="10496" width="9.1796875" style="94"/>
    <col min="10497" max="10497" width="11.453125" style="94" customWidth="1"/>
    <col min="10498" max="10498" width="10.54296875" style="94" bestFit="1" customWidth="1"/>
    <col min="10499" max="10502" width="9.1796875" style="94"/>
    <col min="10503" max="10503" width="12.26953125" style="94" bestFit="1" customWidth="1"/>
    <col min="10504" max="10752" width="9.1796875" style="94"/>
    <col min="10753" max="10753" width="11.453125" style="94" customWidth="1"/>
    <col min="10754" max="10754" width="10.54296875" style="94" bestFit="1" customWidth="1"/>
    <col min="10755" max="10758" width="9.1796875" style="94"/>
    <col min="10759" max="10759" width="12.26953125" style="94" bestFit="1" customWidth="1"/>
    <col min="10760" max="11008" width="9.1796875" style="94"/>
    <col min="11009" max="11009" width="11.453125" style="94" customWidth="1"/>
    <col min="11010" max="11010" width="10.54296875" style="94" bestFit="1" customWidth="1"/>
    <col min="11011" max="11014" width="9.1796875" style="94"/>
    <col min="11015" max="11015" width="12.26953125" style="94" bestFit="1" customWidth="1"/>
    <col min="11016" max="11264" width="9.1796875" style="94"/>
    <col min="11265" max="11265" width="11.453125" style="94" customWidth="1"/>
    <col min="11266" max="11266" width="10.54296875" style="94" bestFit="1" customWidth="1"/>
    <col min="11267" max="11270" width="9.1796875" style="94"/>
    <col min="11271" max="11271" width="12.26953125" style="94" bestFit="1" customWidth="1"/>
    <col min="11272" max="11520" width="9.1796875" style="94"/>
    <col min="11521" max="11521" width="11.453125" style="94" customWidth="1"/>
    <col min="11522" max="11522" width="10.54296875" style="94" bestFit="1" customWidth="1"/>
    <col min="11523" max="11526" width="9.1796875" style="94"/>
    <col min="11527" max="11527" width="12.26953125" style="94" bestFit="1" customWidth="1"/>
    <col min="11528" max="11776" width="9.1796875" style="94"/>
    <col min="11777" max="11777" width="11.453125" style="94" customWidth="1"/>
    <col min="11778" max="11778" width="10.54296875" style="94" bestFit="1" customWidth="1"/>
    <col min="11779" max="11782" width="9.1796875" style="94"/>
    <col min="11783" max="11783" width="12.26953125" style="94" bestFit="1" customWidth="1"/>
    <col min="11784" max="12032" width="9.1796875" style="94"/>
    <col min="12033" max="12033" width="11.453125" style="94" customWidth="1"/>
    <col min="12034" max="12034" width="10.54296875" style="94" bestFit="1" customWidth="1"/>
    <col min="12035" max="12038" width="9.1796875" style="94"/>
    <col min="12039" max="12039" width="12.26953125" style="94" bestFit="1" customWidth="1"/>
    <col min="12040" max="12288" width="9.1796875" style="94"/>
    <col min="12289" max="12289" width="11.453125" style="94" customWidth="1"/>
    <col min="12290" max="12290" width="10.54296875" style="94" bestFit="1" customWidth="1"/>
    <col min="12291" max="12294" width="9.1796875" style="94"/>
    <col min="12295" max="12295" width="12.26953125" style="94" bestFit="1" customWidth="1"/>
    <col min="12296" max="12544" width="9.1796875" style="94"/>
    <col min="12545" max="12545" width="11.453125" style="94" customWidth="1"/>
    <col min="12546" max="12546" width="10.54296875" style="94" bestFit="1" customWidth="1"/>
    <col min="12547" max="12550" width="9.1796875" style="94"/>
    <col min="12551" max="12551" width="12.26953125" style="94" bestFit="1" customWidth="1"/>
    <col min="12552" max="12800" width="9.1796875" style="94"/>
    <col min="12801" max="12801" width="11.453125" style="94" customWidth="1"/>
    <col min="12802" max="12802" width="10.54296875" style="94" bestFit="1" customWidth="1"/>
    <col min="12803" max="12806" width="9.1796875" style="94"/>
    <col min="12807" max="12807" width="12.26953125" style="94" bestFit="1" customWidth="1"/>
    <col min="12808" max="13056" width="9.1796875" style="94"/>
    <col min="13057" max="13057" width="11.453125" style="94" customWidth="1"/>
    <col min="13058" max="13058" width="10.54296875" style="94" bestFit="1" customWidth="1"/>
    <col min="13059" max="13062" width="9.1796875" style="94"/>
    <col min="13063" max="13063" width="12.26953125" style="94" bestFit="1" customWidth="1"/>
    <col min="13064" max="13312" width="9.1796875" style="94"/>
    <col min="13313" max="13313" width="11.453125" style="94" customWidth="1"/>
    <col min="13314" max="13314" width="10.54296875" style="94" bestFit="1" customWidth="1"/>
    <col min="13315" max="13318" width="9.1796875" style="94"/>
    <col min="13319" max="13319" width="12.26953125" style="94" bestFit="1" customWidth="1"/>
    <col min="13320" max="13568" width="9.1796875" style="94"/>
    <col min="13569" max="13569" width="11.453125" style="94" customWidth="1"/>
    <col min="13570" max="13570" width="10.54296875" style="94" bestFit="1" customWidth="1"/>
    <col min="13571" max="13574" width="9.1796875" style="94"/>
    <col min="13575" max="13575" width="12.26953125" style="94" bestFit="1" customWidth="1"/>
    <col min="13576" max="13824" width="9.1796875" style="94"/>
    <col min="13825" max="13825" width="11.453125" style="94" customWidth="1"/>
    <col min="13826" max="13826" width="10.54296875" style="94" bestFit="1" customWidth="1"/>
    <col min="13827" max="13830" width="9.1796875" style="94"/>
    <col min="13831" max="13831" width="12.26953125" style="94" bestFit="1" customWidth="1"/>
    <col min="13832" max="14080" width="9.1796875" style="94"/>
    <col min="14081" max="14081" width="11.453125" style="94" customWidth="1"/>
    <col min="14082" max="14082" width="10.54296875" style="94" bestFit="1" customWidth="1"/>
    <col min="14083" max="14086" width="9.1796875" style="94"/>
    <col min="14087" max="14087" width="12.26953125" style="94" bestFit="1" customWidth="1"/>
    <col min="14088" max="14336" width="9.1796875" style="94"/>
    <col min="14337" max="14337" width="11.453125" style="94" customWidth="1"/>
    <col min="14338" max="14338" width="10.54296875" style="94" bestFit="1" customWidth="1"/>
    <col min="14339" max="14342" width="9.1796875" style="94"/>
    <col min="14343" max="14343" width="12.26953125" style="94" bestFit="1" customWidth="1"/>
    <col min="14344" max="14592" width="9.1796875" style="94"/>
    <col min="14593" max="14593" width="11.453125" style="94" customWidth="1"/>
    <col min="14594" max="14594" width="10.54296875" style="94" bestFit="1" customWidth="1"/>
    <col min="14595" max="14598" width="9.1796875" style="94"/>
    <col min="14599" max="14599" width="12.26953125" style="94" bestFit="1" customWidth="1"/>
    <col min="14600" max="14848" width="9.1796875" style="94"/>
    <col min="14849" max="14849" width="11.453125" style="94" customWidth="1"/>
    <col min="14850" max="14850" width="10.54296875" style="94" bestFit="1" customWidth="1"/>
    <col min="14851" max="14854" width="9.1796875" style="94"/>
    <col min="14855" max="14855" width="12.26953125" style="94" bestFit="1" customWidth="1"/>
    <col min="14856" max="15104" width="9.1796875" style="94"/>
    <col min="15105" max="15105" width="11.453125" style="94" customWidth="1"/>
    <col min="15106" max="15106" width="10.54296875" style="94" bestFit="1" customWidth="1"/>
    <col min="15107" max="15110" width="9.1796875" style="94"/>
    <col min="15111" max="15111" width="12.26953125" style="94" bestFit="1" customWidth="1"/>
    <col min="15112" max="15360" width="9.1796875" style="94"/>
    <col min="15361" max="15361" width="11.453125" style="94" customWidth="1"/>
    <col min="15362" max="15362" width="10.54296875" style="94" bestFit="1" customWidth="1"/>
    <col min="15363" max="15366" width="9.1796875" style="94"/>
    <col min="15367" max="15367" width="12.26953125" style="94" bestFit="1" customWidth="1"/>
    <col min="15368" max="15616" width="9.1796875" style="94"/>
    <col min="15617" max="15617" width="11.453125" style="94" customWidth="1"/>
    <col min="15618" max="15618" width="10.54296875" style="94" bestFit="1" customWidth="1"/>
    <col min="15619" max="15622" width="9.1796875" style="94"/>
    <col min="15623" max="15623" width="12.26953125" style="94" bestFit="1" customWidth="1"/>
    <col min="15624" max="15872" width="9.1796875" style="94"/>
    <col min="15873" max="15873" width="11.453125" style="94" customWidth="1"/>
    <col min="15874" max="15874" width="10.54296875" style="94" bestFit="1" customWidth="1"/>
    <col min="15875" max="15878" width="9.1796875" style="94"/>
    <col min="15879" max="15879" width="12.26953125" style="94" bestFit="1" customWidth="1"/>
    <col min="15880" max="16128" width="9.1796875" style="94"/>
    <col min="16129" max="16129" width="11.453125" style="94" customWidth="1"/>
    <col min="16130" max="16130" width="10.54296875" style="94" bestFit="1" customWidth="1"/>
    <col min="16131" max="16134" width="9.1796875" style="94"/>
    <col min="16135" max="16135" width="12.26953125" style="94" bestFit="1" customWidth="1"/>
    <col min="16136" max="16384" width="9.1796875" style="94"/>
  </cols>
  <sheetData>
    <row r="1" spans="1:10" ht="13" x14ac:dyDescent="0.3">
      <c r="A1" s="93" t="s">
        <v>61</v>
      </c>
      <c r="D1" s="93" t="s">
        <v>62</v>
      </c>
      <c r="G1" s="95" t="s">
        <v>45</v>
      </c>
    </row>
    <row r="2" spans="1:10" x14ac:dyDescent="0.25">
      <c r="A2" s="96" t="s">
        <v>46</v>
      </c>
      <c r="B2" s="94">
        <v>1000</v>
      </c>
      <c r="D2" s="96" t="s">
        <v>47</v>
      </c>
      <c r="E2" s="94">
        <v>1000</v>
      </c>
      <c r="G2" s="96" t="s">
        <v>48</v>
      </c>
      <c r="H2" s="94">
        <f>1/252</f>
        <v>3.968253968253968E-3</v>
      </c>
    </row>
    <row r="3" spans="1:10" x14ac:dyDescent="0.25">
      <c r="A3" s="96" t="s">
        <v>49</v>
      </c>
      <c r="B3" s="94">
        <v>0.2</v>
      </c>
      <c r="D3" s="96" t="s">
        <v>50</v>
      </c>
      <c r="E3" s="94">
        <v>1</v>
      </c>
      <c r="G3" s="96" t="s">
        <v>33</v>
      </c>
      <c r="H3" s="94">
        <v>0.95</v>
      </c>
    </row>
    <row r="4" spans="1:10" x14ac:dyDescent="0.25">
      <c r="A4" s="96" t="s">
        <v>51</v>
      </c>
      <c r="B4" s="94">
        <v>0.3</v>
      </c>
      <c r="D4" s="96" t="s">
        <v>39</v>
      </c>
      <c r="E4" s="94">
        <v>0.1</v>
      </c>
      <c r="G4" s="96" t="s">
        <v>72</v>
      </c>
      <c r="H4" s="97">
        <f>+_xlfn.PERCENTILE.EXC(J8:J1007,1-H3)</f>
        <v>229.20579736638274</v>
      </c>
    </row>
    <row r="5" spans="1:10" x14ac:dyDescent="0.25">
      <c r="G5" s="96" t="s">
        <v>73</v>
      </c>
      <c r="H5" s="97">
        <f>-(H4-E13)</f>
        <v>10.314292317309764</v>
      </c>
    </row>
    <row r="6" spans="1:10" x14ac:dyDescent="0.25">
      <c r="A6" s="98" t="s">
        <v>63</v>
      </c>
    </row>
    <row r="7" spans="1:10" x14ac:dyDescent="0.25">
      <c r="A7" s="96" t="s">
        <v>52</v>
      </c>
      <c r="B7" s="99">
        <f>+(B3-0.5*B4^2)*H2</f>
        <v>6.1507936507936511E-4</v>
      </c>
      <c r="J7" s="94" t="s">
        <v>71</v>
      </c>
    </row>
    <row r="8" spans="1:10" x14ac:dyDescent="0.25">
      <c r="A8" s="96" t="s">
        <v>54</v>
      </c>
      <c r="B8" s="85">
        <f>+B4*H2^0.5</f>
        <v>1.8898223650461361E-2</v>
      </c>
      <c r="I8" s="94">
        <v>1</v>
      </c>
      <c r="J8" s="97">
        <v>239.30595288813436</v>
      </c>
    </row>
    <row r="9" spans="1:10" x14ac:dyDescent="0.25">
      <c r="I9" s="94">
        <v>2</v>
      </c>
      <c r="J9" s="97">
        <v>243.60714769354877</v>
      </c>
    </row>
    <row r="10" spans="1:10" x14ac:dyDescent="0.25">
      <c r="A10" s="102" t="s">
        <v>64</v>
      </c>
      <c r="D10" s="102" t="s">
        <v>68</v>
      </c>
      <c r="I10" s="94">
        <v>3</v>
      </c>
      <c r="J10" s="97">
        <v>238.20768315168186</v>
      </c>
    </row>
    <row r="11" spans="1:10" x14ac:dyDescent="0.25">
      <c r="A11" s="94" t="s">
        <v>53</v>
      </c>
      <c r="B11" s="94" cm="1">
        <f t="array" ref="B11">+bs(B2,E2,B4,E4,E3)</f>
        <v>167.34133582386653</v>
      </c>
      <c r="D11" s="105" t="s">
        <v>53</v>
      </c>
      <c r="E11" s="97">
        <f>+bs(B2,E2,B4,E4,E3)</f>
        <v>167.34133582386653</v>
      </c>
      <c r="I11" s="94">
        <v>4</v>
      </c>
      <c r="J11" s="97">
        <v>237.77203900220024</v>
      </c>
    </row>
    <row r="12" spans="1:10" x14ac:dyDescent="0.25">
      <c r="A12" s="94" t="s">
        <v>66</v>
      </c>
      <c r="B12" s="104">
        <f>+NORMSINV(1-H3)*B8+B7</f>
        <v>-3.0469732349322085E-2</v>
      </c>
      <c r="D12" s="105" t="s">
        <v>55</v>
      </c>
      <c r="E12" s="97">
        <f>+E11+E2*EXP(-E4*E3)-B2</f>
        <v>72.178753859825974</v>
      </c>
      <c r="I12" s="94">
        <v>5</v>
      </c>
      <c r="J12" s="97">
        <v>236.31035311395334</v>
      </c>
    </row>
    <row r="13" spans="1:10" x14ac:dyDescent="0.25">
      <c r="A13" s="94" t="s">
        <v>65</v>
      </c>
      <c r="B13" s="103">
        <f>+B2*EXP(B12)</f>
        <v>969.98979093504943</v>
      </c>
      <c r="D13" s="105" t="s">
        <v>56</v>
      </c>
      <c r="E13" s="97">
        <f>+E11+E12</f>
        <v>239.5200896836925</v>
      </c>
      <c r="I13" s="94">
        <v>6</v>
      </c>
      <c r="J13" s="97">
        <v>242.90972574913258</v>
      </c>
    </row>
    <row r="14" spans="1:10" x14ac:dyDescent="0.25">
      <c r="A14" s="94" t="s">
        <v>67</v>
      </c>
      <c r="B14" s="94" cm="1">
        <f t="array" ref="B14">+bs(B13,E2,B4,E4,+E3-H2)</f>
        <v>146.90821956980824</v>
      </c>
      <c r="G14" s="96"/>
      <c r="I14" s="94">
        <v>7</v>
      </c>
      <c r="J14" s="97">
        <v>232.57377230330957</v>
      </c>
    </row>
    <row r="15" spans="1:10" x14ac:dyDescent="0.25">
      <c r="A15" s="94" t="s">
        <v>4</v>
      </c>
      <c r="B15" s="101">
        <f>-(B14-B11)</f>
        <v>20.433116254058291</v>
      </c>
      <c r="D15" s="102" t="s">
        <v>70</v>
      </c>
      <c r="G15" s="97"/>
      <c r="I15" s="94">
        <v>8</v>
      </c>
      <c r="J15" s="97">
        <v>241.4574028575272</v>
      </c>
    </row>
    <row r="16" spans="1:10" x14ac:dyDescent="0.25">
      <c r="D16" s="96" t="s">
        <v>57</v>
      </c>
      <c r="E16" s="97">
        <f ca="1">+_xlfn.NORM.S.INV(RAND())</f>
        <v>0.16688805725748426</v>
      </c>
      <c r="G16" s="97"/>
      <c r="I16" s="94">
        <v>9</v>
      </c>
      <c r="J16" s="97">
        <v>243.17850568680899</v>
      </c>
    </row>
    <row r="17" spans="2:10" x14ac:dyDescent="0.25">
      <c r="D17" s="96" t="s">
        <v>69</v>
      </c>
      <c r="E17" s="97">
        <f ca="1">+B7+E16*B8</f>
        <v>3.7689671957223036E-3</v>
      </c>
      <c r="G17" s="97"/>
      <c r="I17" s="94">
        <v>10</v>
      </c>
      <c r="J17" s="97">
        <v>232.83159676318547</v>
      </c>
    </row>
    <row r="18" spans="2:10" x14ac:dyDescent="0.25">
      <c r="D18" s="96" t="s">
        <v>58</v>
      </c>
      <c r="E18" s="97">
        <f ca="1">+B2*EXP(E17)</f>
        <v>1003.7760786840988</v>
      </c>
      <c r="G18" s="97"/>
      <c r="I18" s="94">
        <v>11</v>
      </c>
      <c r="J18" s="97">
        <v>241.38105023280627</v>
      </c>
    </row>
    <row r="19" spans="2:10" x14ac:dyDescent="0.25">
      <c r="D19" s="96" t="s">
        <v>59</v>
      </c>
      <c r="E19" s="97">
        <f ca="1">+bs(E18,E2,B4,E4,E3-H2)</f>
        <v>169.52003758001115</v>
      </c>
      <c r="G19" s="97"/>
      <c r="I19" s="94">
        <v>12</v>
      </c>
      <c r="J19" s="97">
        <v>229.8283291867395</v>
      </c>
    </row>
    <row r="20" spans="2:10" x14ac:dyDescent="0.25">
      <c r="D20" s="96" t="s">
        <v>60</v>
      </c>
      <c r="E20" s="97">
        <f ca="1">+E19+E2*EXP(-E4*(E3-H2))-E18</f>
        <v>70.940510651324303</v>
      </c>
      <c r="G20" s="97"/>
      <c r="I20" s="94">
        <v>13</v>
      </c>
      <c r="J20" s="97">
        <v>240.63737083215324</v>
      </c>
    </row>
    <row r="21" spans="2:10" x14ac:dyDescent="0.25">
      <c r="D21" s="96" t="s">
        <v>12</v>
      </c>
      <c r="E21" s="97">
        <f ca="1">+E19+E20</f>
        <v>240.46054823133545</v>
      </c>
      <c r="G21" s="97"/>
      <c r="I21" s="94">
        <v>14</v>
      </c>
      <c r="J21" s="97">
        <v>237.58561431886949</v>
      </c>
    </row>
    <row r="22" spans="2:10" x14ac:dyDescent="0.25">
      <c r="G22" s="97"/>
      <c r="I22" s="94">
        <v>15</v>
      </c>
      <c r="J22" s="97">
        <v>240.93661764122749</v>
      </c>
    </row>
    <row r="23" spans="2:10" x14ac:dyDescent="0.25">
      <c r="G23" s="97"/>
      <c r="I23" s="94">
        <v>16</v>
      </c>
      <c r="J23" s="97">
        <v>248.73218437002731</v>
      </c>
    </row>
    <row r="24" spans="2:10" x14ac:dyDescent="0.25">
      <c r="G24" s="97"/>
      <c r="I24" s="94">
        <v>17</v>
      </c>
      <c r="J24" s="97">
        <v>250.71730440152635</v>
      </c>
    </row>
    <row r="25" spans="2:10" x14ac:dyDescent="0.25">
      <c r="G25" s="97"/>
      <c r="I25" s="94">
        <v>18</v>
      </c>
      <c r="J25" s="97">
        <v>235.02020246172827</v>
      </c>
    </row>
    <row r="26" spans="2:10" x14ac:dyDescent="0.25">
      <c r="I26" s="94">
        <v>19</v>
      </c>
      <c r="J26" s="97">
        <v>245.74726332813077</v>
      </c>
    </row>
    <row r="27" spans="2:10" x14ac:dyDescent="0.25">
      <c r="I27" s="94">
        <v>20</v>
      </c>
      <c r="J27" s="97">
        <v>233.18754386007242</v>
      </c>
    </row>
    <row r="28" spans="2:10" x14ac:dyDescent="0.25">
      <c r="I28" s="94">
        <v>21</v>
      </c>
      <c r="J28" s="97">
        <v>233.53611786699565</v>
      </c>
    </row>
    <row r="29" spans="2:10" ht="13" x14ac:dyDescent="0.3">
      <c r="B29" s="100"/>
      <c r="C29" s="100"/>
      <c r="I29" s="94">
        <v>22</v>
      </c>
      <c r="J29" s="97">
        <v>231.0929773878438</v>
      </c>
    </row>
    <row r="30" spans="2:10" x14ac:dyDescent="0.25">
      <c r="B30" s="101"/>
      <c r="I30" s="94">
        <v>23</v>
      </c>
      <c r="J30" s="97">
        <v>239.35343075189519</v>
      </c>
    </row>
    <row r="31" spans="2:10" x14ac:dyDescent="0.25">
      <c r="B31" s="101"/>
      <c r="I31" s="94">
        <v>24</v>
      </c>
      <c r="J31" s="97">
        <v>244.91961714705315</v>
      </c>
    </row>
    <row r="32" spans="2:10" x14ac:dyDescent="0.25">
      <c r="B32" s="101"/>
      <c r="I32" s="94">
        <v>25</v>
      </c>
      <c r="J32" s="97">
        <v>230.27030472194838</v>
      </c>
    </row>
    <row r="33" spans="2:10" x14ac:dyDescent="0.25">
      <c r="B33" s="101"/>
      <c r="I33" s="94">
        <v>26</v>
      </c>
      <c r="J33" s="97">
        <v>246.28119934557844</v>
      </c>
    </row>
    <row r="34" spans="2:10" x14ac:dyDescent="0.25">
      <c r="B34" s="101"/>
      <c r="I34" s="94">
        <v>27</v>
      </c>
      <c r="J34" s="97">
        <v>239.87314544375783</v>
      </c>
    </row>
    <row r="35" spans="2:10" x14ac:dyDescent="0.25">
      <c r="B35" s="101"/>
      <c r="I35" s="94">
        <v>28</v>
      </c>
      <c r="J35" s="97">
        <v>246.46829507547397</v>
      </c>
    </row>
    <row r="36" spans="2:10" x14ac:dyDescent="0.25">
      <c r="B36" s="101"/>
      <c r="I36" s="94">
        <v>29</v>
      </c>
      <c r="J36" s="97">
        <v>232.86516003044875</v>
      </c>
    </row>
    <row r="37" spans="2:10" x14ac:dyDescent="0.25">
      <c r="B37" s="101"/>
      <c r="I37" s="94">
        <v>30</v>
      </c>
      <c r="J37" s="97">
        <v>245.20155715923261</v>
      </c>
    </row>
    <row r="38" spans="2:10" x14ac:dyDescent="0.25">
      <c r="B38" s="101"/>
      <c r="I38" s="94">
        <v>31</v>
      </c>
      <c r="J38" s="97">
        <v>254.08550952157179</v>
      </c>
    </row>
    <row r="39" spans="2:10" x14ac:dyDescent="0.25">
      <c r="B39" s="101"/>
      <c r="I39" s="94">
        <v>32</v>
      </c>
      <c r="J39" s="97">
        <v>236.47255894482811</v>
      </c>
    </row>
    <row r="40" spans="2:10" x14ac:dyDescent="0.25">
      <c r="B40" s="101"/>
      <c r="I40" s="94">
        <v>33</v>
      </c>
      <c r="J40" s="97">
        <v>246.08827690803241</v>
      </c>
    </row>
    <row r="41" spans="2:10" x14ac:dyDescent="0.25">
      <c r="I41" s="94">
        <v>34</v>
      </c>
      <c r="J41" s="97">
        <v>246.85247506388498</v>
      </c>
    </row>
    <row r="42" spans="2:10" x14ac:dyDescent="0.25">
      <c r="I42" s="94">
        <v>35</v>
      </c>
      <c r="J42" s="97">
        <v>238.97315072638526</v>
      </c>
    </row>
    <row r="43" spans="2:10" x14ac:dyDescent="0.25">
      <c r="I43" s="94">
        <v>36</v>
      </c>
      <c r="J43" s="97">
        <v>247.3395544135044</v>
      </c>
    </row>
    <row r="44" spans="2:10" x14ac:dyDescent="0.25">
      <c r="I44" s="94">
        <v>37</v>
      </c>
      <c r="J44" s="97">
        <v>247.39273156784429</v>
      </c>
    </row>
    <row r="45" spans="2:10" x14ac:dyDescent="0.25">
      <c r="I45" s="94">
        <v>38</v>
      </c>
      <c r="J45" s="97">
        <v>228.22498703597995</v>
      </c>
    </row>
    <row r="46" spans="2:10" x14ac:dyDescent="0.25">
      <c r="I46" s="94">
        <v>39</v>
      </c>
      <c r="J46" s="97">
        <v>238.49756535886388</v>
      </c>
    </row>
    <row r="47" spans="2:10" x14ac:dyDescent="0.25">
      <c r="I47" s="94">
        <v>40</v>
      </c>
      <c r="J47" s="97">
        <v>239.92997011476461</v>
      </c>
    </row>
    <row r="48" spans="2:10" x14ac:dyDescent="0.25">
      <c r="I48" s="94">
        <v>41</v>
      </c>
      <c r="J48" s="97">
        <v>232.82835376613258</v>
      </c>
    </row>
    <row r="49" spans="9:10" x14ac:dyDescent="0.25">
      <c r="I49" s="94">
        <v>42</v>
      </c>
      <c r="J49" s="97">
        <v>232.65049560634282</v>
      </c>
    </row>
    <row r="50" spans="9:10" x14ac:dyDescent="0.25">
      <c r="I50" s="94">
        <v>43</v>
      </c>
      <c r="J50" s="97">
        <v>233.76386498029018</v>
      </c>
    </row>
    <row r="51" spans="9:10" x14ac:dyDescent="0.25">
      <c r="I51" s="94">
        <v>44</v>
      </c>
      <c r="J51" s="97">
        <v>235.49038663969276</v>
      </c>
    </row>
    <row r="52" spans="9:10" x14ac:dyDescent="0.25">
      <c r="I52" s="94">
        <v>45</v>
      </c>
      <c r="J52" s="97">
        <v>239.58511865440857</v>
      </c>
    </row>
    <row r="53" spans="9:10" x14ac:dyDescent="0.25">
      <c r="I53" s="94">
        <v>46</v>
      </c>
      <c r="J53" s="97">
        <v>229.71529842283667</v>
      </c>
    </row>
    <row r="54" spans="9:10" x14ac:dyDescent="0.25">
      <c r="I54" s="94">
        <v>47</v>
      </c>
      <c r="J54" s="97">
        <v>242.50071207840801</v>
      </c>
    </row>
    <row r="55" spans="9:10" x14ac:dyDescent="0.25">
      <c r="I55" s="94">
        <v>48</v>
      </c>
      <c r="J55" s="97">
        <v>231.19923906923225</v>
      </c>
    </row>
    <row r="56" spans="9:10" x14ac:dyDescent="0.25">
      <c r="I56" s="94">
        <v>49</v>
      </c>
      <c r="J56" s="97">
        <v>232.14328861853801</v>
      </c>
    </row>
    <row r="57" spans="9:10" x14ac:dyDescent="0.25">
      <c r="I57" s="94">
        <v>50</v>
      </c>
      <c r="J57" s="97">
        <v>229.78946321611295</v>
      </c>
    </row>
    <row r="58" spans="9:10" x14ac:dyDescent="0.25">
      <c r="I58" s="94">
        <v>51</v>
      </c>
      <c r="J58" s="97">
        <v>247.45205100179373</v>
      </c>
    </row>
    <row r="59" spans="9:10" x14ac:dyDescent="0.25">
      <c r="I59" s="94">
        <v>52</v>
      </c>
      <c r="J59" s="97">
        <v>236.56304156335244</v>
      </c>
    </row>
    <row r="60" spans="9:10" x14ac:dyDescent="0.25">
      <c r="I60" s="94">
        <v>53</v>
      </c>
      <c r="J60" s="97">
        <v>239.40298300716609</v>
      </c>
    </row>
    <row r="61" spans="9:10" x14ac:dyDescent="0.25">
      <c r="I61" s="94">
        <v>54</v>
      </c>
      <c r="J61" s="97">
        <v>238.28208946776658</v>
      </c>
    </row>
    <row r="62" spans="9:10" x14ac:dyDescent="0.25">
      <c r="I62" s="94">
        <v>55</v>
      </c>
      <c r="J62" s="97">
        <v>237.93795846319551</v>
      </c>
    </row>
    <row r="63" spans="9:10" x14ac:dyDescent="0.25">
      <c r="I63" s="94">
        <v>56</v>
      </c>
      <c r="J63" s="97">
        <v>217.37863595338223</v>
      </c>
    </row>
    <row r="64" spans="9:10" x14ac:dyDescent="0.25">
      <c r="I64" s="94">
        <v>57</v>
      </c>
      <c r="J64" s="97">
        <v>242.2617571953989</v>
      </c>
    </row>
    <row r="65" spans="9:10" x14ac:dyDescent="0.25">
      <c r="I65" s="94">
        <v>58</v>
      </c>
      <c r="J65" s="97">
        <v>238.9344834947857</v>
      </c>
    </row>
    <row r="66" spans="9:10" x14ac:dyDescent="0.25">
      <c r="I66" s="94">
        <v>59</v>
      </c>
      <c r="J66" s="97">
        <v>240.4931450211933</v>
      </c>
    </row>
    <row r="67" spans="9:10" x14ac:dyDescent="0.25">
      <c r="I67" s="94">
        <v>60</v>
      </c>
      <c r="J67" s="97">
        <v>242.94323158017573</v>
      </c>
    </row>
    <row r="68" spans="9:10" x14ac:dyDescent="0.25">
      <c r="I68" s="94">
        <v>61</v>
      </c>
      <c r="J68" s="97">
        <v>242.15586078645731</v>
      </c>
    </row>
    <row r="69" spans="9:10" x14ac:dyDescent="0.25">
      <c r="I69" s="94">
        <v>62</v>
      </c>
      <c r="J69" s="97">
        <v>235.59563647294539</v>
      </c>
    </row>
    <row r="70" spans="9:10" x14ac:dyDescent="0.25">
      <c r="I70" s="94">
        <v>63</v>
      </c>
      <c r="J70" s="97">
        <v>240.81894264546258</v>
      </c>
    </row>
    <row r="71" spans="9:10" x14ac:dyDescent="0.25">
      <c r="I71" s="94">
        <v>64</v>
      </c>
      <c r="J71" s="97">
        <v>238.58180569668002</v>
      </c>
    </row>
    <row r="72" spans="9:10" x14ac:dyDescent="0.25">
      <c r="I72" s="94">
        <v>65</v>
      </c>
      <c r="J72" s="97">
        <v>231.14064381596961</v>
      </c>
    </row>
    <row r="73" spans="9:10" x14ac:dyDescent="0.25">
      <c r="I73" s="94">
        <v>66</v>
      </c>
      <c r="J73" s="97">
        <v>234.73127351564767</v>
      </c>
    </row>
    <row r="74" spans="9:10" x14ac:dyDescent="0.25">
      <c r="I74" s="94">
        <v>67</v>
      </c>
      <c r="J74" s="97">
        <v>236.37173784086576</v>
      </c>
    </row>
    <row r="75" spans="9:10" x14ac:dyDescent="0.25">
      <c r="I75" s="94">
        <v>68</v>
      </c>
      <c r="J75" s="97">
        <v>234.40113272212722</v>
      </c>
    </row>
    <row r="76" spans="9:10" x14ac:dyDescent="0.25">
      <c r="I76" s="94">
        <v>69</v>
      </c>
      <c r="J76" s="97">
        <v>230.54541377930508</v>
      </c>
    </row>
    <row r="77" spans="9:10" x14ac:dyDescent="0.25">
      <c r="I77" s="94">
        <v>70</v>
      </c>
      <c r="J77" s="97">
        <v>238.24830302260136</v>
      </c>
    </row>
    <row r="78" spans="9:10" x14ac:dyDescent="0.25">
      <c r="I78" s="94">
        <v>71</v>
      </c>
      <c r="J78" s="97">
        <v>248.73642173295673</v>
      </c>
    </row>
    <row r="79" spans="9:10" x14ac:dyDescent="0.25">
      <c r="I79" s="94">
        <v>72</v>
      </c>
      <c r="J79" s="97">
        <v>233.51212390339435</v>
      </c>
    </row>
    <row r="80" spans="9:10" x14ac:dyDescent="0.25">
      <c r="I80" s="94">
        <v>73</v>
      </c>
      <c r="J80" s="97">
        <v>241.49126923989456</v>
      </c>
    </row>
    <row r="81" spans="9:10" x14ac:dyDescent="0.25">
      <c r="I81" s="94">
        <v>74</v>
      </c>
      <c r="J81" s="97">
        <v>237.69088735769378</v>
      </c>
    </row>
    <row r="82" spans="9:10" x14ac:dyDescent="0.25">
      <c r="I82" s="94">
        <v>75</v>
      </c>
      <c r="J82" s="97">
        <v>238.04303832288701</v>
      </c>
    </row>
    <row r="83" spans="9:10" x14ac:dyDescent="0.25">
      <c r="I83" s="94">
        <v>76</v>
      </c>
      <c r="J83" s="97">
        <v>241.43947533334574</v>
      </c>
    </row>
    <row r="84" spans="9:10" x14ac:dyDescent="0.25">
      <c r="I84" s="94">
        <v>77</v>
      </c>
      <c r="J84" s="97">
        <v>249.13089877384141</v>
      </c>
    </row>
    <row r="85" spans="9:10" x14ac:dyDescent="0.25">
      <c r="I85" s="94">
        <v>78</v>
      </c>
      <c r="J85" s="97">
        <v>242.0525214008436</v>
      </c>
    </row>
    <row r="86" spans="9:10" x14ac:dyDescent="0.25">
      <c r="I86" s="94">
        <v>79</v>
      </c>
      <c r="J86" s="97">
        <v>244.2307866003755</v>
      </c>
    </row>
    <row r="87" spans="9:10" x14ac:dyDescent="0.25">
      <c r="I87" s="94">
        <v>80</v>
      </c>
      <c r="J87" s="97">
        <v>235.88953317092131</v>
      </c>
    </row>
    <row r="88" spans="9:10" x14ac:dyDescent="0.25">
      <c r="I88" s="94">
        <v>81</v>
      </c>
      <c r="J88" s="97">
        <v>257.11741502873758</v>
      </c>
    </row>
    <row r="89" spans="9:10" x14ac:dyDescent="0.25">
      <c r="I89" s="94">
        <v>82</v>
      </c>
      <c r="J89" s="97">
        <v>232.700063855606</v>
      </c>
    </row>
    <row r="90" spans="9:10" x14ac:dyDescent="0.25">
      <c r="I90" s="94">
        <v>83</v>
      </c>
      <c r="J90" s="97">
        <v>242.79487286032429</v>
      </c>
    </row>
    <row r="91" spans="9:10" x14ac:dyDescent="0.25">
      <c r="I91" s="94">
        <v>84</v>
      </c>
      <c r="J91" s="97">
        <v>242.11708926869346</v>
      </c>
    </row>
    <row r="92" spans="9:10" x14ac:dyDescent="0.25">
      <c r="I92" s="94">
        <v>85</v>
      </c>
      <c r="J92" s="97">
        <v>249.94653136667171</v>
      </c>
    </row>
    <row r="93" spans="9:10" x14ac:dyDescent="0.25">
      <c r="I93" s="94">
        <v>86</v>
      </c>
      <c r="J93" s="97">
        <v>242.12565696548961</v>
      </c>
    </row>
    <row r="94" spans="9:10" x14ac:dyDescent="0.25">
      <c r="I94" s="94">
        <v>87</v>
      </c>
      <c r="J94" s="97">
        <v>240.55020440131682</v>
      </c>
    </row>
    <row r="95" spans="9:10" x14ac:dyDescent="0.25">
      <c r="I95" s="94">
        <v>88</v>
      </c>
      <c r="J95" s="97">
        <v>227.5022802455436</v>
      </c>
    </row>
    <row r="96" spans="9:10" x14ac:dyDescent="0.25">
      <c r="I96" s="94">
        <v>89</v>
      </c>
      <c r="J96" s="97">
        <v>230.81996734610192</v>
      </c>
    </row>
    <row r="97" spans="9:10" x14ac:dyDescent="0.25">
      <c r="I97" s="94">
        <v>90</v>
      </c>
      <c r="J97" s="97">
        <v>235.59366952296932</v>
      </c>
    </row>
    <row r="98" spans="9:10" x14ac:dyDescent="0.25">
      <c r="I98" s="94">
        <v>91</v>
      </c>
      <c r="J98" s="97">
        <v>237.4334378948738</v>
      </c>
    </row>
    <row r="99" spans="9:10" x14ac:dyDescent="0.25">
      <c r="I99" s="94">
        <v>92</v>
      </c>
      <c r="J99" s="97">
        <v>231.28252717596217</v>
      </c>
    </row>
    <row r="100" spans="9:10" x14ac:dyDescent="0.25">
      <c r="I100" s="94">
        <v>93</v>
      </c>
      <c r="J100" s="97">
        <v>225.62519369631212</v>
      </c>
    </row>
    <row r="101" spans="9:10" x14ac:dyDescent="0.25">
      <c r="I101" s="94">
        <v>94</v>
      </c>
      <c r="J101" s="97">
        <v>235.71195650289047</v>
      </c>
    </row>
    <row r="102" spans="9:10" x14ac:dyDescent="0.25">
      <c r="I102" s="94">
        <v>95</v>
      </c>
      <c r="J102" s="97">
        <v>238.23656476207327</v>
      </c>
    </row>
    <row r="103" spans="9:10" x14ac:dyDescent="0.25">
      <c r="I103" s="94">
        <v>96</v>
      </c>
      <c r="J103" s="97">
        <v>235.39786457262517</v>
      </c>
    </row>
    <row r="104" spans="9:10" x14ac:dyDescent="0.25">
      <c r="I104" s="94">
        <v>97</v>
      </c>
      <c r="J104" s="97">
        <v>244.59047060541843</v>
      </c>
    </row>
    <row r="105" spans="9:10" x14ac:dyDescent="0.25">
      <c r="I105" s="94">
        <v>98</v>
      </c>
      <c r="J105" s="97">
        <v>240.7566050545239</v>
      </c>
    </row>
    <row r="106" spans="9:10" x14ac:dyDescent="0.25">
      <c r="I106" s="94">
        <v>99</v>
      </c>
      <c r="J106" s="97">
        <v>237.65951728869925</v>
      </c>
    </row>
    <row r="107" spans="9:10" x14ac:dyDescent="0.25">
      <c r="I107" s="94">
        <v>100</v>
      </c>
      <c r="J107" s="97">
        <v>242.86323648115092</v>
      </c>
    </row>
    <row r="108" spans="9:10" x14ac:dyDescent="0.25">
      <c r="I108" s="94">
        <v>101</v>
      </c>
      <c r="J108" s="101">
        <v>238.58200507285062</v>
      </c>
    </row>
    <row r="109" spans="9:10" x14ac:dyDescent="0.25">
      <c r="I109" s="94">
        <v>102</v>
      </c>
      <c r="J109" s="101">
        <v>247.83778575728365</v>
      </c>
    </row>
    <row r="110" spans="9:10" x14ac:dyDescent="0.25">
      <c r="I110" s="94">
        <v>103</v>
      </c>
      <c r="J110" s="101">
        <v>236.69506869844798</v>
      </c>
    </row>
    <row r="111" spans="9:10" x14ac:dyDescent="0.25">
      <c r="I111" s="94">
        <v>104</v>
      </c>
      <c r="J111" s="101">
        <v>227.25347514930246</v>
      </c>
    </row>
    <row r="112" spans="9:10" x14ac:dyDescent="0.25">
      <c r="I112" s="94">
        <v>105</v>
      </c>
      <c r="J112" s="101">
        <v>242.0127842781036</v>
      </c>
    </row>
    <row r="113" spans="9:10" x14ac:dyDescent="0.25">
      <c r="I113" s="94">
        <v>106</v>
      </c>
      <c r="J113" s="101">
        <v>236.93933490996415</v>
      </c>
    </row>
    <row r="114" spans="9:10" x14ac:dyDescent="0.25">
      <c r="I114" s="94">
        <v>107</v>
      </c>
      <c r="J114" s="101">
        <v>246.78749336133569</v>
      </c>
    </row>
    <row r="115" spans="9:10" x14ac:dyDescent="0.25">
      <c r="I115" s="94">
        <v>108</v>
      </c>
      <c r="J115" s="101">
        <v>239.72420911432846</v>
      </c>
    </row>
    <row r="116" spans="9:10" x14ac:dyDescent="0.25">
      <c r="I116" s="94">
        <v>109</v>
      </c>
      <c r="J116" s="101">
        <v>240.83001350891777</v>
      </c>
    </row>
    <row r="117" spans="9:10" x14ac:dyDescent="0.25">
      <c r="I117" s="94">
        <v>110</v>
      </c>
      <c r="J117" s="101">
        <v>242.35354380735896</v>
      </c>
    </row>
    <row r="118" spans="9:10" x14ac:dyDescent="0.25">
      <c r="I118" s="94">
        <v>111</v>
      </c>
      <c r="J118" s="101">
        <v>254.35603087875813</v>
      </c>
    </row>
    <row r="119" spans="9:10" x14ac:dyDescent="0.25">
      <c r="I119" s="94">
        <v>112</v>
      </c>
      <c r="J119" s="101">
        <v>247.08739719110702</v>
      </c>
    </row>
    <row r="120" spans="9:10" x14ac:dyDescent="0.25">
      <c r="I120" s="94">
        <v>113</v>
      </c>
      <c r="J120" s="101">
        <v>241.60993709037928</v>
      </c>
    </row>
    <row r="121" spans="9:10" x14ac:dyDescent="0.25">
      <c r="I121" s="94">
        <v>114</v>
      </c>
      <c r="J121" s="101">
        <v>239.35084171701988</v>
      </c>
    </row>
    <row r="122" spans="9:10" x14ac:dyDescent="0.25">
      <c r="I122" s="94">
        <v>115</v>
      </c>
      <c r="J122" s="101">
        <v>246.46455060008475</v>
      </c>
    </row>
    <row r="123" spans="9:10" x14ac:dyDescent="0.25">
      <c r="I123" s="94">
        <v>116</v>
      </c>
      <c r="J123" s="101">
        <v>228.70567467889424</v>
      </c>
    </row>
    <row r="124" spans="9:10" x14ac:dyDescent="0.25">
      <c r="I124" s="94">
        <v>117</v>
      </c>
      <c r="J124" s="101">
        <v>243.48274330457582</v>
      </c>
    </row>
    <row r="125" spans="9:10" x14ac:dyDescent="0.25">
      <c r="I125" s="94">
        <v>118</v>
      </c>
      <c r="J125" s="101">
        <v>248.44764023609616</v>
      </c>
    </row>
    <row r="126" spans="9:10" x14ac:dyDescent="0.25">
      <c r="I126" s="94">
        <v>119</v>
      </c>
      <c r="J126" s="101">
        <v>243.45382700523783</v>
      </c>
    </row>
    <row r="127" spans="9:10" x14ac:dyDescent="0.25">
      <c r="I127" s="94">
        <v>120</v>
      </c>
      <c r="J127" s="101">
        <v>237.37398790009433</v>
      </c>
    </row>
    <row r="128" spans="9:10" x14ac:dyDescent="0.25">
      <c r="I128" s="94">
        <v>121</v>
      </c>
      <c r="J128" s="101">
        <v>246.07723528610006</v>
      </c>
    </row>
    <row r="129" spans="9:10" x14ac:dyDescent="0.25">
      <c r="I129" s="94">
        <v>122</v>
      </c>
      <c r="J129" s="101">
        <v>234.2143128398863</v>
      </c>
    </row>
    <row r="130" spans="9:10" x14ac:dyDescent="0.25">
      <c r="I130" s="94">
        <v>123</v>
      </c>
      <c r="J130" s="94">
        <v>247.45260803985354</v>
      </c>
    </row>
    <row r="131" spans="9:10" x14ac:dyDescent="0.25">
      <c r="I131" s="94">
        <v>124</v>
      </c>
      <c r="J131" s="94">
        <v>234.83975192834248</v>
      </c>
    </row>
    <row r="132" spans="9:10" x14ac:dyDescent="0.25">
      <c r="I132" s="94">
        <v>125</v>
      </c>
      <c r="J132" s="94">
        <v>237.14475616768937</v>
      </c>
    </row>
    <row r="133" spans="9:10" x14ac:dyDescent="0.25">
      <c r="I133" s="94">
        <v>126</v>
      </c>
      <c r="J133" s="94">
        <v>240.29753300675884</v>
      </c>
    </row>
    <row r="134" spans="9:10" x14ac:dyDescent="0.25">
      <c r="I134" s="94">
        <v>127</v>
      </c>
      <c r="J134" s="94">
        <v>233.28782345689359</v>
      </c>
    </row>
    <row r="135" spans="9:10" x14ac:dyDescent="0.25">
      <c r="I135" s="94">
        <v>128</v>
      </c>
      <c r="J135" s="94">
        <v>241.08572529647086</v>
      </c>
    </row>
    <row r="136" spans="9:10" x14ac:dyDescent="0.25">
      <c r="I136" s="94">
        <v>129</v>
      </c>
      <c r="J136" s="94">
        <v>231.25372481864019</v>
      </c>
    </row>
    <row r="137" spans="9:10" x14ac:dyDescent="0.25">
      <c r="I137" s="94">
        <v>130</v>
      </c>
      <c r="J137" s="94">
        <v>243.60936947800792</v>
      </c>
    </row>
    <row r="138" spans="9:10" x14ac:dyDescent="0.25">
      <c r="I138" s="94">
        <v>131</v>
      </c>
      <c r="J138" s="94">
        <v>250.55816765442535</v>
      </c>
    </row>
    <row r="139" spans="9:10" x14ac:dyDescent="0.25">
      <c r="I139" s="94">
        <v>132</v>
      </c>
      <c r="J139" s="94">
        <v>236.77234724406986</v>
      </c>
    </row>
    <row r="140" spans="9:10" x14ac:dyDescent="0.25">
      <c r="I140" s="94">
        <v>133</v>
      </c>
      <c r="J140" s="94">
        <v>244.93180919337783</v>
      </c>
    </row>
    <row r="141" spans="9:10" x14ac:dyDescent="0.25">
      <c r="I141" s="94">
        <v>134</v>
      </c>
      <c r="J141" s="94">
        <v>232.45742027370898</v>
      </c>
    </row>
    <row r="142" spans="9:10" x14ac:dyDescent="0.25">
      <c r="I142" s="94">
        <v>135</v>
      </c>
      <c r="J142" s="94">
        <v>234.45853597472734</v>
      </c>
    </row>
    <row r="143" spans="9:10" x14ac:dyDescent="0.25">
      <c r="I143" s="94">
        <v>136</v>
      </c>
      <c r="J143" s="94">
        <v>251.85626972667205</v>
      </c>
    </row>
    <row r="144" spans="9:10" x14ac:dyDescent="0.25">
      <c r="I144" s="94">
        <v>137</v>
      </c>
      <c r="J144" s="94">
        <v>243.01645741435505</v>
      </c>
    </row>
    <row r="145" spans="9:10" x14ac:dyDescent="0.25">
      <c r="I145" s="94">
        <v>138</v>
      </c>
      <c r="J145" s="94">
        <v>248.04017285668635</v>
      </c>
    </row>
    <row r="146" spans="9:10" x14ac:dyDescent="0.25">
      <c r="I146" s="94">
        <v>139</v>
      </c>
      <c r="J146" s="94">
        <v>228.14166520250075</v>
      </c>
    </row>
    <row r="147" spans="9:10" x14ac:dyDescent="0.25">
      <c r="I147" s="94">
        <v>140</v>
      </c>
      <c r="J147" s="94">
        <v>230.41081451051247</v>
      </c>
    </row>
    <row r="148" spans="9:10" x14ac:dyDescent="0.25">
      <c r="I148" s="94">
        <v>141</v>
      </c>
      <c r="J148" s="94">
        <v>238.26912203916754</v>
      </c>
    </row>
    <row r="149" spans="9:10" x14ac:dyDescent="0.25">
      <c r="I149" s="94">
        <v>142</v>
      </c>
      <c r="J149" s="94">
        <v>243.6940510083009</v>
      </c>
    </row>
    <row r="150" spans="9:10" x14ac:dyDescent="0.25">
      <c r="I150" s="94">
        <v>143</v>
      </c>
      <c r="J150" s="94">
        <v>229.79059254674013</v>
      </c>
    </row>
    <row r="151" spans="9:10" x14ac:dyDescent="0.25">
      <c r="I151" s="94">
        <v>144</v>
      </c>
      <c r="J151" s="94">
        <v>237.93703445262895</v>
      </c>
    </row>
    <row r="152" spans="9:10" x14ac:dyDescent="0.25">
      <c r="I152" s="94">
        <v>145</v>
      </c>
      <c r="J152" s="94">
        <v>247.2869313245443</v>
      </c>
    </row>
    <row r="153" spans="9:10" x14ac:dyDescent="0.25">
      <c r="I153" s="94">
        <v>146</v>
      </c>
      <c r="J153" s="94">
        <v>249.33653554497459</v>
      </c>
    </row>
    <row r="154" spans="9:10" x14ac:dyDescent="0.25">
      <c r="I154" s="94">
        <v>147</v>
      </c>
      <c r="J154" s="94">
        <v>239.07474610273221</v>
      </c>
    </row>
    <row r="155" spans="9:10" x14ac:dyDescent="0.25">
      <c r="I155" s="94">
        <v>148</v>
      </c>
      <c r="J155" s="94">
        <v>249.59115226137783</v>
      </c>
    </row>
    <row r="156" spans="9:10" x14ac:dyDescent="0.25">
      <c r="I156" s="94">
        <v>149</v>
      </c>
      <c r="J156" s="94">
        <v>247.04900684421932</v>
      </c>
    </row>
    <row r="157" spans="9:10" x14ac:dyDescent="0.25">
      <c r="I157" s="94">
        <v>150</v>
      </c>
      <c r="J157" s="94">
        <v>245.08712220205962</v>
      </c>
    </row>
    <row r="158" spans="9:10" x14ac:dyDescent="0.25">
      <c r="I158" s="94">
        <v>151</v>
      </c>
      <c r="J158" s="94">
        <v>246.79607773474481</v>
      </c>
    </row>
    <row r="159" spans="9:10" x14ac:dyDescent="0.25">
      <c r="I159" s="94">
        <v>152</v>
      </c>
      <c r="J159" s="94">
        <v>237.3047075015952</v>
      </c>
    </row>
    <row r="160" spans="9:10" x14ac:dyDescent="0.25">
      <c r="I160" s="94">
        <v>153</v>
      </c>
      <c r="J160" s="94">
        <v>236.08931675563241</v>
      </c>
    </row>
    <row r="161" spans="9:10" x14ac:dyDescent="0.25">
      <c r="I161" s="94">
        <v>154</v>
      </c>
      <c r="J161" s="94">
        <v>252.22296557736763</v>
      </c>
    </row>
    <row r="162" spans="9:10" x14ac:dyDescent="0.25">
      <c r="I162" s="94">
        <v>155</v>
      </c>
      <c r="J162" s="94">
        <v>241.04223875084915</v>
      </c>
    </row>
    <row r="163" spans="9:10" x14ac:dyDescent="0.25">
      <c r="I163" s="94">
        <v>156</v>
      </c>
      <c r="J163" s="94">
        <v>231.88321634450313</v>
      </c>
    </row>
    <row r="164" spans="9:10" x14ac:dyDescent="0.25">
      <c r="I164" s="94">
        <v>157</v>
      </c>
      <c r="J164" s="94">
        <v>249.1027394697893</v>
      </c>
    </row>
    <row r="165" spans="9:10" x14ac:dyDescent="0.25">
      <c r="I165" s="94">
        <v>158</v>
      </c>
      <c r="J165" s="94">
        <v>229.96401383784359</v>
      </c>
    </row>
    <row r="166" spans="9:10" x14ac:dyDescent="0.25">
      <c r="I166" s="94">
        <v>159</v>
      </c>
      <c r="J166" s="94">
        <v>230.29749878657816</v>
      </c>
    </row>
    <row r="167" spans="9:10" x14ac:dyDescent="0.25">
      <c r="I167" s="94">
        <v>160</v>
      </c>
      <c r="J167" s="94">
        <v>256.52897961974395</v>
      </c>
    </row>
    <row r="168" spans="9:10" x14ac:dyDescent="0.25">
      <c r="I168" s="94">
        <v>161</v>
      </c>
      <c r="J168" s="94">
        <v>243.64742334487494</v>
      </c>
    </row>
    <row r="169" spans="9:10" x14ac:dyDescent="0.25">
      <c r="I169" s="94">
        <v>162</v>
      </c>
      <c r="J169" s="94">
        <v>236.45332304288712</v>
      </c>
    </row>
    <row r="170" spans="9:10" x14ac:dyDescent="0.25">
      <c r="I170" s="94">
        <v>163</v>
      </c>
      <c r="J170" s="94">
        <v>246.31616604748456</v>
      </c>
    </row>
    <row r="171" spans="9:10" x14ac:dyDescent="0.25">
      <c r="I171" s="94">
        <v>164</v>
      </c>
      <c r="J171" s="94">
        <v>234.68694370324897</v>
      </c>
    </row>
    <row r="172" spans="9:10" x14ac:dyDescent="0.25">
      <c r="I172" s="94">
        <v>165</v>
      </c>
      <c r="J172" s="94">
        <v>245.25711098414729</v>
      </c>
    </row>
    <row r="173" spans="9:10" x14ac:dyDescent="0.25">
      <c r="I173" s="94">
        <v>166</v>
      </c>
      <c r="J173" s="94">
        <v>234.39713767874343</v>
      </c>
    </row>
    <row r="174" spans="9:10" x14ac:dyDescent="0.25">
      <c r="I174" s="94">
        <v>167</v>
      </c>
      <c r="J174" s="94">
        <v>239.38621324496785</v>
      </c>
    </row>
    <row r="175" spans="9:10" x14ac:dyDescent="0.25">
      <c r="I175" s="94">
        <v>168</v>
      </c>
      <c r="J175" s="94">
        <v>233.65731549039992</v>
      </c>
    </row>
    <row r="176" spans="9:10" x14ac:dyDescent="0.25">
      <c r="I176" s="94">
        <v>169</v>
      </c>
      <c r="J176" s="94">
        <v>241.62793387802026</v>
      </c>
    </row>
    <row r="177" spans="9:10" x14ac:dyDescent="0.25">
      <c r="I177" s="94">
        <v>170</v>
      </c>
      <c r="J177" s="94">
        <v>224.92306143023774</v>
      </c>
    </row>
    <row r="178" spans="9:10" x14ac:dyDescent="0.25">
      <c r="I178" s="94">
        <v>171</v>
      </c>
      <c r="J178" s="94">
        <v>245.21809281322999</v>
      </c>
    </row>
    <row r="179" spans="9:10" x14ac:dyDescent="0.25">
      <c r="I179" s="94">
        <v>172</v>
      </c>
      <c r="J179" s="94">
        <v>242.25740422150545</v>
      </c>
    </row>
    <row r="180" spans="9:10" x14ac:dyDescent="0.25">
      <c r="I180" s="94">
        <v>173</v>
      </c>
      <c r="J180" s="94">
        <v>238.78380831323034</v>
      </c>
    </row>
    <row r="181" spans="9:10" x14ac:dyDescent="0.25">
      <c r="I181" s="94">
        <v>174</v>
      </c>
      <c r="J181" s="94">
        <v>232.97635973825197</v>
      </c>
    </row>
    <row r="182" spans="9:10" x14ac:dyDescent="0.25">
      <c r="I182" s="94">
        <v>175</v>
      </c>
      <c r="J182" s="94">
        <v>242.35224776491214</v>
      </c>
    </row>
    <row r="183" spans="9:10" x14ac:dyDescent="0.25">
      <c r="I183" s="94">
        <v>176</v>
      </c>
      <c r="J183" s="94">
        <v>246.84563963057053</v>
      </c>
    </row>
    <row r="184" spans="9:10" x14ac:dyDescent="0.25">
      <c r="I184" s="94">
        <v>177</v>
      </c>
      <c r="J184" s="94">
        <v>249.59566797745083</v>
      </c>
    </row>
    <row r="185" spans="9:10" x14ac:dyDescent="0.25">
      <c r="I185" s="94">
        <v>178</v>
      </c>
      <c r="J185" s="94">
        <v>241.26633772408218</v>
      </c>
    </row>
    <row r="186" spans="9:10" x14ac:dyDescent="0.25">
      <c r="I186" s="94">
        <v>179</v>
      </c>
      <c r="J186" s="94">
        <v>248.66046818407381</v>
      </c>
    </row>
    <row r="187" spans="9:10" x14ac:dyDescent="0.25">
      <c r="I187" s="94">
        <v>180</v>
      </c>
      <c r="J187" s="94">
        <v>250.59559756607121</v>
      </c>
    </row>
    <row r="188" spans="9:10" x14ac:dyDescent="0.25">
      <c r="I188" s="94">
        <v>181</v>
      </c>
      <c r="J188" s="94">
        <v>242.60904339265335</v>
      </c>
    </row>
    <row r="189" spans="9:10" x14ac:dyDescent="0.25">
      <c r="I189" s="94">
        <v>182</v>
      </c>
      <c r="J189" s="94">
        <v>247.92601766231098</v>
      </c>
    </row>
    <row r="190" spans="9:10" x14ac:dyDescent="0.25">
      <c r="I190" s="94">
        <v>183</v>
      </c>
      <c r="J190" s="94">
        <v>232.13868098742125</v>
      </c>
    </row>
    <row r="191" spans="9:10" x14ac:dyDescent="0.25">
      <c r="I191" s="94">
        <v>184</v>
      </c>
      <c r="J191" s="94">
        <v>246.08157496607032</v>
      </c>
    </row>
    <row r="192" spans="9:10" x14ac:dyDescent="0.25">
      <c r="I192" s="94">
        <v>185</v>
      </c>
      <c r="J192" s="94">
        <v>241.6819057584604</v>
      </c>
    </row>
    <row r="193" spans="9:10" x14ac:dyDescent="0.25">
      <c r="I193" s="94">
        <v>186</v>
      </c>
      <c r="J193" s="94">
        <v>259.39397469768221</v>
      </c>
    </row>
    <row r="194" spans="9:10" x14ac:dyDescent="0.25">
      <c r="I194" s="94">
        <v>187</v>
      </c>
      <c r="J194" s="94">
        <v>233.21014574266479</v>
      </c>
    </row>
    <row r="195" spans="9:10" x14ac:dyDescent="0.25">
      <c r="I195" s="94">
        <v>188</v>
      </c>
      <c r="J195" s="94">
        <v>240.73355040635624</v>
      </c>
    </row>
    <row r="196" spans="9:10" x14ac:dyDescent="0.25">
      <c r="I196" s="94">
        <v>189</v>
      </c>
      <c r="J196" s="94">
        <v>252.98380524713366</v>
      </c>
    </row>
    <row r="197" spans="9:10" x14ac:dyDescent="0.25">
      <c r="I197" s="94">
        <v>190</v>
      </c>
      <c r="J197" s="94">
        <v>253.77986681302173</v>
      </c>
    </row>
    <row r="198" spans="9:10" x14ac:dyDescent="0.25">
      <c r="I198" s="94">
        <v>191</v>
      </c>
      <c r="J198" s="94">
        <v>236.18420680934685</v>
      </c>
    </row>
    <row r="199" spans="9:10" x14ac:dyDescent="0.25">
      <c r="I199" s="94">
        <v>192</v>
      </c>
      <c r="J199" s="94">
        <v>250.3422692002747</v>
      </c>
    </row>
    <row r="200" spans="9:10" x14ac:dyDescent="0.25">
      <c r="I200" s="94">
        <v>193</v>
      </c>
      <c r="J200" s="94">
        <v>247.52738679953404</v>
      </c>
    </row>
    <row r="201" spans="9:10" x14ac:dyDescent="0.25">
      <c r="I201" s="94">
        <v>194</v>
      </c>
      <c r="J201" s="94">
        <v>249.69163609431894</v>
      </c>
    </row>
    <row r="202" spans="9:10" x14ac:dyDescent="0.25">
      <c r="I202" s="94">
        <v>195</v>
      </c>
      <c r="J202" s="94">
        <v>252.99791933875406</v>
      </c>
    </row>
    <row r="203" spans="9:10" x14ac:dyDescent="0.25">
      <c r="I203" s="94">
        <v>196</v>
      </c>
      <c r="J203" s="94">
        <v>237.23725955419241</v>
      </c>
    </row>
    <row r="204" spans="9:10" x14ac:dyDescent="0.25">
      <c r="I204" s="94">
        <v>197</v>
      </c>
      <c r="J204" s="94">
        <v>232.16067991581514</v>
      </c>
    </row>
    <row r="205" spans="9:10" x14ac:dyDescent="0.25">
      <c r="I205" s="94">
        <v>198</v>
      </c>
      <c r="J205" s="94">
        <v>238.11888424792903</v>
      </c>
    </row>
    <row r="206" spans="9:10" x14ac:dyDescent="0.25">
      <c r="I206" s="94">
        <v>199</v>
      </c>
      <c r="J206" s="94">
        <v>248.43394272025</v>
      </c>
    </row>
    <row r="207" spans="9:10" x14ac:dyDescent="0.25">
      <c r="I207" s="94">
        <v>200</v>
      </c>
      <c r="J207" s="94">
        <v>242.38537031407134</v>
      </c>
    </row>
    <row r="208" spans="9:10" x14ac:dyDescent="0.25">
      <c r="I208" s="94">
        <v>201</v>
      </c>
      <c r="J208" s="94">
        <v>231.97918505251363</v>
      </c>
    </row>
    <row r="209" spans="9:10" x14ac:dyDescent="0.25">
      <c r="I209" s="94">
        <v>202</v>
      </c>
      <c r="J209" s="94">
        <v>240.97201194712613</v>
      </c>
    </row>
    <row r="210" spans="9:10" x14ac:dyDescent="0.25">
      <c r="I210" s="94">
        <v>203</v>
      </c>
      <c r="J210" s="94">
        <v>244.53348669595596</v>
      </c>
    </row>
    <row r="211" spans="9:10" x14ac:dyDescent="0.25">
      <c r="I211" s="94">
        <v>204</v>
      </c>
      <c r="J211" s="94">
        <v>226.93039630952569</v>
      </c>
    </row>
    <row r="212" spans="9:10" x14ac:dyDescent="0.25">
      <c r="I212" s="94">
        <v>205</v>
      </c>
      <c r="J212" s="94">
        <v>239.75811882305914</v>
      </c>
    </row>
    <row r="213" spans="9:10" x14ac:dyDescent="0.25">
      <c r="I213" s="94">
        <v>206</v>
      </c>
      <c r="J213" s="94">
        <v>230.4088348873895</v>
      </c>
    </row>
    <row r="214" spans="9:10" x14ac:dyDescent="0.25">
      <c r="I214" s="94">
        <v>207</v>
      </c>
      <c r="J214" s="94">
        <v>237.0674055066952</v>
      </c>
    </row>
    <row r="215" spans="9:10" x14ac:dyDescent="0.25">
      <c r="I215" s="94">
        <v>208</v>
      </c>
      <c r="J215" s="94">
        <v>246.98095391342895</v>
      </c>
    </row>
    <row r="216" spans="9:10" x14ac:dyDescent="0.25">
      <c r="I216" s="94">
        <v>209</v>
      </c>
      <c r="J216" s="94">
        <v>244.68803833607365</v>
      </c>
    </row>
    <row r="217" spans="9:10" x14ac:dyDescent="0.25">
      <c r="I217" s="94">
        <v>210</v>
      </c>
      <c r="J217" s="94">
        <v>239.76204219591204</v>
      </c>
    </row>
    <row r="218" spans="9:10" x14ac:dyDescent="0.25">
      <c r="I218" s="94">
        <v>211</v>
      </c>
      <c r="J218" s="94">
        <v>232.90860132458579</v>
      </c>
    </row>
    <row r="219" spans="9:10" x14ac:dyDescent="0.25">
      <c r="I219" s="94">
        <v>212</v>
      </c>
      <c r="J219" s="94">
        <v>233.01675417286987</v>
      </c>
    </row>
    <row r="220" spans="9:10" x14ac:dyDescent="0.25">
      <c r="I220" s="94">
        <v>213</v>
      </c>
      <c r="J220" s="94">
        <v>230.92540781446365</v>
      </c>
    </row>
    <row r="221" spans="9:10" x14ac:dyDescent="0.25">
      <c r="I221" s="94">
        <v>214</v>
      </c>
      <c r="J221" s="94">
        <v>235.93055136402836</v>
      </c>
    </row>
    <row r="222" spans="9:10" x14ac:dyDescent="0.25">
      <c r="I222" s="94">
        <v>215</v>
      </c>
      <c r="J222" s="94">
        <v>235.01223970117326</v>
      </c>
    </row>
    <row r="223" spans="9:10" x14ac:dyDescent="0.25">
      <c r="I223" s="94">
        <v>216</v>
      </c>
      <c r="J223" s="94">
        <v>230.05547433343395</v>
      </c>
    </row>
    <row r="224" spans="9:10" x14ac:dyDescent="0.25">
      <c r="I224" s="94">
        <v>217</v>
      </c>
      <c r="J224" s="94">
        <v>252.9841201700898</v>
      </c>
    </row>
    <row r="225" spans="9:10" x14ac:dyDescent="0.25">
      <c r="I225" s="94">
        <v>218</v>
      </c>
      <c r="J225" s="94">
        <v>247.35356291880669</v>
      </c>
    </row>
    <row r="226" spans="9:10" x14ac:dyDescent="0.25">
      <c r="I226" s="94">
        <v>219</v>
      </c>
      <c r="J226" s="94">
        <v>242.02553892673029</v>
      </c>
    </row>
    <row r="227" spans="9:10" x14ac:dyDescent="0.25">
      <c r="I227" s="94">
        <v>220</v>
      </c>
      <c r="J227" s="94">
        <v>233.32376356206265</v>
      </c>
    </row>
    <row r="228" spans="9:10" x14ac:dyDescent="0.25">
      <c r="I228" s="94">
        <v>221</v>
      </c>
      <c r="J228" s="94">
        <v>241.12425280135494</v>
      </c>
    </row>
    <row r="229" spans="9:10" x14ac:dyDescent="0.25">
      <c r="I229" s="94">
        <v>222</v>
      </c>
      <c r="J229" s="94">
        <v>246.12280363412094</v>
      </c>
    </row>
    <row r="230" spans="9:10" x14ac:dyDescent="0.25">
      <c r="I230" s="94">
        <v>223</v>
      </c>
      <c r="J230" s="94">
        <v>239.58891765406383</v>
      </c>
    </row>
    <row r="231" spans="9:10" x14ac:dyDescent="0.25">
      <c r="I231" s="94">
        <v>224</v>
      </c>
      <c r="J231" s="94">
        <v>247.28436305271885</v>
      </c>
    </row>
    <row r="232" spans="9:10" x14ac:dyDescent="0.25">
      <c r="I232" s="94">
        <v>225</v>
      </c>
      <c r="J232" s="94">
        <v>231.24949435751472</v>
      </c>
    </row>
    <row r="233" spans="9:10" x14ac:dyDescent="0.25">
      <c r="I233" s="94">
        <v>226</v>
      </c>
      <c r="J233" s="94">
        <v>239.1444107845233</v>
      </c>
    </row>
    <row r="234" spans="9:10" x14ac:dyDescent="0.25">
      <c r="I234" s="94">
        <v>227</v>
      </c>
      <c r="J234" s="94">
        <v>242.6237887694457</v>
      </c>
    </row>
    <row r="235" spans="9:10" x14ac:dyDescent="0.25">
      <c r="I235" s="94">
        <v>228</v>
      </c>
      <c r="J235" s="94">
        <v>238.53340781905649</v>
      </c>
    </row>
    <row r="236" spans="9:10" x14ac:dyDescent="0.25">
      <c r="I236" s="94">
        <v>229</v>
      </c>
      <c r="J236" s="94">
        <v>247.40821435801149</v>
      </c>
    </row>
    <row r="237" spans="9:10" x14ac:dyDescent="0.25">
      <c r="I237" s="94">
        <v>230</v>
      </c>
      <c r="J237" s="94">
        <v>243.90696822087011</v>
      </c>
    </row>
    <row r="238" spans="9:10" x14ac:dyDescent="0.25">
      <c r="I238" s="94">
        <v>231</v>
      </c>
      <c r="J238" s="94">
        <v>230.79100496416066</v>
      </c>
    </row>
    <row r="239" spans="9:10" x14ac:dyDescent="0.25">
      <c r="I239" s="94">
        <v>232</v>
      </c>
      <c r="J239" s="94">
        <v>236.36587929423706</v>
      </c>
    </row>
    <row r="240" spans="9:10" x14ac:dyDescent="0.25">
      <c r="I240" s="94">
        <v>233</v>
      </c>
      <c r="J240" s="94">
        <v>234.60688791151784</v>
      </c>
    </row>
    <row r="241" spans="9:10" x14ac:dyDescent="0.25">
      <c r="I241" s="94">
        <v>234</v>
      </c>
      <c r="J241" s="94">
        <v>249.16947340629713</v>
      </c>
    </row>
    <row r="242" spans="9:10" x14ac:dyDescent="0.25">
      <c r="I242" s="94">
        <v>235</v>
      </c>
      <c r="J242" s="94">
        <v>247.14958616353158</v>
      </c>
    </row>
    <row r="243" spans="9:10" x14ac:dyDescent="0.25">
      <c r="I243" s="94">
        <v>236</v>
      </c>
      <c r="J243" s="94">
        <v>241.79662811605397</v>
      </c>
    </row>
    <row r="244" spans="9:10" x14ac:dyDescent="0.25">
      <c r="I244" s="94">
        <v>237</v>
      </c>
      <c r="J244" s="94">
        <v>249.76495118488526</v>
      </c>
    </row>
    <row r="245" spans="9:10" x14ac:dyDescent="0.25">
      <c r="I245" s="94">
        <v>238</v>
      </c>
      <c r="J245" s="94">
        <v>235.85531335811748</v>
      </c>
    </row>
    <row r="246" spans="9:10" x14ac:dyDescent="0.25">
      <c r="I246" s="94">
        <v>239</v>
      </c>
      <c r="J246" s="94">
        <v>249.23652029803657</v>
      </c>
    </row>
    <row r="247" spans="9:10" x14ac:dyDescent="0.25">
      <c r="I247" s="94">
        <v>240</v>
      </c>
      <c r="J247" s="94">
        <v>232.1757029956986</v>
      </c>
    </row>
    <row r="248" spans="9:10" x14ac:dyDescent="0.25">
      <c r="I248" s="94">
        <v>241</v>
      </c>
      <c r="J248" s="94">
        <v>235.53352152680691</v>
      </c>
    </row>
    <row r="249" spans="9:10" x14ac:dyDescent="0.25">
      <c r="I249" s="94">
        <v>242</v>
      </c>
      <c r="J249" s="94">
        <v>250.25268933092752</v>
      </c>
    </row>
    <row r="250" spans="9:10" x14ac:dyDescent="0.25">
      <c r="I250" s="94">
        <v>243</v>
      </c>
      <c r="J250" s="94">
        <v>238.21235970336602</v>
      </c>
    </row>
    <row r="251" spans="9:10" x14ac:dyDescent="0.25">
      <c r="I251" s="94">
        <v>244</v>
      </c>
      <c r="J251" s="94">
        <v>231.528634047661</v>
      </c>
    </row>
    <row r="252" spans="9:10" x14ac:dyDescent="0.25">
      <c r="I252" s="94">
        <v>245</v>
      </c>
      <c r="J252" s="94">
        <v>231.66643222496157</v>
      </c>
    </row>
    <row r="253" spans="9:10" x14ac:dyDescent="0.25">
      <c r="I253" s="94">
        <v>246</v>
      </c>
      <c r="J253" s="94">
        <v>237.59333027463174</v>
      </c>
    </row>
    <row r="254" spans="9:10" x14ac:dyDescent="0.25">
      <c r="I254" s="94">
        <v>247</v>
      </c>
      <c r="J254" s="94">
        <v>229.14672331851006</v>
      </c>
    </row>
    <row r="255" spans="9:10" x14ac:dyDescent="0.25">
      <c r="I255" s="94">
        <v>248</v>
      </c>
      <c r="J255" s="94">
        <v>240.60704029873693</v>
      </c>
    </row>
    <row r="256" spans="9:10" x14ac:dyDescent="0.25">
      <c r="I256" s="94">
        <v>249</v>
      </c>
      <c r="J256" s="94">
        <v>239.68936786951099</v>
      </c>
    </row>
    <row r="257" spans="9:10" x14ac:dyDescent="0.25">
      <c r="I257" s="94">
        <v>250</v>
      </c>
      <c r="J257" s="94">
        <v>240.40961138233047</v>
      </c>
    </row>
    <row r="258" spans="9:10" x14ac:dyDescent="0.25">
      <c r="I258" s="94">
        <v>251</v>
      </c>
      <c r="J258" s="94">
        <v>236.30833571673992</v>
      </c>
    </row>
    <row r="259" spans="9:10" x14ac:dyDescent="0.25">
      <c r="I259" s="94">
        <v>252</v>
      </c>
      <c r="J259" s="94">
        <v>239.46499648934241</v>
      </c>
    </row>
    <row r="260" spans="9:10" x14ac:dyDescent="0.25">
      <c r="I260" s="94">
        <v>253</v>
      </c>
      <c r="J260" s="94">
        <v>239.54430500106582</v>
      </c>
    </row>
    <row r="261" spans="9:10" x14ac:dyDescent="0.25">
      <c r="I261" s="94">
        <v>254</v>
      </c>
      <c r="J261" s="94">
        <v>235.65582841855814</v>
      </c>
    </row>
    <row r="262" spans="9:10" x14ac:dyDescent="0.25">
      <c r="I262" s="94">
        <v>255</v>
      </c>
      <c r="J262" s="94">
        <v>249.22648906124175</v>
      </c>
    </row>
    <row r="263" spans="9:10" x14ac:dyDescent="0.25">
      <c r="I263" s="94">
        <v>256</v>
      </c>
      <c r="J263" s="94">
        <v>242.11248911688017</v>
      </c>
    </row>
    <row r="264" spans="9:10" x14ac:dyDescent="0.25">
      <c r="I264" s="94">
        <v>257</v>
      </c>
      <c r="J264" s="94">
        <v>226.40461722298522</v>
      </c>
    </row>
    <row r="265" spans="9:10" x14ac:dyDescent="0.25">
      <c r="I265" s="94">
        <v>258</v>
      </c>
      <c r="J265" s="94">
        <v>231.37490077353078</v>
      </c>
    </row>
    <row r="266" spans="9:10" x14ac:dyDescent="0.25">
      <c r="I266" s="94">
        <v>259</v>
      </c>
      <c r="J266" s="94">
        <v>231.6171903756026</v>
      </c>
    </row>
    <row r="267" spans="9:10" x14ac:dyDescent="0.25">
      <c r="I267" s="94">
        <v>260</v>
      </c>
      <c r="J267" s="94">
        <v>239.18726559378842</v>
      </c>
    </row>
    <row r="268" spans="9:10" x14ac:dyDescent="0.25">
      <c r="I268" s="94">
        <v>261</v>
      </c>
      <c r="J268" s="94">
        <v>245.13901040387464</v>
      </c>
    </row>
    <row r="269" spans="9:10" x14ac:dyDescent="0.25">
      <c r="I269" s="94">
        <v>262</v>
      </c>
      <c r="J269" s="94">
        <v>230.6675016800728</v>
      </c>
    </row>
    <row r="270" spans="9:10" x14ac:dyDescent="0.25">
      <c r="I270" s="94">
        <v>263</v>
      </c>
      <c r="J270" s="94">
        <v>246.53456956260106</v>
      </c>
    </row>
    <row r="271" spans="9:10" x14ac:dyDescent="0.25">
      <c r="I271" s="94">
        <v>264</v>
      </c>
      <c r="J271" s="94">
        <v>238.52543589735808</v>
      </c>
    </row>
    <row r="272" spans="9:10" x14ac:dyDescent="0.25">
      <c r="I272" s="94">
        <v>265</v>
      </c>
      <c r="J272" s="94">
        <v>237.20144394887257</v>
      </c>
    </row>
    <row r="273" spans="9:10" x14ac:dyDescent="0.25">
      <c r="I273" s="94">
        <v>266</v>
      </c>
      <c r="J273" s="94">
        <v>255.03935419239838</v>
      </c>
    </row>
    <row r="274" spans="9:10" x14ac:dyDescent="0.25">
      <c r="I274" s="94">
        <v>267</v>
      </c>
      <c r="J274" s="94">
        <v>236.60715937646768</v>
      </c>
    </row>
    <row r="275" spans="9:10" x14ac:dyDescent="0.25">
      <c r="I275" s="94">
        <v>268</v>
      </c>
      <c r="J275" s="94">
        <v>239.75480889787582</v>
      </c>
    </row>
    <row r="276" spans="9:10" x14ac:dyDescent="0.25">
      <c r="I276" s="94">
        <v>269</v>
      </c>
      <c r="J276" s="94">
        <v>228.75374188749851</v>
      </c>
    </row>
    <row r="277" spans="9:10" x14ac:dyDescent="0.25">
      <c r="I277" s="94">
        <v>270</v>
      </c>
      <c r="J277" s="94">
        <v>229.95223026866512</v>
      </c>
    </row>
    <row r="278" spans="9:10" x14ac:dyDescent="0.25">
      <c r="I278" s="94">
        <v>271</v>
      </c>
      <c r="J278" s="94">
        <v>240.16396935196144</v>
      </c>
    </row>
    <row r="279" spans="9:10" x14ac:dyDescent="0.25">
      <c r="I279" s="94">
        <v>272</v>
      </c>
      <c r="J279" s="94">
        <v>233.3411727073597</v>
      </c>
    </row>
    <row r="280" spans="9:10" x14ac:dyDescent="0.25">
      <c r="I280" s="94">
        <v>273</v>
      </c>
      <c r="J280" s="94">
        <v>236.81486629023715</v>
      </c>
    </row>
    <row r="281" spans="9:10" x14ac:dyDescent="0.25">
      <c r="I281" s="94">
        <v>274</v>
      </c>
      <c r="J281" s="94">
        <v>241.84152730542962</v>
      </c>
    </row>
    <row r="282" spans="9:10" x14ac:dyDescent="0.25">
      <c r="I282" s="94">
        <v>275</v>
      </c>
      <c r="J282" s="94">
        <v>223.34306862825247</v>
      </c>
    </row>
    <row r="283" spans="9:10" x14ac:dyDescent="0.25">
      <c r="I283" s="94">
        <v>276</v>
      </c>
      <c r="J283" s="94">
        <v>246.87273026226364</v>
      </c>
    </row>
    <row r="284" spans="9:10" x14ac:dyDescent="0.25">
      <c r="I284" s="94">
        <v>277</v>
      </c>
      <c r="J284" s="94">
        <v>232.38086624188793</v>
      </c>
    </row>
    <row r="285" spans="9:10" x14ac:dyDescent="0.25">
      <c r="I285" s="94">
        <v>278</v>
      </c>
      <c r="J285" s="94">
        <v>252.89939881654266</v>
      </c>
    </row>
    <row r="286" spans="9:10" x14ac:dyDescent="0.25">
      <c r="I286" s="94">
        <v>279</v>
      </c>
      <c r="J286" s="94">
        <v>236.61625194173018</v>
      </c>
    </row>
    <row r="287" spans="9:10" x14ac:dyDescent="0.25">
      <c r="I287" s="94">
        <v>280</v>
      </c>
      <c r="J287" s="94">
        <v>237.68770025704987</v>
      </c>
    </row>
    <row r="288" spans="9:10" x14ac:dyDescent="0.25">
      <c r="I288" s="94">
        <v>281</v>
      </c>
      <c r="J288" s="94">
        <v>240.38605373545738</v>
      </c>
    </row>
    <row r="289" spans="9:10" x14ac:dyDescent="0.25">
      <c r="I289" s="94">
        <v>282</v>
      </c>
      <c r="J289" s="94">
        <v>236.38394827376521</v>
      </c>
    </row>
    <row r="290" spans="9:10" x14ac:dyDescent="0.25">
      <c r="I290" s="94">
        <v>283</v>
      </c>
      <c r="J290" s="94">
        <v>237.084780429825</v>
      </c>
    </row>
    <row r="291" spans="9:10" x14ac:dyDescent="0.25">
      <c r="I291" s="94">
        <v>284</v>
      </c>
      <c r="J291" s="94">
        <v>249.26580953927657</v>
      </c>
    </row>
    <row r="292" spans="9:10" x14ac:dyDescent="0.25">
      <c r="I292" s="94">
        <v>285</v>
      </c>
      <c r="J292" s="94">
        <v>241.55127598530623</v>
      </c>
    </row>
    <row r="293" spans="9:10" x14ac:dyDescent="0.25">
      <c r="I293" s="94">
        <v>286</v>
      </c>
      <c r="J293" s="94">
        <v>245.6387868388266</v>
      </c>
    </row>
    <row r="294" spans="9:10" x14ac:dyDescent="0.25">
      <c r="I294" s="94">
        <v>287</v>
      </c>
      <c r="J294" s="94">
        <v>254.59026365653733</v>
      </c>
    </row>
    <row r="295" spans="9:10" x14ac:dyDescent="0.25">
      <c r="I295" s="94">
        <v>288</v>
      </c>
      <c r="J295" s="94">
        <v>251.33648369952812</v>
      </c>
    </row>
    <row r="296" spans="9:10" x14ac:dyDescent="0.25">
      <c r="I296" s="94">
        <v>289</v>
      </c>
      <c r="J296" s="94">
        <v>242.51718782952457</v>
      </c>
    </row>
    <row r="297" spans="9:10" x14ac:dyDescent="0.25">
      <c r="I297" s="94">
        <v>290</v>
      </c>
      <c r="J297" s="94">
        <v>238.66450579107334</v>
      </c>
    </row>
    <row r="298" spans="9:10" x14ac:dyDescent="0.25">
      <c r="I298" s="94">
        <v>291</v>
      </c>
      <c r="J298" s="94">
        <v>232.52722062722802</v>
      </c>
    </row>
    <row r="299" spans="9:10" x14ac:dyDescent="0.25">
      <c r="I299" s="94">
        <v>292</v>
      </c>
      <c r="J299" s="94">
        <v>244.1647439887563</v>
      </c>
    </row>
    <row r="300" spans="9:10" x14ac:dyDescent="0.25">
      <c r="I300" s="94">
        <v>293</v>
      </c>
      <c r="J300" s="94">
        <v>238.86266332448724</v>
      </c>
    </row>
    <row r="301" spans="9:10" x14ac:dyDescent="0.25">
      <c r="I301" s="94">
        <v>294</v>
      </c>
      <c r="J301" s="94">
        <v>239.71864843319452</v>
      </c>
    </row>
    <row r="302" spans="9:10" x14ac:dyDescent="0.25">
      <c r="I302" s="94">
        <v>295</v>
      </c>
      <c r="J302" s="94">
        <v>228.20939988539379</v>
      </c>
    </row>
    <row r="303" spans="9:10" x14ac:dyDescent="0.25">
      <c r="I303" s="94">
        <v>296</v>
      </c>
      <c r="J303" s="94">
        <v>225.29988927445902</v>
      </c>
    </row>
    <row r="304" spans="9:10" x14ac:dyDescent="0.25">
      <c r="I304" s="94">
        <v>297</v>
      </c>
      <c r="J304" s="94">
        <v>234.90784886790215</v>
      </c>
    </row>
    <row r="305" spans="9:10" x14ac:dyDescent="0.25">
      <c r="I305" s="94">
        <v>298</v>
      </c>
      <c r="J305" s="94">
        <v>237.23218583183871</v>
      </c>
    </row>
    <row r="306" spans="9:10" x14ac:dyDescent="0.25">
      <c r="I306" s="94">
        <v>299</v>
      </c>
      <c r="J306" s="94">
        <v>245.42219375837965</v>
      </c>
    </row>
    <row r="307" spans="9:10" x14ac:dyDescent="0.25">
      <c r="I307" s="94">
        <v>300</v>
      </c>
      <c r="J307" s="94">
        <v>248.98159507430989</v>
      </c>
    </row>
    <row r="308" spans="9:10" x14ac:dyDescent="0.25">
      <c r="I308" s="94">
        <v>301</v>
      </c>
      <c r="J308" s="94">
        <v>247.1323765555012</v>
      </c>
    </row>
    <row r="309" spans="9:10" x14ac:dyDescent="0.25">
      <c r="I309" s="94">
        <v>302</v>
      </c>
      <c r="J309" s="94">
        <v>236.68007164335097</v>
      </c>
    </row>
    <row r="310" spans="9:10" x14ac:dyDescent="0.25">
      <c r="I310" s="94">
        <v>303</v>
      </c>
      <c r="J310" s="94">
        <v>232.61306201857298</v>
      </c>
    </row>
    <row r="311" spans="9:10" x14ac:dyDescent="0.25">
      <c r="I311" s="94">
        <v>304</v>
      </c>
      <c r="J311" s="94">
        <v>237.75878979669903</v>
      </c>
    </row>
    <row r="312" spans="9:10" x14ac:dyDescent="0.25">
      <c r="I312" s="94">
        <v>305</v>
      </c>
      <c r="J312" s="94">
        <v>235.03970956807058</v>
      </c>
    </row>
    <row r="313" spans="9:10" x14ac:dyDescent="0.25">
      <c r="I313" s="94">
        <v>306</v>
      </c>
      <c r="J313" s="94">
        <v>232.81727550608383</v>
      </c>
    </row>
    <row r="314" spans="9:10" x14ac:dyDescent="0.25">
      <c r="I314" s="94">
        <v>307</v>
      </c>
      <c r="J314" s="94">
        <v>231.93738735143233</v>
      </c>
    </row>
    <row r="315" spans="9:10" x14ac:dyDescent="0.25">
      <c r="I315" s="94">
        <v>308</v>
      </c>
      <c r="J315" s="94">
        <v>240.83536290577945</v>
      </c>
    </row>
    <row r="316" spans="9:10" x14ac:dyDescent="0.25">
      <c r="I316" s="94">
        <v>309</v>
      </c>
      <c r="J316" s="94">
        <v>239.90708041987125</v>
      </c>
    </row>
    <row r="317" spans="9:10" x14ac:dyDescent="0.25">
      <c r="I317" s="94">
        <v>310</v>
      </c>
      <c r="J317" s="94">
        <v>228.42997523042402</v>
      </c>
    </row>
    <row r="318" spans="9:10" x14ac:dyDescent="0.25">
      <c r="I318" s="94">
        <v>311</v>
      </c>
      <c r="J318" s="94">
        <v>244.8680280454472</v>
      </c>
    </row>
    <row r="319" spans="9:10" x14ac:dyDescent="0.25">
      <c r="I319" s="94">
        <v>312</v>
      </c>
      <c r="J319" s="94">
        <v>257.1262320679142</v>
      </c>
    </row>
    <row r="320" spans="9:10" x14ac:dyDescent="0.25">
      <c r="I320" s="94">
        <v>313</v>
      </c>
      <c r="J320" s="94">
        <v>242.65739150771196</v>
      </c>
    </row>
    <row r="321" spans="9:10" x14ac:dyDescent="0.25">
      <c r="I321" s="94">
        <v>314</v>
      </c>
      <c r="J321" s="94">
        <v>227.68218329155195</v>
      </c>
    </row>
    <row r="322" spans="9:10" x14ac:dyDescent="0.25">
      <c r="I322" s="94">
        <v>315</v>
      </c>
      <c r="J322" s="94">
        <v>233.97524095404731</v>
      </c>
    </row>
    <row r="323" spans="9:10" x14ac:dyDescent="0.25">
      <c r="I323" s="94">
        <v>316</v>
      </c>
      <c r="J323" s="94">
        <v>225.53407274608361</v>
      </c>
    </row>
    <row r="324" spans="9:10" x14ac:dyDescent="0.25">
      <c r="I324" s="94">
        <v>317</v>
      </c>
      <c r="J324" s="94">
        <v>235.13690192193735</v>
      </c>
    </row>
    <row r="325" spans="9:10" x14ac:dyDescent="0.25">
      <c r="I325" s="94">
        <v>318</v>
      </c>
      <c r="J325" s="94">
        <v>260.3230637341494</v>
      </c>
    </row>
    <row r="326" spans="9:10" x14ac:dyDescent="0.25">
      <c r="I326" s="94">
        <v>319</v>
      </c>
      <c r="J326" s="94">
        <v>239.82145990189304</v>
      </c>
    </row>
    <row r="327" spans="9:10" x14ac:dyDescent="0.25">
      <c r="I327" s="94">
        <v>320</v>
      </c>
      <c r="J327" s="94">
        <v>231.17025072067935</v>
      </c>
    </row>
    <row r="328" spans="9:10" x14ac:dyDescent="0.25">
      <c r="I328" s="94">
        <v>321</v>
      </c>
      <c r="J328" s="94">
        <v>252.72260910296677</v>
      </c>
    </row>
    <row r="329" spans="9:10" x14ac:dyDescent="0.25">
      <c r="I329" s="94">
        <v>322</v>
      </c>
      <c r="J329" s="94">
        <v>237.09329405024107</v>
      </c>
    </row>
    <row r="330" spans="9:10" x14ac:dyDescent="0.25">
      <c r="I330" s="94">
        <v>323</v>
      </c>
      <c r="J330" s="94">
        <v>236.52702578127287</v>
      </c>
    </row>
    <row r="331" spans="9:10" x14ac:dyDescent="0.25">
      <c r="I331" s="94">
        <v>324</v>
      </c>
      <c r="J331" s="94">
        <v>238.07265363052386</v>
      </c>
    </row>
    <row r="332" spans="9:10" x14ac:dyDescent="0.25">
      <c r="I332" s="94">
        <v>325</v>
      </c>
      <c r="J332" s="94">
        <v>239.46598072280187</v>
      </c>
    </row>
    <row r="333" spans="9:10" x14ac:dyDescent="0.25">
      <c r="I333" s="94">
        <v>326</v>
      </c>
      <c r="J333" s="94">
        <v>253.68985287006899</v>
      </c>
    </row>
    <row r="334" spans="9:10" x14ac:dyDescent="0.25">
      <c r="I334" s="94">
        <v>327</v>
      </c>
      <c r="J334" s="94">
        <v>240.50627957608219</v>
      </c>
    </row>
    <row r="335" spans="9:10" x14ac:dyDescent="0.25">
      <c r="I335" s="94">
        <v>328</v>
      </c>
      <c r="J335" s="94">
        <v>240.71858674105749</v>
      </c>
    </row>
    <row r="336" spans="9:10" x14ac:dyDescent="0.25">
      <c r="I336" s="94">
        <v>329</v>
      </c>
      <c r="J336" s="94">
        <v>237.3173690297242</v>
      </c>
    </row>
    <row r="337" spans="9:10" x14ac:dyDescent="0.25">
      <c r="I337" s="94">
        <v>330</v>
      </c>
      <c r="J337" s="94">
        <v>227.87222577319659</v>
      </c>
    </row>
    <row r="338" spans="9:10" x14ac:dyDescent="0.25">
      <c r="I338" s="94">
        <v>331</v>
      </c>
      <c r="J338" s="94">
        <v>248.29104211031643</v>
      </c>
    </row>
    <row r="339" spans="9:10" x14ac:dyDescent="0.25">
      <c r="I339" s="94">
        <v>332</v>
      </c>
      <c r="J339" s="94">
        <v>234.81789829001917</v>
      </c>
    </row>
    <row r="340" spans="9:10" x14ac:dyDescent="0.25">
      <c r="I340" s="94">
        <v>333</v>
      </c>
      <c r="J340" s="94">
        <v>253.36343811872212</v>
      </c>
    </row>
    <row r="341" spans="9:10" x14ac:dyDescent="0.25">
      <c r="I341" s="94">
        <v>334</v>
      </c>
      <c r="J341" s="94">
        <v>239.47829497631278</v>
      </c>
    </row>
    <row r="342" spans="9:10" x14ac:dyDescent="0.25">
      <c r="I342" s="94">
        <v>335</v>
      </c>
      <c r="J342" s="94">
        <v>245.50488099748054</v>
      </c>
    </row>
    <row r="343" spans="9:10" x14ac:dyDescent="0.25">
      <c r="I343" s="94">
        <v>336</v>
      </c>
      <c r="J343" s="94">
        <v>239.78622882919888</v>
      </c>
    </row>
    <row r="344" spans="9:10" x14ac:dyDescent="0.25">
      <c r="I344" s="94">
        <v>337</v>
      </c>
      <c r="J344" s="94">
        <v>234.58620304380986</v>
      </c>
    </row>
    <row r="345" spans="9:10" x14ac:dyDescent="0.25">
      <c r="I345" s="94">
        <v>338</v>
      </c>
      <c r="J345" s="94">
        <v>243.62345995789076</v>
      </c>
    </row>
    <row r="346" spans="9:10" x14ac:dyDescent="0.25">
      <c r="I346" s="94">
        <v>339</v>
      </c>
      <c r="J346" s="94">
        <v>242.11023936378319</v>
      </c>
    </row>
    <row r="347" spans="9:10" x14ac:dyDescent="0.25">
      <c r="I347" s="94">
        <v>340</v>
      </c>
      <c r="J347" s="94">
        <v>232.91732737385774</v>
      </c>
    </row>
    <row r="348" spans="9:10" x14ac:dyDescent="0.25">
      <c r="I348" s="94">
        <v>341</v>
      </c>
      <c r="J348" s="94">
        <v>239.78028758676999</v>
      </c>
    </row>
    <row r="349" spans="9:10" x14ac:dyDescent="0.25">
      <c r="I349" s="94">
        <v>342</v>
      </c>
      <c r="J349" s="94">
        <v>227.786674954982</v>
      </c>
    </row>
    <row r="350" spans="9:10" x14ac:dyDescent="0.25">
      <c r="I350" s="94">
        <v>343</v>
      </c>
      <c r="J350" s="94">
        <v>236.499185128916</v>
      </c>
    </row>
    <row r="351" spans="9:10" x14ac:dyDescent="0.25">
      <c r="I351" s="94">
        <v>344</v>
      </c>
      <c r="J351" s="94">
        <v>245.22784116312653</v>
      </c>
    </row>
    <row r="352" spans="9:10" x14ac:dyDescent="0.25">
      <c r="I352" s="94">
        <v>345</v>
      </c>
      <c r="J352" s="94">
        <v>249.65662620371347</v>
      </c>
    </row>
    <row r="353" spans="9:10" x14ac:dyDescent="0.25">
      <c r="I353" s="94">
        <v>346</v>
      </c>
      <c r="J353" s="94">
        <v>259.77876137033218</v>
      </c>
    </row>
    <row r="354" spans="9:10" x14ac:dyDescent="0.25">
      <c r="I354" s="94">
        <v>347</v>
      </c>
      <c r="J354" s="94">
        <v>250.13101754461957</v>
      </c>
    </row>
    <row r="355" spans="9:10" x14ac:dyDescent="0.25">
      <c r="I355" s="94">
        <v>348</v>
      </c>
      <c r="J355" s="94">
        <v>234.20591660480306</v>
      </c>
    </row>
    <row r="356" spans="9:10" x14ac:dyDescent="0.25">
      <c r="I356" s="94">
        <v>349</v>
      </c>
      <c r="J356" s="94">
        <v>245.05675676927387</v>
      </c>
    </row>
    <row r="357" spans="9:10" x14ac:dyDescent="0.25">
      <c r="I357" s="94">
        <v>350</v>
      </c>
      <c r="J357" s="94">
        <v>248.7774239257252</v>
      </c>
    </row>
    <row r="358" spans="9:10" x14ac:dyDescent="0.25">
      <c r="I358" s="94">
        <v>351</v>
      </c>
      <c r="J358" s="94">
        <v>252.08411540328325</v>
      </c>
    </row>
    <row r="359" spans="9:10" x14ac:dyDescent="0.25">
      <c r="I359" s="94">
        <v>352</v>
      </c>
      <c r="J359" s="94">
        <v>236.34498425359618</v>
      </c>
    </row>
    <row r="360" spans="9:10" x14ac:dyDescent="0.25">
      <c r="I360" s="94">
        <v>353</v>
      </c>
      <c r="J360" s="94">
        <v>252.58408076940862</v>
      </c>
    </row>
    <row r="361" spans="9:10" x14ac:dyDescent="0.25">
      <c r="I361" s="94">
        <v>354</v>
      </c>
      <c r="J361" s="94">
        <v>262.1512629636054</v>
      </c>
    </row>
    <row r="362" spans="9:10" x14ac:dyDescent="0.25">
      <c r="I362" s="94">
        <v>355</v>
      </c>
      <c r="J362" s="94">
        <v>257.47187382440688</v>
      </c>
    </row>
    <row r="363" spans="9:10" x14ac:dyDescent="0.25">
      <c r="I363" s="94">
        <v>356</v>
      </c>
      <c r="J363" s="94">
        <v>239.38072753559356</v>
      </c>
    </row>
    <row r="364" spans="9:10" x14ac:dyDescent="0.25">
      <c r="I364" s="94">
        <v>357</v>
      </c>
      <c r="J364" s="94">
        <v>251.14534869810211</v>
      </c>
    </row>
    <row r="365" spans="9:10" x14ac:dyDescent="0.25">
      <c r="I365" s="94">
        <v>358</v>
      </c>
      <c r="J365" s="94">
        <v>236.37871748046541</v>
      </c>
    </row>
    <row r="366" spans="9:10" x14ac:dyDescent="0.25">
      <c r="I366" s="94">
        <v>359</v>
      </c>
      <c r="J366" s="94">
        <v>242.42863375691206</v>
      </c>
    </row>
    <row r="367" spans="9:10" x14ac:dyDescent="0.25">
      <c r="I367" s="94">
        <v>360</v>
      </c>
      <c r="J367" s="94">
        <v>236.73151027598783</v>
      </c>
    </row>
    <row r="368" spans="9:10" x14ac:dyDescent="0.25">
      <c r="I368" s="94">
        <v>361</v>
      </c>
      <c r="J368" s="94">
        <v>235.39966276236873</v>
      </c>
    </row>
    <row r="369" spans="9:10" x14ac:dyDescent="0.25">
      <c r="I369" s="94">
        <v>362</v>
      </c>
      <c r="J369" s="94">
        <v>239.01929250749515</v>
      </c>
    </row>
    <row r="370" spans="9:10" x14ac:dyDescent="0.25">
      <c r="I370" s="94">
        <v>363</v>
      </c>
      <c r="J370" s="94">
        <v>242.75501516864995</v>
      </c>
    </row>
    <row r="371" spans="9:10" x14ac:dyDescent="0.25">
      <c r="I371" s="94">
        <v>364</v>
      </c>
      <c r="J371" s="94">
        <v>238.11494931456866</v>
      </c>
    </row>
    <row r="372" spans="9:10" x14ac:dyDescent="0.25">
      <c r="I372" s="94">
        <v>365</v>
      </c>
      <c r="J372" s="94">
        <v>236.86917168323748</v>
      </c>
    </row>
    <row r="373" spans="9:10" x14ac:dyDescent="0.25">
      <c r="I373" s="94">
        <v>366</v>
      </c>
      <c r="J373" s="94">
        <v>238.78126875461271</v>
      </c>
    </row>
    <row r="374" spans="9:10" x14ac:dyDescent="0.25">
      <c r="I374" s="94">
        <v>367</v>
      </c>
      <c r="J374" s="94">
        <v>245.60030519335271</v>
      </c>
    </row>
    <row r="375" spans="9:10" x14ac:dyDescent="0.25">
      <c r="I375" s="94">
        <v>368</v>
      </c>
      <c r="J375" s="94">
        <v>235.96851195648503</v>
      </c>
    </row>
    <row r="376" spans="9:10" x14ac:dyDescent="0.25">
      <c r="I376" s="94">
        <v>369</v>
      </c>
      <c r="J376" s="94">
        <v>233.23181358212423</v>
      </c>
    </row>
    <row r="377" spans="9:10" x14ac:dyDescent="0.25">
      <c r="I377" s="94">
        <v>370</v>
      </c>
      <c r="J377" s="94">
        <v>243.46293883104352</v>
      </c>
    </row>
    <row r="378" spans="9:10" x14ac:dyDescent="0.25">
      <c r="I378" s="94">
        <v>371</v>
      </c>
      <c r="J378" s="94">
        <v>244.71772968515529</v>
      </c>
    </row>
    <row r="379" spans="9:10" x14ac:dyDescent="0.25">
      <c r="I379" s="94">
        <v>372</v>
      </c>
      <c r="J379" s="94">
        <v>249.40842801913129</v>
      </c>
    </row>
    <row r="380" spans="9:10" x14ac:dyDescent="0.25">
      <c r="I380" s="94">
        <v>373</v>
      </c>
      <c r="J380" s="94">
        <v>229.6879577272959</v>
      </c>
    </row>
    <row r="381" spans="9:10" x14ac:dyDescent="0.25">
      <c r="I381" s="94">
        <v>374</v>
      </c>
      <c r="J381" s="94">
        <v>244.30095527841058</v>
      </c>
    </row>
    <row r="382" spans="9:10" x14ac:dyDescent="0.25">
      <c r="I382" s="94">
        <v>375</v>
      </c>
      <c r="J382" s="94">
        <v>260.45558956910895</v>
      </c>
    </row>
    <row r="383" spans="9:10" x14ac:dyDescent="0.25">
      <c r="I383" s="94">
        <v>376</v>
      </c>
      <c r="J383" s="94">
        <v>236.56578166508228</v>
      </c>
    </row>
    <row r="384" spans="9:10" x14ac:dyDescent="0.25">
      <c r="I384" s="94">
        <v>377</v>
      </c>
      <c r="J384" s="94">
        <v>239.12237268290016</v>
      </c>
    </row>
    <row r="385" spans="9:10" x14ac:dyDescent="0.25">
      <c r="I385" s="94">
        <v>378</v>
      </c>
      <c r="J385" s="94">
        <v>231.63322770908519</v>
      </c>
    </row>
    <row r="386" spans="9:10" x14ac:dyDescent="0.25">
      <c r="I386" s="94">
        <v>379</v>
      </c>
      <c r="J386" s="94">
        <v>243.11533229748125</v>
      </c>
    </row>
    <row r="387" spans="9:10" x14ac:dyDescent="0.25">
      <c r="I387" s="94">
        <v>380</v>
      </c>
      <c r="J387" s="94">
        <v>243.62976369078012</v>
      </c>
    </row>
    <row r="388" spans="9:10" x14ac:dyDescent="0.25">
      <c r="I388" s="94">
        <v>381</v>
      </c>
      <c r="J388" s="94">
        <v>245.2560642783053</v>
      </c>
    </row>
    <row r="389" spans="9:10" x14ac:dyDescent="0.25">
      <c r="I389" s="94">
        <v>382</v>
      </c>
      <c r="J389" s="94">
        <v>240.67998356269425</v>
      </c>
    </row>
    <row r="390" spans="9:10" x14ac:dyDescent="0.25">
      <c r="I390" s="94">
        <v>383</v>
      </c>
      <c r="J390" s="94">
        <v>236.55215181898046</v>
      </c>
    </row>
    <row r="391" spans="9:10" x14ac:dyDescent="0.25">
      <c r="I391" s="94">
        <v>384</v>
      </c>
      <c r="J391" s="94">
        <v>239.56041887482957</v>
      </c>
    </row>
    <row r="392" spans="9:10" x14ac:dyDescent="0.25">
      <c r="I392" s="94">
        <v>385</v>
      </c>
      <c r="J392" s="94">
        <v>261.8753456651267</v>
      </c>
    </row>
    <row r="393" spans="9:10" x14ac:dyDescent="0.25">
      <c r="I393" s="94">
        <v>386</v>
      </c>
      <c r="J393" s="94">
        <v>236.42701553173828</v>
      </c>
    </row>
    <row r="394" spans="9:10" x14ac:dyDescent="0.25">
      <c r="I394" s="94">
        <v>387</v>
      </c>
      <c r="J394" s="94">
        <v>232.64461839340629</v>
      </c>
    </row>
    <row r="395" spans="9:10" x14ac:dyDescent="0.25">
      <c r="I395" s="94">
        <v>388</v>
      </c>
      <c r="J395" s="94">
        <v>259.07169871610347</v>
      </c>
    </row>
    <row r="396" spans="9:10" x14ac:dyDescent="0.25">
      <c r="I396" s="94">
        <v>389</v>
      </c>
      <c r="J396" s="94">
        <v>248.27445634029891</v>
      </c>
    </row>
    <row r="397" spans="9:10" x14ac:dyDescent="0.25">
      <c r="I397" s="94">
        <v>390</v>
      </c>
      <c r="J397" s="94">
        <v>231.06727138200165</v>
      </c>
    </row>
    <row r="398" spans="9:10" x14ac:dyDescent="0.25">
      <c r="I398" s="94">
        <v>391</v>
      </c>
      <c r="J398" s="94">
        <v>236.380404098805</v>
      </c>
    </row>
    <row r="399" spans="9:10" x14ac:dyDescent="0.25">
      <c r="I399" s="94">
        <v>392</v>
      </c>
      <c r="J399" s="94">
        <v>232.02192302843156</v>
      </c>
    </row>
    <row r="400" spans="9:10" x14ac:dyDescent="0.25">
      <c r="I400" s="94">
        <v>393</v>
      </c>
      <c r="J400" s="94">
        <v>227.91783158213946</v>
      </c>
    </row>
    <row r="401" spans="9:10" x14ac:dyDescent="0.25">
      <c r="I401" s="94">
        <v>394</v>
      </c>
      <c r="J401" s="94">
        <v>237.92415390063013</v>
      </c>
    </row>
    <row r="402" spans="9:10" x14ac:dyDescent="0.25">
      <c r="I402" s="94">
        <v>395</v>
      </c>
      <c r="J402" s="94">
        <v>234.33129532983224</v>
      </c>
    </row>
    <row r="403" spans="9:10" x14ac:dyDescent="0.25">
      <c r="I403" s="94">
        <v>396</v>
      </c>
      <c r="J403" s="94">
        <v>240.00811882271148</v>
      </c>
    </row>
    <row r="404" spans="9:10" x14ac:dyDescent="0.25">
      <c r="I404" s="94">
        <v>397</v>
      </c>
      <c r="J404" s="94">
        <v>243.09602710386025</v>
      </c>
    </row>
    <row r="405" spans="9:10" x14ac:dyDescent="0.25">
      <c r="I405" s="94">
        <v>398</v>
      </c>
      <c r="J405" s="94">
        <v>240.54265178921753</v>
      </c>
    </row>
    <row r="406" spans="9:10" x14ac:dyDescent="0.25">
      <c r="I406" s="94">
        <v>399</v>
      </c>
      <c r="J406" s="94">
        <v>236.29803083912589</v>
      </c>
    </row>
    <row r="407" spans="9:10" x14ac:dyDescent="0.25">
      <c r="I407" s="94">
        <v>400</v>
      </c>
      <c r="J407" s="94">
        <v>233.38188337440226</v>
      </c>
    </row>
    <row r="408" spans="9:10" x14ac:dyDescent="0.25">
      <c r="I408" s="94">
        <v>401</v>
      </c>
      <c r="J408" s="94">
        <v>239.66598771937583</v>
      </c>
    </row>
    <row r="409" spans="9:10" x14ac:dyDescent="0.25">
      <c r="I409" s="94">
        <v>402</v>
      </c>
      <c r="J409" s="94">
        <v>247.92250009239547</v>
      </c>
    </row>
    <row r="410" spans="9:10" x14ac:dyDescent="0.25">
      <c r="I410" s="94">
        <v>403</v>
      </c>
      <c r="J410" s="94">
        <v>241.52097669081832</v>
      </c>
    </row>
    <row r="411" spans="9:10" x14ac:dyDescent="0.25">
      <c r="I411" s="94">
        <v>404</v>
      </c>
      <c r="J411" s="94">
        <v>245.93280246681184</v>
      </c>
    </row>
    <row r="412" spans="9:10" x14ac:dyDescent="0.25">
      <c r="I412" s="94">
        <v>405</v>
      </c>
      <c r="J412" s="94">
        <v>252.94487051665965</v>
      </c>
    </row>
    <row r="413" spans="9:10" x14ac:dyDescent="0.25">
      <c r="I413" s="94">
        <v>406</v>
      </c>
      <c r="J413" s="94">
        <v>231.81453696505065</v>
      </c>
    </row>
    <row r="414" spans="9:10" x14ac:dyDescent="0.25">
      <c r="I414" s="94">
        <v>407</v>
      </c>
      <c r="J414" s="94">
        <v>233.46628642098398</v>
      </c>
    </row>
    <row r="415" spans="9:10" x14ac:dyDescent="0.25">
      <c r="I415" s="94">
        <v>408</v>
      </c>
      <c r="J415" s="94">
        <v>230.08376444424249</v>
      </c>
    </row>
    <row r="416" spans="9:10" x14ac:dyDescent="0.25">
      <c r="I416" s="94">
        <v>409</v>
      </c>
      <c r="J416" s="94">
        <v>238.31034664025242</v>
      </c>
    </row>
    <row r="417" spans="9:10" x14ac:dyDescent="0.25">
      <c r="I417" s="94">
        <v>410</v>
      </c>
      <c r="J417" s="94">
        <v>243.36205849262512</v>
      </c>
    </row>
    <row r="418" spans="9:10" x14ac:dyDescent="0.25">
      <c r="I418" s="94">
        <v>411</v>
      </c>
      <c r="J418" s="94">
        <v>244.77934779261579</v>
      </c>
    </row>
    <row r="419" spans="9:10" x14ac:dyDescent="0.25">
      <c r="I419" s="94">
        <v>412</v>
      </c>
      <c r="J419" s="94">
        <v>255.0569884730121</v>
      </c>
    </row>
    <row r="420" spans="9:10" x14ac:dyDescent="0.25">
      <c r="I420" s="94">
        <v>413</v>
      </c>
      <c r="J420" s="94">
        <v>233.62928386440024</v>
      </c>
    </row>
    <row r="421" spans="9:10" x14ac:dyDescent="0.25">
      <c r="I421" s="94">
        <v>414</v>
      </c>
      <c r="J421" s="94">
        <v>240.03387119693002</v>
      </c>
    </row>
    <row r="422" spans="9:10" x14ac:dyDescent="0.25">
      <c r="I422" s="94">
        <v>415</v>
      </c>
      <c r="J422" s="94">
        <v>230.56078127697606</v>
      </c>
    </row>
    <row r="423" spans="9:10" x14ac:dyDescent="0.25">
      <c r="I423" s="94">
        <v>416</v>
      </c>
      <c r="J423" s="94">
        <v>237.2678948173243</v>
      </c>
    </row>
    <row r="424" spans="9:10" x14ac:dyDescent="0.25">
      <c r="I424" s="94">
        <v>417</v>
      </c>
      <c r="J424" s="94">
        <v>234.4160172743741</v>
      </c>
    </row>
    <row r="425" spans="9:10" x14ac:dyDescent="0.25">
      <c r="I425" s="94">
        <v>418</v>
      </c>
      <c r="J425" s="94">
        <v>240.97746327448692</v>
      </c>
    </row>
    <row r="426" spans="9:10" x14ac:dyDescent="0.25">
      <c r="I426" s="94">
        <v>419</v>
      </c>
      <c r="J426" s="94">
        <v>239.23305209281352</v>
      </c>
    </row>
    <row r="427" spans="9:10" x14ac:dyDescent="0.25">
      <c r="I427" s="94">
        <v>420</v>
      </c>
      <c r="J427" s="94">
        <v>226.81278045185337</v>
      </c>
    </row>
    <row r="428" spans="9:10" x14ac:dyDescent="0.25">
      <c r="I428" s="94">
        <v>421</v>
      </c>
      <c r="J428" s="94">
        <v>232.19016490136363</v>
      </c>
    </row>
    <row r="429" spans="9:10" x14ac:dyDescent="0.25">
      <c r="I429" s="94">
        <v>422</v>
      </c>
      <c r="J429" s="94">
        <v>242.71011533091121</v>
      </c>
    </row>
    <row r="430" spans="9:10" x14ac:dyDescent="0.25">
      <c r="I430" s="94">
        <v>423</v>
      </c>
      <c r="J430" s="94">
        <v>235.01715277662811</v>
      </c>
    </row>
    <row r="431" spans="9:10" x14ac:dyDescent="0.25">
      <c r="I431" s="94">
        <v>424</v>
      </c>
      <c r="J431" s="94">
        <v>236.65409688976575</v>
      </c>
    </row>
    <row r="432" spans="9:10" x14ac:dyDescent="0.25">
      <c r="I432" s="94">
        <v>425</v>
      </c>
      <c r="J432" s="94">
        <v>232.46587951931366</v>
      </c>
    </row>
    <row r="433" spans="9:10" x14ac:dyDescent="0.25">
      <c r="I433" s="94">
        <v>426</v>
      </c>
      <c r="J433" s="94">
        <v>236.506577941616</v>
      </c>
    </row>
    <row r="434" spans="9:10" x14ac:dyDescent="0.25">
      <c r="I434" s="94">
        <v>427</v>
      </c>
      <c r="J434" s="94">
        <v>247.68106317779836</v>
      </c>
    </row>
    <row r="435" spans="9:10" x14ac:dyDescent="0.25">
      <c r="I435" s="94">
        <v>428</v>
      </c>
      <c r="J435" s="94">
        <v>243.52535337020515</v>
      </c>
    </row>
    <row r="436" spans="9:10" x14ac:dyDescent="0.25">
      <c r="I436" s="94">
        <v>429</v>
      </c>
      <c r="J436" s="94">
        <v>256.98495598630973</v>
      </c>
    </row>
    <row r="437" spans="9:10" x14ac:dyDescent="0.25">
      <c r="I437" s="94">
        <v>430</v>
      </c>
      <c r="J437" s="94">
        <v>228.58390242068106</v>
      </c>
    </row>
    <row r="438" spans="9:10" x14ac:dyDescent="0.25">
      <c r="I438" s="94">
        <v>431</v>
      </c>
      <c r="J438" s="94">
        <v>233.60760161937952</v>
      </c>
    </row>
    <row r="439" spans="9:10" x14ac:dyDescent="0.25">
      <c r="I439" s="94">
        <v>432</v>
      </c>
      <c r="J439" s="94">
        <v>246.25612982346627</v>
      </c>
    </row>
    <row r="440" spans="9:10" x14ac:dyDescent="0.25">
      <c r="I440" s="94">
        <v>433</v>
      </c>
      <c r="J440" s="94">
        <v>243.17759919024536</v>
      </c>
    </row>
    <row r="441" spans="9:10" x14ac:dyDescent="0.25">
      <c r="I441" s="94">
        <v>434</v>
      </c>
      <c r="J441" s="94">
        <v>246.73822866788703</v>
      </c>
    </row>
    <row r="442" spans="9:10" x14ac:dyDescent="0.25">
      <c r="I442" s="94">
        <v>435</v>
      </c>
      <c r="J442" s="94">
        <v>244.25259877044664</v>
      </c>
    </row>
    <row r="443" spans="9:10" x14ac:dyDescent="0.25">
      <c r="I443" s="94">
        <v>436</v>
      </c>
      <c r="J443" s="94">
        <v>229.67998905177268</v>
      </c>
    </row>
    <row r="444" spans="9:10" x14ac:dyDescent="0.25">
      <c r="I444" s="94">
        <v>437</v>
      </c>
      <c r="J444" s="94">
        <v>249.51971753005751</v>
      </c>
    </row>
    <row r="445" spans="9:10" x14ac:dyDescent="0.25">
      <c r="I445" s="94">
        <v>438</v>
      </c>
      <c r="J445" s="94">
        <v>232.90061577010232</v>
      </c>
    </row>
    <row r="446" spans="9:10" x14ac:dyDescent="0.25">
      <c r="I446" s="94">
        <v>439</v>
      </c>
      <c r="J446" s="94">
        <v>243.7382682349546</v>
      </c>
    </row>
    <row r="447" spans="9:10" x14ac:dyDescent="0.25">
      <c r="I447" s="94">
        <v>440</v>
      </c>
      <c r="J447" s="94">
        <v>235.99582495571849</v>
      </c>
    </row>
    <row r="448" spans="9:10" x14ac:dyDescent="0.25">
      <c r="I448" s="94">
        <v>441</v>
      </c>
      <c r="J448" s="94">
        <v>239.74242195213697</v>
      </c>
    </row>
    <row r="449" spans="9:10" x14ac:dyDescent="0.25">
      <c r="I449" s="94">
        <v>442</v>
      </c>
      <c r="J449" s="94">
        <v>241.2102526477679</v>
      </c>
    </row>
    <row r="450" spans="9:10" x14ac:dyDescent="0.25">
      <c r="I450" s="94">
        <v>443</v>
      </c>
      <c r="J450" s="94">
        <v>255.3592469380784</v>
      </c>
    </row>
    <row r="451" spans="9:10" x14ac:dyDescent="0.25">
      <c r="I451" s="94">
        <v>444</v>
      </c>
      <c r="J451" s="94">
        <v>244.16734798014056</v>
      </c>
    </row>
    <row r="452" spans="9:10" x14ac:dyDescent="0.25">
      <c r="I452" s="94">
        <v>445</v>
      </c>
      <c r="J452" s="94">
        <v>253.01898982615376</v>
      </c>
    </row>
    <row r="453" spans="9:10" x14ac:dyDescent="0.25">
      <c r="I453" s="94">
        <v>446</v>
      </c>
      <c r="J453" s="94">
        <v>239.99528376321041</v>
      </c>
    </row>
    <row r="454" spans="9:10" x14ac:dyDescent="0.25">
      <c r="I454" s="94">
        <v>447</v>
      </c>
      <c r="J454" s="94">
        <v>230.29856364112453</v>
      </c>
    </row>
    <row r="455" spans="9:10" x14ac:dyDescent="0.25">
      <c r="I455" s="94">
        <v>448</v>
      </c>
      <c r="J455" s="94">
        <v>237.9577951089866</v>
      </c>
    </row>
    <row r="456" spans="9:10" x14ac:dyDescent="0.25">
      <c r="I456" s="94">
        <v>449</v>
      </c>
      <c r="J456" s="94">
        <v>242.18452695829603</v>
      </c>
    </row>
    <row r="457" spans="9:10" x14ac:dyDescent="0.25">
      <c r="I457" s="94">
        <v>450</v>
      </c>
      <c r="J457" s="94">
        <v>238.03323679759637</v>
      </c>
    </row>
    <row r="458" spans="9:10" x14ac:dyDescent="0.25">
      <c r="I458" s="94">
        <v>451</v>
      </c>
      <c r="J458" s="94">
        <v>235.70429833297891</v>
      </c>
    </row>
    <row r="459" spans="9:10" x14ac:dyDescent="0.25">
      <c r="I459" s="94">
        <v>452</v>
      </c>
      <c r="J459" s="94">
        <v>233.09232185518761</v>
      </c>
    </row>
    <row r="460" spans="9:10" x14ac:dyDescent="0.25">
      <c r="I460" s="94">
        <v>453</v>
      </c>
      <c r="J460" s="94">
        <v>245.79051076287658</v>
      </c>
    </row>
    <row r="461" spans="9:10" x14ac:dyDescent="0.25">
      <c r="I461" s="94">
        <v>454</v>
      </c>
      <c r="J461" s="94">
        <v>231.35082753365987</v>
      </c>
    </row>
    <row r="462" spans="9:10" x14ac:dyDescent="0.25">
      <c r="I462" s="94">
        <v>455</v>
      </c>
      <c r="J462" s="94">
        <v>238.2186187899897</v>
      </c>
    </row>
    <row r="463" spans="9:10" x14ac:dyDescent="0.25">
      <c r="I463" s="94">
        <v>456</v>
      </c>
      <c r="J463" s="94">
        <v>240.84945353184662</v>
      </c>
    </row>
    <row r="464" spans="9:10" x14ac:dyDescent="0.25">
      <c r="I464" s="94">
        <v>457</v>
      </c>
      <c r="J464" s="94">
        <v>251.89170231712808</v>
      </c>
    </row>
    <row r="465" spans="9:10" x14ac:dyDescent="0.25">
      <c r="I465" s="94">
        <v>458</v>
      </c>
      <c r="J465" s="94">
        <v>244.92866765133374</v>
      </c>
    </row>
    <row r="466" spans="9:10" x14ac:dyDescent="0.25">
      <c r="I466" s="94">
        <v>459</v>
      </c>
      <c r="J466" s="94">
        <v>242.31364551526349</v>
      </c>
    </row>
    <row r="467" spans="9:10" x14ac:dyDescent="0.25">
      <c r="I467" s="94">
        <v>460</v>
      </c>
      <c r="J467" s="94">
        <v>235.95700870876664</v>
      </c>
    </row>
    <row r="468" spans="9:10" x14ac:dyDescent="0.25">
      <c r="I468" s="94">
        <v>461</v>
      </c>
      <c r="J468" s="94">
        <v>244.40492661531869</v>
      </c>
    </row>
    <row r="469" spans="9:10" x14ac:dyDescent="0.25">
      <c r="I469" s="94">
        <v>462</v>
      </c>
      <c r="J469" s="94">
        <v>233.43056424880672</v>
      </c>
    </row>
    <row r="470" spans="9:10" x14ac:dyDescent="0.25">
      <c r="I470" s="94">
        <v>463</v>
      </c>
      <c r="J470" s="94">
        <v>247.21345698495475</v>
      </c>
    </row>
    <row r="471" spans="9:10" x14ac:dyDescent="0.25">
      <c r="I471" s="94">
        <v>464</v>
      </c>
      <c r="J471" s="94">
        <v>233.74659030333902</v>
      </c>
    </row>
    <row r="472" spans="9:10" x14ac:dyDescent="0.25">
      <c r="I472" s="94">
        <v>465</v>
      </c>
      <c r="J472" s="94">
        <v>237.34090339328088</v>
      </c>
    </row>
    <row r="473" spans="9:10" x14ac:dyDescent="0.25">
      <c r="I473" s="94">
        <v>466</v>
      </c>
      <c r="J473" s="94">
        <v>244.83256680068814</v>
      </c>
    </row>
    <row r="474" spans="9:10" x14ac:dyDescent="0.25">
      <c r="I474" s="94">
        <v>467</v>
      </c>
      <c r="J474" s="94">
        <v>246.97658911483893</v>
      </c>
    </row>
    <row r="475" spans="9:10" x14ac:dyDescent="0.25">
      <c r="I475" s="94">
        <v>468</v>
      </c>
      <c r="J475" s="94">
        <v>237.67167736660917</v>
      </c>
    </row>
    <row r="476" spans="9:10" x14ac:dyDescent="0.25">
      <c r="I476" s="94">
        <v>469</v>
      </c>
      <c r="J476" s="94">
        <v>239.04369351206947</v>
      </c>
    </row>
    <row r="477" spans="9:10" x14ac:dyDescent="0.25">
      <c r="I477" s="94">
        <v>470</v>
      </c>
      <c r="J477" s="94">
        <v>241.20019555929116</v>
      </c>
    </row>
    <row r="478" spans="9:10" x14ac:dyDescent="0.25">
      <c r="I478" s="94">
        <v>471</v>
      </c>
      <c r="J478" s="94">
        <v>232.56722342683543</v>
      </c>
    </row>
    <row r="479" spans="9:10" x14ac:dyDescent="0.25">
      <c r="I479" s="94">
        <v>472</v>
      </c>
      <c r="J479" s="94">
        <v>232.36123991521373</v>
      </c>
    </row>
    <row r="480" spans="9:10" x14ac:dyDescent="0.25">
      <c r="I480" s="94">
        <v>473</v>
      </c>
      <c r="J480" s="94">
        <v>238.94587408576092</v>
      </c>
    </row>
    <row r="481" spans="9:10" x14ac:dyDescent="0.25">
      <c r="I481" s="94">
        <v>474</v>
      </c>
      <c r="J481" s="94">
        <v>240.54795304295271</v>
      </c>
    </row>
    <row r="482" spans="9:10" x14ac:dyDescent="0.25">
      <c r="I482" s="94">
        <v>475</v>
      </c>
      <c r="J482" s="94">
        <v>237.1665985590231</v>
      </c>
    </row>
    <row r="483" spans="9:10" x14ac:dyDescent="0.25">
      <c r="I483" s="94">
        <v>476</v>
      </c>
      <c r="J483" s="94">
        <v>238.93515741467002</v>
      </c>
    </row>
    <row r="484" spans="9:10" x14ac:dyDescent="0.25">
      <c r="I484" s="94">
        <v>477</v>
      </c>
      <c r="J484" s="94">
        <v>242.76215276594053</v>
      </c>
    </row>
    <row r="485" spans="9:10" x14ac:dyDescent="0.25">
      <c r="I485" s="94">
        <v>478</v>
      </c>
      <c r="J485" s="94">
        <v>233.88272719880433</v>
      </c>
    </row>
    <row r="486" spans="9:10" x14ac:dyDescent="0.25">
      <c r="I486" s="94">
        <v>479</v>
      </c>
      <c r="J486" s="94">
        <v>241.27236908386271</v>
      </c>
    </row>
    <row r="487" spans="9:10" x14ac:dyDescent="0.25">
      <c r="I487" s="94">
        <v>480</v>
      </c>
      <c r="J487" s="94">
        <v>244.35097637105093</v>
      </c>
    </row>
    <row r="488" spans="9:10" x14ac:dyDescent="0.25">
      <c r="I488" s="94">
        <v>481</v>
      </c>
      <c r="J488" s="94">
        <v>250.95649961295976</v>
      </c>
    </row>
    <row r="489" spans="9:10" x14ac:dyDescent="0.25">
      <c r="I489" s="94">
        <v>482</v>
      </c>
      <c r="J489" s="94">
        <v>233.41718569651317</v>
      </c>
    </row>
    <row r="490" spans="9:10" x14ac:dyDescent="0.25">
      <c r="I490" s="94">
        <v>483</v>
      </c>
      <c r="J490" s="94">
        <v>250.24985432602409</v>
      </c>
    </row>
    <row r="491" spans="9:10" x14ac:dyDescent="0.25">
      <c r="I491" s="94">
        <v>484</v>
      </c>
      <c r="J491" s="94">
        <v>236.93560043932445</v>
      </c>
    </row>
    <row r="492" spans="9:10" x14ac:dyDescent="0.25">
      <c r="I492" s="94">
        <v>485</v>
      </c>
      <c r="J492" s="94">
        <v>234.5014466489888</v>
      </c>
    </row>
    <row r="493" spans="9:10" x14ac:dyDescent="0.25">
      <c r="I493" s="94">
        <v>486</v>
      </c>
      <c r="J493" s="94">
        <v>239.15981046088677</v>
      </c>
    </row>
    <row r="494" spans="9:10" x14ac:dyDescent="0.25">
      <c r="I494" s="94">
        <v>487</v>
      </c>
      <c r="J494" s="94">
        <v>237.31474607430289</v>
      </c>
    </row>
    <row r="495" spans="9:10" x14ac:dyDescent="0.25">
      <c r="I495" s="94">
        <v>488</v>
      </c>
      <c r="J495" s="94">
        <v>246.71556996353775</v>
      </c>
    </row>
    <row r="496" spans="9:10" x14ac:dyDescent="0.25">
      <c r="I496" s="94">
        <v>489</v>
      </c>
      <c r="J496" s="94">
        <v>236.57736207036436</v>
      </c>
    </row>
    <row r="497" spans="9:10" x14ac:dyDescent="0.25">
      <c r="I497" s="94">
        <v>490</v>
      </c>
      <c r="J497" s="94">
        <v>235.33798016117794</v>
      </c>
    </row>
    <row r="498" spans="9:10" x14ac:dyDescent="0.25">
      <c r="I498" s="94">
        <v>491</v>
      </c>
      <c r="J498" s="94">
        <v>242.07508316390158</v>
      </c>
    </row>
    <row r="499" spans="9:10" x14ac:dyDescent="0.25">
      <c r="I499" s="94">
        <v>492</v>
      </c>
      <c r="J499" s="94">
        <v>240.44148349351883</v>
      </c>
    </row>
    <row r="500" spans="9:10" x14ac:dyDescent="0.25">
      <c r="I500" s="94">
        <v>493</v>
      </c>
      <c r="J500" s="94">
        <v>232.13833605438134</v>
      </c>
    </row>
    <row r="501" spans="9:10" x14ac:dyDescent="0.25">
      <c r="I501" s="94">
        <v>494</v>
      </c>
      <c r="J501" s="94">
        <v>240.04902220905444</v>
      </c>
    </row>
    <row r="502" spans="9:10" x14ac:dyDescent="0.25">
      <c r="I502" s="94">
        <v>495</v>
      </c>
      <c r="J502" s="94">
        <v>234.42476404059045</v>
      </c>
    </row>
    <row r="503" spans="9:10" x14ac:dyDescent="0.25">
      <c r="I503" s="94">
        <v>496</v>
      </c>
      <c r="J503" s="94">
        <v>232.46506016537734</v>
      </c>
    </row>
    <row r="504" spans="9:10" x14ac:dyDescent="0.25">
      <c r="I504" s="94">
        <v>497</v>
      </c>
      <c r="J504" s="94">
        <v>229.29322886545992</v>
      </c>
    </row>
    <row r="505" spans="9:10" x14ac:dyDescent="0.25">
      <c r="I505" s="94">
        <v>498</v>
      </c>
      <c r="J505" s="94">
        <v>235.28356436838885</v>
      </c>
    </row>
    <row r="506" spans="9:10" x14ac:dyDescent="0.25">
      <c r="I506" s="94">
        <v>499</v>
      </c>
      <c r="J506" s="94">
        <v>245.1899383083454</v>
      </c>
    </row>
    <row r="507" spans="9:10" x14ac:dyDescent="0.25">
      <c r="I507" s="94">
        <v>500</v>
      </c>
      <c r="J507" s="94">
        <v>241.79375099505683</v>
      </c>
    </row>
    <row r="508" spans="9:10" x14ac:dyDescent="0.25">
      <c r="I508" s="94">
        <v>501</v>
      </c>
      <c r="J508" s="94">
        <v>249.94024247965604</v>
      </c>
    </row>
    <row r="509" spans="9:10" x14ac:dyDescent="0.25">
      <c r="I509" s="94">
        <v>502</v>
      </c>
      <c r="J509" s="94">
        <v>233.25004153673757</v>
      </c>
    </row>
    <row r="510" spans="9:10" x14ac:dyDescent="0.25">
      <c r="I510" s="94">
        <v>503</v>
      </c>
      <c r="J510" s="94">
        <v>238.91582303730979</v>
      </c>
    </row>
    <row r="511" spans="9:10" x14ac:dyDescent="0.25">
      <c r="I511" s="94">
        <v>504</v>
      </c>
      <c r="J511" s="94">
        <v>257.44643452519688</v>
      </c>
    </row>
    <row r="512" spans="9:10" x14ac:dyDescent="0.25">
      <c r="I512" s="94">
        <v>505</v>
      </c>
      <c r="J512" s="94">
        <v>229.94187779591783</v>
      </c>
    </row>
    <row r="513" spans="9:10" x14ac:dyDescent="0.25">
      <c r="I513" s="94">
        <v>506</v>
      </c>
      <c r="J513" s="94">
        <v>243.81160534760045</v>
      </c>
    </row>
    <row r="514" spans="9:10" x14ac:dyDescent="0.25">
      <c r="I514" s="94">
        <v>507</v>
      </c>
      <c r="J514" s="94">
        <v>237.89639082253279</v>
      </c>
    </row>
    <row r="515" spans="9:10" x14ac:dyDescent="0.25">
      <c r="I515" s="94">
        <v>508</v>
      </c>
      <c r="J515" s="94">
        <v>235.52548003236717</v>
      </c>
    </row>
    <row r="516" spans="9:10" x14ac:dyDescent="0.25">
      <c r="I516" s="94">
        <v>509</v>
      </c>
      <c r="J516" s="94">
        <v>231.7156521745419</v>
      </c>
    </row>
    <row r="517" spans="9:10" x14ac:dyDescent="0.25">
      <c r="I517" s="94">
        <v>510</v>
      </c>
      <c r="J517" s="94">
        <v>241.12451486384032</v>
      </c>
    </row>
    <row r="518" spans="9:10" x14ac:dyDescent="0.25">
      <c r="I518" s="94">
        <v>511</v>
      </c>
      <c r="J518" s="94">
        <v>235.01818575727515</v>
      </c>
    </row>
    <row r="519" spans="9:10" x14ac:dyDescent="0.25">
      <c r="I519" s="94">
        <v>512</v>
      </c>
      <c r="J519" s="94">
        <v>235.04449358246461</v>
      </c>
    </row>
    <row r="520" spans="9:10" x14ac:dyDescent="0.25">
      <c r="I520" s="94">
        <v>513</v>
      </c>
      <c r="J520" s="94">
        <v>240.40171972892051</v>
      </c>
    </row>
    <row r="521" spans="9:10" x14ac:dyDescent="0.25">
      <c r="I521" s="94">
        <v>514</v>
      </c>
      <c r="J521" s="94">
        <v>236.1137696410218</v>
      </c>
    </row>
    <row r="522" spans="9:10" x14ac:dyDescent="0.25">
      <c r="I522" s="94">
        <v>515</v>
      </c>
      <c r="J522" s="94">
        <v>234.78200042990579</v>
      </c>
    </row>
    <row r="523" spans="9:10" x14ac:dyDescent="0.25">
      <c r="I523" s="94">
        <v>516</v>
      </c>
      <c r="J523" s="94">
        <v>241.19336739445237</v>
      </c>
    </row>
    <row r="524" spans="9:10" x14ac:dyDescent="0.25">
      <c r="I524" s="94">
        <v>517</v>
      </c>
      <c r="J524" s="94">
        <v>237.62114773114433</v>
      </c>
    </row>
    <row r="525" spans="9:10" x14ac:dyDescent="0.25">
      <c r="I525" s="94">
        <v>518</v>
      </c>
      <c r="J525" s="94">
        <v>240.79144217657915</v>
      </c>
    </row>
    <row r="526" spans="9:10" x14ac:dyDescent="0.25">
      <c r="I526" s="94">
        <v>519</v>
      </c>
      <c r="J526" s="94">
        <v>230.20620012801288</v>
      </c>
    </row>
    <row r="527" spans="9:10" x14ac:dyDescent="0.25">
      <c r="I527" s="94">
        <v>520</v>
      </c>
      <c r="J527" s="94">
        <v>240.31263233401785</v>
      </c>
    </row>
    <row r="528" spans="9:10" x14ac:dyDescent="0.25">
      <c r="I528" s="94">
        <v>521</v>
      </c>
      <c r="J528" s="94">
        <v>242.40212670983215</v>
      </c>
    </row>
    <row r="529" spans="9:10" x14ac:dyDescent="0.25">
      <c r="I529" s="94">
        <v>522</v>
      </c>
      <c r="J529" s="94">
        <v>239.88740090258011</v>
      </c>
    </row>
    <row r="530" spans="9:10" x14ac:dyDescent="0.25">
      <c r="I530" s="94">
        <v>523</v>
      </c>
      <c r="J530" s="94">
        <v>231.05725042621231</v>
      </c>
    </row>
    <row r="531" spans="9:10" x14ac:dyDescent="0.25">
      <c r="I531" s="94">
        <v>524</v>
      </c>
      <c r="J531" s="94">
        <v>238.91001116940492</v>
      </c>
    </row>
    <row r="532" spans="9:10" x14ac:dyDescent="0.25">
      <c r="I532" s="94">
        <v>525</v>
      </c>
      <c r="J532" s="94">
        <v>238.6314567216408</v>
      </c>
    </row>
    <row r="533" spans="9:10" x14ac:dyDescent="0.25">
      <c r="I533" s="94">
        <v>526</v>
      </c>
      <c r="J533" s="94">
        <v>245.66934299473826</v>
      </c>
    </row>
    <row r="534" spans="9:10" x14ac:dyDescent="0.25">
      <c r="I534" s="94">
        <v>527</v>
      </c>
      <c r="J534" s="94">
        <v>244.26828043870421</v>
      </c>
    </row>
    <row r="535" spans="9:10" x14ac:dyDescent="0.25">
      <c r="I535" s="94">
        <v>528</v>
      </c>
      <c r="J535" s="94">
        <v>232.79535905701022</v>
      </c>
    </row>
    <row r="536" spans="9:10" x14ac:dyDescent="0.25">
      <c r="I536" s="94">
        <v>529</v>
      </c>
      <c r="J536" s="94">
        <v>249.20524043936018</v>
      </c>
    </row>
    <row r="537" spans="9:10" x14ac:dyDescent="0.25">
      <c r="I537" s="94">
        <v>530</v>
      </c>
      <c r="J537" s="94">
        <v>243.80620344579518</v>
      </c>
    </row>
    <row r="538" spans="9:10" x14ac:dyDescent="0.25">
      <c r="I538" s="94">
        <v>531</v>
      </c>
      <c r="J538" s="94">
        <v>245.39671150319464</v>
      </c>
    </row>
    <row r="539" spans="9:10" x14ac:dyDescent="0.25">
      <c r="I539" s="94">
        <v>532</v>
      </c>
      <c r="J539" s="94">
        <v>229.66042190730701</v>
      </c>
    </row>
    <row r="540" spans="9:10" x14ac:dyDescent="0.25">
      <c r="I540" s="94">
        <v>533</v>
      </c>
      <c r="J540" s="94">
        <v>236.7611503216998</v>
      </c>
    </row>
    <row r="541" spans="9:10" x14ac:dyDescent="0.25">
      <c r="I541" s="94">
        <v>534</v>
      </c>
      <c r="J541" s="94">
        <v>235.69764245359698</v>
      </c>
    </row>
    <row r="542" spans="9:10" x14ac:dyDescent="0.25">
      <c r="I542" s="94">
        <v>535</v>
      </c>
      <c r="J542" s="94">
        <v>238.5241637127782</v>
      </c>
    </row>
    <row r="543" spans="9:10" x14ac:dyDescent="0.25">
      <c r="I543" s="94">
        <v>536</v>
      </c>
      <c r="J543" s="94">
        <v>246.89113069029656</v>
      </c>
    </row>
    <row r="544" spans="9:10" x14ac:dyDescent="0.25">
      <c r="I544" s="94">
        <v>537</v>
      </c>
      <c r="J544" s="94">
        <v>242.80089777549131</v>
      </c>
    </row>
    <row r="545" spans="9:10" x14ac:dyDescent="0.25">
      <c r="I545" s="94">
        <v>538</v>
      </c>
      <c r="J545" s="94">
        <v>245.87896205125412</v>
      </c>
    </row>
    <row r="546" spans="9:10" x14ac:dyDescent="0.25">
      <c r="I546" s="94">
        <v>539</v>
      </c>
      <c r="J546" s="94">
        <v>235.30401685538328</v>
      </c>
    </row>
    <row r="547" spans="9:10" x14ac:dyDescent="0.25">
      <c r="I547" s="94">
        <v>540</v>
      </c>
      <c r="J547" s="94">
        <v>240.57803817830631</v>
      </c>
    </row>
    <row r="548" spans="9:10" x14ac:dyDescent="0.25">
      <c r="I548" s="94">
        <v>541</v>
      </c>
      <c r="J548" s="94">
        <v>230.75445925589935</v>
      </c>
    </row>
    <row r="549" spans="9:10" x14ac:dyDescent="0.25">
      <c r="I549" s="94">
        <v>542</v>
      </c>
      <c r="J549" s="94">
        <v>250.90995743770611</v>
      </c>
    </row>
    <row r="550" spans="9:10" x14ac:dyDescent="0.25">
      <c r="I550" s="94">
        <v>543</v>
      </c>
      <c r="J550" s="94">
        <v>238.77593818078788</v>
      </c>
    </row>
    <row r="551" spans="9:10" x14ac:dyDescent="0.25">
      <c r="I551" s="94">
        <v>544</v>
      </c>
      <c r="J551" s="94">
        <v>234.55636468368516</v>
      </c>
    </row>
    <row r="552" spans="9:10" x14ac:dyDescent="0.25">
      <c r="I552" s="94">
        <v>545</v>
      </c>
      <c r="J552" s="94">
        <v>224.26760975647557</v>
      </c>
    </row>
    <row r="553" spans="9:10" x14ac:dyDescent="0.25">
      <c r="I553" s="94">
        <v>546</v>
      </c>
      <c r="J553" s="94">
        <v>236.53717874562432</v>
      </c>
    </row>
    <row r="554" spans="9:10" x14ac:dyDescent="0.25">
      <c r="I554" s="94">
        <v>547</v>
      </c>
      <c r="J554" s="94">
        <v>241.6336959480584</v>
      </c>
    </row>
    <row r="555" spans="9:10" x14ac:dyDescent="0.25">
      <c r="I555" s="94">
        <v>548</v>
      </c>
      <c r="J555" s="94">
        <v>239.99038354513721</v>
      </c>
    </row>
    <row r="556" spans="9:10" x14ac:dyDescent="0.25">
      <c r="I556" s="94">
        <v>549</v>
      </c>
      <c r="J556" s="94">
        <v>234.43109644131454</v>
      </c>
    </row>
    <row r="557" spans="9:10" x14ac:dyDescent="0.25">
      <c r="I557" s="94">
        <v>550</v>
      </c>
      <c r="J557" s="94">
        <v>228.79753013059496</v>
      </c>
    </row>
    <row r="558" spans="9:10" x14ac:dyDescent="0.25">
      <c r="I558" s="94">
        <v>551</v>
      </c>
      <c r="J558" s="94">
        <v>241.40781159563971</v>
      </c>
    </row>
    <row r="559" spans="9:10" x14ac:dyDescent="0.25">
      <c r="I559" s="94">
        <v>552</v>
      </c>
      <c r="J559" s="94">
        <v>245.88207955176688</v>
      </c>
    </row>
    <row r="560" spans="9:10" x14ac:dyDescent="0.25">
      <c r="I560" s="94">
        <v>553</v>
      </c>
      <c r="J560" s="94">
        <v>237.45568407432052</v>
      </c>
    </row>
    <row r="561" spans="9:10" x14ac:dyDescent="0.25">
      <c r="I561" s="94">
        <v>554</v>
      </c>
      <c r="J561" s="94">
        <v>232.00411180402335</v>
      </c>
    </row>
    <row r="562" spans="9:10" x14ac:dyDescent="0.25">
      <c r="I562" s="94">
        <v>555</v>
      </c>
      <c r="J562" s="94">
        <v>231.84570217108552</v>
      </c>
    </row>
    <row r="563" spans="9:10" x14ac:dyDescent="0.25">
      <c r="I563" s="94">
        <v>556</v>
      </c>
      <c r="J563" s="94">
        <v>233.49142457952092</v>
      </c>
    </row>
    <row r="564" spans="9:10" x14ac:dyDescent="0.25">
      <c r="I564" s="94">
        <v>557</v>
      </c>
      <c r="J564" s="94">
        <v>233.32822019021495</v>
      </c>
    </row>
    <row r="565" spans="9:10" x14ac:dyDescent="0.25">
      <c r="I565" s="94">
        <v>558</v>
      </c>
      <c r="J565" s="94">
        <v>245.8102333868593</v>
      </c>
    </row>
    <row r="566" spans="9:10" x14ac:dyDescent="0.25">
      <c r="I566" s="94">
        <v>559</v>
      </c>
      <c r="J566" s="94">
        <v>243.71953688995688</v>
      </c>
    </row>
    <row r="567" spans="9:10" x14ac:dyDescent="0.25">
      <c r="I567" s="94">
        <v>560</v>
      </c>
      <c r="J567" s="94">
        <v>243.71069187549506</v>
      </c>
    </row>
    <row r="568" spans="9:10" x14ac:dyDescent="0.25">
      <c r="I568" s="94">
        <v>561</v>
      </c>
      <c r="J568" s="94">
        <v>243.38715935447919</v>
      </c>
    </row>
    <row r="569" spans="9:10" x14ac:dyDescent="0.25">
      <c r="I569" s="94">
        <v>562</v>
      </c>
      <c r="J569" s="94">
        <v>225.29351363301566</v>
      </c>
    </row>
    <row r="570" spans="9:10" x14ac:dyDescent="0.25">
      <c r="I570" s="94">
        <v>563</v>
      </c>
      <c r="J570" s="94">
        <v>245.71617540191198</v>
      </c>
    </row>
    <row r="571" spans="9:10" x14ac:dyDescent="0.25">
      <c r="I571" s="94">
        <v>564</v>
      </c>
      <c r="J571" s="94">
        <v>229.03062406948862</v>
      </c>
    </row>
    <row r="572" spans="9:10" x14ac:dyDescent="0.25">
      <c r="I572" s="94">
        <v>565</v>
      </c>
      <c r="J572" s="94">
        <v>233.74058912328695</v>
      </c>
    </row>
    <row r="573" spans="9:10" x14ac:dyDescent="0.25">
      <c r="I573" s="94">
        <v>566</v>
      </c>
      <c r="J573" s="94">
        <v>233.20419308845135</v>
      </c>
    </row>
    <row r="574" spans="9:10" x14ac:dyDescent="0.25">
      <c r="I574" s="94">
        <v>567</v>
      </c>
      <c r="J574" s="94">
        <v>232.59604044465397</v>
      </c>
    </row>
    <row r="575" spans="9:10" x14ac:dyDescent="0.25">
      <c r="I575" s="94">
        <v>568</v>
      </c>
      <c r="J575" s="94">
        <v>238.13265713855446</v>
      </c>
    </row>
    <row r="576" spans="9:10" x14ac:dyDescent="0.25">
      <c r="I576" s="94">
        <v>569</v>
      </c>
      <c r="J576" s="94">
        <v>237.21708659718047</v>
      </c>
    </row>
    <row r="577" spans="9:10" x14ac:dyDescent="0.25">
      <c r="I577" s="94">
        <v>570</v>
      </c>
      <c r="J577" s="94">
        <v>240.6519189689526</v>
      </c>
    </row>
    <row r="578" spans="9:10" x14ac:dyDescent="0.25">
      <c r="I578" s="94">
        <v>571</v>
      </c>
      <c r="J578" s="94">
        <v>239.23649502385263</v>
      </c>
    </row>
    <row r="579" spans="9:10" x14ac:dyDescent="0.25">
      <c r="I579" s="94">
        <v>572</v>
      </c>
      <c r="J579" s="94">
        <v>242.27502744366791</v>
      </c>
    </row>
    <row r="580" spans="9:10" x14ac:dyDescent="0.25">
      <c r="I580" s="94">
        <v>573</v>
      </c>
      <c r="J580" s="94">
        <v>231.02915472106275</v>
      </c>
    </row>
    <row r="581" spans="9:10" x14ac:dyDescent="0.25">
      <c r="I581" s="94">
        <v>574</v>
      </c>
      <c r="J581" s="94">
        <v>235.86576232540455</v>
      </c>
    </row>
    <row r="582" spans="9:10" x14ac:dyDescent="0.25">
      <c r="I582" s="94">
        <v>575</v>
      </c>
      <c r="J582" s="94">
        <v>240.5086088243072</v>
      </c>
    </row>
    <row r="583" spans="9:10" x14ac:dyDescent="0.25">
      <c r="I583" s="94">
        <v>576</v>
      </c>
      <c r="J583" s="94">
        <v>244.69673659527768</v>
      </c>
    </row>
    <row r="584" spans="9:10" x14ac:dyDescent="0.25">
      <c r="I584" s="94">
        <v>577</v>
      </c>
      <c r="J584" s="94">
        <v>236.95527508138213</v>
      </c>
    </row>
    <row r="585" spans="9:10" x14ac:dyDescent="0.25">
      <c r="I585" s="94">
        <v>578</v>
      </c>
      <c r="J585" s="94">
        <v>233.62096355770524</v>
      </c>
    </row>
    <row r="586" spans="9:10" x14ac:dyDescent="0.25">
      <c r="I586" s="94">
        <v>579</v>
      </c>
      <c r="J586" s="94">
        <v>240.15870234235626</v>
      </c>
    </row>
    <row r="587" spans="9:10" x14ac:dyDescent="0.25">
      <c r="I587" s="94">
        <v>580</v>
      </c>
      <c r="J587" s="94">
        <v>240.19894977664057</v>
      </c>
    </row>
    <row r="588" spans="9:10" x14ac:dyDescent="0.25">
      <c r="I588" s="94">
        <v>581</v>
      </c>
      <c r="J588" s="94">
        <v>246.76555087209363</v>
      </c>
    </row>
    <row r="589" spans="9:10" x14ac:dyDescent="0.25">
      <c r="I589" s="94">
        <v>582</v>
      </c>
      <c r="J589" s="94">
        <v>236.20749839734657</v>
      </c>
    </row>
    <row r="590" spans="9:10" x14ac:dyDescent="0.25">
      <c r="I590" s="94">
        <v>583</v>
      </c>
      <c r="J590" s="94">
        <v>240.08555523668906</v>
      </c>
    </row>
    <row r="591" spans="9:10" x14ac:dyDescent="0.25">
      <c r="I591" s="94">
        <v>584</v>
      </c>
      <c r="J591" s="94">
        <v>246.09234752615771</v>
      </c>
    </row>
    <row r="592" spans="9:10" x14ac:dyDescent="0.25">
      <c r="I592" s="94">
        <v>585</v>
      </c>
      <c r="J592" s="94">
        <v>254.30643640493849</v>
      </c>
    </row>
    <row r="593" spans="9:10" x14ac:dyDescent="0.25">
      <c r="I593" s="94">
        <v>586</v>
      </c>
      <c r="J593" s="94">
        <v>232.8403544872379</v>
      </c>
    </row>
    <row r="594" spans="9:10" x14ac:dyDescent="0.25">
      <c r="I594" s="94">
        <v>587</v>
      </c>
      <c r="J594" s="94">
        <v>237.75461390112662</v>
      </c>
    </row>
    <row r="595" spans="9:10" x14ac:dyDescent="0.25">
      <c r="I595" s="94">
        <v>588</v>
      </c>
      <c r="J595" s="94">
        <v>240.11550405083813</v>
      </c>
    </row>
    <row r="596" spans="9:10" x14ac:dyDescent="0.25">
      <c r="I596" s="94">
        <v>589</v>
      </c>
      <c r="J596" s="94">
        <v>244.69038469937982</v>
      </c>
    </row>
    <row r="597" spans="9:10" x14ac:dyDescent="0.25">
      <c r="I597" s="94">
        <v>590</v>
      </c>
      <c r="J597" s="94">
        <v>254.03203258397605</v>
      </c>
    </row>
    <row r="598" spans="9:10" x14ac:dyDescent="0.25">
      <c r="I598" s="94">
        <v>591</v>
      </c>
      <c r="J598" s="94">
        <v>253.22488959247903</v>
      </c>
    </row>
    <row r="599" spans="9:10" x14ac:dyDescent="0.25">
      <c r="I599" s="94">
        <v>592</v>
      </c>
      <c r="J599" s="94">
        <v>231.79694790080362</v>
      </c>
    </row>
    <row r="600" spans="9:10" x14ac:dyDescent="0.25">
      <c r="I600" s="94">
        <v>593</v>
      </c>
      <c r="J600" s="94">
        <v>247.44281685059502</v>
      </c>
    </row>
    <row r="601" spans="9:10" x14ac:dyDescent="0.25">
      <c r="I601" s="94">
        <v>594</v>
      </c>
      <c r="J601" s="94">
        <v>245.72999165081706</v>
      </c>
    </row>
    <row r="602" spans="9:10" x14ac:dyDescent="0.25">
      <c r="I602" s="94">
        <v>595</v>
      </c>
      <c r="J602" s="94">
        <v>231.5942549269264</v>
      </c>
    </row>
    <row r="603" spans="9:10" x14ac:dyDescent="0.25">
      <c r="I603" s="94">
        <v>596</v>
      </c>
      <c r="J603" s="94">
        <v>237.49188605060726</v>
      </c>
    </row>
    <row r="604" spans="9:10" x14ac:dyDescent="0.25">
      <c r="I604" s="94">
        <v>597</v>
      </c>
      <c r="J604" s="94">
        <v>250.83695977227376</v>
      </c>
    </row>
    <row r="605" spans="9:10" x14ac:dyDescent="0.25">
      <c r="I605" s="94">
        <v>598</v>
      </c>
      <c r="J605" s="94">
        <v>245.44250131477713</v>
      </c>
    </row>
    <row r="606" spans="9:10" x14ac:dyDescent="0.25">
      <c r="I606" s="94">
        <v>599</v>
      </c>
      <c r="J606" s="94">
        <v>241.1313675926524</v>
      </c>
    </row>
    <row r="607" spans="9:10" x14ac:dyDescent="0.25">
      <c r="I607" s="94">
        <v>600</v>
      </c>
      <c r="J607" s="94">
        <v>254.57563818228584</v>
      </c>
    </row>
    <row r="608" spans="9:10" x14ac:dyDescent="0.25">
      <c r="I608" s="94">
        <v>601</v>
      </c>
      <c r="J608" s="94">
        <v>236.56962066274241</v>
      </c>
    </row>
    <row r="609" spans="9:10" x14ac:dyDescent="0.25">
      <c r="I609" s="94">
        <v>602</v>
      </c>
      <c r="J609" s="94">
        <v>231.72861034916303</v>
      </c>
    </row>
    <row r="610" spans="9:10" x14ac:dyDescent="0.25">
      <c r="I610" s="94">
        <v>603</v>
      </c>
      <c r="J610" s="94">
        <v>236.6554248650155</v>
      </c>
    </row>
    <row r="611" spans="9:10" x14ac:dyDescent="0.25">
      <c r="I611" s="94">
        <v>604</v>
      </c>
      <c r="J611" s="94">
        <v>236.80294545844345</v>
      </c>
    </row>
    <row r="612" spans="9:10" x14ac:dyDescent="0.25">
      <c r="I612" s="94">
        <v>605</v>
      </c>
      <c r="J612" s="94">
        <v>225.32175932751466</v>
      </c>
    </row>
    <row r="613" spans="9:10" x14ac:dyDescent="0.25">
      <c r="I613" s="94">
        <v>606</v>
      </c>
      <c r="J613" s="94">
        <v>247.82630634789678</v>
      </c>
    </row>
    <row r="614" spans="9:10" x14ac:dyDescent="0.25">
      <c r="I614" s="94">
        <v>607</v>
      </c>
      <c r="J614" s="94">
        <v>230.85399076644097</v>
      </c>
    </row>
    <row r="615" spans="9:10" x14ac:dyDescent="0.25">
      <c r="I615" s="94">
        <v>608</v>
      </c>
      <c r="J615" s="94">
        <v>234.46342487692192</v>
      </c>
    </row>
    <row r="616" spans="9:10" x14ac:dyDescent="0.25">
      <c r="I616" s="94">
        <v>609</v>
      </c>
      <c r="J616" s="94">
        <v>229.20547276350845</v>
      </c>
    </row>
    <row r="617" spans="9:10" x14ac:dyDescent="0.25">
      <c r="I617" s="94">
        <v>610</v>
      </c>
      <c r="J617" s="94">
        <v>246.03621401066403</v>
      </c>
    </row>
    <row r="618" spans="9:10" x14ac:dyDescent="0.25">
      <c r="I618" s="94">
        <v>611</v>
      </c>
      <c r="J618" s="94">
        <v>238.34853666671779</v>
      </c>
    </row>
    <row r="619" spans="9:10" x14ac:dyDescent="0.25">
      <c r="I619" s="94">
        <v>612</v>
      </c>
      <c r="J619" s="94">
        <v>246.54129576354501</v>
      </c>
    </row>
    <row r="620" spans="9:10" x14ac:dyDescent="0.25">
      <c r="I620" s="94">
        <v>613</v>
      </c>
      <c r="J620" s="94">
        <v>234.344546948632</v>
      </c>
    </row>
    <row r="621" spans="9:10" x14ac:dyDescent="0.25">
      <c r="I621" s="94">
        <v>614</v>
      </c>
      <c r="J621" s="94">
        <v>235.21727587183307</v>
      </c>
    </row>
    <row r="622" spans="9:10" x14ac:dyDescent="0.25">
      <c r="I622" s="94">
        <v>615</v>
      </c>
      <c r="J622" s="94">
        <v>239.61223642515722</v>
      </c>
    </row>
    <row r="623" spans="9:10" x14ac:dyDescent="0.25">
      <c r="I623" s="94">
        <v>616</v>
      </c>
      <c r="J623" s="94">
        <v>236.24788440316274</v>
      </c>
    </row>
    <row r="624" spans="9:10" x14ac:dyDescent="0.25">
      <c r="I624" s="94">
        <v>617</v>
      </c>
      <c r="J624" s="94">
        <v>231.13877481042636</v>
      </c>
    </row>
    <row r="625" spans="9:10" x14ac:dyDescent="0.25">
      <c r="I625" s="94">
        <v>618</v>
      </c>
      <c r="J625" s="94">
        <v>234.18196527162047</v>
      </c>
    </row>
    <row r="626" spans="9:10" x14ac:dyDescent="0.25">
      <c r="I626" s="94">
        <v>619</v>
      </c>
      <c r="J626" s="94">
        <v>233.44886884368856</v>
      </c>
    </row>
    <row r="627" spans="9:10" x14ac:dyDescent="0.25">
      <c r="I627" s="94">
        <v>620</v>
      </c>
      <c r="J627" s="94">
        <v>229.13930508276263</v>
      </c>
    </row>
    <row r="628" spans="9:10" x14ac:dyDescent="0.25">
      <c r="I628" s="94">
        <v>621</v>
      </c>
      <c r="J628" s="94">
        <v>230.24718864145922</v>
      </c>
    </row>
    <row r="629" spans="9:10" x14ac:dyDescent="0.25">
      <c r="I629" s="94">
        <v>622</v>
      </c>
      <c r="J629" s="94">
        <v>229.383112662516</v>
      </c>
    </row>
    <row r="630" spans="9:10" x14ac:dyDescent="0.25">
      <c r="I630" s="94">
        <v>623</v>
      </c>
      <c r="J630" s="94">
        <v>243.50707314339252</v>
      </c>
    </row>
    <row r="631" spans="9:10" x14ac:dyDescent="0.25">
      <c r="I631" s="94">
        <v>624</v>
      </c>
      <c r="J631" s="94">
        <v>254.08464441949502</v>
      </c>
    </row>
    <row r="632" spans="9:10" x14ac:dyDescent="0.25">
      <c r="I632" s="94">
        <v>625</v>
      </c>
      <c r="J632" s="94">
        <v>226.65631252251092</v>
      </c>
    </row>
    <row r="633" spans="9:10" x14ac:dyDescent="0.25">
      <c r="I633" s="94">
        <v>626</v>
      </c>
      <c r="J633" s="94">
        <v>230.77078380646168</v>
      </c>
    </row>
    <row r="634" spans="9:10" x14ac:dyDescent="0.25">
      <c r="I634" s="94">
        <v>627</v>
      </c>
      <c r="J634" s="94">
        <v>244.26238752307393</v>
      </c>
    </row>
    <row r="635" spans="9:10" x14ac:dyDescent="0.25">
      <c r="I635" s="94">
        <v>628</v>
      </c>
      <c r="J635" s="94">
        <v>233.7542809354747</v>
      </c>
    </row>
    <row r="636" spans="9:10" x14ac:dyDescent="0.25">
      <c r="I636" s="94">
        <v>629</v>
      </c>
      <c r="J636" s="94">
        <v>234.28219656614061</v>
      </c>
    </row>
    <row r="637" spans="9:10" x14ac:dyDescent="0.25">
      <c r="I637" s="94">
        <v>630</v>
      </c>
      <c r="J637" s="94">
        <v>244.9457909120971</v>
      </c>
    </row>
    <row r="638" spans="9:10" x14ac:dyDescent="0.25">
      <c r="I638" s="94">
        <v>631</v>
      </c>
      <c r="J638" s="94">
        <v>230.05060740574919</v>
      </c>
    </row>
    <row r="639" spans="9:10" x14ac:dyDescent="0.25">
      <c r="I639" s="94">
        <v>632</v>
      </c>
      <c r="J639" s="94">
        <v>245.09048521894499</v>
      </c>
    </row>
    <row r="640" spans="9:10" x14ac:dyDescent="0.25">
      <c r="I640" s="94">
        <v>633</v>
      </c>
      <c r="J640" s="94">
        <v>236.20164599342269</v>
      </c>
    </row>
    <row r="641" spans="9:10" x14ac:dyDescent="0.25">
      <c r="I641" s="94">
        <v>634</v>
      </c>
      <c r="J641" s="94">
        <v>241.36838093734298</v>
      </c>
    </row>
    <row r="642" spans="9:10" x14ac:dyDescent="0.25">
      <c r="I642" s="94">
        <v>635</v>
      </c>
      <c r="J642" s="94">
        <v>236.91464030292684</v>
      </c>
    </row>
    <row r="643" spans="9:10" x14ac:dyDescent="0.25">
      <c r="I643" s="94">
        <v>636</v>
      </c>
      <c r="J643" s="94">
        <v>245.18810108001514</v>
      </c>
    </row>
    <row r="644" spans="9:10" x14ac:dyDescent="0.25">
      <c r="I644" s="94">
        <v>637</v>
      </c>
      <c r="J644" s="94">
        <v>246.09811115068339</v>
      </c>
    </row>
    <row r="645" spans="9:10" x14ac:dyDescent="0.25">
      <c r="I645" s="94">
        <v>638</v>
      </c>
      <c r="J645" s="94">
        <v>235.72384748748038</v>
      </c>
    </row>
    <row r="646" spans="9:10" x14ac:dyDescent="0.25">
      <c r="I646" s="94">
        <v>639</v>
      </c>
      <c r="J646" s="94">
        <v>236.03119597013875</v>
      </c>
    </row>
    <row r="647" spans="9:10" x14ac:dyDescent="0.25">
      <c r="I647" s="94">
        <v>640</v>
      </c>
      <c r="J647" s="94">
        <v>235.33237180140526</v>
      </c>
    </row>
    <row r="648" spans="9:10" x14ac:dyDescent="0.25">
      <c r="I648" s="94">
        <v>641</v>
      </c>
      <c r="J648" s="94">
        <v>243.9933332719221</v>
      </c>
    </row>
    <row r="649" spans="9:10" x14ac:dyDescent="0.25">
      <c r="I649" s="94">
        <v>642</v>
      </c>
      <c r="J649" s="94">
        <v>235.48970918744823</v>
      </c>
    </row>
    <row r="650" spans="9:10" x14ac:dyDescent="0.25">
      <c r="I650" s="94">
        <v>643</v>
      </c>
      <c r="J650" s="94">
        <v>241.50001902509075</v>
      </c>
    </row>
    <row r="651" spans="9:10" x14ac:dyDescent="0.25">
      <c r="I651" s="94">
        <v>644</v>
      </c>
      <c r="J651" s="94">
        <v>244.18884176534948</v>
      </c>
    </row>
    <row r="652" spans="9:10" x14ac:dyDescent="0.25">
      <c r="I652" s="94">
        <v>645</v>
      </c>
      <c r="J652" s="94">
        <v>237.61361122749167</v>
      </c>
    </row>
    <row r="653" spans="9:10" x14ac:dyDescent="0.25">
      <c r="I653" s="94">
        <v>646</v>
      </c>
      <c r="J653" s="94">
        <v>235.13106039578463</v>
      </c>
    </row>
    <row r="654" spans="9:10" x14ac:dyDescent="0.25">
      <c r="I654" s="94">
        <v>647</v>
      </c>
      <c r="J654" s="94">
        <v>239.63345807084158</v>
      </c>
    </row>
    <row r="655" spans="9:10" x14ac:dyDescent="0.25">
      <c r="I655" s="94">
        <v>648</v>
      </c>
      <c r="J655" s="94">
        <v>250.27451053673894</v>
      </c>
    </row>
    <row r="656" spans="9:10" x14ac:dyDescent="0.25">
      <c r="I656" s="94">
        <v>649</v>
      </c>
      <c r="J656" s="94">
        <v>243.39756218260311</v>
      </c>
    </row>
    <row r="657" spans="9:10" x14ac:dyDescent="0.25">
      <c r="I657" s="94">
        <v>650</v>
      </c>
      <c r="J657" s="94">
        <v>246.16953172301794</v>
      </c>
    </row>
    <row r="658" spans="9:10" x14ac:dyDescent="0.25">
      <c r="I658" s="94">
        <v>651</v>
      </c>
      <c r="J658" s="94">
        <v>237.04089438018661</v>
      </c>
    </row>
    <row r="659" spans="9:10" x14ac:dyDescent="0.25">
      <c r="I659" s="94">
        <v>652</v>
      </c>
      <c r="J659" s="94">
        <v>244.40782966351924</v>
      </c>
    </row>
    <row r="660" spans="9:10" x14ac:dyDescent="0.25">
      <c r="I660" s="94">
        <v>653</v>
      </c>
      <c r="J660" s="94">
        <v>231.53412447201572</v>
      </c>
    </row>
    <row r="661" spans="9:10" x14ac:dyDescent="0.25">
      <c r="I661" s="94">
        <v>654</v>
      </c>
      <c r="J661" s="94">
        <v>250.65079326184798</v>
      </c>
    </row>
    <row r="662" spans="9:10" x14ac:dyDescent="0.25">
      <c r="I662" s="94">
        <v>655</v>
      </c>
      <c r="J662" s="94">
        <v>244.16110507990459</v>
      </c>
    </row>
    <row r="663" spans="9:10" x14ac:dyDescent="0.25">
      <c r="I663" s="94">
        <v>656</v>
      </c>
      <c r="J663" s="94">
        <v>229.21196482099413</v>
      </c>
    </row>
    <row r="664" spans="9:10" x14ac:dyDescent="0.25">
      <c r="I664" s="94">
        <v>657</v>
      </c>
      <c r="J664" s="94">
        <v>237.76122197531799</v>
      </c>
    </row>
    <row r="665" spans="9:10" x14ac:dyDescent="0.25">
      <c r="I665" s="94">
        <v>658</v>
      </c>
      <c r="J665" s="94">
        <v>249.75638969220461</v>
      </c>
    </row>
    <row r="666" spans="9:10" x14ac:dyDescent="0.25">
      <c r="I666" s="94">
        <v>659</v>
      </c>
      <c r="J666" s="94">
        <v>240.53789765938495</v>
      </c>
    </row>
    <row r="667" spans="9:10" x14ac:dyDescent="0.25">
      <c r="I667" s="94">
        <v>660</v>
      </c>
      <c r="J667" s="94">
        <v>247.16326985232922</v>
      </c>
    </row>
    <row r="668" spans="9:10" x14ac:dyDescent="0.25">
      <c r="I668" s="94">
        <v>661</v>
      </c>
      <c r="J668" s="94">
        <v>241.4283850762547</v>
      </c>
    </row>
    <row r="669" spans="9:10" x14ac:dyDescent="0.25">
      <c r="I669" s="94">
        <v>662</v>
      </c>
      <c r="J669" s="94">
        <v>236.49030093154357</v>
      </c>
    </row>
    <row r="670" spans="9:10" x14ac:dyDescent="0.25">
      <c r="I670" s="94">
        <v>663</v>
      </c>
      <c r="J670" s="94">
        <v>237.71329139169927</v>
      </c>
    </row>
    <row r="671" spans="9:10" x14ac:dyDescent="0.25">
      <c r="I671" s="94">
        <v>664</v>
      </c>
      <c r="J671" s="94">
        <v>239.29831884573707</v>
      </c>
    </row>
    <row r="672" spans="9:10" x14ac:dyDescent="0.25">
      <c r="I672" s="94">
        <v>665</v>
      </c>
      <c r="J672" s="94">
        <v>239.87810882141105</v>
      </c>
    </row>
    <row r="673" spans="9:10" x14ac:dyDescent="0.25">
      <c r="I673" s="94">
        <v>666</v>
      </c>
      <c r="J673" s="94">
        <v>237.0285148500023</v>
      </c>
    </row>
    <row r="674" spans="9:10" x14ac:dyDescent="0.25">
      <c r="I674" s="94">
        <v>667</v>
      </c>
      <c r="J674" s="94">
        <v>236.56650444876232</v>
      </c>
    </row>
    <row r="675" spans="9:10" x14ac:dyDescent="0.25">
      <c r="I675" s="94">
        <v>668</v>
      </c>
      <c r="J675" s="94">
        <v>234.11253648294058</v>
      </c>
    </row>
    <row r="676" spans="9:10" x14ac:dyDescent="0.25">
      <c r="I676" s="94">
        <v>669</v>
      </c>
      <c r="J676" s="94">
        <v>237.38740290973612</v>
      </c>
    </row>
    <row r="677" spans="9:10" x14ac:dyDescent="0.25">
      <c r="I677" s="94">
        <v>670</v>
      </c>
      <c r="J677" s="94">
        <v>240.49272632501618</v>
      </c>
    </row>
    <row r="678" spans="9:10" x14ac:dyDescent="0.25">
      <c r="I678" s="94">
        <v>671</v>
      </c>
      <c r="J678" s="94">
        <v>233.29102018212859</v>
      </c>
    </row>
    <row r="679" spans="9:10" x14ac:dyDescent="0.25">
      <c r="I679" s="94">
        <v>672</v>
      </c>
      <c r="J679" s="94">
        <v>235.62229747218896</v>
      </c>
    </row>
    <row r="680" spans="9:10" x14ac:dyDescent="0.25">
      <c r="I680" s="94">
        <v>673</v>
      </c>
      <c r="J680" s="94">
        <v>237.32006668817212</v>
      </c>
    </row>
    <row r="681" spans="9:10" x14ac:dyDescent="0.25">
      <c r="I681" s="94">
        <v>674</v>
      </c>
      <c r="J681" s="94">
        <v>237.07850868067294</v>
      </c>
    </row>
    <row r="682" spans="9:10" x14ac:dyDescent="0.25">
      <c r="I682" s="94">
        <v>675</v>
      </c>
      <c r="J682" s="94">
        <v>237.97481771492676</v>
      </c>
    </row>
    <row r="683" spans="9:10" x14ac:dyDescent="0.25">
      <c r="I683" s="94">
        <v>676</v>
      </c>
      <c r="J683" s="94">
        <v>239.93328086067356</v>
      </c>
    </row>
    <row r="684" spans="9:10" x14ac:dyDescent="0.25">
      <c r="I684" s="94">
        <v>677</v>
      </c>
      <c r="J684" s="94">
        <v>251.90008442139799</v>
      </c>
    </row>
    <row r="685" spans="9:10" x14ac:dyDescent="0.25">
      <c r="I685" s="94">
        <v>678</v>
      </c>
      <c r="J685" s="94">
        <v>238.08326106032121</v>
      </c>
    </row>
    <row r="686" spans="9:10" x14ac:dyDescent="0.25">
      <c r="I686" s="94">
        <v>679</v>
      </c>
      <c r="J686" s="94">
        <v>244.37877203360972</v>
      </c>
    </row>
    <row r="687" spans="9:10" x14ac:dyDescent="0.25">
      <c r="I687" s="94">
        <v>680</v>
      </c>
      <c r="J687" s="94">
        <v>231.99305030350081</v>
      </c>
    </row>
    <row r="688" spans="9:10" x14ac:dyDescent="0.25">
      <c r="I688" s="94">
        <v>681</v>
      </c>
      <c r="J688" s="94">
        <v>233.30698188815148</v>
      </c>
    </row>
    <row r="689" spans="9:10" x14ac:dyDescent="0.25">
      <c r="I689" s="94">
        <v>682</v>
      </c>
      <c r="J689" s="94">
        <v>230.57358715513851</v>
      </c>
    </row>
    <row r="690" spans="9:10" x14ac:dyDescent="0.25">
      <c r="I690" s="94">
        <v>683</v>
      </c>
      <c r="J690" s="94">
        <v>242.47967714351194</v>
      </c>
    </row>
    <row r="691" spans="9:10" x14ac:dyDescent="0.25">
      <c r="I691" s="94">
        <v>684</v>
      </c>
      <c r="J691" s="94">
        <v>244.93820380876036</v>
      </c>
    </row>
    <row r="692" spans="9:10" x14ac:dyDescent="0.25">
      <c r="I692" s="94">
        <v>685</v>
      </c>
      <c r="J692" s="94">
        <v>234.01316819904952</v>
      </c>
    </row>
    <row r="693" spans="9:10" x14ac:dyDescent="0.25">
      <c r="I693" s="94">
        <v>686</v>
      </c>
      <c r="J693" s="94">
        <v>250.11261193287021</v>
      </c>
    </row>
    <row r="694" spans="9:10" x14ac:dyDescent="0.25">
      <c r="I694" s="94">
        <v>687</v>
      </c>
      <c r="J694" s="94">
        <v>246.72609952020002</v>
      </c>
    </row>
    <row r="695" spans="9:10" x14ac:dyDescent="0.25">
      <c r="I695" s="94">
        <v>688</v>
      </c>
      <c r="J695" s="94">
        <v>234.56195528346836</v>
      </c>
    </row>
    <row r="696" spans="9:10" x14ac:dyDescent="0.25">
      <c r="I696" s="94">
        <v>689</v>
      </c>
      <c r="J696" s="94">
        <v>242.96400891838118</v>
      </c>
    </row>
    <row r="697" spans="9:10" x14ac:dyDescent="0.25">
      <c r="I697" s="94">
        <v>690</v>
      </c>
      <c r="J697" s="94">
        <v>231.33434884600609</v>
      </c>
    </row>
    <row r="698" spans="9:10" x14ac:dyDescent="0.25">
      <c r="I698" s="94">
        <v>691</v>
      </c>
      <c r="J698" s="94">
        <v>254.86645379963511</v>
      </c>
    </row>
    <row r="699" spans="9:10" x14ac:dyDescent="0.25">
      <c r="I699" s="94">
        <v>692</v>
      </c>
      <c r="J699" s="94">
        <v>238.8124473947164</v>
      </c>
    </row>
    <row r="700" spans="9:10" x14ac:dyDescent="0.25">
      <c r="I700" s="94">
        <v>693</v>
      </c>
      <c r="J700" s="94">
        <v>237.51763874136259</v>
      </c>
    </row>
    <row r="701" spans="9:10" x14ac:dyDescent="0.25">
      <c r="I701" s="94">
        <v>694</v>
      </c>
      <c r="J701" s="94">
        <v>223.09433895093844</v>
      </c>
    </row>
    <row r="702" spans="9:10" x14ac:dyDescent="0.25">
      <c r="I702" s="94">
        <v>695</v>
      </c>
      <c r="J702" s="94">
        <v>255.2272595900929</v>
      </c>
    </row>
    <row r="703" spans="9:10" x14ac:dyDescent="0.25">
      <c r="I703" s="94">
        <v>696</v>
      </c>
      <c r="J703" s="94">
        <v>243.74075471867684</v>
      </c>
    </row>
    <row r="704" spans="9:10" x14ac:dyDescent="0.25">
      <c r="I704" s="94">
        <v>697</v>
      </c>
      <c r="J704" s="94">
        <v>233.07385360595771</v>
      </c>
    </row>
    <row r="705" spans="9:10" x14ac:dyDescent="0.25">
      <c r="I705" s="94">
        <v>698</v>
      </c>
      <c r="J705" s="94">
        <v>228.95409641097376</v>
      </c>
    </row>
    <row r="706" spans="9:10" x14ac:dyDescent="0.25">
      <c r="I706" s="94">
        <v>699</v>
      </c>
      <c r="J706" s="94">
        <v>235.72324336378375</v>
      </c>
    </row>
    <row r="707" spans="9:10" x14ac:dyDescent="0.25">
      <c r="I707" s="94">
        <v>700</v>
      </c>
      <c r="J707" s="94">
        <v>241.27231781679006</v>
      </c>
    </row>
    <row r="708" spans="9:10" x14ac:dyDescent="0.25">
      <c r="I708" s="94">
        <v>701</v>
      </c>
      <c r="J708" s="94">
        <v>245.34403477937951</v>
      </c>
    </row>
    <row r="709" spans="9:10" x14ac:dyDescent="0.25">
      <c r="I709" s="94">
        <v>702</v>
      </c>
      <c r="J709" s="94">
        <v>245.87457456080767</v>
      </c>
    </row>
    <row r="710" spans="9:10" x14ac:dyDescent="0.25">
      <c r="I710" s="94">
        <v>703</v>
      </c>
      <c r="J710" s="94">
        <v>237.7243789321227</v>
      </c>
    </row>
    <row r="711" spans="9:10" x14ac:dyDescent="0.25">
      <c r="I711" s="94">
        <v>704</v>
      </c>
      <c r="J711" s="94">
        <v>242.91303165045417</v>
      </c>
    </row>
    <row r="712" spans="9:10" x14ac:dyDescent="0.25">
      <c r="I712" s="94">
        <v>705</v>
      </c>
      <c r="J712" s="94">
        <v>237.40501381205479</v>
      </c>
    </row>
    <row r="713" spans="9:10" x14ac:dyDescent="0.25">
      <c r="I713" s="94">
        <v>706</v>
      </c>
      <c r="J713" s="94">
        <v>250.54281636370433</v>
      </c>
    </row>
    <row r="714" spans="9:10" x14ac:dyDescent="0.25">
      <c r="I714" s="94">
        <v>707</v>
      </c>
      <c r="J714" s="94">
        <v>235.81633828547569</v>
      </c>
    </row>
    <row r="715" spans="9:10" x14ac:dyDescent="0.25">
      <c r="I715" s="94">
        <v>708</v>
      </c>
      <c r="J715" s="94">
        <v>234.12941899125923</v>
      </c>
    </row>
    <row r="716" spans="9:10" x14ac:dyDescent="0.25">
      <c r="I716" s="94">
        <v>709</v>
      </c>
      <c r="J716" s="94">
        <v>229.08753973256302</v>
      </c>
    </row>
    <row r="717" spans="9:10" x14ac:dyDescent="0.25">
      <c r="I717" s="94">
        <v>710</v>
      </c>
      <c r="J717" s="94">
        <v>235.34814161371094</v>
      </c>
    </row>
    <row r="718" spans="9:10" x14ac:dyDescent="0.25">
      <c r="I718" s="94">
        <v>711</v>
      </c>
      <c r="J718" s="94">
        <v>236.96569411455334</v>
      </c>
    </row>
    <row r="719" spans="9:10" x14ac:dyDescent="0.25">
      <c r="I719" s="94">
        <v>712</v>
      </c>
      <c r="J719" s="94">
        <v>249.70975071030227</v>
      </c>
    </row>
    <row r="720" spans="9:10" x14ac:dyDescent="0.25">
      <c r="I720" s="94">
        <v>713</v>
      </c>
      <c r="J720" s="94">
        <v>240.97169798336392</v>
      </c>
    </row>
    <row r="721" spans="9:10" x14ac:dyDescent="0.25">
      <c r="I721" s="94">
        <v>714</v>
      </c>
      <c r="J721" s="94">
        <v>228.49552046655674</v>
      </c>
    </row>
    <row r="722" spans="9:10" x14ac:dyDescent="0.25">
      <c r="I722" s="94">
        <v>715</v>
      </c>
      <c r="J722" s="94">
        <v>249.67067705758677</v>
      </c>
    </row>
    <row r="723" spans="9:10" x14ac:dyDescent="0.25">
      <c r="I723" s="94">
        <v>716</v>
      </c>
      <c r="J723" s="94">
        <v>229.95850219702248</v>
      </c>
    </row>
    <row r="724" spans="9:10" x14ac:dyDescent="0.25">
      <c r="I724" s="94">
        <v>717</v>
      </c>
      <c r="J724" s="94">
        <v>240.24692710765532</v>
      </c>
    </row>
    <row r="725" spans="9:10" x14ac:dyDescent="0.25">
      <c r="I725" s="94">
        <v>718</v>
      </c>
      <c r="J725" s="94">
        <v>246.60605485103076</v>
      </c>
    </row>
    <row r="726" spans="9:10" x14ac:dyDescent="0.25">
      <c r="I726" s="94">
        <v>719</v>
      </c>
      <c r="J726" s="94">
        <v>239.48884095687549</v>
      </c>
    </row>
    <row r="727" spans="9:10" x14ac:dyDescent="0.25">
      <c r="I727" s="94">
        <v>720</v>
      </c>
      <c r="J727" s="94">
        <v>230.73529599002364</v>
      </c>
    </row>
    <row r="728" spans="9:10" x14ac:dyDescent="0.25">
      <c r="I728" s="94">
        <v>721</v>
      </c>
      <c r="J728" s="94">
        <v>245.22496533721301</v>
      </c>
    </row>
    <row r="729" spans="9:10" x14ac:dyDescent="0.25">
      <c r="I729" s="94">
        <v>722</v>
      </c>
      <c r="J729" s="94">
        <v>230.35064524444306</v>
      </c>
    </row>
    <row r="730" spans="9:10" x14ac:dyDescent="0.25">
      <c r="I730" s="94">
        <v>723</v>
      </c>
      <c r="J730" s="94">
        <v>249.53596953697956</v>
      </c>
    </row>
    <row r="731" spans="9:10" x14ac:dyDescent="0.25">
      <c r="I731" s="94">
        <v>724</v>
      </c>
      <c r="J731" s="94">
        <v>231.76958177332193</v>
      </c>
    </row>
    <row r="732" spans="9:10" x14ac:dyDescent="0.25">
      <c r="I732" s="94">
        <v>725</v>
      </c>
      <c r="J732" s="94">
        <v>231.3196412786242</v>
      </c>
    </row>
    <row r="733" spans="9:10" x14ac:dyDescent="0.25">
      <c r="I733" s="94">
        <v>726</v>
      </c>
      <c r="J733" s="94">
        <v>255.87998892602593</v>
      </c>
    </row>
    <row r="734" spans="9:10" x14ac:dyDescent="0.25">
      <c r="I734" s="94">
        <v>727</v>
      </c>
      <c r="J734" s="94">
        <v>239.37603188427283</v>
      </c>
    </row>
    <row r="735" spans="9:10" x14ac:dyDescent="0.25">
      <c r="I735" s="94">
        <v>728</v>
      </c>
      <c r="J735" s="94">
        <v>241.84975122400192</v>
      </c>
    </row>
    <row r="736" spans="9:10" x14ac:dyDescent="0.25">
      <c r="I736" s="94">
        <v>729</v>
      </c>
      <c r="J736" s="94">
        <v>238.07254920420485</v>
      </c>
    </row>
    <row r="737" spans="9:10" x14ac:dyDescent="0.25">
      <c r="I737" s="94">
        <v>730</v>
      </c>
      <c r="J737" s="94">
        <v>249.60571653777959</v>
      </c>
    </row>
    <row r="738" spans="9:10" x14ac:dyDescent="0.25">
      <c r="I738" s="94">
        <v>731</v>
      </c>
      <c r="J738" s="94">
        <v>244.14235038026663</v>
      </c>
    </row>
    <row r="739" spans="9:10" x14ac:dyDescent="0.25">
      <c r="I739" s="94">
        <v>732</v>
      </c>
      <c r="J739" s="94">
        <v>236.34464952935917</v>
      </c>
    </row>
    <row r="740" spans="9:10" x14ac:dyDescent="0.25">
      <c r="I740" s="94">
        <v>733</v>
      </c>
      <c r="J740" s="94">
        <v>240.02404199843488</v>
      </c>
    </row>
    <row r="741" spans="9:10" x14ac:dyDescent="0.25">
      <c r="I741" s="94">
        <v>734</v>
      </c>
      <c r="J741" s="94">
        <v>234.60057740621954</v>
      </c>
    </row>
    <row r="742" spans="9:10" x14ac:dyDescent="0.25">
      <c r="I742" s="94">
        <v>735</v>
      </c>
      <c r="J742" s="94">
        <v>238.20183975587918</v>
      </c>
    </row>
    <row r="743" spans="9:10" x14ac:dyDescent="0.25">
      <c r="I743" s="94">
        <v>736</v>
      </c>
      <c r="J743" s="94">
        <v>247.82532361065296</v>
      </c>
    </row>
    <row r="744" spans="9:10" x14ac:dyDescent="0.25">
      <c r="I744" s="94">
        <v>737</v>
      </c>
      <c r="J744" s="94">
        <v>236.82529146734481</v>
      </c>
    </row>
    <row r="745" spans="9:10" x14ac:dyDescent="0.25">
      <c r="I745" s="94">
        <v>738</v>
      </c>
      <c r="J745" s="94">
        <v>242.48090737327391</v>
      </c>
    </row>
    <row r="746" spans="9:10" x14ac:dyDescent="0.25">
      <c r="I746" s="94">
        <v>739</v>
      </c>
      <c r="J746" s="94">
        <v>243.55517741651363</v>
      </c>
    </row>
    <row r="747" spans="9:10" x14ac:dyDescent="0.25">
      <c r="I747" s="94">
        <v>740</v>
      </c>
      <c r="J747" s="94">
        <v>231.84995902199984</v>
      </c>
    </row>
    <row r="748" spans="9:10" x14ac:dyDescent="0.25">
      <c r="I748" s="94">
        <v>741</v>
      </c>
      <c r="J748" s="94">
        <v>263.38975496792364</v>
      </c>
    </row>
    <row r="749" spans="9:10" x14ac:dyDescent="0.25">
      <c r="I749" s="94">
        <v>742</v>
      </c>
      <c r="J749" s="94">
        <v>246.81317590346487</v>
      </c>
    </row>
    <row r="750" spans="9:10" x14ac:dyDescent="0.25">
      <c r="I750" s="94">
        <v>743</v>
      </c>
      <c r="J750" s="94">
        <v>232.67597139702116</v>
      </c>
    </row>
    <row r="751" spans="9:10" x14ac:dyDescent="0.25">
      <c r="I751" s="94">
        <v>744</v>
      </c>
      <c r="J751" s="94">
        <v>247.47634197410036</v>
      </c>
    </row>
    <row r="752" spans="9:10" x14ac:dyDescent="0.25">
      <c r="I752" s="94">
        <v>745</v>
      </c>
      <c r="J752" s="94">
        <v>232.79364853998828</v>
      </c>
    </row>
    <row r="753" spans="9:10" x14ac:dyDescent="0.25">
      <c r="I753" s="94">
        <v>746</v>
      </c>
      <c r="J753" s="94">
        <v>238.10101234377385</v>
      </c>
    </row>
    <row r="754" spans="9:10" x14ac:dyDescent="0.25">
      <c r="I754" s="94">
        <v>747</v>
      </c>
      <c r="J754" s="94">
        <v>239.25075538056103</v>
      </c>
    </row>
    <row r="755" spans="9:10" x14ac:dyDescent="0.25">
      <c r="I755" s="94">
        <v>748</v>
      </c>
      <c r="J755" s="94">
        <v>225.73447389489991</v>
      </c>
    </row>
    <row r="756" spans="9:10" x14ac:dyDescent="0.25">
      <c r="I756" s="94">
        <v>749</v>
      </c>
      <c r="J756" s="94">
        <v>249.47710007539945</v>
      </c>
    </row>
    <row r="757" spans="9:10" x14ac:dyDescent="0.25">
      <c r="I757" s="94">
        <v>750</v>
      </c>
      <c r="J757" s="94">
        <v>234.63955860362387</v>
      </c>
    </row>
    <row r="758" spans="9:10" x14ac:dyDescent="0.25">
      <c r="I758" s="94">
        <v>751</v>
      </c>
      <c r="J758" s="94">
        <v>239.81486034059105</v>
      </c>
    </row>
    <row r="759" spans="9:10" x14ac:dyDescent="0.25">
      <c r="I759" s="94">
        <v>752</v>
      </c>
      <c r="J759" s="94">
        <v>255.86680954198289</v>
      </c>
    </row>
    <row r="760" spans="9:10" x14ac:dyDescent="0.25">
      <c r="I760" s="94">
        <v>753</v>
      </c>
      <c r="J760" s="94">
        <v>231.59705054659509</v>
      </c>
    </row>
    <row r="761" spans="9:10" x14ac:dyDescent="0.25">
      <c r="I761" s="94">
        <v>754</v>
      </c>
      <c r="J761" s="94">
        <v>232.70604322607397</v>
      </c>
    </row>
    <row r="762" spans="9:10" x14ac:dyDescent="0.25">
      <c r="I762" s="94">
        <v>755</v>
      </c>
      <c r="J762" s="94">
        <v>244.69503190445903</v>
      </c>
    </row>
    <row r="763" spans="9:10" x14ac:dyDescent="0.25">
      <c r="I763" s="94">
        <v>756</v>
      </c>
      <c r="J763" s="94">
        <v>248.96224651830732</v>
      </c>
    </row>
    <row r="764" spans="9:10" x14ac:dyDescent="0.25">
      <c r="I764" s="94">
        <v>757</v>
      </c>
      <c r="J764" s="94">
        <v>240.7371172324456</v>
      </c>
    </row>
    <row r="765" spans="9:10" x14ac:dyDescent="0.25">
      <c r="I765" s="94">
        <v>758</v>
      </c>
      <c r="J765" s="94">
        <v>241.64839295854858</v>
      </c>
    </row>
    <row r="766" spans="9:10" x14ac:dyDescent="0.25">
      <c r="I766" s="94">
        <v>759</v>
      </c>
      <c r="J766" s="94">
        <v>231.17334235391274</v>
      </c>
    </row>
    <row r="767" spans="9:10" x14ac:dyDescent="0.25">
      <c r="I767" s="94">
        <v>760</v>
      </c>
      <c r="J767" s="94">
        <v>244.6087183961431</v>
      </c>
    </row>
    <row r="768" spans="9:10" x14ac:dyDescent="0.25">
      <c r="I768" s="94">
        <v>761</v>
      </c>
      <c r="J768" s="94">
        <v>244.07356785466402</v>
      </c>
    </row>
    <row r="769" spans="9:10" x14ac:dyDescent="0.25">
      <c r="I769" s="94">
        <v>762</v>
      </c>
      <c r="J769" s="94">
        <v>226.99561480256659</v>
      </c>
    </row>
    <row r="770" spans="9:10" x14ac:dyDescent="0.25">
      <c r="I770" s="94">
        <v>763</v>
      </c>
      <c r="J770" s="94">
        <v>245.62508115111643</v>
      </c>
    </row>
    <row r="771" spans="9:10" x14ac:dyDescent="0.25">
      <c r="I771" s="94">
        <v>764</v>
      </c>
      <c r="J771" s="94">
        <v>244.48619101790018</v>
      </c>
    </row>
    <row r="772" spans="9:10" x14ac:dyDescent="0.25">
      <c r="I772" s="94">
        <v>765</v>
      </c>
      <c r="J772" s="94">
        <v>234.52809707996221</v>
      </c>
    </row>
    <row r="773" spans="9:10" x14ac:dyDescent="0.25">
      <c r="I773" s="94">
        <v>766</v>
      </c>
      <c r="J773" s="94">
        <v>235.77900934060114</v>
      </c>
    </row>
    <row r="774" spans="9:10" x14ac:dyDescent="0.25">
      <c r="I774" s="94">
        <v>767</v>
      </c>
      <c r="J774" s="94">
        <v>228.83923743935947</v>
      </c>
    </row>
    <row r="775" spans="9:10" x14ac:dyDescent="0.25">
      <c r="I775" s="94">
        <v>768</v>
      </c>
      <c r="J775" s="94">
        <v>255.01189962186641</v>
      </c>
    </row>
    <row r="776" spans="9:10" x14ac:dyDescent="0.25">
      <c r="I776" s="94">
        <v>769</v>
      </c>
      <c r="J776" s="94">
        <v>249.04262719248686</v>
      </c>
    </row>
    <row r="777" spans="9:10" x14ac:dyDescent="0.25">
      <c r="I777" s="94">
        <v>770</v>
      </c>
      <c r="J777" s="94">
        <v>237.89960098893403</v>
      </c>
    </row>
    <row r="778" spans="9:10" x14ac:dyDescent="0.25">
      <c r="I778" s="94">
        <v>771</v>
      </c>
      <c r="J778" s="94">
        <v>245.1980710125523</v>
      </c>
    </row>
    <row r="779" spans="9:10" x14ac:dyDescent="0.25">
      <c r="I779" s="94">
        <v>772</v>
      </c>
      <c r="J779" s="94">
        <v>237.57519683943519</v>
      </c>
    </row>
    <row r="780" spans="9:10" x14ac:dyDescent="0.25">
      <c r="I780" s="94">
        <v>773</v>
      </c>
      <c r="J780" s="94">
        <v>265.41708345326401</v>
      </c>
    </row>
    <row r="781" spans="9:10" x14ac:dyDescent="0.25">
      <c r="I781" s="94">
        <v>774</v>
      </c>
      <c r="J781" s="94">
        <v>229.99291410744735</v>
      </c>
    </row>
    <row r="782" spans="9:10" x14ac:dyDescent="0.25">
      <c r="I782" s="94">
        <v>775</v>
      </c>
      <c r="J782" s="94">
        <v>243.03263361542099</v>
      </c>
    </row>
    <row r="783" spans="9:10" x14ac:dyDescent="0.25">
      <c r="I783" s="94">
        <v>776</v>
      </c>
      <c r="J783" s="94">
        <v>234.53909805815385</v>
      </c>
    </row>
    <row r="784" spans="9:10" x14ac:dyDescent="0.25">
      <c r="I784" s="94">
        <v>777</v>
      </c>
      <c r="J784" s="94">
        <v>239.81087164855296</v>
      </c>
    </row>
    <row r="785" spans="9:10" x14ac:dyDescent="0.25">
      <c r="I785" s="94">
        <v>778</v>
      </c>
      <c r="J785" s="94">
        <v>239.14342321307947</v>
      </c>
    </row>
    <row r="786" spans="9:10" x14ac:dyDescent="0.25">
      <c r="I786" s="94">
        <v>779</v>
      </c>
      <c r="J786" s="94">
        <v>244.68675735395357</v>
      </c>
    </row>
    <row r="787" spans="9:10" x14ac:dyDescent="0.25">
      <c r="I787" s="94">
        <v>780</v>
      </c>
      <c r="J787" s="94">
        <v>239.33575668861215</v>
      </c>
    </row>
    <row r="788" spans="9:10" x14ac:dyDescent="0.25">
      <c r="I788" s="94">
        <v>781</v>
      </c>
      <c r="J788" s="94">
        <v>239.11562896541329</v>
      </c>
    </row>
    <row r="789" spans="9:10" x14ac:dyDescent="0.25">
      <c r="I789" s="94">
        <v>782</v>
      </c>
      <c r="J789" s="94">
        <v>229.66884692848612</v>
      </c>
    </row>
    <row r="790" spans="9:10" x14ac:dyDescent="0.25">
      <c r="I790" s="94">
        <v>783</v>
      </c>
      <c r="J790" s="94">
        <v>243.89886620802213</v>
      </c>
    </row>
    <row r="791" spans="9:10" x14ac:dyDescent="0.25">
      <c r="I791" s="94">
        <v>784</v>
      </c>
      <c r="J791" s="94">
        <v>246.71109723436916</v>
      </c>
    </row>
    <row r="792" spans="9:10" x14ac:dyDescent="0.25">
      <c r="I792" s="94">
        <v>785</v>
      </c>
      <c r="J792" s="94">
        <v>236.71482236021689</v>
      </c>
    </row>
    <row r="793" spans="9:10" x14ac:dyDescent="0.25">
      <c r="I793" s="94">
        <v>786</v>
      </c>
      <c r="J793" s="94">
        <v>228.41684825988187</v>
      </c>
    </row>
    <row r="794" spans="9:10" x14ac:dyDescent="0.25">
      <c r="I794" s="94">
        <v>787</v>
      </c>
      <c r="J794" s="94">
        <v>232.00017440948324</v>
      </c>
    </row>
    <row r="795" spans="9:10" x14ac:dyDescent="0.25">
      <c r="I795" s="94">
        <v>788</v>
      </c>
      <c r="J795" s="94">
        <v>241.32041702162337</v>
      </c>
    </row>
    <row r="796" spans="9:10" x14ac:dyDescent="0.25">
      <c r="I796" s="94">
        <v>789</v>
      </c>
      <c r="J796" s="94">
        <v>233.59418280693404</v>
      </c>
    </row>
    <row r="797" spans="9:10" x14ac:dyDescent="0.25">
      <c r="I797" s="94">
        <v>790</v>
      </c>
      <c r="J797" s="94">
        <v>233.77606288204112</v>
      </c>
    </row>
    <row r="798" spans="9:10" x14ac:dyDescent="0.25">
      <c r="I798" s="94">
        <v>791</v>
      </c>
      <c r="J798" s="94">
        <v>237.00763322670844</v>
      </c>
    </row>
    <row r="799" spans="9:10" x14ac:dyDescent="0.25">
      <c r="I799" s="94">
        <v>792</v>
      </c>
      <c r="J799" s="94">
        <v>250.71524514494456</v>
      </c>
    </row>
    <row r="800" spans="9:10" x14ac:dyDescent="0.25">
      <c r="I800" s="94">
        <v>793</v>
      </c>
      <c r="J800" s="94">
        <v>236.50010072858021</v>
      </c>
    </row>
    <row r="801" spans="9:10" x14ac:dyDescent="0.25">
      <c r="I801" s="94">
        <v>794</v>
      </c>
      <c r="J801" s="94">
        <v>234.02499065556299</v>
      </c>
    </row>
    <row r="802" spans="9:10" x14ac:dyDescent="0.25">
      <c r="I802" s="94">
        <v>795</v>
      </c>
      <c r="J802" s="94">
        <v>253.91194385457402</v>
      </c>
    </row>
    <row r="803" spans="9:10" x14ac:dyDescent="0.25">
      <c r="I803" s="94">
        <v>796</v>
      </c>
      <c r="J803" s="94">
        <v>246.09749503364947</v>
      </c>
    </row>
    <row r="804" spans="9:10" x14ac:dyDescent="0.25">
      <c r="I804" s="94">
        <v>797</v>
      </c>
      <c r="J804" s="94">
        <v>259.0257923920127</v>
      </c>
    </row>
    <row r="805" spans="9:10" x14ac:dyDescent="0.25">
      <c r="I805" s="94">
        <v>798</v>
      </c>
      <c r="J805" s="94">
        <v>245.40805174111597</v>
      </c>
    </row>
    <row r="806" spans="9:10" x14ac:dyDescent="0.25">
      <c r="I806" s="94">
        <v>799</v>
      </c>
      <c r="J806" s="94">
        <v>238.7250981135353</v>
      </c>
    </row>
    <row r="807" spans="9:10" x14ac:dyDescent="0.25">
      <c r="I807" s="94">
        <v>800</v>
      </c>
      <c r="J807" s="94">
        <v>239.61783192988162</v>
      </c>
    </row>
    <row r="808" spans="9:10" x14ac:dyDescent="0.25">
      <c r="I808" s="94">
        <v>801</v>
      </c>
      <c r="J808" s="94">
        <v>237.50838199676025</v>
      </c>
    </row>
    <row r="809" spans="9:10" x14ac:dyDescent="0.25">
      <c r="I809" s="94">
        <v>802</v>
      </c>
      <c r="J809" s="94">
        <v>246.52536159520537</v>
      </c>
    </row>
    <row r="810" spans="9:10" x14ac:dyDescent="0.25">
      <c r="I810" s="94">
        <v>803</v>
      </c>
      <c r="J810" s="94">
        <v>246.95102473219333</v>
      </c>
    </row>
    <row r="811" spans="9:10" x14ac:dyDescent="0.25">
      <c r="I811" s="94">
        <v>804</v>
      </c>
      <c r="J811" s="94">
        <v>233.17849450482515</v>
      </c>
    </row>
    <row r="812" spans="9:10" x14ac:dyDescent="0.25">
      <c r="I812" s="94">
        <v>805</v>
      </c>
      <c r="J812" s="94">
        <v>240.97187090852174</v>
      </c>
    </row>
    <row r="813" spans="9:10" x14ac:dyDescent="0.25">
      <c r="I813" s="94">
        <v>806</v>
      </c>
      <c r="J813" s="94">
        <v>236.21324471341899</v>
      </c>
    </row>
    <row r="814" spans="9:10" x14ac:dyDescent="0.25">
      <c r="I814" s="94">
        <v>807</v>
      </c>
      <c r="J814" s="94">
        <v>234.71188323399048</v>
      </c>
    </row>
    <row r="815" spans="9:10" x14ac:dyDescent="0.25">
      <c r="I815" s="94">
        <v>808</v>
      </c>
      <c r="J815" s="94">
        <v>234.39635083647187</v>
      </c>
    </row>
    <row r="816" spans="9:10" x14ac:dyDescent="0.25">
      <c r="I816" s="94">
        <v>809</v>
      </c>
      <c r="J816" s="94">
        <v>240.62248196280063</v>
      </c>
    </row>
    <row r="817" spans="9:10" x14ac:dyDescent="0.25">
      <c r="I817" s="94">
        <v>810</v>
      </c>
      <c r="J817" s="94">
        <v>237.21987554027339</v>
      </c>
    </row>
    <row r="818" spans="9:10" x14ac:dyDescent="0.25">
      <c r="I818" s="94">
        <v>811</v>
      </c>
      <c r="J818" s="94">
        <v>241.51196386338188</v>
      </c>
    </row>
    <row r="819" spans="9:10" x14ac:dyDescent="0.25">
      <c r="I819" s="94">
        <v>812</v>
      </c>
      <c r="J819" s="94">
        <v>239.47056054146879</v>
      </c>
    </row>
    <row r="820" spans="9:10" x14ac:dyDescent="0.25">
      <c r="I820" s="94">
        <v>813</v>
      </c>
      <c r="J820" s="94">
        <v>231.39409422555883</v>
      </c>
    </row>
    <row r="821" spans="9:10" x14ac:dyDescent="0.25">
      <c r="I821" s="94">
        <v>814</v>
      </c>
      <c r="J821" s="94">
        <v>241.99095458796683</v>
      </c>
    </row>
    <row r="822" spans="9:10" x14ac:dyDescent="0.25">
      <c r="I822" s="94">
        <v>815</v>
      </c>
      <c r="J822" s="94">
        <v>240.04877229206045</v>
      </c>
    </row>
    <row r="823" spans="9:10" x14ac:dyDescent="0.25">
      <c r="I823" s="94">
        <v>816</v>
      </c>
      <c r="J823" s="94">
        <v>229.88676903885209</v>
      </c>
    </row>
    <row r="824" spans="9:10" x14ac:dyDescent="0.25">
      <c r="I824" s="94">
        <v>817</v>
      </c>
      <c r="J824" s="94">
        <v>251.30783621877845</v>
      </c>
    </row>
    <row r="825" spans="9:10" x14ac:dyDescent="0.25">
      <c r="I825" s="94">
        <v>818</v>
      </c>
      <c r="J825" s="94">
        <v>246.26737690402024</v>
      </c>
    </row>
    <row r="826" spans="9:10" x14ac:dyDescent="0.25">
      <c r="I826" s="94">
        <v>819</v>
      </c>
      <c r="J826" s="94">
        <v>246.84020900609744</v>
      </c>
    </row>
    <row r="827" spans="9:10" x14ac:dyDescent="0.25">
      <c r="I827" s="94">
        <v>820</v>
      </c>
      <c r="J827" s="94">
        <v>231.75090726908309</v>
      </c>
    </row>
    <row r="828" spans="9:10" x14ac:dyDescent="0.25">
      <c r="I828" s="94">
        <v>821</v>
      </c>
      <c r="J828" s="94">
        <v>241.4288116979078</v>
      </c>
    </row>
    <row r="829" spans="9:10" x14ac:dyDescent="0.25">
      <c r="I829" s="94">
        <v>822</v>
      </c>
      <c r="J829" s="94">
        <v>242.83589519605016</v>
      </c>
    </row>
    <row r="830" spans="9:10" x14ac:dyDescent="0.25">
      <c r="I830" s="94">
        <v>823</v>
      </c>
      <c r="J830" s="94">
        <v>237.85540930869104</v>
      </c>
    </row>
    <row r="831" spans="9:10" x14ac:dyDescent="0.25">
      <c r="I831" s="94">
        <v>824</v>
      </c>
      <c r="J831" s="94">
        <v>241.06705162490402</v>
      </c>
    </row>
    <row r="832" spans="9:10" x14ac:dyDescent="0.25">
      <c r="I832" s="94">
        <v>825</v>
      </c>
      <c r="J832" s="94">
        <v>246.54899143206922</v>
      </c>
    </row>
    <row r="833" spans="9:10" x14ac:dyDescent="0.25">
      <c r="I833" s="94">
        <v>826</v>
      </c>
      <c r="J833" s="94">
        <v>241.62070277390592</v>
      </c>
    </row>
    <row r="834" spans="9:10" x14ac:dyDescent="0.25">
      <c r="I834" s="94">
        <v>827</v>
      </c>
      <c r="J834" s="94">
        <v>227.29804464763117</v>
      </c>
    </row>
    <row r="835" spans="9:10" x14ac:dyDescent="0.25">
      <c r="I835" s="94">
        <v>828</v>
      </c>
      <c r="J835" s="94">
        <v>236.90882043761974</v>
      </c>
    </row>
    <row r="836" spans="9:10" x14ac:dyDescent="0.25">
      <c r="I836" s="94">
        <v>829</v>
      </c>
      <c r="J836" s="94">
        <v>233.50999442144399</v>
      </c>
    </row>
    <row r="837" spans="9:10" x14ac:dyDescent="0.25">
      <c r="I837" s="94">
        <v>830</v>
      </c>
      <c r="J837" s="94">
        <v>255.93865032918086</v>
      </c>
    </row>
    <row r="838" spans="9:10" x14ac:dyDescent="0.25">
      <c r="I838" s="94">
        <v>831</v>
      </c>
      <c r="J838" s="94">
        <v>254.51041456082714</v>
      </c>
    </row>
    <row r="839" spans="9:10" x14ac:dyDescent="0.25">
      <c r="I839" s="94">
        <v>832</v>
      </c>
      <c r="J839" s="94">
        <v>243.30401830202049</v>
      </c>
    </row>
    <row r="840" spans="9:10" x14ac:dyDescent="0.25">
      <c r="I840" s="94">
        <v>833</v>
      </c>
      <c r="J840" s="94">
        <v>238.47931710554576</v>
      </c>
    </row>
    <row r="841" spans="9:10" x14ac:dyDescent="0.25">
      <c r="I841" s="94">
        <v>834</v>
      </c>
      <c r="J841" s="94">
        <v>227.43819143277011</v>
      </c>
    </row>
    <row r="842" spans="9:10" x14ac:dyDescent="0.25">
      <c r="I842" s="94">
        <v>835</v>
      </c>
      <c r="J842" s="94">
        <v>239.58139449521639</v>
      </c>
    </row>
    <row r="843" spans="9:10" x14ac:dyDescent="0.25">
      <c r="I843" s="94">
        <v>836</v>
      </c>
      <c r="J843" s="94">
        <v>242.71698498428202</v>
      </c>
    </row>
    <row r="844" spans="9:10" x14ac:dyDescent="0.25">
      <c r="I844" s="94">
        <v>837</v>
      </c>
      <c r="J844" s="94">
        <v>235.09010834549275</v>
      </c>
    </row>
    <row r="845" spans="9:10" x14ac:dyDescent="0.25">
      <c r="I845" s="94">
        <v>838</v>
      </c>
      <c r="J845" s="94">
        <v>225.80099303306656</v>
      </c>
    </row>
    <row r="846" spans="9:10" x14ac:dyDescent="0.25">
      <c r="I846" s="94">
        <v>839</v>
      </c>
      <c r="J846" s="94">
        <v>243.27506884411389</v>
      </c>
    </row>
    <row r="847" spans="9:10" x14ac:dyDescent="0.25">
      <c r="I847" s="94">
        <v>840</v>
      </c>
      <c r="J847" s="94">
        <v>231.82426541983654</v>
      </c>
    </row>
    <row r="848" spans="9:10" x14ac:dyDescent="0.25">
      <c r="I848" s="94">
        <v>841</v>
      </c>
      <c r="J848" s="94">
        <v>241.51002085403854</v>
      </c>
    </row>
    <row r="849" spans="9:10" x14ac:dyDescent="0.25">
      <c r="I849" s="94">
        <v>842</v>
      </c>
      <c r="J849" s="94">
        <v>250.07479074629771</v>
      </c>
    </row>
    <row r="850" spans="9:10" x14ac:dyDescent="0.25">
      <c r="I850" s="94">
        <v>843</v>
      </c>
      <c r="J850" s="94">
        <v>249.68353998189696</v>
      </c>
    </row>
    <row r="851" spans="9:10" x14ac:dyDescent="0.25">
      <c r="I851" s="94">
        <v>844</v>
      </c>
      <c r="J851" s="94">
        <v>233.83877820567773</v>
      </c>
    </row>
    <row r="852" spans="9:10" x14ac:dyDescent="0.25">
      <c r="I852" s="94">
        <v>845</v>
      </c>
      <c r="J852" s="94">
        <v>242.10048515156529</v>
      </c>
    </row>
    <row r="853" spans="9:10" x14ac:dyDescent="0.25">
      <c r="I853" s="94">
        <v>846</v>
      </c>
      <c r="J853" s="94">
        <v>248.30048881575237</v>
      </c>
    </row>
    <row r="854" spans="9:10" x14ac:dyDescent="0.25">
      <c r="I854" s="94">
        <v>847</v>
      </c>
      <c r="J854" s="94">
        <v>246.31357747932702</v>
      </c>
    </row>
    <row r="855" spans="9:10" x14ac:dyDescent="0.25">
      <c r="I855" s="94">
        <v>848</v>
      </c>
      <c r="J855" s="94">
        <v>243.31913268037056</v>
      </c>
    </row>
    <row r="856" spans="9:10" x14ac:dyDescent="0.25">
      <c r="I856" s="94">
        <v>849</v>
      </c>
      <c r="J856" s="94">
        <v>246.56985480316439</v>
      </c>
    </row>
    <row r="857" spans="9:10" x14ac:dyDescent="0.25">
      <c r="I857" s="94">
        <v>850</v>
      </c>
      <c r="J857" s="94">
        <v>232.20797051418828</v>
      </c>
    </row>
    <row r="858" spans="9:10" x14ac:dyDescent="0.25">
      <c r="I858" s="94">
        <v>851</v>
      </c>
      <c r="J858" s="94">
        <v>237.20384782575991</v>
      </c>
    </row>
    <row r="859" spans="9:10" x14ac:dyDescent="0.25">
      <c r="I859" s="94">
        <v>852</v>
      </c>
      <c r="J859" s="94">
        <v>236.15635445530785</v>
      </c>
    </row>
    <row r="860" spans="9:10" x14ac:dyDescent="0.25">
      <c r="I860" s="94">
        <v>853</v>
      </c>
      <c r="J860" s="94">
        <v>235.51918955534279</v>
      </c>
    </row>
    <row r="861" spans="9:10" x14ac:dyDescent="0.25">
      <c r="I861" s="94">
        <v>854</v>
      </c>
      <c r="J861" s="94">
        <v>239.22554521604752</v>
      </c>
    </row>
    <row r="862" spans="9:10" x14ac:dyDescent="0.25">
      <c r="I862" s="94">
        <v>855</v>
      </c>
      <c r="J862" s="94">
        <v>255.59048982027934</v>
      </c>
    </row>
    <row r="863" spans="9:10" x14ac:dyDescent="0.25">
      <c r="I863" s="94">
        <v>856</v>
      </c>
      <c r="J863" s="94">
        <v>237.57077826655359</v>
      </c>
    </row>
    <row r="864" spans="9:10" x14ac:dyDescent="0.25">
      <c r="I864" s="94">
        <v>857</v>
      </c>
      <c r="J864" s="94">
        <v>249.30949027272482</v>
      </c>
    </row>
    <row r="865" spans="9:10" x14ac:dyDescent="0.25">
      <c r="I865" s="94">
        <v>858</v>
      </c>
      <c r="J865" s="94">
        <v>236.50104276933962</v>
      </c>
    </row>
    <row r="866" spans="9:10" x14ac:dyDescent="0.25">
      <c r="I866" s="94">
        <v>859</v>
      </c>
      <c r="J866" s="94">
        <v>235.5053435543669</v>
      </c>
    </row>
    <row r="867" spans="9:10" x14ac:dyDescent="0.25">
      <c r="I867" s="94">
        <v>860</v>
      </c>
      <c r="J867" s="94">
        <v>245.2236200200548</v>
      </c>
    </row>
    <row r="868" spans="9:10" x14ac:dyDescent="0.25">
      <c r="I868" s="94">
        <v>861</v>
      </c>
      <c r="J868" s="94">
        <v>236.79219396220572</v>
      </c>
    </row>
    <row r="869" spans="9:10" x14ac:dyDescent="0.25">
      <c r="I869" s="94">
        <v>862</v>
      </c>
      <c r="J869" s="94">
        <v>257.07925765393452</v>
      </c>
    </row>
    <row r="870" spans="9:10" x14ac:dyDescent="0.25">
      <c r="I870" s="94">
        <v>863</v>
      </c>
      <c r="J870" s="94">
        <v>237.03902145649357</v>
      </c>
    </row>
    <row r="871" spans="9:10" x14ac:dyDescent="0.25">
      <c r="I871" s="94">
        <v>864</v>
      </c>
      <c r="J871" s="94">
        <v>238.10060435784942</v>
      </c>
    </row>
    <row r="872" spans="9:10" x14ac:dyDescent="0.25">
      <c r="I872" s="94">
        <v>865</v>
      </c>
      <c r="J872" s="94">
        <v>245.68100531895368</v>
      </c>
    </row>
    <row r="873" spans="9:10" x14ac:dyDescent="0.25">
      <c r="I873" s="94">
        <v>866</v>
      </c>
      <c r="J873" s="94">
        <v>246.58343513029536</v>
      </c>
    </row>
    <row r="874" spans="9:10" x14ac:dyDescent="0.25">
      <c r="I874" s="94">
        <v>867</v>
      </c>
      <c r="J874" s="94">
        <v>230.95003541580706</v>
      </c>
    </row>
    <row r="875" spans="9:10" x14ac:dyDescent="0.25">
      <c r="I875" s="94">
        <v>868</v>
      </c>
      <c r="J875" s="94">
        <v>251.79270996189371</v>
      </c>
    </row>
    <row r="876" spans="9:10" x14ac:dyDescent="0.25">
      <c r="I876" s="94">
        <v>869</v>
      </c>
      <c r="J876" s="94">
        <v>246.32046187076128</v>
      </c>
    </row>
    <row r="877" spans="9:10" x14ac:dyDescent="0.25">
      <c r="I877" s="94">
        <v>870</v>
      </c>
      <c r="J877" s="94">
        <v>237.82201951566753</v>
      </c>
    </row>
    <row r="878" spans="9:10" x14ac:dyDescent="0.25">
      <c r="I878" s="94">
        <v>871</v>
      </c>
      <c r="J878" s="94">
        <v>248.81735238451108</v>
      </c>
    </row>
    <row r="879" spans="9:10" x14ac:dyDescent="0.25">
      <c r="I879" s="94">
        <v>872</v>
      </c>
      <c r="J879" s="94">
        <v>229.37944022145518</v>
      </c>
    </row>
    <row r="880" spans="9:10" x14ac:dyDescent="0.25">
      <c r="I880" s="94">
        <v>873</v>
      </c>
      <c r="J880" s="94">
        <v>244.92158175267639</v>
      </c>
    </row>
    <row r="881" spans="9:10" x14ac:dyDescent="0.25">
      <c r="I881" s="94">
        <v>874</v>
      </c>
      <c r="J881" s="94">
        <v>242.03785272798746</v>
      </c>
    </row>
    <row r="882" spans="9:10" x14ac:dyDescent="0.25">
      <c r="I882" s="94">
        <v>875</v>
      </c>
      <c r="J882" s="94">
        <v>231.02287534743402</v>
      </c>
    </row>
    <row r="883" spans="9:10" x14ac:dyDescent="0.25">
      <c r="I883" s="94">
        <v>876</v>
      </c>
      <c r="J883" s="94">
        <v>228.87674159272797</v>
      </c>
    </row>
    <row r="884" spans="9:10" x14ac:dyDescent="0.25">
      <c r="I884" s="94">
        <v>877</v>
      </c>
      <c r="J884" s="94">
        <v>242.92953818589763</v>
      </c>
    </row>
    <row r="885" spans="9:10" x14ac:dyDescent="0.25">
      <c r="I885" s="94">
        <v>878</v>
      </c>
      <c r="J885" s="94">
        <v>248.34423295804049</v>
      </c>
    </row>
    <row r="886" spans="9:10" x14ac:dyDescent="0.25">
      <c r="I886" s="94">
        <v>879</v>
      </c>
      <c r="J886" s="94">
        <v>233.03618775207389</v>
      </c>
    </row>
    <row r="887" spans="9:10" x14ac:dyDescent="0.25">
      <c r="I887" s="94">
        <v>880</v>
      </c>
      <c r="J887" s="94">
        <v>251.87508487867296</v>
      </c>
    </row>
    <row r="888" spans="9:10" x14ac:dyDescent="0.25">
      <c r="I888" s="94">
        <v>881</v>
      </c>
      <c r="J888" s="94">
        <v>232.51915517028965</v>
      </c>
    </row>
    <row r="889" spans="9:10" x14ac:dyDescent="0.25">
      <c r="I889" s="94">
        <v>882</v>
      </c>
      <c r="J889" s="94">
        <v>239.88714016323615</v>
      </c>
    </row>
    <row r="890" spans="9:10" x14ac:dyDescent="0.25">
      <c r="I890" s="94">
        <v>883</v>
      </c>
      <c r="J890" s="94">
        <v>247.92412653490589</v>
      </c>
    </row>
    <row r="891" spans="9:10" x14ac:dyDescent="0.25">
      <c r="I891" s="94">
        <v>884</v>
      </c>
      <c r="J891" s="94">
        <v>236.70108347966806</v>
      </c>
    </row>
    <row r="892" spans="9:10" x14ac:dyDescent="0.25">
      <c r="I892" s="94">
        <v>885</v>
      </c>
      <c r="J892" s="94">
        <v>231.43434767509154</v>
      </c>
    </row>
    <row r="893" spans="9:10" x14ac:dyDescent="0.25">
      <c r="I893" s="94">
        <v>886</v>
      </c>
      <c r="J893" s="94">
        <v>237.04060428954716</v>
      </c>
    </row>
    <row r="894" spans="9:10" x14ac:dyDescent="0.25">
      <c r="I894" s="94">
        <v>887</v>
      </c>
      <c r="J894" s="94">
        <v>229.88943285768079</v>
      </c>
    </row>
    <row r="895" spans="9:10" x14ac:dyDescent="0.25">
      <c r="I895" s="94">
        <v>888</v>
      </c>
      <c r="J895" s="94">
        <v>240.23657068971977</v>
      </c>
    </row>
    <row r="896" spans="9:10" x14ac:dyDescent="0.25">
      <c r="I896" s="94">
        <v>889</v>
      </c>
      <c r="J896" s="94">
        <v>228.48714104266861</v>
      </c>
    </row>
    <row r="897" spans="9:10" x14ac:dyDescent="0.25">
      <c r="I897" s="94">
        <v>890</v>
      </c>
      <c r="J897" s="94">
        <v>227.06931120200767</v>
      </c>
    </row>
    <row r="898" spans="9:10" x14ac:dyDescent="0.25">
      <c r="I898" s="94">
        <v>891</v>
      </c>
      <c r="J898" s="94">
        <v>230.11398592438928</v>
      </c>
    </row>
    <row r="899" spans="9:10" x14ac:dyDescent="0.25">
      <c r="I899" s="94">
        <v>892</v>
      </c>
      <c r="J899" s="94">
        <v>245.04995986924212</v>
      </c>
    </row>
    <row r="900" spans="9:10" x14ac:dyDescent="0.25">
      <c r="I900" s="94">
        <v>893</v>
      </c>
      <c r="J900" s="94">
        <v>245.00884102262353</v>
      </c>
    </row>
    <row r="901" spans="9:10" x14ac:dyDescent="0.25">
      <c r="I901" s="94">
        <v>894</v>
      </c>
      <c r="J901" s="94">
        <v>237.3116754189449</v>
      </c>
    </row>
    <row r="902" spans="9:10" x14ac:dyDescent="0.25">
      <c r="I902" s="94">
        <v>895</v>
      </c>
      <c r="J902" s="94">
        <v>234.68220270363435</v>
      </c>
    </row>
    <row r="903" spans="9:10" x14ac:dyDescent="0.25">
      <c r="I903" s="94">
        <v>896</v>
      </c>
      <c r="J903" s="94">
        <v>250.65024587435857</v>
      </c>
    </row>
    <row r="904" spans="9:10" x14ac:dyDescent="0.25">
      <c r="I904" s="94">
        <v>897</v>
      </c>
      <c r="J904" s="94">
        <v>238.71155570478891</v>
      </c>
    </row>
    <row r="905" spans="9:10" x14ac:dyDescent="0.25">
      <c r="I905" s="94">
        <v>898</v>
      </c>
      <c r="J905" s="94">
        <v>232.1499107995844</v>
      </c>
    </row>
    <row r="906" spans="9:10" x14ac:dyDescent="0.25">
      <c r="I906" s="94">
        <v>899</v>
      </c>
      <c r="J906" s="94">
        <v>237.58032649977974</v>
      </c>
    </row>
    <row r="907" spans="9:10" x14ac:dyDescent="0.25">
      <c r="I907" s="94">
        <v>900</v>
      </c>
      <c r="J907" s="94">
        <v>243.0741043648917</v>
      </c>
    </row>
    <row r="908" spans="9:10" x14ac:dyDescent="0.25">
      <c r="I908" s="94">
        <v>901</v>
      </c>
      <c r="J908" s="94">
        <v>235.75058407147168</v>
      </c>
    </row>
    <row r="909" spans="9:10" x14ac:dyDescent="0.25">
      <c r="I909" s="94">
        <v>902</v>
      </c>
      <c r="J909" s="94">
        <v>237.41063954707272</v>
      </c>
    </row>
    <row r="910" spans="9:10" x14ac:dyDescent="0.25">
      <c r="I910" s="94">
        <v>903</v>
      </c>
      <c r="J910" s="94">
        <v>229.15174092950394</v>
      </c>
    </row>
    <row r="911" spans="9:10" x14ac:dyDescent="0.25">
      <c r="I911" s="94">
        <v>904</v>
      </c>
      <c r="J911" s="94">
        <v>252.62537936243893</v>
      </c>
    </row>
    <row r="912" spans="9:10" x14ac:dyDescent="0.25">
      <c r="I912" s="94">
        <v>905</v>
      </c>
      <c r="J912" s="94">
        <v>244.92847026430024</v>
      </c>
    </row>
    <row r="913" spans="9:10" x14ac:dyDescent="0.25">
      <c r="I913" s="94">
        <v>906</v>
      </c>
      <c r="J913" s="94">
        <v>244.82207282719492</v>
      </c>
    </row>
    <row r="914" spans="9:10" x14ac:dyDescent="0.25">
      <c r="I914" s="94">
        <v>907</v>
      </c>
      <c r="J914" s="94">
        <v>229.97626547025152</v>
      </c>
    </row>
    <row r="915" spans="9:10" x14ac:dyDescent="0.25">
      <c r="I915" s="94">
        <v>908</v>
      </c>
      <c r="J915" s="94">
        <v>243.89368388418882</v>
      </c>
    </row>
    <row r="916" spans="9:10" x14ac:dyDescent="0.25">
      <c r="I916" s="94">
        <v>909</v>
      </c>
      <c r="J916" s="94">
        <v>246.98163136980622</v>
      </c>
    </row>
    <row r="917" spans="9:10" x14ac:dyDescent="0.25">
      <c r="I917" s="94">
        <v>910</v>
      </c>
      <c r="J917" s="94">
        <v>238.33824554537489</v>
      </c>
    </row>
    <row r="918" spans="9:10" x14ac:dyDescent="0.25">
      <c r="I918" s="94">
        <v>911</v>
      </c>
      <c r="J918" s="94">
        <v>234.83041868701548</v>
      </c>
    </row>
    <row r="919" spans="9:10" x14ac:dyDescent="0.25">
      <c r="I919" s="94">
        <v>912</v>
      </c>
      <c r="J919" s="94">
        <v>241.93942296074022</v>
      </c>
    </row>
    <row r="920" spans="9:10" x14ac:dyDescent="0.25">
      <c r="I920" s="94">
        <v>913</v>
      </c>
      <c r="J920" s="94">
        <v>250.82810058442521</v>
      </c>
    </row>
    <row r="921" spans="9:10" x14ac:dyDescent="0.25">
      <c r="I921" s="94">
        <v>914</v>
      </c>
      <c r="J921" s="94">
        <v>240.86281303867497</v>
      </c>
    </row>
    <row r="922" spans="9:10" x14ac:dyDescent="0.25">
      <c r="I922" s="94">
        <v>915</v>
      </c>
      <c r="J922" s="94">
        <v>258.56250663330877</v>
      </c>
    </row>
    <row r="923" spans="9:10" x14ac:dyDescent="0.25">
      <c r="I923" s="94">
        <v>916</v>
      </c>
      <c r="J923" s="94">
        <v>226.13204420145587</v>
      </c>
    </row>
    <row r="924" spans="9:10" x14ac:dyDescent="0.25">
      <c r="I924" s="94">
        <v>917</v>
      </c>
      <c r="J924" s="94">
        <v>233.115945877679</v>
      </c>
    </row>
    <row r="925" spans="9:10" x14ac:dyDescent="0.25">
      <c r="I925" s="94">
        <v>918</v>
      </c>
      <c r="J925" s="94">
        <v>236.82078582736648</v>
      </c>
    </row>
    <row r="926" spans="9:10" x14ac:dyDescent="0.25">
      <c r="I926" s="94">
        <v>919</v>
      </c>
      <c r="J926" s="94">
        <v>260.26493864795418</v>
      </c>
    </row>
    <row r="927" spans="9:10" x14ac:dyDescent="0.25">
      <c r="I927" s="94">
        <v>920</v>
      </c>
      <c r="J927" s="94">
        <v>240.16471666451855</v>
      </c>
    </row>
    <row r="928" spans="9:10" x14ac:dyDescent="0.25">
      <c r="I928" s="94">
        <v>921</v>
      </c>
      <c r="J928" s="94">
        <v>239.01490482710278</v>
      </c>
    </row>
    <row r="929" spans="9:10" x14ac:dyDescent="0.25">
      <c r="I929" s="94">
        <v>922</v>
      </c>
      <c r="J929" s="94">
        <v>242.18990133477973</v>
      </c>
    </row>
    <row r="930" spans="9:10" x14ac:dyDescent="0.25">
      <c r="I930" s="94">
        <v>923</v>
      </c>
      <c r="J930" s="94">
        <v>231.24706508981654</v>
      </c>
    </row>
    <row r="931" spans="9:10" x14ac:dyDescent="0.25">
      <c r="I931" s="94">
        <v>924</v>
      </c>
      <c r="J931" s="94">
        <v>245.28391023219126</v>
      </c>
    </row>
    <row r="932" spans="9:10" x14ac:dyDescent="0.25">
      <c r="I932" s="94">
        <v>925</v>
      </c>
      <c r="J932" s="94">
        <v>240.11292793571954</v>
      </c>
    </row>
    <row r="933" spans="9:10" x14ac:dyDescent="0.25">
      <c r="I933" s="94">
        <v>926</v>
      </c>
      <c r="J933" s="94">
        <v>237.62044012419619</v>
      </c>
    </row>
    <row r="934" spans="9:10" x14ac:dyDescent="0.25">
      <c r="I934" s="94">
        <v>927</v>
      </c>
      <c r="J934" s="94">
        <v>232.78562991894648</v>
      </c>
    </row>
    <row r="935" spans="9:10" x14ac:dyDescent="0.25">
      <c r="I935" s="94">
        <v>928</v>
      </c>
      <c r="J935" s="94">
        <v>232.75477410907951</v>
      </c>
    </row>
    <row r="936" spans="9:10" x14ac:dyDescent="0.25">
      <c r="I936" s="94">
        <v>929</v>
      </c>
      <c r="J936" s="94">
        <v>234.00477103538657</v>
      </c>
    </row>
    <row r="937" spans="9:10" x14ac:dyDescent="0.25">
      <c r="I937" s="94">
        <v>930</v>
      </c>
      <c r="J937" s="94">
        <v>236.68295903171469</v>
      </c>
    </row>
    <row r="938" spans="9:10" x14ac:dyDescent="0.25">
      <c r="I938" s="94">
        <v>931</v>
      </c>
      <c r="J938" s="94">
        <v>241.79558656643098</v>
      </c>
    </row>
    <row r="939" spans="9:10" x14ac:dyDescent="0.25">
      <c r="I939" s="94">
        <v>932</v>
      </c>
      <c r="J939" s="94">
        <v>250.05830255346802</v>
      </c>
    </row>
    <row r="940" spans="9:10" x14ac:dyDescent="0.25">
      <c r="I940" s="94">
        <v>933</v>
      </c>
      <c r="J940" s="94">
        <v>232.56053556747804</v>
      </c>
    </row>
    <row r="941" spans="9:10" x14ac:dyDescent="0.25">
      <c r="I941" s="94">
        <v>934</v>
      </c>
      <c r="J941" s="94">
        <v>240.51657050412916</v>
      </c>
    </row>
    <row r="942" spans="9:10" x14ac:dyDescent="0.25">
      <c r="I942" s="94">
        <v>935</v>
      </c>
      <c r="J942" s="94">
        <v>250.67847200250856</v>
      </c>
    </row>
    <row r="943" spans="9:10" x14ac:dyDescent="0.25">
      <c r="I943" s="94">
        <v>936</v>
      </c>
      <c r="J943" s="94">
        <v>242.89549376308605</v>
      </c>
    </row>
    <row r="944" spans="9:10" x14ac:dyDescent="0.25">
      <c r="I944" s="94">
        <v>937</v>
      </c>
      <c r="J944" s="94">
        <v>238.53890498540261</v>
      </c>
    </row>
    <row r="945" spans="9:10" x14ac:dyDescent="0.25">
      <c r="I945" s="94">
        <v>938</v>
      </c>
      <c r="J945" s="94">
        <v>238.76705301682216</v>
      </c>
    </row>
    <row r="946" spans="9:10" x14ac:dyDescent="0.25">
      <c r="I946" s="94">
        <v>939</v>
      </c>
      <c r="J946" s="94">
        <v>233.91051386165157</v>
      </c>
    </row>
    <row r="947" spans="9:10" x14ac:dyDescent="0.25">
      <c r="I947" s="94">
        <v>940</v>
      </c>
      <c r="J947" s="94">
        <v>239.16914729895734</v>
      </c>
    </row>
    <row r="948" spans="9:10" x14ac:dyDescent="0.25">
      <c r="I948" s="94">
        <v>941</v>
      </c>
      <c r="J948" s="94">
        <v>250.1334844152932</v>
      </c>
    </row>
    <row r="949" spans="9:10" x14ac:dyDescent="0.25">
      <c r="I949" s="94">
        <v>942</v>
      </c>
      <c r="J949" s="94">
        <v>230.31549053289848</v>
      </c>
    </row>
    <row r="950" spans="9:10" x14ac:dyDescent="0.25">
      <c r="I950" s="94">
        <v>943</v>
      </c>
      <c r="J950" s="94">
        <v>241.39922580726477</v>
      </c>
    </row>
    <row r="951" spans="9:10" x14ac:dyDescent="0.25">
      <c r="I951" s="94">
        <v>944</v>
      </c>
      <c r="J951" s="94">
        <v>233.93305283427276</v>
      </c>
    </row>
    <row r="952" spans="9:10" x14ac:dyDescent="0.25">
      <c r="I952" s="94">
        <v>945</v>
      </c>
      <c r="J952" s="94">
        <v>234.66997280803628</v>
      </c>
    </row>
    <row r="953" spans="9:10" x14ac:dyDescent="0.25">
      <c r="I953" s="94">
        <v>946</v>
      </c>
      <c r="J953" s="94">
        <v>246.34955094991869</v>
      </c>
    </row>
    <row r="954" spans="9:10" x14ac:dyDescent="0.25">
      <c r="I954" s="94">
        <v>947</v>
      </c>
      <c r="J954" s="94">
        <v>243.82171985583125</v>
      </c>
    </row>
    <row r="955" spans="9:10" x14ac:dyDescent="0.25">
      <c r="I955" s="94">
        <v>948</v>
      </c>
      <c r="J955" s="94">
        <v>244.30813788286127</v>
      </c>
    </row>
    <row r="956" spans="9:10" x14ac:dyDescent="0.25">
      <c r="I956" s="94">
        <v>949</v>
      </c>
      <c r="J956" s="94">
        <v>256.33296725600678</v>
      </c>
    </row>
    <row r="957" spans="9:10" x14ac:dyDescent="0.25">
      <c r="I957" s="94">
        <v>950</v>
      </c>
      <c r="J957" s="94">
        <v>246.30243932010217</v>
      </c>
    </row>
    <row r="958" spans="9:10" x14ac:dyDescent="0.25">
      <c r="I958" s="94">
        <v>951</v>
      </c>
      <c r="J958" s="94">
        <v>241.13397504752436</v>
      </c>
    </row>
    <row r="959" spans="9:10" x14ac:dyDescent="0.25">
      <c r="I959" s="94">
        <v>952</v>
      </c>
      <c r="J959" s="94">
        <v>233.61150748370227</v>
      </c>
    </row>
    <row r="960" spans="9:10" x14ac:dyDescent="0.25">
      <c r="I960" s="94">
        <v>953</v>
      </c>
      <c r="J960" s="94">
        <v>239.758218724264</v>
      </c>
    </row>
    <row r="961" spans="9:10" x14ac:dyDescent="0.25">
      <c r="I961" s="94">
        <v>954</v>
      </c>
      <c r="J961" s="94">
        <v>236.50822043035424</v>
      </c>
    </row>
    <row r="962" spans="9:10" x14ac:dyDescent="0.25">
      <c r="I962" s="94">
        <v>955</v>
      </c>
      <c r="J962" s="94">
        <v>246.21001495434143</v>
      </c>
    </row>
    <row r="963" spans="9:10" x14ac:dyDescent="0.25">
      <c r="I963" s="94">
        <v>956</v>
      </c>
      <c r="J963" s="94">
        <v>246.05526312374946</v>
      </c>
    </row>
    <row r="964" spans="9:10" x14ac:dyDescent="0.25">
      <c r="I964" s="94">
        <v>957</v>
      </c>
      <c r="J964" s="94">
        <v>231.16887074838013</v>
      </c>
    </row>
    <row r="965" spans="9:10" x14ac:dyDescent="0.25">
      <c r="I965" s="94">
        <v>958</v>
      </c>
      <c r="J965" s="94">
        <v>258.55995895425451</v>
      </c>
    </row>
    <row r="966" spans="9:10" x14ac:dyDescent="0.25">
      <c r="I966" s="94">
        <v>959</v>
      </c>
      <c r="J966" s="94">
        <v>238.33281179171968</v>
      </c>
    </row>
    <row r="967" spans="9:10" x14ac:dyDescent="0.25">
      <c r="I967" s="94">
        <v>960</v>
      </c>
      <c r="J967" s="94">
        <v>240.44862313596548</v>
      </c>
    </row>
    <row r="968" spans="9:10" x14ac:dyDescent="0.25">
      <c r="I968" s="94">
        <v>961</v>
      </c>
      <c r="J968" s="94">
        <v>244.50727744270682</v>
      </c>
    </row>
    <row r="969" spans="9:10" x14ac:dyDescent="0.25">
      <c r="I969" s="94">
        <v>962</v>
      </c>
      <c r="J969" s="94">
        <v>233.23466761088071</v>
      </c>
    </row>
    <row r="970" spans="9:10" x14ac:dyDescent="0.25">
      <c r="I970" s="94">
        <v>963</v>
      </c>
      <c r="J970" s="94">
        <v>244.89346857515147</v>
      </c>
    </row>
    <row r="971" spans="9:10" x14ac:dyDescent="0.25">
      <c r="I971" s="94">
        <v>964</v>
      </c>
      <c r="J971" s="94">
        <v>254.29368396731923</v>
      </c>
    </row>
    <row r="972" spans="9:10" x14ac:dyDescent="0.25">
      <c r="I972" s="94">
        <v>965</v>
      </c>
      <c r="J972" s="94">
        <v>235.30850363353068</v>
      </c>
    </row>
    <row r="973" spans="9:10" x14ac:dyDescent="0.25">
      <c r="I973" s="94">
        <v>966</v>
      </c>
      <c r="J973" s="94">
        <v>244.72234608523399</v>
      </c>
    </row>
    <row r="974" spans="9:10" x14ac:dyDescent="0.25">
      <c r="I974" s="94">
        <v>967</v>
      </c>
      <c r="J974" s="94">
        <v>241.31628843424608</v>
      </c>
    </row>
    <row r="975" spans="9:10" x14ac:dyDescent="0.25">
      <c r="I975" s="94">
        <v>968</v>
      </c>
      <c r="J975" s="94">
        <v>244.968696419411</v>
      </c>
    </row>
    <row r="976" spans="9:10" x14ac:dyDescent="0.25">
      <c r="I976" s="94">
        <v>969</v>
      </c>
      <c r="J976" s="94">
        <v>243.12521970070293</v>
      </c>
    </row>
    <row r="977" spans="9:10" x14ac:dyDescent="0.25">
      <c r="I977" s="94">
        <v>970</v>
      </c>
      <c r="J977" s="94">
        <v>240.11009319983827</v>
      </c>
    </row>
    <row r="978" spans="9:10" x14ac:dyDescent="0.25">
      <c r="I978" s="94">
        <v>971</v>
      </c>
      <c r="J978" s="94">
        <v>250.28995931673091</v>
      </c>
    </row>
    <row r="979" spans="9:10" x14ac:dyDescent="0.25">
      <c r="I979" s="94">
        <v>972</v>
      </c>
      <c r="J979" s="94">
        <v>243.57449706315822</v>
      </c>
    </row>
    <row r="980" spans="9:10" x14ac:dyDescent="0.25">
      <c r="I980" s="94">
        <v>973</v>
      </c>
      <c r="J980" s="94">
        <v>227.17616868861938</v>
      </c>
    </row>
    <row r="981" spans="9:10" x14ac:dyDescent="0.25">
      <c r="I981" s="94">
        <v>974</v>
      </c>
      <c r="J981" s="94">
        <v>238.69275275021187</v>
      </c>
    </row>
    <row r="982" spans="9:10" x14ac:dyDescent="0.25">
      <c r="I982" s="94">
        <v>975</v>
      </c>
      <c r="J982" s="94">
        <v>232.44274097336398</v>
      </c>
    </row>
    <row r="983" spans="9:10" x14ac:dyDescent="0.25">
      <c r="I983" s="94">
        <v>976</v>
      </c>
      <c r="J983" s="94">
        <v>227.34244713846903</v>
      </c>
    </row>
    <row r="984" spans="9:10" x14ac:dyDescent="0.25">
      <c r="I984" s="94">
        <v>977</v>
      </c>
      <c r="J984" s="94">
        <v>246.76864713096893</v>
      </c>
    </row>
    <row r="985" spans="9:10" x14ac:dyDescent="0.25">
      <c r="I985" s="94">
        <v>978</v>
      </c>
      <c r="J985" s="94">
        <v>235.89345866877977</v>
      </c>
    </row>
    <row r="986" spans="9:10" x14ac:dyDescent="0.25">
      <c r="I986" s="94">
        <v>979</v>
      </c>
      <c r="J986" s="94">
        <v>232.19389610516544</v>
      </c>
    </row>
    <row r="987" spans="9:10" x14ac:dyDescent="0.25">
      <c r="I987" s="94">
        <v>980</v>
      </c>
      <c r="J987" s="94">
        <v>248.3925685652257</v>
      </c>
    </row>
    <row r="988" spans="9:10" x14ac:dyDescent="0.25">
      <c r="I988" s="94">
        <v>981</v>
      </c>
      <c r="J988" s="94">
        <v>243.23635886747797</v>
      </c>
    </row>
    <row r="989" spans="9:10" x14ac:dyDescent="0.25">
      <c r="I989" s="94">
        <v>982</v>
      </c>
      <c r="J989" s="94">
        <v>249.15732018961558</v>
      </c>
    </row>
    <row r="990" spans="9:10" x14ac:dyDescent="0.25">
      <c r="I990" s="94">
        <v>983</v>
      </c>
      <c r="J990" s="94">
        <v>233.56974274161888</v>
      </c>
    </row>
    <row r="991" spans="9:10" x14ac:dyDescent="0.25">
      <c r="I991" s="94">
        <v>984</v>
      </c>
      <c r="J991" s="94">
        <v>241.44895124744551</v>
      </c>
    </row>
    <row r="992" spans="9:10" x14ac:dyDescent="0.25">
      <c r="I992" s="94">
        <v>985</v>
      </c>
      <c r="J992" s="94">
        <v>252.55220168505048</v>
      </c>
    </row>
    <row r="993" spans="9:10" x14ac:dyDescent="0.25">
      <c r="I993" s="94">
        <v>986</v>
      </c>
      <c r="J993" s="94">
        <v>238.89694155939492</v>
      </c>
    </row>
    <row r="994" spans="9:10" x14ac:dyDescent="0.25">
      <c r="I994" s="94">
        <v>987</v>
      </c>
      <c r="J994" s="94">
        <v>245.58989344562428</v>
      </c>
    </row>
    <row r="995" spans="9:10" x14ac:dyDescent="0.25">
      <c r="I995" s="94">
        <v>988</v>
      </c>
      <c r="J995" s="94">
        <v>230.80214839294842</v>
      </c>
    </row>
    <row r="996" spans="9:10" x14ac:dyDescent="0.25">
      <c r="I996" s="94">
        <v>989</v>
      </c>
      <c r="J996" s="94">
        <v>232.66418002781467</v>
      </c>
    </row>
    <row r="997" spans="9:10" x14ac:dyDescent="0.25">
      <c r="I997" s="94">
        <v>990</v>
      </c>
      <c r="J997" s="94">
        <v>259.34307937755898</v>
      </c>
    </row>
    <row r="998" spans="9:10" x14ac:dyDescent="0.25">
      <c r="I998" s="94">
        <v>991</v>
      </c>
      <c r="J998" s="94">
        <v>238.57243382728916</v>
      </c>
    </row>
    <row r="999" spans="9:10" x14ac:dyDescent="0.25">
      <c r="I999" s="94">
        <v>992</v>
      </c>
      <c r="J999" s="94">
        <v>240.90684750952175</v>
      </c>
    </row>
    <row r="1000" spans="9:10" x14ac:dyDescent="0.25">
      <c r="I1000" s="94">
        <v>993</v>
      </c>
      <c r="J1000" s="94">
        <v>228.08879535824144</v>
      </c>
    </row>
    <row r="1001" spans="9:10" x14ac:dyDescent="0.25">
      <c r="I1001" s="94">
        <v>994</v>
      </c>
      <c r="J1001" s="94">
        <v>238.34511573164411</v>
      </c>
    </row>
    <row r="1002" spans="9:10" x14ac:dyDescent="0.25">
      <c r="I1002" s="94">
        <v>995</v>
      </c>
      <c r="J1002" s="94">
        <v>243.57250735202399</v>
      </c>
    </row>
    <row r="1003" spans="9:10" x14ac:dyDescent="0.25">
      <c r="I1003" s="94">
        <v>996</v>
      </c>
      <c r="J1003" s="94">
        <v>242.95638101097245</v>
      </c>
    </row>
    <row r="1004" spans="9:10" x14ac:dyDescent="0.25">
      <c r="I1004" s="94">
        <v>997</v>
      </c>
      <c r="J1004" s="94">
        <v>252.07800176251044</v>
      </c>
    </row>
    <row r="1005" spans="9:10" x14ac:dyDescent="0.25">
      <c r="I1005" s="94">
        <v>998</v>
      </c>
      <c r="J1005" s="94">
        <v>254.45979141756993</v>
      </c>
    </row>
    <row r="1006" spans="9:10" x14ac:dyDescent="0.25">
      <c r="I1006" s="94">
        <v>999</v>
      </c>
      <c r="J1006" s="94">
        <v>245.22304186730378</v>
      </c>
    </row>
    <row r="1007" spans="9:10" x14ac:dyDescent="0.25">
      <c r="I1007" s="94">
        <v>1000</v>
      </c>
      <c r="J1007" s="94">
        <v>244.2630869791758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58D2E-7B40-4DA9-A6BE-41C04C8F5DCD}">
  <sheetPr codeName="Sheet7"/>
  <dimension ref="A1:N506"/>
  <sheetViews>
    <sheetView tabSelected="1" workbookViewId="0">
      <selection activeCell="K4" sqref="K4"/>
    </sheetView>
  </sheetViews>
  <sheetFormatPr defaultRowHeight="12.5" x14ac:dyDescent="0.25"/>
  <cols>
    <col min="1" max="4" width="8.7265625" style="11"/>
    <col min="5" max="5" width="21" style="11" customWidth="1"/>
    <col min="6" max="10" width="8.7265625" style="11"/>
    <col min="11" max="11" width="14.1796875" style="11" customWidth="1"/>
    <col min="12" max="260" width="8.7265625" style="11"/>
    <col min="261" max="261" width="21" style="11" customWidth="1"/>
    <col min="262" max="266" width="8.7265625" style="11"/>
    <col min="267" max="267" width="14.1796875" style="11" customWidth="1"/>
    <col min="268" max="516" width="8.7265625" style="11"/>
    <col min="517" max="517" width="21" style="11" customWidth="1"/>
    <col min="518" max="522" width="8.7265625" style="11"/>
    <col min="523" max="523" width="14.1796875" style="11" customWidth="1"/>
    <col min="524" max="772" width="8.7265625" style="11"/>
    <col min="773" max="773" width="21" style="11" customWidth="1"/>
    <col min="774" max="778" width="8.7265625" style="11"/>
    <col min="779" max="779" width="14.1796875" style="11" customWidth="1"/>
    <col min="780" max="1028" width="8.7265625" style="11"/>
    <col min="1029" max="1029" width="21" style="11" customWidth="1"/>
    <col min="1030" max="1034" width="8.7265625" style="11"/>
    <col min="1035" max="1035" width="14.1796875" style="11" customWidth="1"/>
    <col min="1036" max="1284" width="8.7265625" style="11"/>
    <col min="1285" max="1285" width="21" style="11" customWidth="1"/>
    <col min="1286" max="1290" width="8.7265625" style="11"/>
    <col min="1291" max="1291" width="14.1796875" style="11" customWidth="1"/>
    <col min="1292" max="1540" width="8.7265625" style="11"/>
    <col min="1541" max="1541" width="21" style="11" customWidth="1"/>
    <col min="1542" max="1546" width="8.7265625" style="11"/>
    <col min="1547" max="1547" width="14.1796875" style="11" customWidth="1"/>
    <col min="1548" max="1796" width="8.7265625" style="11"/>
    <col min="1797" max="1797" width="21" style="11" customWidth="1"/>
    <col min="1798" max="1802" width="8.7265625" style="11"/>
    <col min="1803" max="1803" width="14.1796875" style="11" customWidth="1"/>
    <col min="1804" max="2052" width="8.7265625" style="11"/>
    <col min="2053" max="2053" width="21" style="11" customWidth="1"/>
    <col min="2054" max="2058" width="8.7265625" style="11"/>
    <col min="2059" max="2059" width="14.1796875" style="11" customWidth="1"/>
    <col min="2060" max="2308" width="8.7265625" style="11"/>
    <col min="2309" max="2309" width="21" style="11" customWidth="1"/>
    <col min="2310" max="2314" width="8.7265625" style="11"/>
    <col min="2315" max="2315" width="14.1796875" style="11" customWidth="1"/>
    <col min="2316" max="2564" width="8.7265625" style="11"/>
    <col min="2565" max="2565" width="21" style="11" customWidth="1"/>
    <col min="2566" max="2570" width="8.7265625" style="11"/>
    <col min="2571" max="2571" width="14.1796875" style="11" customWidth="1"/>
    <col min="2572" max="2820" width="8.7265625" style="11"/>
    <col min="2821" max="2821" width="21" style="11" customWidth="1"/>
    <col min="2822" max="2826" width="8.7265625" style="11"/>
    <col min="2827" max="2827" width="14.1796875" style="11" customWidth="1"/>
    <col min="2828" max="3076" width="8.7265625" style="11"/>
    <col min="3077" max="3077" width="21" style="11" customWidth="1"/>
    <col min="3078" max="3082" width="8.7265625" style="11"/>
    <col min="3083" max="3083" width="14.1796875" style="11" customWidth="1"/>
    <col min="3084" max="3332" width="8.7265625" style="11"/>
    <col min="3333" max="3333" width="21" style="11" customWidth="1"/>
    <col min="3334" max="3338" width="8.7265625" style="11"/>
    <col min="3339" max="3339" width="14.1796875" style="11" customWidth="1"/>
    <col min="3340" max="3588" width="8.7265625" style="11"/>
    <col min="3589" max="3589" width="21" style="11" customWidth="1"/>
    <col min="3590" max="3594" width="8.7265625" style="11"/>
    <col min="3595" max="3595" width="14.1796875" style="11" customWidth="1"/>
    <col min="3596" max="3844" width="8.7265625" style="11"/>
    <col min="3845" max="3845" width="21" style="11" customWidth="1"/>
    <col min="3846" max="3850" width="8.7265625" style="11"/>
    <col min="3851" max="3851" width="14.1796875" style="11" customWidth="1"/>
    <col min="3852" max="4100" width="8.7265625" style="11"/>
    <col min="4101" max="4101" width="21" style="11" customWidth="1"/>
    <col min="4102" max="4106" width="8.7265625" style="11"/>
    <col min="4107" max="4107" width="14.1796875" style="11" customWidth="1"/>
    <col min="4108" max="4356" width="8.7265625" style="11"/>
    <col min="4357" max="4357" width="21" style="11" customWidth="1"/>
    <col min="4358" max="4362" width="8.7265625" style="11"/>
    <col min="4363" max="4363" width="14.1796875" style="11" customWidth="1"/>
    <col min="4364" max="4612" width="8.7265625" style="11"/>
    <col min="4613" max="4613" width="21" style="11" customWidth="1"/>
    <col min="4614" max="4618" width="8.7265625" style="11"/>
    <col min="4619" max="4619" width="14.1796875" style="11" customWidth="1"/>
    <col min="4620" max="4868" width="8.7265625" style="11"/>
    <col min="4869" max="4869" width="21" style="11" customWidth="1"/>
    <col min="4870" max="4874" width="8.7265625" style="11"/>
    <col min="4875" max="4875" width="14.1796875" style="11" customWidth="1"/>
    <col min="4876" max="5124" width="8.7265625" style="11"/>
    <col min="5125" max="5125" width="21" style="11" customWidth="1"/>
    <col min="5126" max="5130" width="8.7265625" style="11"/>
    <col min="5131" max="5131" width="14.1796875" style="11" customWidth="1"/>
    <col min="5132" max="5380" width="8.7265625" style="11"/>
    <col min="5381" max="5381" width="21" style="11" customWidth="1"/>
    <col min="5382" max="5386" width="8.7265625" style="11"/>
    <col min="5387" max="5387" width="14.1796875" style="11" customWidth="1"/>
    <col min="5388" max="5636" width="8.7265625" style="11"/>
    <col min="5637" max="5637" width="21" style="11" customWidth="1"/>
    <col min="5638" max="5642" width="8.7265625" style="11"/>
    <col min="5643" max="5643" width="14.1796875" style="11" customWidth="1"/>
    <col min="5644" max="5892" width="8.7265625" style="11"/>
    <col min="5893" max="5893" width="21" style="11" customWidth="1"/>
    <col min="5894" max="5898" width="8.7265625" style="11"/>
    <col min="5899" max="5899" width="14.1796875" style="11" customWidth="1"/>
    <col min="5900" max="6148" width="8.7265625" style="11"/>
    <col min="6149" max="6149" width="21" style="11" customWidth="1"/>
    <col min="6150" max="6154" width="8.7265625" style="11"/>
    <col min="6155" max="6155" width="14.1796875" style="11" customWidth="1"/>
    <col min="6156" max="6404" width="8.7265625" style="11"/>
    <col min="6405" max="6405" width="21" style="11" customWidth="1"/>
    <col min="6406" max="6410" width="8.7265625" style="11"/>
    <col min="6411" max="6411" width="14.1796875" style="11" customWidth="1"/>
    <col min="6412" max="6660" width="8.7265625" style="11"/>
    <col min="6661" max="6661" width="21" style="11" customWidth="1"/>
    <col min="6662" max="6666" width="8.7265625" style="11"/>
    <col min="6667" max="6667" width="14.1796875" style="11" customWidth="1"/>
    <col min="6668" max="6916" width="8.7265625" style="11"/>
    <col min="6917" max="6917" width="21" style="11" customWidth="1"/>
    <col min="6918" max="6922" width="8.7265625" style="11"/>
    <col min="6923" max="6923" width="14.1796875" style="11" customWidth="1"/>
    <col min="6924" max="7172" width="8.7265625" style="11"/>
    <col min="7173" max="7173" width="21" style="11" customWidth="1"/>
    <col min="7174" max="7178" width="8.7265625" style="11"/>
    <col min="7179" max="7179" width="14.1796875" style="11" customWidth="1"/>
    <col min="7180" max="7428" width="8.7265625" style="11"/>
    <col min="7429" max="7429" width="21" style="11" customWidth="1"/>
    <col min="7430" max="7434" width="8.7265625" style="11"/>
    <col min="7435" max="7435" width="14.1796875" style="11" customWidth="1"/>
    <col min="7436" max="7684" width="8.7265625" style="11"/>
    <col min="7685" max="7685" width="21" style="11" customWidth="1"/>
    <col min="7686" max="7690" width="8.7265625" style="11"/>
    <col min="7691" max="7691" width="14.1796875" style="11" customWidth="1"/>
    <col min="7692" max="7940" width="8.7265625" style="11"/>
    <col min="7941" max="7941" width="21" style="11" customWidth="1"/>
    <col min="7942" max="7946" width="8.7265625" style="11"/>
    <col min="7947" max="7947" width="14.1796875" style="11" customWidth="1"/>
    <col min="7948" max="8196" width="8.7265625" style="11"/>
    <col min="8197" max="8197" width="21" style="11" customWidth="1"/>
    <col min="8198" max="8202" width="8.7265625" style="11"/>
    <col min="8203" max="8203" width="14.1796875" style="11" customWidth="1"/>
    <col min="8204" max="8452" width="8.7265625" style="11"/>
    <col min="8453" max="8453" width="21" style="11" customWidth="1"/>
    <col min="8454" max="8458" width="8.7265625" style="11"/>
    <col min="8459" max="8459" width="14.1796875" style="11" customWidth="1"/>
    <col min="8460" max="8708" width="8.7265625" style="11"/>
    <col min="8709" max="8709" width="21" style="11" customWidth="1"/>
    <col min="8710" max="8714" width="8.7265625" style="11"/>
    <col min="8715" max="8715" width="14.1796875" style="11" customWidth="1"/>
    <col min="8716" max="8964" width="8.7265625" style="11"/>
    <col min="8965" max="8965" width="21" style="11" customWidth="1"/>
    <col min="8966" max="8970" width="8.7265625" style="11"/>
    <col min="8971" max="8971" width="14.1796875" style="11" customWidth="1"/>
    <col min="8972" max="9220" width="8.7265625" style="11"/>
    <col min="9221" max="9221" width="21" style="11" customWidth="1"/>
    <col min="9222" max="9226" width="8.7265625" style="11"/>
    <col min="9227" max="9227" width="14.1796875" style="11" customWidth="1"/>
    <col min="9228" max="9476" width="8.7265625" style="11"/>
    <col min="9477" max="9477" width="21" style="11" customWidth="1"/>
    <col min="9478" max="9482" width="8.7265625" style="11"/>
    <col min="9483" max="9483" width="14.1796875" style="11" customWidth="1"/>
    <col min="9484" max="9732" width="8.7265625" style="11"/>
    <col min="9733" max="9733" width="21" style="11" customWidth="1"/>
    <col min="9734" max="9738" width="8.7265625" style="11"/>
    <col min="9739" max="9739" width="14.1796875" style="11" customWidth="1"/>
    <col min="9740" max="9988" width="8.7265625" style="11"/>
    <col min="9989" max="9989" width="21" style="11" customWidth="1"/>
    <col min="9990" max="9994" width="8.7265625" style="11"/>
    <col min="9995" max="9995" width="14.1796875" style="11" customWidth="1"/>
    <col min="9996" max="10244" width="8.7265625" style="11"/>
    <col min="10245" max="10245" width="21" style="11" customWidth="1"/>
    <col min="10246" max="10250" width="8.7265625" style="11"/>
    <col min="10251" max="10251" width="14.1796875" style="11" customWidth="1"/>
    <col min="10252" max="10500" width="8.7265625" style="11"/>
    <col min="10501" max="10501" width="21" style="11" customWidth="1"/>
    <col min="10502" max="10506" width="8.7265625" style="11"/>
    <col min="10507" max="10507" width="14.1796875" style="11" customWidth="1"/>
    <col min="10508" max="10756" width="8.7265625" style="11"/>
    <col min="10757" max="10757" width="21" style="11" customWidth="1"/>
    <col min="10758" max="10762" width="8.7265625" style="11"/>
    <col min="10763" max="10763" width="14.1796875" style="11" customWidth="1"/>
    <col min="10764" max="11012" width="8.7265625" style="11"/>
    <col min="11013" max="11013" width="21" style="11" customWidth="1"/>
    <col min="11014" max="11018" width="8.7265625" style="11"/>
    <col min="11019" max="11019" width="14.1796875" style="11" customWidth="1"/>
    <col min="11020" max="11268" width="8.7265625" style="11"/>
    <col min="11269" max="11269" width="21" style="11" customWidth="1"/>
    <col min="11270" max="11274" width="8.7265625" style="11"/>
    <col min="11275" max="11275" width="14.1796875" style="11" customWidth="1"/>
    <col min="11276" max="11524" width="8.7265625" style="11"/>
    <col min="11525" max="11525" width="21" style="11" customWidth="1"/>
    <col min="11526" max="11530" width="8.7265625" style="11"/>
    <col min="11531" max="11531" width="14.1796875" style="11" customWidth="1"/>
    <col min="11532" max="11780" width="8.7265625" style="11"/>
    <col min="11781" max="11781" width="21" style="11" customWidth="1"/>
    <col min="11782" max="11786" width="8.7265625" style="11"/>
    <col min="11787" max="11787" width="14.1796875" style="11" customWidth="1"/>
    <col min="11788" max="12036" width="8.7265625" style="11"/>
    <col min="12037" max="12037" width="21" style="11" customWidth="1"/>
    <col min="12038" max="12042" width="8.7265625" style="11"/>
    <col min="12043" max="12043" width="14.1796875" style="11" customWidth="1"/>
    <col min="12044" max="12292" width="8.7265625" style="11"/>
    <col min="12293" max="12293" width="21" style="11" customWidth="1"/>
    <col min="12294" max="12298" width="8.7265625" style="11"/>
    <col min="12299" max="12299" width="14.1796875" style="11" customWidth="1"/>
    <col min="12300" max="12548" width="8.7265625" style="11"/>
    <col min="12549" max="12549" width="21" style="11" customWidth="1"/>
    <col min="12550" max="12554" width="8.7265625" style="11"/>
    <col min="12555" max="12555" width="14.1796875" style="11" customWidth="1"/>
    <col min="12556" max="12804" width="8.7265625" style="11"/>
    <col min="12805" max="12805" width="21" style="11" customWidth="1"/>
    <col min="12806" max="12810" width="8.7265625" style="11"/>
    <col min="12811" max="12811" width="14.1796875" style="11" customWidth="1"/>
    <col min="12812" max="13060" width="8.7265625" style="11"/>
    <col min="13061" max="13061" width="21" style="11" customWidth="1"/>
    <col min="13062" max="13066" width="8.7265625" style="11"/>
    <col min="13067" max="13067" width="14.1796875" style="11" customWidth="1"/>
    <col min="13068" max="13316" width="8.7265625" style="11"/>
    <col min="13317" max="13317" width="21" style="11" customWidth="1"/>
    <col min="13318" max="13322" width="8.7265625" style="11"/>
    <col min="13323" max="13323" width="14.1796875" style="11" customWidth="1"/>
    <col min="13324" max="13572" width="8.7265625" style="11"/>
    <col min="13573" max="13573" width="21" style="11" customWidth="1"/>
    <col min="13574" max="13578" width="8.7265625" style="11"/>
    <col min="13579" max="13579" width="14.1796875" style="11" customWidth="1"/>
    <col min="13580" max="13828" width="8.7265625" style="11"/>
    <col min="13829" max="13829" width="21" style="11" customWidth="1"/>
    <col min="13830" max="13834" width="8.7265625" style="11"/>
    <col min="13835" max="13835" width="14.1796875" style="11" customWidth="1"/>
    <col min="13836" max="14084" width="8.7265625" style="11"/>
    <col min="14085" max="14085" width="21" style="11" customWidth="1"/>
    <col min="14086" max="14090" width="8.7265625" style="11"/>
    <col min="14091" max="14091" width="14.1796875" style="11" customWidth="1"/>
    <col min="14092" max="14340" width="8.7265625" style="11"/>
    <col min="14341" max="14341" width="21" style="11" customWidth="1"/>
    <col min="14342" max="14346" width="8.7265625" style="11"/>
    <col min="14347" max="14347" width="14.1796875" style="11" customWidth="1"/>
    <col min="14348" max="14596" width="8.7265625" style="11"/>
    <col min="14597" max="14597" width="21" style="11" customWidth="1"/>
    <col min="14598" max="14602" width="8.7265625" style="11"/>
    <col min="14603" max="14603" width="14.1796875" style="11" customWidth="1"/>
    <col min="14604" max="14852" width="8.7265625" style="11"/>
    <col min="14853" max="14853" width="21" style="11" customWidth="1"/>
    <col min="14854" max="14858" width="8.7265625" style="11"/>
    <col min="14859" max="14859" width="14.1796875" style="11" customWidth="1"/>
    <col min="14860" max="15108" width="8.7265625" style="11"/>
    <col min="15109" max="15109" width="21" style="11" customWidth="1"/>
    <col min="15110" max="15114" width="8.7265625" style="11"/>
    <col min="15115" max="15115" width="14.1796875" style="11" customWidth="1"/>
    <col min="15116" max="15364" width="8.7265625" style="11"/>
    <col min="15365" max="15365" width="21" style="11" customWidth="1"/>
    <col min="15366" max="15370" width="8.7265625" style="11"/>
    <col min="15371" max="15371" width="14.1796875" style="11" customWidth="1"/>
    <col min="15372" max="15620" width="8.7265625" style="11"/>
    <col min="15621" max="15621" width="21" style="11" customWidth="1"/>
    <col min="15622" max="15626" width="8.7265625" style="11"/>
    <col min="15627" max="15627" width="14.1796875" style="11" customWidth="1"/>
    <col min="15628" max="15876" width="8.7265625" style="11"/>
    <col min="15877" max="15877" width="21" style="11" customWidth="1"/>
    <col min="15878" max="15882" width="8.7265625" style="11"/>
    <col min="15883" max="15883" width="14.1796875" style="11" customWidth="1"/>
    <col min="15884" max="16132" width="8.7265625" style="11"/>
    <col min="16133" max="16133" width="21" style="11" customWidth="1"/>
    <col min="16134" max="16138" width="8.7265625" style="11"/>
    <col min="16139" max="16139" width="14.1796875" style="11" customWidth="1"/>
    <col min="16140" max="16384" width="8.7265625" style="11"/>
  </cols>
  <sheetData>
    <row r="1" spans="1:14" ht="26" x14ac:dyDescent="0.3">
      <c r="A1" s="106" t="s">
        <v>9</v>
      </c>
      <c r="B1" s="106" t="s">
        <v>74</v>
      </c>
      <c r="C1" s="106" t="s">
        <v>75</v>
      </c>
    </row>
    <row r="2" spans="1:14" x14ac:dyDescent="0.25">
      <c r="A2" s="107">
        <v>19329</v>
      </c>
      <c r="B2" s="16">
        <v>2.35</v>
      </c>
    </row>
    <row r="3" spans="1:14" x14ac:dyDescent="0.25">
      <c r="A3" s="107">
        <v>19360</v>
      </c>
      <c r="B3" s="16">
        <v>2.42</v>
      </c>
      <c r="C3" s="16">
        <f>+B3-B2</f>
        <v>6.999999999999984E-2</v>
      </c>
      <c r="F3" s="79">
        <v>0.95</v>
      </c>
      <c r="G3" s="79">
        <v>0.99</v>
      </c>
    </row>
    <row r="4" spans="1:14" x14ac:dyDescent="0.25">
      <c r="A4" s="107">
        <v>19391</v>
      </c>
      <c r="B4" s="16">
        <v>2.4500000000000002</v>
      </c>
      <c r="C4" s="16">
        <f t="shared" ref="C4:C67" si="0">+B4-B3</f>
        <v>3.0000000000000249E-2</v>
      </c>
      <c r="E4" s="11" t="s">
        <v>76</v>
      </c>
      <c r="F4" s="16">
        <f>+_xlfn.PERCENTILE.EXC(C3:C506,F3)</f>
        <v>0.65749999999999997</v>
      </c>
      <c r="G4" s="16">
        <f>+_xlfn.PERCENTILE.EXC(C3:C506,G3)</f>
        <v>1.1154999999999999</v>
      </c>
      <c r="H4" s="11" t="s">
        <v>77</v>
      </c>
    </row>
    <row r="5" spans="1:14" x14ac:dyDescent="0.25">
      <c r="A5" s="107">
        <v>19419</v>
      </c>
      <c r="B5" s="16">
        <v>2.5299999999999998</v>
      </c>
      <c r="C5" s="16">
        <f t="shared" si="0"/>
        <v>7.9999999999999627E-2</v>
      </c>
    </row>
    <row r="6" spans="1:14" x14ac:dyDescent="0.25">
      <c r="A6" s="107">
        <v>19450</v>
      </c>
      <c r="B6" s="16">
        <v>2.77</v>
      </c>
      <c r="C6" s="16">
        <f t="shared" si="0"/>
        <v>0.24000000000000021</v>
      </c>
      <c r="E6" s="11" t="s">
        <v>78</v>
      </c>
      <c r="F6" s="11">
        <v>7.4</v>
      </c>
      <c r="G6" s="11">
        <v>7.4</v>
      </c>
      <c r="H6" s="11" t="s">
        <v>79</v>
      </c>
    </row>
    <row r="7" spans="1:14" x14ac:dyDescent="0.25">
      <c r="A7" s="107">
        <v>19480</v>
      </c>
      <c r="B7" s="16">
        <v>3.07</v>
      </c>
      <c r="C7" s="16">
        <f t="shared" si="0"/>
        <v>0.29999999999999982</v>
      </c>
      <c r="E7" s="11" t="s">
        <v>80</v>
      </c>
      <c r="F7" s="11">
        <v>7.5</v>
      </c>
      <c r="G7" s="11">
        <v>7.5</v>
      </c>
      <c r="H7" s="11" t="s">
        <v>81</v>
      </c>
    </row>
    <row r="8" spans="1:14" x14ac:dyDescent="0.25">
      <c r="A8" s="107">
        <v>19511</v>
      </c>
      <c r="B8" s="16">
        <v>2.79</v>
      </c>
      <c r="C8" s="16">
        <f t="shared" si="0"/>
        <v>-0.2799999999999998</v>
      </c>
      <c r="E8" s="11" t="s">
        <v>82</v>
      </c>
      <c r="F8" s="16">
        <f>+F6/(1+B494/100)</f>
        <v>7.0328834822277138</v>
      </c>
      <c r="G8" s="16">
        <f>+G6/(1+B494/100)</f>
        <v>7.0328834822277138</v>
      </c>
    </row>
    <row r="9" spans="1:14" x14ac:dyDescent="0.25">
      <c r="A9" s="107">
        <v>19541</v>
      </c>
      <c r="B9" s="16">
        <v>2.72</v>
      </c>
      <c r="C9" s="16">
        <f t="shared" si="0"/>
        <v>-6.999999999999984E-2</v>
      </c>
    </row>
    <row r="10" spans="1:14" x14ac:dyDescent="0.25">
      <c r="A10" s="107">
        <v>19572</v>
      </c>
      <c r="B10" s="16">
        <v>2.79</v>
      </c>
      <c r="C10" s="16">
        <f t="shared" si="0"/>
        <v>6.999999999999984E-2</v>
      </c>
      <c r="E10" s="13" t="s">
        <v>83</v>
      </c>
      <c r="K10" s="13" t="s">
        <v>84</v>
      </c>
    </row>
    <row r="11" spans="1:14" x14ac:dyDescent="0.25">
      <c r="A11" s="107">
        <v>19603</v>
      </c>
      <c r="B11" s="16">
        <v>2.41</v>
      </c>
      <c r="C11" s="16">
        <f t="shared" si="0"/>
        <v>-0.37999999999999989</v>
      </c>
      <c r="E11" s="11" t="s">
        <v>85</v>
      </c>
      <c r="F11" s="16">
        <f>+F8*F7*F4/100</f>
        <v>0.34680906671735412</v>
      </c>
      <c r="G11" s="16">
        <f>+G8*G7*G4/100</f>
        <v>0.58838861433187606</v>
      </c>
      <c r="H11" s="11" t="s">
        <v>81</v>
      </c>
      <c r="K11" s="13" t="s">
        <v>86</v>
      </c>
      <c r="L11" s="108">
        <f>+AVERAGE(C3:C506)</f>
        <v>1.0873015873015875E-2</v>
      </c>
    </row>
    <row r="12" spans="1:14" x14ac:dyDescent="0.25">
      <c r="A12" s="107">
        <v>19633</v>
      </c>
      <c r="B12" s="16">
        <v>2.37</v>
      </c>
      <c r="C12" s="16">
        <f t="shared" si="0"/>
        <v>-4.0000000000000036E-2</v>
      </c>
      <c r="E12" s="11" t="s">
        <v>87</v>
      </c>
      <c r="F12" s="16">
        <f>+F11*12^0.5</f>
        <v>1.2013818481600036</v>
      </c>
      <c r="G12" s="16">
        <f>+G11*12^0.5</f>
        <v>2.0382379492357172</v>
      </c>
      <c r="H12" s="11" t="s">
        <v>81</v>
      </c>
      <c r="K12" s="13" t="s">
        <v>88</v>
      </c>
      <c r="L12" s="108">
        <f>+_xlfn.STDEV.S(C3:C506)</f>
        <v>0.40365136590238682</v>
      </c>
    </row>
    <row r="13" spans="1:14" x14ac:dyDescent="0.25">
      <c r="A13" s="107">
        <v>19664</v>
      </c>
      <c r="B13" s="16">
        <v>2.38</v>
      </c>
      <c r="C13" s="16">
        <f t="shared" si="0"/>
        <v>9.9999999999997868E-3</v>
      </c>
      <c r="L13" s="79">
        <v>0.95</v>
      </c>
      <c r="M13" s="79">
        <v>0.99</v>
      </c>
    </row>
    <row r="14" spans="1:14" ht="11" customHeight="1" x14ac:dyDescent="0.25">
      <c r="A14" s="107">
        <v>19694</v>
      </c>
      <c r="B14" s="16">
        <v>2.1800000000000002</v>
      </c>
      <c r="C14" s="16">
        <f t="shared" si="0"/>
        <v>-0.19999999999999973</v>
      </c>
      <c r="K14" s="13" t="s">
        <v>89</v>
      </c>
      <c r="L14" s="16">
        <f>+L11+_xlfn.NORM.S.INV(L13)*L12</f>
        <v>0.67482042910147244</v>
      </c>
      <c r="M14" s="16">
        <f>+L11+_xlfn.NORM.S.INV(M13)*L12</f>
        <v>0.94990651279371496</v>
      </c>
    </row>
    <row r="15" spans="1:14" x14ac:dyDescent="0.25">
      <c r="A15" s="107">
        <v>19725</v>
      </c>
      <c r="B15" s="16">
        <v>1.87</v>
      </c>
      <c r="C15" s="16">
        <f t="shared" si="0"/>
        <v>-0.31000000000000005</v>
      </c>
      <c r="K15" s="11" t="s">
        <v>85</v>
      </c>
      <c r="L15" s="16">
        <f>+L14*F8*F7/100</f>
        <v>0.35594500869731727</v>
      </c>
      <c r="M15" s="16">
        <f>+M14*G8*G7/100</f>
        <v>0.5010436367615585</v>
      </c>
      <c r="N15" s="11" t="s">
        <v>81</v>
      </c>
    </row>
    <row r="16" spans="1:14" x14ac:dyDescent="0.25">
      <c r="A16" s="107">
        <v>19756</v>
      </c>
      <c r="B16" s="16">
        <v>1.57</v>
      </c>
      <c r="C16" s="16">
        <f t="shared" si="0"/>
        <v>-0.30000000000000004</v>
      </c>
      <c r="K16" s="11" t="s">
        <v>87</v>
      </c>
      <c r="L16" s="16">
        <f>+L15*12^0.5</f>
        <v>1.2330296795285989</v>
      </c>
      <c r="M16" s="16">
        <f>+M15*12^0.5</f>
        <v>1.7356660713602092</v>
      </c>
      <c r="N16" s="11" t="s">
        <v>81</v>
      </c>
    </row>
    <row r="17" spans="1:7" x14ac:dyDescent="0.25">
      <c r="A17" s="107">
        <v>19784</v>
      </c>
      <c r="B17" s="16">
        <v>1.53</v>
      </c>
      <c r="C17" s="16">
        <f t="shared" si="0"/>
        <v>-4.0000000000000036E-2</v>
      </c>
      <c r="E17" s="11" t="s">
        <v>90</v>
      </c>
      <c r="F17" s="79">
        <v>0.03</v>
      </c>
    </row>
    <row r="18" spans="1:7" ht="25" x14ac:dyDescent="0.25">
      <c r="A18" s="107">
        <v>19815</v>
      </c>
      <c r="B18" s="16">
        <v>1.42</v>
      </c>
      <c r="C18" s="16">
        <f t="shared" si="0"/>
        <v>-0.1100000000000001</v>
      </c>
      <c r="E18" s="109" t="s">
        <v>91</v>
      </c>
      <c r="F18" s="16">
        <f>-F17*F8*F7</f>
        <v>-1.5823987835012354</v>
      </c>
      <c r="G18" s="11" t="s">
        <v>81</v>
      </c>
    </row>
    <row r="19" spans="1:7" x14ac:dyDescent="0.25">
      <c r="A19" s="107">
        <v>19845</v>
      </c>
      <c r="B19" s="16">
        <v>1.73</v>
      </c>
      <c r="C19" s="16">
        <f t="shared" si="0"/>
        <v>0.31000000000000005</v>
      </c>
    </row>
    <row r="20" spans="1:7" x14ac:dyDescent="0.25">
      <c r="A20" s="107">
        <v>19876</v>
      </c>
      <c r="B20" s="16">
        <v>1.31</v>
      </c>
      <c r="C20" s="16">
        <f t="shared" si="0"/>
        <v>-0.41999999999999993</v>
      </c>
    </row>
    <row r="21" spans="1:7" x14ac:dyDescent="0.25">
      <c r="A21" s="107">
        <v>19906</v>
      </c>
      <c r="B21" s="16">
        <v>1.38</v>
      </c>
      <c r="C21" s="16">
        <f t="shared" si="0"/>
        <v>6.999999999999984E-2</v>
      </c>
    </row>
    <row r="22" spans="1:7" x14ac:dyDescent="0.25">
      <c r="A22" s="107">
        <v>19937</v>
      </c>
      <c r="B22" s="16">
        <v>1.38</v>
      </c>
      <c r="C22" s="16">
        <f t="shared" si="0"/>
        <v>0</v>
      </c>
    </row>
    <row r="23" spans="1:7" x14ac:dyDescent="0.25">
      <c r="A23" s="107">
        <v>19968</v>
      </c>
      <c r="B23" s="16">
        <v>1.52</v>
      </c>
      <c r="C23" s="16">
        <f t="shared" si="0"/>
        <v>0.14000000000000012</v>
      </c>
    </row>
    <row r="24" spans="1:7" x14ac:dyDescent="0.25">
      <c r="A24" s="107">
        <v>19998</v>
      </c>
      <c r="B24" s="16">
        <v>1.61</v>
      </c>
      <c r="C24" s="16">
        <f t="shared" si="0"/>
        <v>9.000000000000008E-2</v>
      </c>
    </row>
    <row r="25" spans="1:7" x14ac:dyDescent="0.25">
      <c r="A25" s="107">
        <v>20029</v>
      </c>
      <c r="B25" s="16">
        <v>1.68</v>
      </c>
      <c r="C25" s="16">
        <f t="shared" si="0"/>
        <v>6.999999999999984E-2</v>
      </c>
    </row>
    <row r="26" spans="1:7" x14ac:dyDescent="0.25">
      <c r="A26" s="107">
        <v>20059</v>
      </c>
      <c r="B26" s="16">
        <v>1.72</v>
      </c>
      <c r="C26" s="16">
        <f t="shared" si="0"/>
        <v>4.0000000000000036E-2</v>
      </c>
    </row>
    <row r="27" spans="1:7" x14ac:dyDescent="0.25">
      <c r="A27" s="107">
        <v>20090</v>
      </c>
      <c r="B27" s="16">
        <v>2.27</v>
      </c>
      <c r="C27" s="16">
        <f t="shared" si="0"/>
        <v>0.55000000000000004</v>
      </c>
    </row>
    <row r="28" spans="1:7" x14ac:dyDescent="0.25">
      <c r="A28" s="107">
        <v>20121</v>
      </c>
      <c r="B28" s="16">
        <v>2.4</v>
      </c>
      <c r="C28" s="16">
        <f t="shared" si="0"/>
        <v>0.12999999999999989</v>
      </c>
    </row>
    <row r="29" spans="1:7" x14ac:dyDescent="0.25">
      <c r="A29" s="107">
        <v>20149</v>
      </c>
      <c r="B29" s="16">
        <v>2.4</v>
      </c>
      <c r="C29" s="16">
        <f t="shared" si="0"/>
        <v>0</v>
      </c>
    </row>
    <row r="30" spans="1:7" x14ac:dyDescent="0.25">
      <c r="A30" s="107">
        <v>20180</v>
      </c>
      <c r="B30" s="16">
        <v>2.42</v>
      </c>
      <c r="C30" s="16">
        <f t="shared" si="0"/>
        <v>2.0000000000000018E-2</v>
      </c>
    </row>
    <row r="31" spans="1:7" x14ac:dyDescent="0.25">
      <c r="A31" s="107">
        <v>20210</v>
      </c>
      <c r="B31" s="16">
        <v>2.46</v>
      </c>
      <c r="C31" s="16">
        <f t="shared" si="0"/>
        <v>4.0000000000000036E-2</v>
      </c>
    </row>
    <row r="32" spans="1:7" x14ac:dyDescent="0.25">
      <c r="A32" s="107">
        <v>20241</v>
      </c>
      <c r="B32" s="16">
        <v>2.57</v>
      </c>
      <c r="C32" s="16">
        <f t="shared" si="0"/>
        <v>0.10999999999999988</v>
      </c>
    </row>
    <row r="33" spans="1:3" x14ac:dyDescent="0.25">
      <c r="A33" s="107">
        <v>20271</v>
      </c>
      <c r="B33" s="16">
        <v>2.76</v>
      </c>
      <c r="C33" s="16">
        <f t="shared" si="0"/>
        <v>0.18999999999999995</v>
      </c>
    </row>
    <row r="34" spans="1:3" x14ac:dyDescent="0.25">
      <c r="A34" s="107">
        <v>20302</v>
      </c>
      <c r="B34" s="16">
        <v>2.8</v>
      </c>
      <c r="C34" s="16">
        <f t="shared" si="0"/>
        <v>4.0000000000000036E-2</v>
      </c>
    </row>
    <row r="35" spans="1:3" x14ac:dyDescent="0.25">
      <c r="A35" s="107">
        <v>20333</v>
      </c>
      <c r="B35" s="16">
        <v>2.67</v>
      </c>
      <c r="C35" s="16">
        <f t="shared" si="0"/>
        <v>-0.12999999999999989</v>
      </c>
    </row>
    <row r="36" spans="1:3" x14ac:dyDescent="0.25">
      <c r="A36" s="107">
        <v>20363</v>
      </c>
      <c r="B36" s="16">
        <v>2.57</v>
      </c>
      <c r="C36" s="16">
        <f t="shared" si="0"/>
        <v>-0.10000000000000009</v>
      </c>
    </row>
    <row r="37" spans="1:3" x14ac:dyDescent="0.25">
      <c r="A37" s="107">
        <v>20394</v>
      </c>
      <c r="B37" s="16">
        <v>2.73</v>
      </c>
      <c r="C37" s="16">
        <f t="shared" si="0"/>
        <v>0.16000000000000014</v>
      </c>
    </row>
    <row r="38" spans="1:3" x14ac:dyDescent="0.25">
      <c r="A38" s="107">
        <v>20424</v>
      </c>
      <c r="B38" s="16">
        <v>2.8</v>
      </c>
      <c r="C38" s="16">
        <f t="shared" si="0"/>
        <v>6.999999999999984E-2</v>
      </c>
    </row>
    <row r="39" spans="1:3" x14ac:dyDescent="0.25">
      <c r="A39" s="107">
        <v>20455</v>
      </c>
      <c r="B39" s="16">
        <v>2.71</v>
      </c>
      <c r="C39" s="16">
        <f t="shared" si="0"/>
        <v>-8.9999999999999858E-2</v>
      </c>
    </row>
    <row r="40" spans="1:3" x14ac:dyDescent="0.25">
      <c r="A40" s="107">
        <v>20486</v>
      </c>
      <c r="B40" s="16">
        <v>2.75</v>
      </c>
      <c r="C40" s="16">
        <f t="shared" si="0"/>
        <v>4.0000000000000036E-2</v>
      </c>
    </row>
    <row r="41" spans="1:3" x14ac:dyDescent="0.25">
      <c r="A41" s="107">
        <v>20515</v>
      </c>
      <c r="B41" s="16">
        <v>3</v>
      </c>
      <c r="C41" s="16">
        <f t="shared" si="0"/>
        <v>0.25</v>
      </c>
    </row>
    <row r="42" spans="1:3" x14ac:dyDescent="0.25">
      <c r="A42" s="107">
        <v>20546</v>
      </c>
      <c r="B42" s="16">
        <v>3.05</v>
      </c>
      <c r="C42" s="16">
        <f t="shared" si="0"/>
        <v>4.9999999999999822E-2</v>
      </c>
    </row>
    <row r="43" spans="1:3" x14ac:dyDescent="0.25">
      <c r="A43" s="107">
        <v>20576</v>
      </c>
      <c r="B43" s="16">
        <v>2.87</v>
      </c>
      <c r="C43" s="16">
        <f t="shared" si="0"/>
        <v>-0.17999999999999972</v>
      </c>
    </row>
    <row r="44" spans="1:3" x14ac:dyDescent="0.25">
      <c r="A44" s="107">
        <v>20607</v>
      </c>
      <c r="B44" s="16">
        <v>2.92</v>
      </c>
      <c r="C44" s="16">
        <f t="shared" si="0"/>
        <v>4.9999999999999822E-2</v>
      </c>
    </row>
    <row r="45" spans="1:3" x14ac:dyDescent="0.25">
      <c r="A45" s="107">
        <v>20637</v>
      </c>
      <c r="B45" s="16">
        <v>3.17</v>
      </c>
      <c r="C45" s="16">
        <f t="shared" si="0"/>
        <v>0.25</v>
      </c>
    </row>
    <row r="46" spans="1:3" x14ac:dyDescent="0.25">
      <c r="A46" s="107">
        <v>20668</v>
      </c>
      <c r="B46" s="16">
        <v>3.46</v>
      </c>
      <c r="C46" s="16">
        <f t="shared" si="0"/>
        <v>0.29000000000000004</v>
      </c>
    </row>
    <row r="47" spans="1:3" x14ac:dyDescent="0.25">
      <c r="A47" s="107">
        <v>20699</v>
      </c>
      <c r="B47" s="16">
        <v>3.31</v>
      </c>
      <c r="C47" s="16">
        <f t="shared" si="0"/>
        <v>-0.14999999999999991</v>
      </c>
    </row>
    <row r="48" spans="1:3" x14ac:dyDescent="0.25">
      <c r="A48" s="107">
        <v>20729</v>
      </c>
      <c r="B48" s="16">
        <v>3.42</v>
      </c>
      <c r="C48" s="16">
        <f t="shared" si="0"/>
        <v>0.10999999999999988</v>
      </c>
    </row>
    <row r="49" spans="1:3" x14ac:dyDescent="0.25">
      <c r="A49" s="107">
        <v>20760</v>
      </c>
      <c r="B49" s="16">
        <v>3.59</v>
      </c>
      <c r="C49" s="16">
        <f t="shared" si="0"/>
        <v>0.16999999999999993</v>
      </c>
    </row>
    <row r="50" spans="1:3" x14ac:dyDescent="0.25">
      <c r="A50" s="107">
        <v>20790</v>
      </c>
      <c r="B50" s="16">
        <v>3.63</v>
      </c>
      <c r="C50" s="16">
        <f t="shared" si="0"/>
        <v>4.0000000000000036E-2</v>
      </c>
    </row>
    <row r="51" spans="1:3" x14ac:dyDescent="0.25">
      <c r="A51" s="107">
        <v>20821</v>
      </c>
      <c r="B51" s="16">
        <v>3.26</v>
      </c>
      <c r="C51" s="16">
        <f t="shared" si="0"/>
        <v>-0.37000000000000011</v>
      </c>
    </row>
    <row r="52" spans="1:3" x14ac:dyDescent="0.25">
      <c r="A52" s="107">
        <v>20852</v>
      </c>
      <c r="B52" s="16">
        <v>3.33</v>
      </c>
      <c r="C52" s="16">
        <f t="shared" si="0"/>
        <v>7.0000000000000284E-2</v>
      </c>
    </row>
    <row r="53" spans="1:3" x14ac:dyDescent="0.25">
      <c r="A53" s="107">
        <v>20880</v>
      </c>
      <c r="B53" s="16">
        <v>3.34</v>
      </c>
      <c r="C53" s="16">
        <f t="shared" si="0"/>
        <v>9.9999999999997868E-3</v>
      </c>
    </row>
    <row r="54" spans="1:3" x14ac:dyDescent="0.25">
      <c r="A54" s="107">
        <v>20911</v>
      </c>
      <c r="B54" s="16">
        <v>3.57</v>
      </c>
      <c r="C54" s="16">
        <f t="shared" si="0"/>
        <v>0.22999999999999998</v>
      </c>
    </row>
    <row r="55" spans="1:3" x14ac:dyDescent="0.25">
      <c r="A55" s="107">
        <v>20941</v>
      </c>
      <c r="B55" s="16">
        <v>3.66</v>
      </c>
      <c r="C55" s="16">
        <f t="shared" si="0"/>
        <v>9.0000000000000302E-2</v>
      </c>
    </row>
    <row r="56" spans="1:3" x14ac:dyDescent="0.25">
      <c r="A56" s="107">
        <v>20972</v>
      </c>
      <c r="B56" s="16">
        <v>3.9</v>
      </c>
      <c r="C56" s="16">
        <f t="shared" si="0"/>
        <v>0.23999999999999977</v>
      </c>
    </row>
    <row r="57" spans="1:3" x14ac:dyDescent="0.25">
      <c r="A57" s="107">
        <v>21002</v>
      </c>
      <c r="B57" s="16">
        <v>3.99</v>
      </c>
      <c r="C57" s="16">
        <f t="shared" si="0"/>
        <v>9.0000000000000302E-2</v>
      </c>
    </row>
    <row r="58" spans="1:3" x14ac:dyDescent="0.25">
      <c r="A58" s="107">
        <v>21033</v>
      </c>
      <c r="B58" s="16">
        <v>3.85</v>
      </c>
      <c r="C58" s="16">
        <f t="shared" si="0"/>
        <v>-0.14000000000000012</v>
      </c>
    </row>
    <row r="59" spans="1:3" x14ac:dyDescent="0.25">
      <c r="A59" s="107">
        <v>21064</v>
      </c>
      <c r="B59" s="16">
        <v>3.9</v>
      </c>
      <c r="C59" s="16">
        <f t="shared" si="0"/>
        <v>4.9999999999999822E-2</v>
      </c>
    </row>
    <row r="60" spans="1:3" x14ac:dyDescent="0.25">
      <c r="A60" s="107">
        <v>21094</v>
      </c>
      <c r="B60" s="16">
        <v>3.88</v>
      </c>
      <c r="C60" s="16">
        <f t="shared" si="0"/>
        <v>-2.0000000000000018E-2</v>
      </c>
    </row>
    <row r="61" spans="1:3" x14ac:dyDescent="0.25">
      <c r="A61" s="107">
        <v>21125</v>
      </c>
      <c r="B61" s="16">
        <v>3.2</v>
      </c>
      <c r="C61" s="16">
        <f t="shared" si="0"/>
        <v>-0.67999999999999972</v>
      </c>
    </row>
    <row r="62" spans="1:3" x14ac:dyDescent="0.25">
      <c r="A62" s="107">
        <v>21155</v>
      </c>
      <c r="B62" s="16">
        <v>2.84</v>
      </c>
      <c r="C62" s="16">
        <f t="shared" si="0"/>
        <v>-0.36000000000000032</v>
      </c>
    </row>
    <row r="63" spans="1:3" x14ac:dyDescent="0.25">
      <c r="A63" s="107">
        <v>21186</v>
      </c>
      <c r="B63" s="16">
        <v>2.82</v>
      </c>
      <c r="C63" s="16">
        <f t="shared" si="0"/>
        <v>-2.0000000000000018E-2</v>
      </c>
    </row>
    <row r="64" spans="1:3" x14ac:dyDescent="0.25">
      <c r="A64" s="107">
        <v>21217</v>
      </c>
      <c r="B64" s="16">
        <v>2.59</v>
      </c>
      <c r="C64" s="16">
        <f t="shared" si="0"/>
        <v>-0.22999999999999998</v>
      </c>
    </row>
    <row r="65" spans="1:3" x14ac:dyDescent="0.25">
      <c r="A65" s="107">
        <v>21245</v>
      </c>
      <c r="B65" s="16">
        <v>2.5299999999999998</v>
      </c>
      <c r="C65" s="16">
        <f t="shared" si="0"/>
        <v>-6.0000000000000053E-2</v>
      </c>
    </row>
    <row r="66" spans="1:3" x14ac:dyDescent="0.25">
      <c r="A66" s="107">
        <v>21276</v>
      </c>
      <c r="B66" s="16">
        <v>2.46</v>
      </c>
      <c r="C66" s="16">
        <f t="shared" si="0"/>
        <v>-6.999999999999984E-2</v>
      </c>
    </row>
    <row r="67" spans="1:3" x14ac:dyDescent="0.25">
      <c r="A67" s="107">
        <v>21306</v>
      </c>
      <c r="B67" s="16">
        <v>2.38</v>
      </c>
      <c r="C67" s="16">
        <f t="shared" si="0"/>
        <v>-8.0000000000000071E-2</v>
      </c>
    </row>
    <row r="68" spans="1:3" x14ac:dyDescent="0.25">
      <c r="A68" s="107">
        <v>21337</v>
      </c>
      <c r="B68" s="16">
        <v>2.5</v>
      </c>
      <c r="C68" s="16">
        <f t="shared" ref="C68:C131" si="1">+B68-B67</f>
        <v>0.12000000000000011</v>
      </c>
    </row>
    <row r="69" spans="1:3" x14ac:dyDescent="0.25">
      <c r="A69" s="107">
        <v>21367</v>
      </c>
      <c r="B69" s="16">
        <v>2.81</v>
      </c>
      <c r="C69" s="16">
        <f t="shared" si="1"/>
        <v>0.31000000000000005</v>
      </c>
    </row>
    <row r="70" spans="1:3" x14ac:dyDescent="0.25">
      <c r="A70" s="107">
        <v>21398</v>
      </c>
      <c r="B70" s="16">
        <v>3.65</v>
      </c>
      <c r="C70" s="16">
        <f t="shared" si="1"/>
        <v>0.83999999999999986</v>
      </c>
    </row>
    <row r="71" spans="1:3" x14ac:dyDescent="0.25">
      <c r="A71" s="107">
        <v>21429</v>
      </c>
      <c r="B71" s="16">
        <v>3.76</v>
      </c>
      <c r="C71" s="16">
        <f t="shared" si="1"/>
        <v>0.10999999999999988</v>
      </c>
    </row>
    <row r="72" spans="1:3" x14ac:dyDescent="0.25">
      <c r="A72" s="107">
        <v>21459</v>
      </c>
      <c r="B72" s="16">
        <v>3.82</v>
      </c>
      <c r="C72" s="16">
        <f t="shared" si="1"/>
        <v>6.0000000000000053E-2</v>
      </c>
    </row>
    <row r="73" spans="1:3" x14ac:dyDescent="0.25">
      <c r="A73" s="107">
        <v>21490</v>
      </c>
      <c r="B73" s="16">
        <v>3.59</v>
      </c>
      <c r="C73" s="16">
        <f t="shared" si="1"/>
        <v>-0.22999999999999998</v>
      </c>
    </row>
    <row r="74" spans="1:3" x14ac:dyDescent="0.25">
      <c r="A74" s="107">
        <v>21520</v>
      </c>
      <c r="B74" s="16">
        <v>3.81</v>
      </c>
      <c r="C74" s="16">
        <f t="shared" si="1"/>
        <v>0.2200000000000002</v>
      </c>
    </row>
    <row r="75" spans="1:3" x14ac:dyDescent="0.25">
      <c r="A75" s="107">
        <v>21551</v>
      </c>
      <c r="B75" s="16">
        <v>3.95</v>
      </c>
      <c r="C75" s="16">
        <f t="shared" si="1"/>
        <v>0.14000000000000012</v>
      </c>
    </row>
    <row r="76" spans="1:3" x14ac:dyDescent="0.25">
      <c r="A76" s="107">
        <v>21582</v>
      </c>
      <c r="B76" s="16">
        <v>3.78</v>
      </c>
      <c r="C76" s="16">
        <f t="shared" si="1"/>
        <v>-0.17000000000000037</v>
      </c>
    </row>
    <row r="77" spans="1:3" x14ac:dyDescent="0.25">
      <c r="A77" s="107">
        <v>21610</v>
      </c>
      <c r="B77" s="16">
        <v>3.93</v>
      </c>
      <c r="C77" s="16">
        <f t="shared" si="1"/>
        <v>0.15000000000000036</v>
      </c>
    </row>
    <row r="78" spans="1:3" x14ac:dyDescent="0.25">
      <c r="A78" s="107">
        <v>21641</v>
      </c>
      <c r="B78" s="16">
        <v>4.13</v>
      </c>
      <c r="C78" s="16">
        <f t="shared" si="1"/>
        <v>0.19999999999999973</v>
      </c>
    </row>
    <row r="79" spans="1:3" x14ac:dyDescent="0.25">
      <c r="A79" s="107">
        <v>21671</v>
      </c>
      <c r="B79" s="16">
        <v>4.2</v>
      </c>
      <c r="C79" s="16">
        <f t="shared" si="1"/>
        <v>7.0000000000000284E-2</v>
      </c>
    </row>
    <row r="80" spans="1:3" x14ac:dyDescent="0.25">
      <c r="A80" s="107">
        <v>21702</v>
      </c>
      <c r="B80" s="16">
        <v>4.47</v>
      </c>
      <c r="C80" s="16">
        <f t="shared" si="1"/>
        <v>0.26999999999999957</v>
      </c>
    </row>
    <row r="81" spans="1:3" x14ac:dyDescent="0.25">
      <c r="A81" s="107">
        <v>21732</v>
      </c>
      <c r="B81" s="16">
        <v>4.4800000000000004</v>
      </c>
      <c r="C81" s="16">
        <f t="shared" si="1"/>
        <v>1.0000000000000675E-2</v>
      </c>
    </row>
    <row r="82" spans="1:3" x14ac:dyDescent="0.25">
      <c r="A82" s="107">
        <v>21763</v>
      </c>
      <c r="B82" s="16">
        <v>4.7699999999999996</v>
      </c>
      <c r="C82" s="16">
        <f t="shared" si="1"/>
        <v>0.28999999999999915</v>
      </c>
    </row>
    <row r="83" spans="1:3" x14ac:dyDescent="0.25">
      <c r="A83" s="107">
        <v>21794</v>
      </c>
      <c r="B83" s="16">
        <v>4.82</v>
      </c>
      <c r="C83" s="16">
        <f t="shared" si="1"/>
        <v>5.0000000000000711E-2</v>
      </c>
    </row>
    <row r="84" spans="1:3" x14ac:dyDescent="0.25">
      <c r="A84" s="107">
        <v>21824</v>
      </c>
      <c r="B84" s="16">
        <v>4.4800000000000004</v>
      </c>
      <c r="C84" s="16">
        <f t="shared" si="1"/>
        <v>-0.33999999999999986</v>
      </c>
    </row>
    <row r="85" spans="1:3" x14ac:dyDescent="0.25">
      <c r="A85" s="107">
        <v>21855</v>
      </c>
      <c r="B85" s="16">
        <v>4.82</v>
      </c>
      <c r="C85" s="16">
        <f t="shared" si="1"/>
        <v>0.33999999999999986</v>
      </c>
    </row>
    <row r="86" spans="1:3" x14ac:dyDescent="0.25">
      <c r="A86" s="107">
        <v>21885</v>
      </c>
      <c r="B86" s="16">
        <v>4.9800000000000004</v>
      </c>
      <c r="C86" s="16">
        <f t="shared" si="1"/>
        <v>0.16000000000000014</v>
      </c>
    </row>
    <row r="87" spans="1:3" x14ac:dyDescent="0.25">
      <c r="A87" s="107">
        <v>21916</v>
      </c>
      <c r="B87" s="16">
        <v>4.71</v>
      </c>
      <c r="C87" s="16">
        <f t="shared" si="1"/>
        <v>-0.27000000000000046</v>
      </c>
    </row>
    <row r="88" spans="1:3" x14ac:dyDescent="0.25">
      <c r="A88" s="107">
        <v>21947</v>
      </c>
      <c r="B88" s="16">
        <v>4.6399999999999997</v>
      </c>
      <c r="C88" s="16">
        <f t="shared" si="1"/>
        <v>-7.0000000000000284E-2</v>
      </c>
    </row>
    <row r="89" spans="1:3" x14ac:dyDescent="0.25">
      <c r="A89" s="107">
        <v>21976</v>
      </c>
      <c r="B89" s="16">
        <v>4.09</v>
      </c>
      <c r="C89" s="16">
        <f t="shared" si="1"/>
        <v>-0.54999999999999982</v>
      </c>
    </row>
    <row r="90" spans="1:3" x14ac:dyDescent="0.25">
      <c r="A90" s="107">
        <v>22007</v>
      </c>
      <c r="B90" s="16">
        <v>4.3099999999999996</v>
      </c>
      <c r="C90" s="16">
        <f t="shared" si="1"/>
        <v>0.21999999999999975</v>
      </c>
    </row>
    <row r="91" spans="1:3" x14ac:dyDescent="0.25">
      <c r="A91" s="107">
        <v>22037</v>
      </c>
      <c r="B91" s="16">
        <v>4.32</v>
      </c>
      <c r="C91" s="16">
        <f t="shared" si="1"/>
        <v>1.0000000000000675E-2</v>
      </c>
    </row>
    <row r="92" spans="1:3" x14ac:dyDescent="0.25">
      <c r="A92" s="107">
        <v>22068</v>
      </c>
      <c r="B92" s="16">
        <v>3.9</v>
      </c>
      <c r="C92" s="16">
        <f t="shared" si="1"/>
        <v>-0.42000000000000037</v>
      </c>
    </row>
    <row r="93" spans="1:3" x14ac:dyDescent="0.25">
      <c r="A93" s="107">
        <v>22098</v>
      </c>
      <c r="B93" s="16">
        <v>3.34</v>
      </c>
      <c r="C93" s="16">
        <f t="shared" si="1"/>
        <v>-0.56000000000000005</v>
      </c>
    </row>
    <row r="94" spans="1:3" x14ac:dyDescent="0.25">
      <c r="A94" s="107">
        <v>22129</v>
      </c>
      <c r="B94" s="16">
        <v>3.43</v>
      </c>
      <c r="C94" s="16">
        <f t="shared" si="1"/>
        <v>9.0000000000000302E-2</v>
      </c>
    </row>
    <row r="95" spans="1:3" x14ac:dyDescent="0.25">
      <c r="A95" s="107">
        <v>22160</v>
      </c>
      <c r="B95" s="16">
        <v>3.43</v>
      </c>
      <c r="C95" s="16">
        <f t="shared" si="1"/>
        <v>0</v>
      </c>
    </row>
    <row r="96" spans="1:3" x14ac:dyDescent="0.25">
      <c r="A96" s="107">
        <v>22190</v>
      </c>
      <c r="B96" s="16">
        <v>3.46</v>
      </c>
      <c r="C96" s="16">
        <f t="shared" si="1"/>
        <v>2.9999999999999805E-2</v>
      </c>
    </row>
    <row r="97" spans="1:3" x14ac:dyDescent="0.25">
      <c r="A97" s="107">
        <v>22221</v>
      </c>
      <c r="B97" s="16">
        <v>3.77</v>
      </c>
      <c r="C97" s="16">
        <f t="shared" si="1"/>
        <v>0.31000000000000005</v>
      </c>
    </row>
    <row r="98" spans="1:3" x14ac:dyDescent="0.25">
      <c r="A98" s="107">
        <v>22251</v>
      </c>
      <c r="B98" s="16">
        <v>3.31</v>
      </c>
      <c r="C98" s="16">
        <f t="shared" si="1"/>
        <v>-0.45999999999999996</v>
      </c>
    </row>
    <row r="99" spans="1:3" x14ac:dyDescent="0.25">
      <c r="A99" s="107">
        <v>22282</v>
      </c>
      <c r="B99" s="16">
        <v>3.63</v>
      </c>
      <c r="C99" s="16">
        <f t="shared" si="1"/>
        <v>0.31999999999999984</v>
      </c>
    </row>
    <row r="100" spans="1:3" x14ac:dyDescent="0.25">
      <c r="A100" s="107">
        <v>22313</v>
      </c>
      <c r="B100" s="16">
        <v>3.5</v>
      </c>
      <c r="C100" s="16">
        <f t="shared" si="1"/>
        <v>-0.12999999999999989</v>
      </c>
    </row>
    <row r="101" spans="1:3" x14ac:dyDescent="0.25">
      <c r="A101" s="107">
        <v>22341</v>
      </c>
      <c r="B101" s="16">
        <v>3.48</v>
      </c>
      <c r="C101" s="16">
        <f t="shared" si="1"/>
        <v>-2.0000000000000018E-2</v>
      </c>
    </row>
    <row r="102" spans="1:3" x14ac:dyDescent="0.25">
      <c r="A102" s="107">
        <v>22372</v>
      </c>
      <c r="B102" s="16">
        <v>3.42</v>
      </c>
      <c r="C102" s="16">
        <f t="shared" si="1"/>
        <v>-6.0000000000000053E-2</v>
      </c>
    </row>
    <row r="103" spans="1:3" x14ac:dyDescent="0.25">
      <c r="A103" s="107">
        <v>22402</v>
      </c>
      <c r="B103" s="16">
        <v>3.55</v>
      </c>
      <c r="C103" s="16">
        <f t="shared" si="1"/>
        <v>0.12999999999999989</v>
      </c>
    </row>
    <row r="104" spans="1:3" x14ac:dyDescent="0.25">
      <c r="A104" s="107">
        <v>22433</v>
      </c>
      <c r="B104" s="16">
        <v>3.68</v>
      </c>
      <c r="C104" s="16">
        <f t="shared" si="1"/>
        <v>0.13000000000000034</v>
      </c>
    </row>
    <row r="105" spans="1:3" x14ac:dyDescent="0.25">
      <c r="A105" s="107">
        <v>22463</v>
      </c>
      <c r="B105" s="16">
        <v>3.73</v>
      </c>
      <c r="C105" s="16">
        <f t="shared" si="1"/>
        <v>4.9999999999999822E-2</v>
      </c>
    </row>
    <row r="106" spans="1:3" x14ac:dyDescent="0.25">
      <c r="A106" s="107">
        <v>22494</v>
      </c>
      <c r="B106" s="16">
        <v>3.76</v>
      </c>
      <c r="C106" s="16">
        <f t="shared" si="1"/>
        <v>2.9999999999999805E-2</v>
      </c>
    </row>
    <row r="107" spans="1:3" x14ac:dyDescent="0.25">
      <c r="A107" s="107">
        <v>22525</v>
      </c>
      <c r="B107" s="16">
        <v>3.65</v>
      </c>
      <c r="C107" s="16">
        <f t="shared" si="1"/>
        <v>-0.10999999999999988</v>
      </c>
    </row>
    <row r="108" spans="1:3" x14ac:dyDescent="0.25">
      <c r="A108" s="107">
        <v>22555</v>
      </c>
      <c r="B108" s="16">
        <v>3.69</v>
      </c>
      <c r="C108" s="16">
        <f t="shared" si="1"/>
        <v>4.0000000000000036E-2</v>
      </c>
    </row>
    <row r="109" spans="1:3" x14ac:dyDescent="0.25">
      <c r="A109" s="107">
        <v>22586</v>
      </c>
      <c r="B109" s="16">
        <v>3.81</v>
      </c>
      <c r="C109" s="16">
        <f t="shared" si="1"/>
        <v>0.12000000000000011</v>
      </c>
    </row>
    <row r="110" spans="1:3" x14ac:dyDescent="0.25">
      <c r="A110" s="107">
        <v>22616</v>
      </c>
      <c r="B110" s="16">
        <v>3.84</v>
      </c>
      <c r="C110" s="16">
        <f t="shared" si="1"/>
        <v>2.9999999999999805E-2</v>
      </c>
    </row>
    <row r="111" spans="1:3" x14ac:dyDescent="0.25">
      <c r="A111" s="107">
        <v>22647</v>
      </c>
      <c r="B111" s="16">
        <v>4.0199999999999996</v>
      </c>
      <c r="C111" s="16">
        <f t="shared" si="1"/>
        <v>0.17999999999999972</v>
      </c>
    </row>
    <row r="112" spans="1:3" x14ac:dyDescent="0.25">
      <c r="A112" s="107">
        <v>22678</v>
      </c>
      <c r="B112" s="16">
        <v>3.77</v>
      </c>
      <c r="C112" s="16">
        <f t="shared" si="1"/>
        <v>-0.24999999999999956</v>
      </c>
    </row>
    <row r="113" spans="1:3" x14ac:dyDescent="0.25">
      <c r="A113" s="107">
        <v>22706</v>
      </c>
      <c r="B113" s="16">
        <v>3.66</v>
      </c>
      <c r="C113" s="16">
        <f t="shared" si="1"/>
        <v>-0.10999999999999988</v>
      </c>
    </row>
    <row r="114" spans="1:3" x14ac:dyDescent="0.25">
      <c r="A114" s="107">
        <v>22737</v>
      </c>
      <c r="B114" s="16">
        <v>3.67</v>
      </c>
      <c r="C114" s="16">
        <f t="shared" si="1"/>
        <v>9.9999999999997868E-3</v>
      </c>
    </row>
    <row r="115" spans="1:3" x14ac:dyDescent="0.25">
      <c r="A115" s="107">
        <v>22767</v>
      </c>
      <c r="B115" s="16">
        <v>3.63</v>
      </c>
      <c r="C115" s="16">
        <f t="shared" si="1"/>
        <v>-4.0000000000000036E-2</v>
      </c>
    </row>
    <row r="116" spans="1:3" x14ac:dyDescent="0.25">
      <c r="A116" s="107">
        <v>22798</v>
      </c>
      <c r="B116" s="16">
        <v>3.75</v>
      </c>
      <c r="C116" s="16">
        <f t="shared" si="1"/>
        <v>0.12000000000000011</v>
      </c>
    </row>
    <row r="117" spans="1:3" x14ac:dyDescent="0.25">
      <c r="A117" s="107">
        <v>22828</v>
      </c>
      <c r="B117" s="16">
        <v>3.84</v>
      </c>
      <c r="C117" s="16">
        <f t="shared" si="1"/>
        <v>8.9999999999999858E-2</v>
      </c>
    </row>
    <row r="118" spans="1:3" x14ac:dyDescent="0.25">
      <c r="A118" s="107">
        <v>22859</v>
      </c>
      <c r="B118" s="16">
        <v>3.65</v>
      </c>
      <c r="C118" s="16">
        <f t="shared" si="1"/>
        <v>-0.18999999999999995</v>
      </c>
    </row>
    <row r="119" spans="1:3" x14ac:dyDescent="0.25">
      <c r="A119" s="107">
        <v>22890</v>
      </c>
      <c r="B119" s="16">
        <v>3.66</v>
      </c>
      <c r="C119" s="16">
        <f t="shared" si="1"/>
        <v>1.0000000000000231E-2</v>
      </c>
    </row>
    <row r="120" spans="1:3" x14ac:dyDescent="0.25">
      <c r="A120" s="107">
        <v>22920</v>
      </c>
      <c r="B120" s="16">
        <v>3.62</v>
      </c>
      <c r="C120" s="16">
        <f t="shared" si="1"/>
        <v>-4.0000000000000036E-2</v>
      </c>
    </row>
    <row r="121" spans="1:3" x14ac:dyDescent="0.25">
      <c r="A121" s="107">
        <v>22951</v>
      </c>
      <c r="B121" s="16">
        <v>3.55</v>
      </c>
      <c r="C121" s="16">
        <f t="shared" si="1"/>
        <v>-7.0000000000000284E-2</v>
      </c>
    </row>
    <row r="122" spans="1:3" x14ac:dyDescent="0.25">
      <c r="A122" s="107">
        <v>22981</v>
      </c>
      <c r="B122" s="16">
        <v>3.5</v>
      </c>
      <c r="C122" s="16">
        <f t="shared" si="1"/>
        <v>-4.9999999999999822E-2</v>
      </c>
    </row>
    <row r="123" spans="1:3" x14ac:dyDescent="0.25">
      <c r="A123" s="107">
        <v>23012</v>
      </c>
      <c r="B123" s="16">
        <v>3.68</v>
      </c>
      <c r="C123" s="16">
        <f t="shared" si="1"/>
        <v>0.18000000000000016</v>
      </c>
    </row>
    <row r="124" spans="1:3" x14ac:dyDescent="0.25">
      <c r="A124" s="107">
        <v>23043</v>
      </c>
      <c r="B124" s="16">
        <v>3.7</v>
      </c>
      <c r="C124" s="16">
        <f t="shared" si="1"/>
        <v>2.0000000000000018E-2</v>
      </c>
    </row>
    <row r="125" spans="1:3" x14ac:dyDescent="0.25">
      <c r="A125" s="107">
        <v>23071</v>
      </c>
      <c r="B125" s="16">
        <v>3.7</v>
      </c>
      <c r="C125" s="16">
        <f t="shared" si="1"/>
        <v>0</v>
      </c>
    </row>
    <row r="126" spans="1:3" x14ac:dyDescent="0.25">
      <c r="A126" s="107">
        <v>23102</v>
      </c>
      <c r="B126" s="16">
        <v>3.71</v>
      </c>
      <c r="C126" s="16">
        <f t="shared" si="1"/>
        <v>9.9999999999997868E-3</v>
      </c>
    </row>
    <row r="127" spans="1:3" x14ac:dyDescent="0.25">
      <c r="A127" s="107">
        <v>23132</v>
      </c>
      <c r="B127" s="16">
        <v>3.74</v>
      </c>
      <c r="C127" s="16">
        <f t="shared" si="1"/>
        <v>3.0000000000000249E-2</v>
      </c>
    </row>
    <row r="128" spans="1:3" x14ac:dyDescent="0.25">
      <c r="A128" s="107">
        <v>23163</v>
      </c>
      <c r="B128" s="16">
        <v>3.78</v>
      </c>
      <c r="C128" s="16">
        <f t="shared" si="1"/>
        <v>3.9999999999999591E-2</v>
      </c>
    </row>
    <row r="129" spans="1:3" x14ac:dyDescent="0.25">
      <c r="A129" s="107">
        <v>23193</v>
      </c>
      <c r="B129" s="16">
        <v>3.85</v>
      </c>
      <c r="C129" s="16">
        <f t="shared" si="1"/>
        <v>7.0000000000000284E-2</v>
      </c>
    </row>
    <row r="130" spans="1:3" x14ac:dyDescent="0.25">
      <c r="A130" s="107">
        <v>23224</v>
      </c>
      <c r="B130" s="16">
        <v>3.88</v>
      </c>
      <c r="C130" s="16">
        <f t="shared" si="1"/>
        <v>2.9999999999999805E-2</v>
      </c>
    </row>
    <row r="131" spans="1:3" x14ac:dyDescent="0.25">
      <c r="A131" s="107">
        <v>23255</v>
      </c>
      <c r="B131" s="16">
        <v>3.92</v>
      </c>
      <c r="C131" s="16">
        <f t="shared" si="1"/>
        <v>4.0000000000000036E-2</v>
      </c>
    </row>
    <row r="132" spans="1:3" x14ac:dyDescent="0.25">
      <c r="A132" s="107">
        <v>23285</v>
      </c>
      <c r="B132" s="16">
        <v>3.98</v>
      </c>
      <c r="C132" s="16">
        <f t="shared" ref="C132:C195" si="2">+B132-B131</f>
        <v>6.0000000000000053E-2</v>
      </c>
    </row>
    <row r="133" spans="1:3" x14ac:dyDescent="0.25">
      <c r="A133" s="107">
        <v>23316</v>
      </c>
      <c r="B133" s="16">
        <v>3.96</v>
      </c>
      <c r="C133" s="16">
        <f t="shared" si="2"/>
        <v>-2.0000000000000018E-2</v>
      </c>
    </row>
    <row r="134" spans="1:3" x14ac:dyDescent="0.25">
      <c r="A134" s="107">
        <v>23346</v>
      </c>
      <c r="B134" s="16">
        <v>4.04</v>
      </c>
      <c r="C134" s="16">
        <f t="shared" si="2"/>
        <v>8.0000000000000071E-2</v>
      </c>
    </row>
    <row r="135" spans="1:3" x14ac:dyDescent="0.25">
      <c r="A135" s="107">
        <v>23377</v>
      </c>
      <c r="B135" s="16">
        <v>4.0199999999999996</v>
      </c>
      <c r="C135" s="16">
        <f t="shared" si="2"/>
        <v>-2.0000000000000462E-2</v>
      </c>
    </row>
    <row r="136" spans="1:3" x14ac:dyDescent="0.25">
      <c r="A136" s="107">
        <v>23408</v>
      </c>
      <c r="B136" s="16">
        <v>4.07</v>
      </c>
      <c r="C136" s="16">
        <f t="shared" si="2"/>
        <v>5.0000000000000711E-2</v>
      </c>
    </row>
    <row r="137" spans="1:3" x14ac:dyDescent="0.25">
      <c r="A137" s="107">
        <v>23437</v>
      </c>
      <c r="B137" s="16">
        <v>4.1100000000000003</v>
      </c>
      <c r="C137" s="16">
        <f t="shared" si="2"/>
        <v>4.0000000000000036E-2</v>
      </c>
    </row>
    <row r="138" spans="1:3" x14ac:dyDescent="0.25">
      <c r="A138" s="107">
        <v>23468</v>
      </c>
      <c r="B138" s="16">
        <v>4.1100000000000003</v>
      </c>
      <c r="C138" s="16">
        <f t="shared" si="2"/>
        <v>0</v>
      </c>
    </row>
    <row r="139" spans="1:3" x14ac:dyDescent="0.25">
      <c r="A139" s="107">
        <v>23498</v>
      </c>
      <c r="B139" s="16">
        <v>3.99</v>
      </c>
      <c r="C139" s="16">
        <f t="shared" si="2"/>
        <v>-0.12000000000000011</v>
      </c>
    </row>
    <row r="140" spans="1:3" x14ac:dyDescent="0.25">
      <c r="A140" s="107">
        <v>23529</v>
      </c>
      <c r="B140" s="16">
        <v>3.99</v>
      </c>
      <c r="C140" s="16">
        <f t="shared" si="2"/>
        <v>0</v>
      </c>
    </row>
    <row r="141" spans="1:3" x14ac:dyDescent="0.25">
      <c r="A141" s="107">
        <v>23559</v>
      </c>
      <c r="B141" s="16">
        <v>4.01</v>
      </c>
      <c r="C141" s="16">
        <f t="shared" si="2"/>
        <v>1.9999999999999574E-2</v>
      </c>
    </row>
    <row r="142" spans="1:3" x14ac:dyDescent="0.25">
      <c r="A142" s="107">
        <v>23590</v>
      </c>
      <c r="B142" s="16">
        <v>4.0199999999999996</v>
      </c>
      <c r="C142" s="16">
        <f t="shared" si="2"/>
        <v>9.9999999999997868E-3</v>
      </c>
    </row>
    <row r="143" spans="1:3" x14ac:dyDescent="0.25">
      <c r="A143" s="107">
        <v>23621</v>
      </c>
      <c r="B143" s="16">
        <v>3.99</v>
      </c>
      <c r="C143" s="16">
        <f t="shared" si="2"/>
        <v>-2.9999999999999361E-2</v>
      </c>
    </row>
    <row r="144" spans="1:3" x14ac:dyDescent="0.25">
      <c r="A144" s="107">
        <v>23651</v>
      </c>
      <c r="B144" s="16">
        <v>3.99</v>
      </c>
      <c r="C144" s="16">
        <f t="shared" si="2"/>
        <v>0</v>
      </c>
    </row>
    <row r="145" spans="1:3" x14ac:dyDescent="0.25">
      <c r="A145" s="107">
        <v>23682</v>
      </c>
      <c r="B145" s="16">
        <v>4.09</v>
      </c>
      <c r="C145" s="16">
        <f t="shared" si="2"/>
        <v>9.9999999999999645E-2</v>
      </c>
    </row>
    <row r="146" spans="1:3" x14ac:dyDescent="0.25">
      <c r="A146" s="107">
        <v>23712</v>
      </c>
      <c r="B146" s="16">
        <v>4.03</v>
      </c>
      <c r="C146" s="16">
        <f t="shared" si="2"/>
        <v>-5.9999999999999609E-2</v>
      </c>
    </row>
    <row r="147" spans="1:3" x14ac:dyDescent="0.25">
      <c r="A147" s="107">
        <v>23743</v>
      </c>
      <c r="B147" s="16">
        <v>4.13</v>
      </c>
      <c r="C147" s="16">
        <f t="shared" si="2"/>
        <v>9.9999999999999645E-2</v>
      </c>
    </row>
    <row r="148" spans="1:3" x14ac:dyDescent="0.25">
      <c r="A148" s="107">
        <v>23774</v>
      </c>
      <c r="B148" s="16">
        <v>4.16</v>
      </c>
      <c r="C148" s="16">
        <f t="shared" si="2"/>
        <v>3.0000000000000249E-2</v>
      </c>
    </row>
    <row r="149" spans="1:3" x14ac:dyDescent="0.25">
      <c r="A149" s="107">
        <v>23802</v>
      </c>
      <c r="B149" s="16">
        <v>4.1399999999999997</v>
      </c>
      <c r="C149" s="16">
        <f t="shared" si="2"/>
        <v>-2.0000000000000462E-2</v>
      </c>
    </row>
    <row r="150" spans="1:3" x14ac:dyDescent="0.25">
      <c r="A150" s="107">
        <v>23833</v>
      </c>
      <c r="B150" s="16">
        <v>4.16</v>
      </c>
      <c r="C150" s="16">
        <f t="shared" si="2"/>
        <v>2.0000000000000462E-2</v>
      </c>
    </row>
    <row r="151" spans="1:3" x14ac:dyDescent="0.25">
      <c r="A151" s="107">
        <v>23863</v>
      </c>
      <c r="B151" s="16">
        <v>4.1500000000000004</v>
      </c>
      <c r="C151" s="16">
        <f t="shared" si="2"/>
        <v>-9.9999999999997868E-3</v>
      </c>
    </row>
    <row r="152" spans="1:3" x14ac:dyDescent="0.25">
      <c r="A152" s="107">
        <v>23894</v>
      </c>
      <c r="B152" s="16">
        <v>4.13</v>
      </c>
      <c r="C152" s="16">
        <f t="shared" si="2"/>
        <v>-2.0000000000000462E-2</v>
      </c>
    </row>
    <row r="153" spans="1:3" x14ac:dyDescent="0.25">
      <c r="A153" s="107">
        <v>23924</v>
      </c>
      <c r="B153" s="16">
        <v>4.16</v>
      </c>
      <c r="C153" s="16">
        <f t="shared" si="2"/>
        <v>3.0000000000000249E-2</v>
      </c>
    </row>
    <row r="154" spans="1:3" x14ac:dyDescent="0.25">
      <c r="A154" s="107">
        <v>23955</v>
      </c>
      <c r="B154" s="16">
        <v>4.2</v>
      </c>
      <c r="C154" s="16">
        <f t="shared" si="2"/>
        <v>4.0000000000000036E-2</v>
      </c>
    </row>
    <row r="155" spans="1:3" x14ac:dyDescent="0.25">
      <c r="A155" s="107">
        <v>23986</v>
      </c>
      <c r="B155" s="16">
        <v>4.29</v>
      </c>
      <c r="C155" s="16">
        <f t="shared" si="2"/>
        <v>8.9999999999999858E-2</v>
      </c>
    </row>
    <row r="156" spans="1:3" x14ac:dyDescent="0.25">
      <c r="A156" s="107">
        <v>24016</v>
      </c>
      <c r="B156" s="16">
        <v>4.37</v>
      </c>
      <c r="C156" s="16">
        <f t="shared" si="2"/>
        <v>8.0000000000000071E-2</v>
      </c>
    </row>
    <row r="157" spans="1:3" x14ac:dyDescent="0.25">
      <c r="A157" s="107">
        <v>24047</v>
      </c>
      <c r="B157" s="16">
        <v>4.4400000000000004</v>
      </c>
      <c r="C157" s="16">
        <f t="shared" si="2"/>
        <v>7.0000000000000284E-2</v>
      </c>
    </row>
    <row r="158" spans="1:3" x14ac:dyDescent="0.25">
      <c r="A158" s="107">
        <v>24077</v>
      </c>
      <c r="B158" s="16">
        <v>4.9000000000000004</v>
      </c>
      <c r="C158" s="16">
        <f t="shared" si="2"/>
        <v>0.45999999999999996</v>
      </c>
    </row>
    <row r="159" spans="1:3" x14ac:dyDescent="0.25">
      <c r="A159" s="107">
        <v>24108</v>
      </c>
      <c r="B159" s="16">
        <v>4.82</v>
      </c>
      <c r="C159" s="16">
        <f t="shared" si="2"/>
        <v>-8.0000000000000071E-2</v>
      </c>
    </row>
    <row r="160" spans="1:3" x14ac:dyDescent="0.25">
      <c r="A160" s="107">
        <v>24139</v>
      </c>
      <c r="B160" s="16">
        <v>5.07</v>
      </c>
      <c r="C160" s="16">
        <f t="shared" si="2"/>
        <v>0.25</v>
      </c>
    </row>
    <row r="161" spans="1:3" x14ac:dyDescent="0.25">
      <c r="A161" s="107">
        <v>24167</v>
      </c>
      <c r="B161" s="16">
        <v>4.7699999999999996</v>
      </c>
      <c r="C161" s="16">
        <f t="shared" si="2"/>
        <v>-0.30000000000000071</v>
      </c>
    </row>
    <row r="162" spans="1:3" x14ac:dyDescent="0.25">
      <c r="A162" s="107">
        <v>24198</v>
      </c>
      <c r="B162" s="16">
        <v>4.8899999999999997</v>
      </c>
      <c r="C162" s="16">
        <f t="shared" si="2"/>
        <v>0.12000000000000011</v>
      </c>
    </row>
    <row r="163" spans="1:3" x14ac:dyDescent="0.25">
      <c r="A163" s="107">
        <v>24228</v>
      </c>
      <c r="B163" s="16">
        <v>4.96</v>
      </c>
      <c r="C163" s="16">
        <f t="shared" si="2"/>
        <v>7.0000000000000284E-2</v>
      </c>
    </row>
    <row r="164" spans="1:3" x14ac:dyDescent="0.25">
      <c r="A164" s="107">
        <v>24259</v>
      </c>
      <c r="B164" s="16">
        <v>5.0999999999999996</v>
      </c>
      <c r="C164" s="16">
        <f t="shared" si="2"/>
        <v>0.13999999999999968</v>
      </c>
    </row>
    <row r="165" spans="1:3" x14ac:dyDescent="0.25">
      <c r="A165" s="107">
        <v>24289</v>
      </c>
      <c r="B165" s="16">
        <v>5.25</v>
      </c>
      <c r="C165" s="16">
        <f t="shared" si="2"/>
        <v>0.15000000000000036</v>
      </c>
    </row>
    <row r="166" spans="1:3" x14ac:dyDescent="0.25">
      <c r="A166" s="107">
        <v>24320</v>
      </c>
      <c r="B166" s="16">
        <v>5.65</v>
      </c>
      <c r="C166" s="16">
        <f t="shared" si="2"/>
        <v>0.40000000000000036</v>
      </c>
    </row>
    <row r="167" spans="1:3" x14ac:dyDescent="0.25">
      <c r="A167" s="107">
        <v>24351</v>
      </c>
      <c r="B167" s="16">
        <v>5.26</v>
      </c>
      <c r="C167" s="16">
        <f t="shared" si="2"/>
        <v>-0.39000000000000057</v>
      </c>
    </row>
    <row r="168" spans="1:3" x14ac:dyDescent="0.25">
      <c r="A168" s="107">
        <v>24381</v>
      </c>
      <c r="B168" s="16">
        <v>5.19</v>
      </c>
      <c r="C168" s="16">
        <f t="shared" si="2"/>
        <v>-6.9999999999999396E-2</v>
      </c>
    </row>
    <row r="169" spans="1:3" x14ac:dyDescent="0.25">
      <c r="A169" s="107">
        <v>24412</v>
      </c>
      <c r="B169" s="16">
        <v>5.22</v>
      </c>
      <c r="C169" s="16">
        <f t="shared" si="2"/>
        <v>2.9999999999999361E-2</v>
      </c>
    </row>
    <row r="170" spans="1:3" x14ac:dyDescent="0.25">
      <c r="A170" s="107">
        <v>24442</v>
      </c>
      <c r="B170" s="16">
        <v>4.79</v>
      </c>
      <c r="C170" s="16">
        <f t="shared" si="2"/>
        <v>-0.42999999999999972</v>
      </c>
    </row>
    <row r="171" spans="1:3" x14ac:dyDescent="0.25">
      <c r="A171" s="107">
        <v>24473</v>
      </c>
      <c r="B171" s="16">
        <v>4.59</v>
      </c>
      <c r="C171" s="16">
        <f t="shared" si="2"/>
        <v>-0.20000000000000018</v>
      </c>
    </row>
    <row r="172" spans="1:3" x14ac:dyDescent="0.25">
      <c r="A172" s="107">
        <v>24504</v>
      </c>
      <c r="B172" s="16">
        <v>4.7</v>
      </c>
      <c r="C172" s="16">
        <f t="shared" si="2"/>
        <v>0.11000000000000032</v>
      </c>
    </row>
    <row r="173" spans="1:3" x14ac:dyDescent="0.25">
      <c r="A173" s="107">
        <v>24532</v>
      </c>
      <c r="B173" s="16">
        <v>4.37</v>
      </c>
      <c r="C173" s="16">
        <f t="shared" si="2"/>
        <v>-0.33000000000000007</v>
      </c>
    </row>
    <row r="174" spans="1:3" x14ac:dyDescent="0.25">
      <c r="A174" s="107">
        <v>24563</v>
      </c>
      <c r="B174" s="16">
        <v>4.66</v>
      </c>
      <c r="C174" s="16">
        <f t="shared" si="2"/>
        <v>0.29000000000000004</v>
      </c>
    </row>
    <row r="175" spans="1:3" x14ac:dyDescent="0.25">
      <c r="A175" s="107">
        <v>24593</v>
      </c>
      <c r="B175" s="16">
        <v>4.6500000000000004</v>
      </c>
      <c r="C175" s="16">
        <f t="shared" si="2"/>
        <v>-9.9999999999997868E-3</v>
      </c>
    </row>
    <row r="176" spans="1:3" x14ac:dyDescent="0.25">
      <c r="A176" s="107">
        <v>24624</v>
      </c>
      <c r="B176" s="16">
        <v>5.3</v>
      </c>
      <c r="C176" s="16">
        <f t="shared" si="2"/>
        <v>0.64999999999999947</v>
      </c>
    </row>
    <row r="177" spans="1:3" x14ac:dyDescent="0.25">
      <c r="A177" s="107">
        <v>24654</v>
      </c>
      <c r="B177" s="16">
        <v>5.08</v>
      </c>
      <c r="C177" s="16">
        <f t="shared" si="2"/>
        <v>-0.21999999999999975</v>
      </c>
    </row>
    <row r="178" spans="1:3" x14ac:dyDescent="0.25">
      <c r="A178" s="107">
        <v>24685</v>
      </c>
      <c r="B178" s="16">
        <v>5.28</v>
      </c>
      <c r="C178" s="16">
        <f t="shared" si="2"/>
        <v>0.20000000000000018</v>
      </c>
    </row>
    <row r="179" spans="1:3" x14ac:dyDescent="0.25">
      <c r="A179" s="107">
        <v>24716</v>
      </c>
      <c r="B179" s="16">
        <v>5.37</v>
      </c>
      <c r="C179" s="16">
        <f t="shared" si="2"/>
        <v>8.9999999999999858E-2</v>
      </c>
    </row>
    <row r="180" spans="1:3" x14ac:dyDescent="0.25">
      <c r="A180" s="107">
        <v>24746</v>
      </c>
      <c r="B180" s="16">
        <v>5.62</v>
      </c>
      <c r="C180" s="16">
        <f t="shared" si="2"/>
        <v>0.25</v>
      </c>
    </row>
    <row r="181" spans="1:3" x14ac:dyDescent="0.25">
      <c r="A181" s="107">
        <v>24777</v>
      </c>
      <c r="B181" s="16">
        <v>5.66</v>
      </c>
      <c r="C181" s="16">
        <f t="shared" si="2"/>
        <v>4.0000000000000036E-2</v>
      </c>
    </row>
    <row r="182" spans="1:3" x14ac:dyDescent="0.25">
      <c r="A182" s="107">
        <v>24807</v>
      </c>
      <c r="B182" s="16">
        <v>5.77</v>
      </c>
      <c r="C182" s="16">
        <f t="shared" si="2"/>
        <v>0.10999999999999943</v>
      </c>
    </row>
    <row r="183" spans="1:3" x14ac:dyDescent="0.25">
      <c r="A183" s="107">
        <v>24838</v>
      </c>
      <c r="B183" s="16">
        <v>5.48</v>
      </c>
      <c r="C183" s="16">
        <f t="shared" si="2"/>
        <v>-0.28999999999999915</v>
      </c>
    </row>
    <row r="184" spans="1:3" x14ac:dyDescent="0.25">
      <c r="A184" s="107">
        <v>24869</v>
      </c>
      <c r="B184" s="16">
        <v>5.49</v>
      </c>
      <c r="C184" s="16">
        <f t="shared" si="2"/>
        <v>9.9999999999997868E-3</v>
      </c>
    </row>
    <row r="185" spans="1:3" x14ac:dyDescent="0.25">
      <c r="A185" s="107">
        <v>24898</v>
      </c>
      <c r="B185" s="16">
        <v>5.63</v>
      </c>
      <c r="C185" s="16">
        <f t="shared" si="2"/>
        <v>0.13999999999999968</v>
      </c>
    </row>
    <row r="186" spans="1:3" x14ac:dyDescent="0.25">
      <c r="A186" s="107">
        <v>24929</v>
      </c>
      <c r="B186" s="16">
        <v>5.77</v>
      </c>
      <c r="C186" s="16">
        <f t="shared" si="2"/>
        <v>0.13999999999999968</v>
      </c>
    </row>
    <row r="187" spans="1:3" x14ac:dyDescent="0.25">
      <c r="A187" s="107">
        <v>24959</v>
      </c>
      <c r="B187" s="16">
        <v>5.74</v>
      </c>
      <c r="C187" s="16">
        <f t="shared" si="2"/>
        <v>-2.9999999999999361E-2</v>
      </c>
    </row>
    <row r="188" spans="1:3" x14ac:dyDescent="0.25">
      <c r="A188" s="107">
        <v>24990</v>
      </c>
      <c r="B188" s="16">
        <v>5.47</v>
      </c>
      <c r="C188" s="16">
        <f t="shared" si="2"/>
        <v>-0.27000000000000046</v>
      </c>
    </row>
    <row r="189" spans="1:3" x14ac:dyDescent="0.25">
      <c r="A189" s="107">
        <v>25020</v>
      </c>
      <c r="B189" s="16">
        <v>5.18</v>
      </c>
      <c r="C189" s="16">
        <f t="shared" si="2"/>
        <v>-0.29000000000000004</v>
      </c>
    </row>
    <row r="190" spans="1:3" x14ac:dyDescent="0.25">
      <c r="A190" s="107">
        <v>25051</v>
      </c>
      <c r="B190" s="16">
        <v>5.23</v>
      </c>
      <c r="C190" s="16">
        <f t="shared" si="2"/>
        <v>5.0000000000000711E-2</v>
      </c>
    </row>
    <row r="191" spans="1:3" x14ac:dyDescent="0.25">
      <c r="A191" s="107">
        <v>25082</v>
      </c>
      <c r="B191" s="16">
        <v>5.2</v>
      </c>
      <c r="C191" s="16">
        <f t="shared" si="2"/>
        <v>-3.0000000000000249E-2</v>
      </c>
    </row>
    <row r="192" spans="1:3" x14ac:dyDescent="0.25">
      <c r="A192" s="107">
        <v>25112</v>
      </c>
      <c r="B192" s="16">
        <v>5.28</v>
      </c>
      <c r="C192" s="16">
        <f t="shared" si="2"/>
        <v>8.0000000000000071E-2</v>
      </c>
    </row>
    <row r="193" spans="1:3" x14ac:dyDescent="0.25">
      <c r="A193" s="107">
        <v>25143</v>
      </c>
      <c r="B193" s="16">
        <v>5.41</v>
      </c>
      <c r="C193" s="16">
        <f t="shared" si="2"/>
        <v>0.12999999999999989</v>
      </c>
    </row>
    <row r="194" spans="1:3" x14ac:dyDescent="0.25">
      <c r="A194" s="107">
        <v>25173</v>
      </c>
      <c r="B194" s="16">
        <v>5.96</v>
      </c>
      <c r="C194" s="16">
        <f t="shared" si="2"/>
        <v>0.54999999999999982</v>
      </c>
    </row>
    <row r="195" spans="1:3" x14ac:dyDescent="0.25">
      <c r="A195" s="107">
        <v>25204</v>
      </c>
      <c r="B195" s="16">
        <v>6.37</v>
      </c>
      <c r="C195" s="16">
        <f t="shared" si="2"/>
        <v>0.41000000000000014</v>
      </c>
    </row>
    <row r="196" spans="1:3" x14ac:dyDescent="0.25">
      <c r="A196" s="107">
        <v>25235</v>
      </c>
      <c r="B196" s="16">
        <v>6.51</v>
      </c>
      <c r="C196" s="16">
        <f t="shared" ref="C196:C259" si="3">+B196-B195</f>
        <v>0.13999999999999968</v>
      </c>
    </row>
    <row r="197" spans="1:3" x14ac:dyDescent="0.25">
      <c r="A197" s="107">
        <v>25263</v>
      </c>
      <c r="B197" s="16">
        <v>6.4</v>
      </c>
      <c r="C197" s="16">
        <f t="shared" si="3"/>
        <v>-0.10999999999999943</v>
      </c>
    </row>
    <row r="198" spans="1:3" x14ac:dyDescent="0.25">
      <c r="A198" s="107">
        <v>25294</v>
      </c>
      <c r="B198" s="16">
        <v>6.36</v>
      </c>
      <c r="C198" s="16">
        <f t="shared" si="3"/>
        <v>-4.0000000000000036E-2</v>
      </c>
    </row>
    <row r="199" spans="1:3" x14ac:dyDescent="0.25">
      <c r="A199" s="107">
        <v>25324</v>
      </c>
      <c r="B199" s="16">
        <v>6.66</v>
      </c>
      <c r="C199" s="16">
        <f t="shared" si="3"/>
        <v>0.29999999999999982</v>
      </c>
    </row>
    <row r="200" spans="1:3" x14ac:dyDescent="0.25">
      <c r="A200" s="107">
        <v>25355</v>
      </c>
      <c r="B200" s="16">
        <v>6.99</v>
      </c>
      <c r="C200" s="16">
        <f t="shared" si="3"/>
        <v>0.33000000000000007</v>
      </c>
    </row>
    <row r="201" spans="1:3" x14ac:dyDescent="0.25">
      <c r="A201" s="107">
        <v>25385</v>
      </c>
      <c r="B201" s="16">
        <v>6.93</v>
      </c>
      <c r="C201" s="16">
        <f t="shared" si="3"/>
        <v>-6.0000000000000497E-2</v>
      </c>
    </row>
    <row r="202" spans="1:3" x14ac:dyDescent="0.25">
      <c r="A202" s="107">
        <v>25416</v>
      </c>
      <c r="B202" s="16">
        <v>7.11</v>
      </c>
      <c r="C202" s="16">
        <f t="shared" si="3"/>
        <v>0.1800000000000006</v>
      </c>
    </row>
    <row r="203" spans="1:3" x14ac:dyDescent="0.25">
      <c r="A203" s="107">
        <v>25447</v>
      </c>
      <c r="B203" s="16">
        <v>7.99</v>
      </c>
      <c r="C203" s="16">
        <f t="shared" si="3"/>
        <v>0.87999999999999989</v>
      </c>
    </row>
    <row r="204" spans="1:3" x14ac:dyDescent="0.25">
      <c r="A204" s="107">
        <v>25477</v>
      </c>
      <c r="B204" s="16">
        <v>7.35</v>
      </c>
      <c r="C204" s="16">
        <f t="shared" si="3"/>
        <v>-0.64000000000000057</v>
      </c>
    </row>
    <row r="205" spans="1:3" x14ac:dyDescent="0.25">
      <c r="A205" s="107">
        <v>25508</v>
      </c>
      <c r="B205" s="16">
        <v>7.61</v>
      </c>
      <c r="C205" s="16">
        <f t="shared" si="3"/>
        <v>0.26000000000000068</v>
      </c>
    </row>
    <row r="206" spans="1:3" x14ac:dyDescent="0.25">
      <c r="A206" s="107">
        <v>25538</v>
      </c>
      <c r="B206" s="16">
        <v>8.2899999999999991</v>
      </c>
      <c r="C206" s="16">
        <f t="shared" si="3"/>
        <v>0.67999999999999883</v>
      </c>
    </row>
    <row r="207" spans="1:3" x14ac:dyDescent="0.25">
      <c r="A207" s="107">
        <v>25569</v>
      </c>
      <c r="B207" s="16">
        <v>8.1999999999999993</v>
      </c>
      <c r="C207" s="16">
        <f t="shared" si="3"/>
        <v>-8.9999999999999858E-2</v>
      </c>
    </row>
    <row r="208" spans="1:3" x14ac:dyDescent="0.25">
      <c r="A208" s="107">
        <v>25600</v>
      </c>
      <c r="B208" s="16">
        <v>7.3</v>
      </c>
      <c r="C208" s="16">
        <f t="shared" si="3"/>
        <v>-0.89999999999999947</v>
      </c>
    </row>
    <row r="209" spans="1:3" x14ac:dyDescent="0.25">
      <c r="A209" s="107">
        <v>25628</v>
      </c>
      <c r="B209" s="16">
        <v>7.24</v>
      </c>
      <c r="C209" s="16">
        <f t="shared" si="3"/>
        <v>-5.9999999999999609E-2</v>
      </c>
    </row>
    <row r="210" spans="1:3" x14ac:dyDescent="0.25">
      <c r="A210" s="107">
        <v>25659</v>
      </c>
      <c r="B210" s="16">
        <v>7.9</v>
      </c>
      <c r="C210" s="16">
        <f t="shared" si="3"/>
        <v>0.66000000000000014</v>
      </c>
    </row>
    <row r="211" spans="1:3" x14ac:dyDescent="0.25">
      <c r="A211" s="107">
        <v>25689</v>
      </c>
      <c r="B211" s="16">
        <v>7.78</v>
      </c>
      <c r="C211" s="16">
        <f t="shared" si="3"/>
        <v>-0.12000000000000011</v>
      </c>
    </row>
    <row r="212" spans="1:3" x14ac:dyDescent="0.25">
      <c r="A212" s="107">
        <v>25720</v>
      </c>
      <c r="B212" s="16">
        <v>7.8</v>
      </c>
      <c r="C212" s="16">
        <f t="shared" si="3"/>
        <v>1.9999999999999574E-2</v>
      </c>
    </row>
    <row r="213" spans="1:3" x14ac:dyDescent="0.25">
      <c r="A213" s="107">
        <v>25750</v>
      </c>
      <c r="B213" s="16">
        <v>7.57</v>
      </c>
      <c r="C213" s="16">
        <f t="shared" si="3"/>
        <v>-0.22999999999999954</v>
      </c>
    </row>
    <row r="214" spans="1:3" x14ac:dyDescent="0.25">
      <c r="A214" s="107">
        <v>25781</v>
      </c>
      <c r="B214" s="16">
        <v>7.43</v>
      </c>
      <c r="C214" s="16">
        <f t="shared" si="3"/>
        <v>-0.14000000000000057</v>
      </c>
    </row>
    <row r="215" spans="1:3" x14ac:dyDescent="0.25">
      <c r="A215" s="107">
        <v>25812</v>
      </c>
      <c r="B215" s="16">
        <v>7.07</v>
      </c>
      <c r="C215" s="16">
        <f t="shared" si="3"/>
        <v>-0.35999999999999943</v>
      </c>
    </row>
    <row r="216" spans="1:3" x14ac:dyDescent="0.25">
      <c r="A216" s="107">
        <v>25842</v>
      </c>
      <c r="B216" s="16">
        <v>6.97</v>
      </c>
      <c r="C216" s="16">
        <f t="shared" si="3"/>
        <v>-0.10000000000000053</v>
      </c>
    </row>
    <row r="217" spans="1:3" x14ac:dyDescent="0.25">
      <c r="A217" s="107">
        <v>25873</v>
      </c>
      <c r="B217" s="16">
        <v>5.91</v>
      </c>
      <c r="C217" s="16">
        <f t="shared" si="3"/>
        <v>-1.0599999999999996</v>
      </c>
    </row>
    <row r="218" spans="1:3" x14ac:dyDescent="0.25">
      <c r="A218" s="107">
        <v>25903</v>
      </c>
      <c r="B218" s="16">
        <v>5.9</v>
      </c>
      <c r="C218" s="16">
        <f t="shared" si="3"/>
        <v>-9.9999999999997868E-3</v>
      </c>
    </row>
    <row r="219" spans="1:3" x14ac:dyDescent="0.25">
      <c r="A219" s="107">
        <v>25934</v>
      </c>
      <c r="B219" s="16">
        <v>5.7</v>
      </c>
      <c r="C219" s="16">
        <f t="shared" si="3"/>
        <v>-0.20000000000000018</v>
      </c>
    </row>
    <row r="220" spans="1:3" x14ac:dyDescent="0.25">
      <c r="A220" s="107">
        <v>25965</v>
      </c>
      <c r="B220" s="16">
        <v>5.26</v>
      </c>
      <c r="C220" s="16">
        <f t="shared" si="3"/>
        <v>-0.44000000000000039</v>
      </c>
    </row>
    <row r="221" spans="1:3" x14ac:dyDescent="0.25">
      <c r="A221" s="107">
        <v>25993</v>
      </c>
      <c r="B221" s="16">
        <v>4.93</v>
      </c>
      <c r="C221" s="16">
        <f t="shared" si="3"/>
        <v>-0.33000000000000007</v>
      </c>
    </row>
    <row r="222" spans="1:3" x14ac:dyDescent="0.25">
      <c r="A222" s="107">
        <v>26024</v>
      </c>
      <c r="B222" s="16">
        <v>5.85</v>
      </c>
      <c r="C222" s="16">
        <f t="shared" si="3"/>
        <v>0.91999999999999993</v>
      </c>
    </row>
    <row r="223" spans="1:3" x14ac:dyDescent="0.25">
      <c r="A223" s="107">
        <v>26054</v>
      </c>
      <c r="B223" s="16">
        <v>5.93</v>
      </c>
      <c r="C223" s="16">
        <f t="shared" si="3"/>
        <v>8.0000000000000071E-2</v>
      </c>
    </row>
    <row r="224" spans="1:3" x14ac:dyDescent="0.25">
      <c r="A224" s="107">
        <v>26085</v>
      </c>
      <c r="B224" s="16">
        <v>6.56</v>
      </c>
      <c r="C224" s="16">
        <f t="shared" si="3"/>
        <v>0.62999999999999989</v>
      </c>
    </row>
    <row r="225" spans="1:3" x14ac:dyDescent="0.25">
      <c r="A225" s="107">
        <v>26115</v>
      </c>
      <c r="B225" s="16">
        <v>6.63</v>
      </c>
      <c r="C225" s="16">
        <f t="shared" si="3"/>
        <v>7.0000000000000284E-2</v>
      </c>
    </row>
    <row r="226" spans="1:3" x14ac:dyDescent="0.25">
      <c r="A226" s="107">
        <v>26146</v>
      </c>
      <c r="B226" s="16">
        <v>5.85</v>
      </c>
      <c r="C226" s="16">
        <f t="shared" si="3"/>
        <v>-0.78000000000000025</v>
      </c>
    </row>
    <row r="227" spans="1:3" x14ac:dyDescent="0.25">
      <c r="A227" s="107">
        <v>26177</v>
      </c>
      <c r="B227" s="16">
        <v>5.91</v>
      </c>
      <c r="C227" s="16">
        <f t="shared" si="3"/>
        <v>6.0000000000000497E-2</v>
      </c>
    </row>
    <row r="228" spans="1:3" x14ac:dyDescent="0.25">
      <c r="A228" s="107">
        <v>26207</v>
      </c>
      <c r="B228" s="16">
        <v>5.45</v>
      </c>
      <c r="C228" s="16">
        <f t="shared" si="3"/>
        <v>-0.45999999999999996</v>
      </c>
    </row>
    <row r="229" spans="1:3" x14ac:dyDescent="0.25">
      <c r="A229" s="107">
        <v>26238</v>
      </c>
      <c r="B229" s="16">
        <v>5.43</v>
      </c>
      <c r="C229" s="16">
        <f t="shared" si="3"/>
        <v>-2.0000000000000462E-2</v>
      </c>
    </row>
    <row r="230" spans="1:3" x14ac:dyDescent="0.25">
      <c r="A230" s="107">
        <v>26268</v>
      </c>
      <c r="B230" s="16">
        <v>5.25</v>
      </c>
      <c r="C230" s="16">
        <f t="shared" si="3"/>
        <v>-0.17999999999999972</v>
      </c>
    </row>
    <row r="231" spans="1:3" x14ac:dyDescent="0.25">
      <c r="A231" s="107">
        <v>26299</v>
      </c>
      <c r="B231" s="16">
        <v>5.56</v>
      </c>
      <c r="C231" s="16">
        <f t="shared" si="3"/>
        <v>0.30999999999999961</v>
      </c>
    </row>
    <row r="232" spans="1:3" x14ac:dyDescent="0.25">
      <c r="A232" s="107">
        <v>26330</v>
      </c>
      <c r="B232" s="16">
        <v>5.63</v>
      </c>
      <c r="C232" s="16">
        <f t="shared" si="3"/>
        <v>7.0000000000000284E-2</v>
      </c>
    </row>
    <row r="233" spans="1:3" x14ac:dyDescent="0.25">
      <c r="A233" s="107">
        <v>26359</v>
      </c>
      <c r="B233" s="16">
        <v>5.7</v>
      </c>
      <c r="C233" s="16">
        <f t="shared" si="3"/>
        <v>7.0000000000000284E-2</v>
      </c>
    </row>
    <row r="234" spans="1:3" x14ac:dyDescent="0.25">
      <c r="A234" s="107">
        <v>26390</v>
      </c>
      <c r="B234" s="16">
        <v>5.77</v>
      </c>
      <c r="C234" s="16">
        <f t="shared" si="3"/>
        <v>6.9999999999999396E-2</v>
      </c>
    </row>
    <row r="235" spans="1:3" x14ac:dyDescent="0.25">
      <c r="A235" s="107">
        <v>26420</v>
      </c>
      <c r="B235" s="16">
        <v>5.86</v>
      </c>
      <c r="C235" s="16">
        <f t="shared" si="3"/>
        <v>9.0000000000000746E-2</v>
      </c>
    </row>
    <row r="236" spans="1:3" x14ac:dyDescent="0.25">
      <c r="A236" s="107">
        <v>26451</v>
      </c>
      <c r="B236" s="16">
        <v>5.87</v>
      </c>
      <c r="C236" s="16">
        <f t="shared" si="3"/>
        <v>9.9999999999997868E-3</v>
      </c>
    </row>
    <row r="237" spans="1:3" x14ac:dyDescent="0.25">
      <c r="A237" s="107">
        <v>26481</v>
      </c>
      <c r="B237" s="16">
        <v>5.95</v>
      </c>
      <c r="C237" s="16">
        <f t="shared" si="3"/>
        <v>8.0000000000000071E-2</v>
      </c>
    </row>
    <row r="238" spans="1:3" x14ac:dyDescent="0.25">
      <c r="A238" s="107">
        <v>26512</v>
      </c>
      <c r="B238" s="16">
        <v>6.04</v>
      </c>
      <c r="C238" s="16">
        <f t="shared" si="3"/>
        <v>8.9999999999999858E-2</v>
      </c>
    </row>
    <row r="239" spans="1:3" x14ac:dyDescent="0.25">
      <c r="A239" s="107">
        <v>26543</v>
      </c>
      <c r="B239" s="16">
        <v>6.13</v>
      </c>
      <c r="C239" s="16">
        <f t="shared" si="3"/>
        <v>8.9999999999999858E-2</v>
      </c>
    </row>
    <row r="240" spans="1:3" x14ac:dyDescent="0.25">
      <c r="A240" s="107">
        <v>26573</v>
      </c>
      <c r="B240" s="16">
        <v>6.23</v>
      </c>
      <c r="C240" s="16">
        <f t="shared" si="3"/>
        <v>0.10000000000000053</v>
      </c>
    </row>
    <row r="241" spans="1:3" x14ac:dyDescent="0.25">
      <c r="A241" s="107">
        <v>26604</v>
      </c>
      <c r="B241" s="16">
        <v>6.25</v>
      </c>
      <c r="C241" s="16">
        <f t="shared" si="3"/>
        <v>1.9999999999999574E-2</v>
      </c>
    </row>
    <row r="242" spans="1:3" x14ac:dyDescent="0.25">
      <c r="A242" s="107">
        <v>26634</v>
      </c>
      <c r="B242" s="16">
        <v>5.85</v>
      </c>
      <c r="C242" s="16">
        <f t="shared" si="3"/>
        <v>-0.40000000000000036</v>
      </c>
    </row>
    <row r="243" spans="1:3" x14ac:dyDescent="0.25">
      <c r="A243" s="107">
        <v>26665</v>
      </c>
      <c r="B243" s="16">
        <v>6.41</v>
      </c>
      <c r="C243" s="16">
        <f t="shared" si="3"/>
        <v>0.5600000000000005</v>
      </c>
    </row>
    <row r="244" spans="1:3" x14ac:dyDescent="0.25">
      <c r="A244" s="107">
        <v>26696</v>
      </c>
      <c r="B244" s="16">
        <v>6.71</v>
      </c>
      <c r="C244" s="16">
        <f t="shared" si="3"/>
        <v>0.29999999999999982</v>
      </c>
    </row>
    <row r="245" spans="1:3" x14ac:dyDescent="0.25">
      <c r="A245" s="107">
        <v>26724</v>
      </c>
      <c r="B245" s="16">
        <v>6.73</v>
      </c>
      <c r="C245" s="16">
        <f t="shared" si="3"/>
        <v>2.0000000000000462E-2</v>
      </c>
    </row>
    <row r="246" spans="1:3" x14ac:dyDescent="0.25">
      <c r="A246" s="107">
        <v>26755</v>
      </c>
      <c r="B246" s="16">
        <v>6.71</v>
      </c>
      <c r="C246" s="16">
        <f t="shared" si="3"/>
        <v>-2.0000000000000462E-2</v>
      </c>
    </row>
    <row r="247" spans="1:3" x14ac:dyDescent="0.25">
      <c r="A247" s="107">
        <v>26785</v>
      </c>
      <c r="B247" s="16">
        <v>6.71</v>
      </c>
      <c r="C247" s="16">
        <f t="shared" si="3"/>
        <v>0</v>
      </c>
    </row>
    <row r="248" spans="1:3" x14ac:dyDescent="0.25">
      <c r="A248" s="107">
        <v>26816</v>
      </c>
      <c r="B248" s="16">
        <v>6.86</v>
      </c>
      <c r="C248" s="16">
        <f t="shared" si="3"/>
        <v>0.15000000000000036</v>
      </c>
    </row>
    <row r="249" spans="1:3" x14ac:dyDescent="0.25">
      <c r="A249" s="107">
        <v>26846</v>
      </c>
      <c r="B249" s="16">
        <v>7.76</v>
      </c>
      <c r="C249" s="16">
        <f t="shared" si="3"/>
        <v>0.89999999999999947</v>
      </c>
    </row>
    <row r="250" spans="1:3" x14ac:dyDescent="0.25">
      <c r="A250" s="107">
        <v>26877</v>
      </c>
      <c r="B250" s="16">
        <v>7.25</v>
      </c>
      <c r="C250" s="16">
        <f t="shared" si="3"/>
        <v>-0.50999999999999979</v>
      </c>
    </row>
    <row r="251" spans="1:3" x14ac:dyDescent="0.25">
      <c r="A251" s="107">
        <v>26908</v>
      </c>
      <c r="B251" s="16">
        <v>6.74</v>
      </c>
      <c r="C251" s="16">
        <f t="shared" si="3"/>
        <v>-0.50999999999999979</v>
      </c>
    </row>
    <row r="252" spans="1:3" x14ac:dyDescent="0.25">
      <c r="A252" s="107">
        <v>26938</v>
      </c>
      <c r="B252" s="16">
        <v>6.77</v>
      </c>
      <c r="C252" s="16">
        <f t="shared" si="3"/>
        <v>2.9999999999999361E-2</v>
      </c>
    </row>
    <row r="253" spans="1:3" x14ac:dyDescent="0.25">
      <c r="A253" s="107">
        <v>26969</v>
      </c>
      <c r="B253" s="16">
        <v>6.74</v>
      </c>
      <c r="C253" s="16">
        <f t="shared" si="3"/>
        <v>-2.9999999999999361E-2</v>
      </c>
    </row>
    <row r="254" spans="1:3" x14ac:dyDescent="0.25">
      <c r="A254" s="107">
        <v>26999</v>
      </c>
      <c r="B254" s="16">
        <v>6.79</v>
      </c>
      <c r="C254" s="16">
        <f t="shared" si="3"/>
        <v>4.9999999999999822E-2</v>
      </c>
    </row>
    <row r="255" spans="1:3" x14ac:dyDescent="0.25">
      <c r="A255" s="107">
        <v>27030</v>
      </c>
      <c r="B255" s="16">
        <v>6.87</v>
      </c>
      <c r="C255" s="16">
        <f t="shared" si="3"/>
        <v>8.0000000000000071E-2</v>
      </c>
    </row>
    <row r="256" spans="1:3" x14ac:dyDescent="0.25">
      <c r="A256" s="107">
        <v>27061</v>
      </c>
      <c r="B256" s="16">
        <v>6.91</v>
      </c>
      <c r="C256" s="16">
        <f t="shared" si="3"/>
        <v>4.0000000000000036E-2</v>
      </c>
    </row>
    <row r="257" spans="1:3" x14ac:dyDescent="0.25">
      <c r="A257" s="107">
        <v>27089</v>
      </c>
      <c r="B257" s="16">
        <v>7.51</v>
      </c>
      <c r="C257" s="16">
        <f t="shared" si="3"/>
        <v>0.59999999999999964</v>
      </c>
    </row>
    <row r="258" spans="1:3" x14ac:dyDescent="0.25">
      <c r="A258" s="107">
        <v>27120</v>
      </c>
      <c r="B258" s="16">
        <v>8.01</v>
      </c>
      <c r="C258" s="16">
        <f t="shared" si="3"/>
        <v>0.5</v>
      </c>
    </row>
    <row r="259" spans="1:3" x14ac:dyDescent="0.25">
      <c r="A259" s="107">
        <v>27150</v>
      </c>
      <c r="B259" s="16">
        <v>7.86</v>
      </c>
      <c r="C259" s="16">
        <f t="shared" si="3"/>
        <v>-0.14999999999999947</v>
      </c>
    </row>
    <row r="260" spans="1:3" x14ac:dyDescent="0.25">
      <c r="A260" s="107">
        <v>27181</v>
      </c>
      <c r="B260" s="16">
        <v>8.2200000000000006</v>
      </c>
      <c r="C260" s="16">
        <f t="shared" ref="C260:C323" si="4">+B260-B259</f>
        <v>0.36000000000000032</v>
      </c>
    </row>
    <row r="261" spans="1:3" x14ac:dyDescent="0.25">
      <c r="A261" s="107">
        <v>27211</v>
      </c>
      <c r="B261" s="16">
        <v>8.3800000000000008</v>
      </c>
      <c r="C261" s="16">
        <f t="shared" si="4"/>
        <v>0.16000000000000014</v>
      </c>
    </row>
    <row r="262" spans="1:3" x14ac:dyDescent="0.25">
      <c r="A262" s="107">
        <v>27242</v>
      </c>
      <c r="B262" s="16">
        <v>8.57</v>
      </c>
      <c r="C262" s="16">
        <f t="shared" si="4"/>
        <v>0.1899999999999995</v>
      </c>
    </row>
    <row r="263" spans="1:3" x14ac:dyDescent="0.25">
      <c r="A263" s="107">
        <v>27273</v>
      </c>
      <c r="B263" s="16">
        <v>7.97</v>
      </c>
      <c r="C263" s="16">
        <f t="shared" si="4"/>
        <v>-0.60000000000000053</v>
      </c>
    </row>
    <row r="264" spans="1:3" x14ac:dyDescent="0.25">
      <c r="A264" s="107">
        <v>27303</v>
      </c>
      <c r="B264" s="16">
        <v>7.87</v>
      </c>
      <c r="C264" s="16">
        <f t="shared" si="4"/>
        <v>-9.9999999999999645E-2</v>
      </c>
    </row>
    <row r="265" spans="1:3" x14ac:dyDescent="0.25">
      <c r="A265" s="107">
        <v>27334</v>
      </c>
      <c r="B265" s="16">
        <v>7.43</v>
      </c>
      <c r="C265" s="16">
        <f t="shared" si="4"/>
        <v>-0.44000000000000039</v>
      </c>
    </row>
    <row r="266" spans="1:3" x14ac:dyDescent="0.25">
      <c r="A266" s="107">
        <v>27364</v>
      </c>
      <c r="B266" s="16">
        <v>7.12</v>
      </c>
      <c r="C266" s="16">
        <f t="shared" si="4"/>
        <v>-0.30999999999999961</v>
      </c>
    </row>
    <row r="267" spans="1:3" x14ac:dyDescent="0.25">
      <c r="A267" s="107">
        <v>27395</v>
      </c>
      <c r="B267" s="16">
        <v>7.3</v>
      </c>
      <c r="C267" s="16">
        <f t="shared" si="4"/>
        <v>0.17999999999999972</v>
      </c>
    </row>
    <row r="268" spans="1:3" x14ac:dyDescent="0.25">
      <c r="A268" s="107">
        <v>27426</v>
      </c>
      <c r="B268" s="16">
        <v>7.09</v>
      </c>
      <c r="C268" s="16">
        <f t="shared" si="4"/>
        <v>-0.20999999999999996</v>
      </c>
    </row>
    <row r="269" spans="1:3" x14ac:dyDescent="0.25">
      <c r="A269" s="107">
        <v>27454</v>
      </c>
      <c r="B269" s="16">
        <v>7.37</v>
      </c>
      <c r="C269" s="16">
        <f t="shared" si="4"/>
        <v>0.28000000000000025</v>
      </c>
    </row>
    <row r="270" spans="1:3" x14ac:dyDescent="0.25">
      <c r="A270" s="107">
        <v>27485</v>
      </c>
      <c r="B270" s="16">
        <v>7.98</v>
      </c>
      <c r="C270" s="16">
        <f t="shared" si="4"/>
        <v>0.61000000000000032</v>
      </c>
    </row>
    <row r="271" spans="1:3" x14ac:dyDescent="0.25">
      <c r="A271" s="107">
        <v>27515</v>
      </c>
      <c r="B271" s="16">
        <v>7.49</v>
      </c>
      <c r="C271" s="16">
        <f t="shared" si="4"/>
        <v>-0.49000000000000021</v>
      </c>
    </row>
    <row r="272" spans="1:3" x14ac:dyDescent="0.25">
      <c r="A272" s="107">
        <v>27546</v>
      </c>
      <c r="B272" s="16">
        <v>7.58</v>
      </c>
      <c r="C272" s="16">
        <f t="shared" si="4"/>
        <v>8.9999999999999858E-2</v>
      </c>
    </row>
    <row r="273" spans="1:3" x14ac:dyDescent="0.25">
      <c r="A273" s="107">
        <v>27576</v>
      </c>
      <c r="B273" s="16">
        <v>7.82</v>
      </c>
      <c r="C273" s="16">
        <f t="shared" si="4"/>
        <v>0.24000000000000021</v>
      </c>
    </row>
    <row r="274" spans="1:3" x14ac:dyDescent="0.25">
      <c r="A274" s="107">
        <v>27607</v>
      </c>
      <c r="B274" s="16">
        <v>8</v>
      </c>
      <c r="C274" s="16">
        <f t="shared" si="4"/>
        <v>0.17999999999999972</v>
      </c>
    </row>
    <row r="275" spans="1:3" x14ac:dyDescent="0.25">
      <c r="A275" s="107">
        <v>27638</v>
      </c>
      <c r="B275" s="16">
        <v>8.15</v>
      </c>
      <c r="C275" s="16">
        <f t="shared" si="4"/>
        <v>0.15000000000000036</v>
      </c>
    </row>
    <row r="276" spans="1:3" x14ac:dyDescent="0.25">
      <c r="A276" s="107">
        <v>27668</v>
      </c>
      <c r="B276" s="16">
        <v>7.36</v>
      </c>
      <c r="C276" s="16">
        <f t="shared" si="4"/>
        <v>-0.79</v>
      </c>
    </row>
    <row r="277" spans="1:3" x14ac:dyDescent="0.25">
      <c r="A277" s="107">
        <v>27699</v>
      </c>
      <c r="B277" s="16">
        <v>7.54</v>
      </c>
      <c r="C277" s="16">
        <f t="shared" si="4"/>
        <v>0.17999999999999972</v>
      </c>
    </row>
    <row r="278" spans="1:3" x14ac:dyDescent="0.25">
      <c r="A278" s="107">
        <v>27729</v>
      </c>
      <c r="B278" s="16">
        <v>7.19</v>
      </c>
      <c r="C278" s="16">
        <f t="shared" si="4"/>
        <v>-0.34999999999999964</v>
      </c>
    </row>
    <row r="279" spans="1:3" x14ac:dyDescent="0.25">
      <c r="A279" s="107">
        <v>27760</v>
      </c>
      <c r="B279" s="16">
        <v>7.43</v>
      </c>
      <c r="C279" s="16">
        <f t="shared" si="4"/>
        <v>0.23999999999999932</v>
      </c>
    </row>
    <row r="280" spans="1:3" x14ac:dyDescent="0.25">
      <c r="A280" s="107">
        <v>27791</v>
      </c>
      <c r="B280" s="16">
        <v>7.36</v>
      </c>
      <c r="C280" s="16">
        <f t="shared" si="4"/>
        <v>-6.9999999999999396E-2</v>
      </c>
    </row>
    <row r="281" spans="1:3" x14ac:dyDescent="0.25">
      <c r="A281" s="107">
        <v>27820</v>
      </c>
      <c r="B281" s="16">
        <v>7.33</v>
      </c>
      <c r="C281" s="16">
        <f t="shared" si="4"/>
        <v>-3.0000000000000249E-2</v>
      </c>
    </row>
    <row r="282" spans="1:3" x14ac:dyDescent="0.25">
      <c r="A282" s="107">
        <v>27851</v>
      </c>
      <c r="B282" s="16">
        <v>7.19</v>
      </c>
      <c r="C282" s="16">
        <f t="shared" si="4"/>
        <v>-0.13999999999999968</v>
      </c>
    </row>
    <row r="283" spans="1:3" x14ac:dyDescent="0.25">
      <c r="A283" s="107">
        <v>27881</v>
      </c>
      <c r="B283" s="16">
        <v>7.71</v>
      </c>
      <c r="C283" s="16">
        <f t="shared" si="4"/>
        <v>0.51999999999999957</v>
      </c>
    </row>
    <row r="284" spans="1:3" x14ac:dyDescent="0.25">
      <c r="A284" s="107">
        <v>27912</v>
      </c>
      <c r="B284" s="16">
        <v>7.47</v>
      </c>
      <c r="C284" s="16">
        <f t="shared" si="4"/>
        <v>-0.24000000000000021</v>
      </c>
    </row>
    <row r="285" spans="1:3" x14ac:dyDescent="0.25">
      <c r="A285" s="107">
        <v>27942</v>
      </c>
      <c r="B285" s="16">
        <v>7.32</v>
      </c>
      <c r="C285" s="16">
        <f t="shared" si="4"/>
        <v>-0.14999999999999947</v>
      </c>
    </row>
    <row r="286" spans="1:3" x14ac:dyDescent="0.25">
      <c r="A286" s="107">
        <v>27973</v>
      </c>
      <c r="B286" s="16">
        <v>6.97</v>
      </c>
      <c r="C286" s="16">
        <f t="shared" si="4"/>
        <v>-0.35000000000000053</v>
      </c>
    </row>
    <row r="287" spans="1:3" x14ac:dyDescent="0.25">
      <c r="A287" s="107">
        <v>28004</v>
      </c>
      <c r="B287" s="16">
        <v>6.92</v>
      </c>
      <c r="C287" s="16">
        <f t="shared" si="4"/>
        <v>-4.9999999999999822E-2</v>
      </c>
    </row>
    <row r="288" spans="1:3" x14ac:dyDescent="0.25">
      <c r="A288" s="107">
        <v>28034</v>
      </c>
      <c r="B288" s="16">
        <v>6.67</v>
      </c>
      <c r="C288" s="16">
        <f t="shared" si="4"/>
        <v>-0.25</v>
      </c>
    </row>
    <row r="289" spans="1:3" x14ac:dyDescent="0.25">
      <c r="A289" s="107">
        <v>28065</v>
      </c>
      <c r="B289" s="16">
        <v>5.94</v>
      </c>
      <c r="C289" s="16">
        <f t="shared" si="4"/>
        <v>-0.72999999999999954</v>
      </c>
    </row>
    <row r="290" spans="1:3" x14ac:dyDescent="0.25">
      <c r="A290" s="107">
        <v>28095</v>
      </c>
      <c r="B290" s="16">
        <v>6</v>
      </c>
      <c r="C290" s="16">
        <f t="shared" si="4"/>
        <v>5.9999999999999609E-2</v>
      </c>
    </row>
    <row r="291" spans="1:3" x14ac:dyDescent="0.25">
      <c r="A291" s="107">
        <v>28126</v>
      </c>
      <c r="B291" s="16">
        <v>6.73</v>
      </c>
      <c r="C291" s="16">
        <f t="shared" si="4"/>
        <v>0.73000000000000043</v>
      </c>
    </row>
    <row r="292" spans="1:3" x14ac:dyDescent="0.25">
      <c r="A292" s="107">
        <v>28157</v>
      </c>
      <c r="B292" s="16">
        <v>6.73</v>
      </c>
      <c r="C292" s="16">
        <f t="shared" si="4"/>
        <v>0</v>
      </c>
    </row>
    <row r="293" spans="1:3" x14ac:dyDescent="0.25">
      <c r="A293" s="107">
        <v>28185</v>
      </c>
      <c r="B293" s="16">
        <v>6.73</v>
      </c>
      <c r="C293" s="16">
        <f t="shared" si="4"/>
        <v>0</v>
      </c>
    </row>
    <row r="294" spans="1:3" x14ac:dyDescent="0.25">
      <c r="A294" s="107">
        <v>28216</v>
      </c>
      <c r="B294" s="16">
        <v>6.74</v>
      </c>
      <c r="C294" s="16">
        <f t="shared" si="4"/>
        <v>9.9999999999997868E-3</v>
      </c>
    </row>
    <row r="295" spans="1:3" x14ac:dyDescent="0.25">
      <c r="A295" s="107">
        <v>28246</v>
      </c>
      <c r="B295" s="16">
        <v>6.74</v>
      </c>
      <c r="C295" s="16">
        <f t="shared" si="4"/>
        <v>0</v>
      </c>
    </row>
    <row r="296" spans="1:3" x14ac:dyDescent="0.25">
      <c r="A296" s="107">
        <v>28277</v>
      </c>
      <c r="B296" s="16">
        <v>6.62</v>
      </c>
      <c r="C296" s="16">
        <f t="shared" si="4"/>
        <v>-0.12000000000000011</v>
      </c>
    </row>
    <row r="297" spans="1:3" x14ac:dyDescent="0.25">
      <c r="A297" s="107">
        <v>28307</v>
      </c>
      <c r="B297" s="16">
        <v>6.75</v>
      </c>
      <c r="C297" s="16">
        <f t="shared" si="4"/>
        <v>0.12999999999999989</v>
      </c>
    </row>
    <row r="298" spans="1:3" x14ac:dyDescent="0.25">
      <c r="A298" s="107">
        <v>28338</v>
      </c>
      <c r="B298" s="16">
        <v>6.89</v>
      </c>
      <c r="C298" s="16">
        <f t="shared" si="4"/>
        <v>0.13999999999999968</v>
      </c>
    </row>
    <row r="299" spans="1:3" x14ac:dyDescent="0.25">
      <c r="A299" s="107">
        <v>28369</v>
      </c>
      <c r="B299" s="16">
        <v>7</v>
      </c>
      <c r="C299" s="16">
        <f t="shared" si="4"/>
        <v>0.11000000000000032</v>
      </c>
    </row>
    <row r="300" spans="1:3" x14ac:dyDescent="0.25">
      <c r="A300" s="107">
        <v>28399</v>
      </c>
      <c r="B300" s="16">
        <v>7.33</v>
      </c>
      <c r="C300" s="16">
        <f t="shared" si="4"/>
        <v>0.33000000000000007</v>
      </c>
    </row>
    <row r="301" spans="1:3" x14ac:dyDescent="0.25">
      <c r="A301" s="107">
        <v>28430</v>
      </c>
      <c r="B301" s="16">
        <v>7.27</v>
      </c>
      <c r="C301" s="16">
        <f t="shared" si="4"/>
        <v>-6.0000000000000497E-2</v>
      </c>
    </row>
    <row r="302" spans="1:3" x14ac:dyDescent="0.25">
      <c r="A302" s="107">
        <v>28460</v>
      </c>
      <c r="B302" s="16">
        <v>7.51</v>
      </c>
      <c r="C302" s="16">
        <f t="shared" si="4"/>
        <v>0.24000000000000021</v>
      </c>
    </row>
    <row r="303" spans="1:3" x14ac:dyDescent="0.25">
      <c r="A303" s="107">
        <v>28491</v>
      </c>
      <c r="B303" s="16">
        <v>7.73</v>
      </c>
      <c r="C303" s="16">
        <f t="shared" si="4"/>
        <v>0.22000000000000064</v>
      </c>
    </row>
    <row r="304" spans="1:3" x14ac:dyDescent="0.25">
      <c r="A304" s="107">
        <v>28522</v>
      </c>
      <c r="B304" s="16">
        <v>7.84</v>
      </c>
      <c r="C304" s="16">
        <f t="shared" si="4"/>
        <v>0.10999999999999943</v>
      </c>
    </row>
    <row r="305" spans="1:3" x14ac:dyDescent="0.25">
      <c r="A305" s="107">
        <v>28550</v>
      </c>
      <c r="B305" s="16">
        <v>7.91</v>
      </c>
      <c r="C305" s="16">
        <f t="shared" si="4"/>
        <v>7.0000000000000284E-2</v>
      </c>
    </row>
    <row r="306" spans="1:3" x14ac:dyDescent="0.25">
      <c r="A306" s="107">
        <v>28581</v>
      </c>
      <c r="B306" s="16">
        <v>8</v>
      </c>
      <c r="C306" s="16">
        <f t="shared" si="4"/>
        <v>8.9999999999999858E-2</v>
      </c>
    </row>
    <row r="307" spans="1:3" x14ac:dyDescent="0.25">
      <c r="A307" s="107">
        <v>28611</v>
      </c>
      <c r="B307" s="16">
        <v>8.1999999999999993</v>
      </c>
      <c r="C307" s="16">
        <f t="shared" si="4"/>
        <v>0.19999999999999929</v>
      </c>
    </row>
    <row r="308" spans="1:3" x14ac:dyDescent="0.25">
      <c r="A308" s="107">
        <v>28642</v>
      </c>
      <c r="B308" s="16">
        <v>8.43</v>
      </c>
      <c r="C308" s="16">
        <f t="shared" si="4"/>
        <v>0.23000000000000043</v>
      </c>
    </row>
    <row r="309" spans="1:3" x14ac:dyDescent="0.25">
      <c r="A309" s="107">
        <v>28672</v>
      </c>
      <c r="B309" s="16">
        <v>8.36</v>
      </c>
      <c r="C309" s="16">
        <f t="shared" si="4"/>
        <v>-7.0000000000000284E-2</v>
      </c>
    </row>
    <row r="310" spans="1:3" x14ac:dyDescent="0.25">
      <c r="A310" s="107">
        <v>28703</v>
      </c>
      <c r="B310" s="16">
        <v>8.33</v>
      </c>
      <c r="C310" s="16">
        <f t="shared" si="4"/>
        <v>-2.9999999999999361E-2</v>
      </c>
    </row>
    <row r="311" spans="1:3" x14ac:dyDescent="0.25">
      <c r="A311" s="107">
        <v>28734</v>
      </c>
      <c r="B311" s="16">
        <v>8.35</v>
      </c>
      <c r="C311" s="16">
        <f t="shared" si="4"/>
        <v>1.9999999999999574E-2</v>
      </c>
    </row>
    <row r="312" spans="1:3" x14ac:dyDescent="0.25">
      <c r="A312" s="107">
        <v>28764</v>
      </c>
      <c r="B312" s="16">
        <v>8.8699999999999992</v>
      </c>
      <c r="C312" s="16">
        <f t="shared" si="4"/>
        <v>0.51999999999999957</v>
      </c>
    </row>
    <row r="313" spans="1:3" x14ac:dyDescent="0.25">
      <c r="A313" s="107">
        <v>28795</v>
      </c>
      <c r="B313" s="16">
        <v>8.82</v>
      </c>
      <c r="C313" s="16">
        <f t="shared" si="4"/>
        <v>-4.9999999999998934E-2</v>
      </c>
    </row>
    <row r="314" spans="1:3" x14ac:dyDescent="0.25">
      <c r="A314" s="107">
        <v>28825</v>
      </c>
      <c r="B314" s="16">
        <v>8.83</v>
      </c>
      <c r="C314" s="16">
        <f t="shared" si="4"/>
        <v>9.9999999999997868E-3</v>
      </c>
    </row>
    <row r="315" spans="1:3" x14ac:dyDescent="0.25">
      <c r="A315" s="107">
        <v>28856</v>
      </c>
      <c r="B315" s="16">
        <v>8.9499999999999993</v>
      </c>
      <c r="C315" s="16">
        <f t="shared" si="4"/>
        <v>0.11999999999999922</v>
      </c>
    </row>
    <row r="316" spans="1:3" x14ac:dyDescent="0.25">
      <c r="A316" s="107">
        <v>28887</v>
      </c>
      <c r="B316" s="16">
        <v>9.2799999999999994</v>
      </c>
      <c r="C316" s="16">
        <f t="shared" si="4"/>
        <v>0.33000000000000007</v>
      </c>
    </row>
    <row r="317" spans="1:3" x14ac:dyDescent="0.25">
      <c r="A317" s="107">
        <v>28915</v>
      </c>
      <c r="B317" s="16">
        <v>9.18</v>
      </c>
      <c r="C317" s="16">
        <f t="shared" si="4"/>
        <v>-9.9999999999999645E-2</v>
      </c>
    </row>
    <row r="318" spans="1:3" x14ac:dyDescent="0.25">
      <c r="A318" s="107">
        <v>28946</v>
      </c>
      <c r="B318" s="16">
        <v>9.2899999999999991</v>
      </c>
      <c r="C318" s="16">
        <f t="shared" si="4"/>
        <v>0.10999999999999943</v>
      </c>
    </row>
    <row r="319" spans="1:3" x14ac:dyDescent="0.25">
      <c r="A319" s="107">
        <v>28976</v>
      </c>
      <c r="B319" s="16">
        <v>8.99</v>
      </c>
      <c r="C319" s="16">
        <f t="shared" si="4"/>
        <v>-0.29999999999999893</v>
      </c>
    </row>
    <row r="320" spans="1:3" x14ac:dyDescent="0.25">
      <c r="A320" s="107">
        <v>29007</v>
      </c>
      <c r="B320" s="16">
        <v>8.64</v>
      </c>
      <c r="C320" s="16">
        <f t="shared" si="4"/>
        <v>-0.34999999999999964</v>
      </c>
    </row>
    <row r="321" spans="1:3" x14ac:dyDescent="0.25">
      <c r="A321" s="107">
        <v>29037</v>
      </c>
      <c r="B321" s="16">
        <v>8.8699999999999992</v>
      </c>
      <c r="C321" s="16">
        <f t="shared" si="4"/>
        <v>0.22999999999999865</v>
      </c>
    </row>
    <row r="322" spans="1:3" x14ac:dyDescent="0.25">
      <c r="A322" s="107">
        <v>29068</v>
      </c>
      <c r="B322" s="16">
        <v>9.33</v>
      </c>
      <c r="C322" s="16">
        <f t="shared" si="4"/>
        <v>0.46000000000000085</v>
      </c>
    </row>
    <row r="323" spans="1:3" x14ac:dyDescent="0.25">
      <c r="A323" s="107">
        <v>29099</v>
      </c>
      <c r="B323" s="16">
        <v>9.51</v>
      </c>
      <c r="C323" s="16">
        <f t="shared" si="4"/>
        <v>0.17999999999999972</v>
      </c>
    </row>
    <row r="324" spans="1:3" x14ac:dyDescent="0.25">
      <c r="A324" s="107">
        <v>29129</v>
      </c>
      <c r="B324" s="16">
        <v>11.12</v>
      </c>
      <c r="C324" s="16">
        <f t="shared" ref="C324:C387" si="5">+B324-B323</f>
        <v>1.6099999999999994</v>
      </c>
    </row>
    <row r="325" spans="1:3" x14ac:dyDescent="0.25">
      <c r="A325" s="107">
        <v>29160</v>
      </c>
      <c r="B325" s="16">
        <v>10.33</v>
      </c>
      <c r="C325" s="16">
        <f t="shared" si="5"/>
        <v>-0.78999999999999915</v>
      </c>
    </row>
    <row r="326" spans="1:3" x14ac:dyDescent="0.25">
      <c r="A326" s="107">
        <v>29190</v>
      </c>
      <c r="B326" s="16">
        <v>10.33</v>
      </c>
      <c r="C326" s="16">
        <f t="shared" si="5"/>
        <v>0</v>
      </c>
    </row>
    <row r="327" spans="1:3" x14ac:dyDescent="0.25">
      <c r="A327" s="107">
        <v>29221</v>
      </c>
      <c r="B327" s="16">
        <v>10.93</v>
      </c>
      <c r="C327" s="16">
        <f t="shared" si="5"/>
        <v>0.59999999999999964</v>
      </c>
    </row>
    <row r="328" spans="1:3" x14ac:dyDescent="0.25">
      <c r="A328" s="107">
        <v>29252</v>
      </c>
      <c r="B328" s="16">
        <v>12.94</v>
      </c>
      <c r="C328" s="16">
        <f t="shared" si="5"/>
        <v>2.0099999999999998</v>
      </c>
    </row>
    <row r="329" spans="1:3" x14ac:dyDescent="0.25">
      <c r="A329" s="107">
        <v>29281</v>
      </c>
      <c r="B329" s="16">
        <v>12.85</v>
      </c>
      <c r="C329" s="16">
        <f t="shared" si="5"/>
        <v>-8.9999999999999858E-2</v>
      </c>
    </row>
    <row r="330" spans="1:3" x14ac:dyDescent="0.25">
      <c r="A330" s="107">
        <v>29312</v>
      </c>
      <c r="B330" s="16">
        <v>10.09</v>
      </c>
      <c r="C330" s="16">
        <f t="shared" si="5"/>
        <v>-2.76</v>
      </c>
    </row>
    <row r="331" spans="1:3" x14ac:dyDescent="0.25">
      <c r="A331" s="107">
        <v>29342</v>
      </c>
      <c r="B331" s="16">
        <v>9.0299999999999994</v>
      </c>
      <c r="C331" s="16">
        <f t="shared" si="5"/>
        <v>-1.0600000000000005</v>
      </c>
    </row>
    <row r="332" spans="1:3" x14ac:dyDescent="0.25">
      <c r="A332" s="107">
        <v>29373</v>
      </c>
      <c r="B332" s="16">
        <v>9.44</v>
      </c>
      <c r="C332" s="16">
        <f t="shared" si="5"/>
        <v>0.41000000000000014</v>
      </c>
    </row>
    <row r="333" spans="1:3" x14ac:dyDescent="0.25">
      <c r="A333" s="107">
        <v>29403</v>
      </c>
      <c r="B333" s="16">
        <v>9.9600000000000009</v>
      </c>
      <c r="C333" s="16">
        <f t="shared" si="5"/>
        <v>0.52000000000000135</v>
      </c>
    </row>
    <row r="334" spans="1:3" x14ac:dyDescent="0.25">
      <c r="A334" s="107">
        <v>29434</v>
      </c>
      <c r="B334" s="16">
        <v>11.33</v>
      </c>
      <c r="C334" s="16">
        <f t="shared" si="5"/>
        <v>1.3699999999999992</v>
      </c>
    </row>
    <row r="335" spans="1:3" x14ac:dyDescent="0.25">
      <c r="A335" s="107">
        <v>29465</v>
      </c>
      <c r="B335" s="16">
        <v>11.71</v>
      </c>
      <c r="C335" s="16">
        <f t="shared" si="5"/>
        <v>0.38000000000000078</v>
      </c>
    </row>
    <row r="336" spans="1:3" x14ac:dyDescent="0.25">
      <c r="A336" s="107">
        <v>29495</v>
      </c>
      <c r="B336" s="16">
        <v>12.44</v>
      </c>
      <c r="C336" s="16">
        <f t="shared" si="5"/>
        <v>0.72999999999999865</v>
      </c>
    </row>
    <row r="337" spans="1:3" x14ac:dyDescent="0.25">
      <c r="A337" s="107">
        <v>29526</v>
      </c>
      <c r="B337" s="16">
        <v>12.64</v>
      </c>
      <c r="C337" s="16">
        <f t="shared" si="5"/>
        <v>0.20000000000000107</v>
      </c>
    </row>
    <row r="338" spans="1:3" x14ac:dyDescent="0.25">
      <c r="A338" s="107">
        <v>29556</v>
      </c>
      <c r="B338" s="16">
        <v>12.45</v>
      </c>
      <c r="C338" s="16">
        <f t="shared" si="5"/>
        <v>-0.19000000000000128</v>
      </c>
    </row>
    <row r="339" spans="1:3" x14ac:dyDescent="0.25">
      <c r="A339" s="107">
        <v>29587</v>
      </c>
      <c r="B339" s="16">
        <v>12.75</v>
      </c>
      <c r="C339" s="16">
        <f t="shared" si="5"/>
        <v>0.30000000000000071</v>
      </c>
    </row>
    <row r="340" spans="1:3" x14ac:dyDescent="0.25">
      <c r="A340" s="107">
        <v>29618</v>
      </c>
      <c r="B340" s="16">
        <v>13.71</v>
      </c>
      <c r="C340" s="16">
        <f t="shared" si="5"/>
        <v>0.96000000000000085</v>
      </c>
    </row>
    <row r="341" spans="1:3" x14ac:dyDescent="0.25">
      <c r="A341" s="107">
        <v>29646</v>
      </c>
      <c r="B341" s="16">
        <v>13.28</v>
      </c>
      <c r="C341" s="16">
        <f t="shared" si="5"/>
        <v>-0.43000000000000149</v>
      </c>
    </row>
    <row r="342" spans="1:3" x14ac:dyDescent="0.25">
      <c r="A342" s="107">
        <v>29677</v>
      </c>
      <c r="B342" s="16">
        <v>14.27</v>
      </c>
      <c r="C342" s="16">
        <f t="shared" si="5"/>
        <v>0.99000000000000021</v>
      </c>
    </row>
    <row r="343" spans="1:3" x14ac:dyDescent="0.25">
      <c r="A343" s="107">
        <v>29707</v>
      </c>
      <c r="B343" s="16">
        <v>13.85</v>
      </c>
      <c r="C343" s="16">
        <f t="shared" si="5"/>
        <v>-0.41999999999999993</v>
      </c>
    </row>
    <row r="344" spans="1:3" x14ac:dyDescent="0.25">
      <c r="A344" s="107">
        <v>29738</v>
      </c>
      <c r="B344" s="16">
        <v>14.04</v>
      </c>
      <c r="C344" s="16">
        <f t="shared" si="5"/>
        <v>0.1899999999999995</v>
      </c>
    </row>
    <row r="345" spans="1:3" x14ac:dyDescent="0.25">
      <c r="A345" s="107">
        <v>29768</v>
      </c>
      <c r="B345" s="16">
        <v>15.33</v>
      </c>
      <c r="C345" s="16">
        <f t="shared" si="5"/>
        <v>1.2900000000000009</v>
      </c>
    </row>
    <row r="346" spans="1:3" x14ac:dyDescent="0.25">
      <c r="A346" s="107">
        <v>29799</v>
      </c>
      <c r="B346" s="16">
        <v>16.36</v>
      </c>
      <c r="C346" s="16">
        <f t="shared" si="5"/>
        <v>1.0299999999999994</v>
      </c>
    </row>
    <row r="347" spans="1:3" x14ac:dyDescent="0.25">
      <c r="A347" s="107">
        <v>29830</v>
      </c>
      <c r="B347" s="16">
        <v>16.25</v>
      </c>
      <c r="C347" s="16">
        <f t="shared" si="5"/>
        <v>-0.10999999999999943</v>
      </c>
    </row>
    <row r="348" spans="1:3" x14ac:dyDescent="0.25">
      <c r="A348" s="107">
        <v>29860</v>
      </c>
      <c r="B348" s="16">
        <v>14.72</v>
      </c>
      <c r="C348" s="16">
        <f t="shared" si="5"/>
        <v>-1.5299999999999994</v>
      </c>
    </row>
    <row r="349" spans="1:3" x14ac:dyDescent="0.25">
      <c r="A349" s="107">
        <v>29891</v>
      </c>
      <c r="B349" s="16">
        <v>13.11</v>
      </c>
      <c r="C349" s="16">
        <f t="shared" si="5"/>
        <v>-1.6100000000000012</v>
      </c>
    </row>
    <row r="350" spans="1:3" x14ac:dyDescent="0.25">
      <c r="A350" s="107">
        <v>29921</v>
      </c>
      <c r="B350" s="16">
        <v>13.96</v>
      </c>
      <c r="C350" s="16">
        <f t="shared" si="5"/>
        <v>0.85000000000000142</v>
      </c>
    </row>
    <row r="351" spans="1:3" x14ac:dyDescent="0.25">
      <c r="A351" s="107">
        <v>29952</v>
      </c>
      <c r="B351" s="16">
        <v>13.97</v>
      </c>
      <c r="C351" s="16">
        <f t="shared" si="5"/>
        <v>9.9999999999997868E-3</v>
      </c>
    </row>
    <row r="352" spans="1:3" x14ac:dyDescent="0.25">
      <c r="A352" s="107">
        <v>29983</v>
      </c>
      <c r="B352" s="16">
        <v>13.85</v>
      </c>
      <c r="C352" s="16">
        <f t="shared" si="5"/>
        <v>-0.12000000000000099</v>
      </c>
    </row>
    <row r="353" spans="1:3" x14ac:dyDescent="0.25">
      <c r="A353" s="107">
        <v>30011</v>
      </c>
      <c r="B353" s="16">
        <v>14.06</v>
      </c>
      <c r="C353" s="16">
        <f t="shared" si="5"/>
        <v>0.21000000000000085</v>
      </c>
    </row>
    <row r="354" spans="1:3" x14ac:dyDescent="0.25">
      <c r="A354" s="107">
        <v>30042</v>
      </c>
      <c r="B354" s="16">
        <v>13.55</v>
      </c>
      <c r="C354" s="16">
        <f t="shared" si="5"/>
        <v>-0.50999999999999979</v>
      </c>
    </row>
    <row r="355" spans="1:3" x14ac:dyDescent="0.25">
      <c r="A355" s="107">
        <v>30072</v>
      </c>
      <c r="B355" s="16">
        <v>13.43</v>
      </c>
      <c r="C355" s="16">
        <f t="shared" si="5"/>
        <v>-0.12000000000000099</v>
      </c>
    </row>
    <row r="356" spans="1:3" x14ac:dyDescent="0.25">
      <c r="A356" s="107">
        <v>30103</v>
      </c>
      <c r="B356" s="16">
        <v>14.17</v>
      </c>
      <c r="C356" s="16">
        <f t="shared" si="5"/>
        <v>0.74000000000000021</v>
      </c>
    </row>
    <row r="357" spans="1:3" x14ac:dyDescent="0.25">
      <c r="A357" s="107">
        <v>30133</v>
      </c>
      <c r="B357" s="16">
        <v>13.15</v>
      </c>
      <c r="C357" s="16">
        <f t="shared" si="5"/>
        <v>-1.0199999999999996</v>
      </c>
    </row>
    <row r="358" spans="1:3" x14ac:dyDescent="0.25">
      <c r="A358" s="107">
        <v>30164</v>
      </c>
      <c r="B358" s="16">
        <v>12.09</v>
      </c>
      <c r="C358" s="16">
        <f t="shared" si="5"/>
        <v>-1.0600000000000005</v>
      </c>
    </row>
    <row r="359" spans="1:3" x14ac:dyDescent="0.25">
      <c r="A359" s="107">
        <v>30195</v>
      </c>
      <c r="B359" s="16">
        <v>11.44</v>
      </c>
      <c r="C359" s="16">
        <f t="shared" si="5"/>
        <v>-0.65000000000000036</v>
      </c>
    </row>
    <row r="360" spans="1:3" x14ac:dyDescent="0.25">
      <c r="A360" s="107">
        <v>30225</v>
      </c>
      <c r="B360" s="16">
        <v>10.18</v>
      </c>
      <c r="C360" s="16">
        <f t="shared" si="5"/>
        <v>-1.2599999999999998</v>
      </c>
    </row>
    <row r="361" spans="1:3" x14ac:dyDescent="0.25">
      <c r="A361" s="107">
        <v>30256</v>
      </c>
      <c r="B361" s="16">
        <v>10.199999999999999</v>
      </c>
      <c r="C361" s="16">
        <f t="shared" si="5"/>
        <v>1.9999999999999574E-2</v>
      </c>
    </row>
    <row r="362" spans="1:3" x14ac:dyDescent="0.25">
      <c r="A362" s="107">
        <v>30286</v>
      </c>
      <c r="B362" s="16">
        <v>9.9</v>
      </c>
      <c r="C362" s="16">
        <f t="shared" si="5"/>
        <v>-0.29999999999999893</v>
      </c>
    </row>
    <row r="363" spans="1:3" x14ac:dyDescent="0.25">
      <c r="A363" s="107">
        <v>30317</v>
      </c>
      <c r="B363" s="16">
        <v>10.57</v>
      </c>
      <c r="C363" s="16">
        <f t="shared" si="5"/>
        <v>0.66999999999999993</v>
      </c>
    </row>
    <row r="364" spans="1:3" x14ac:dyDescent="0.25">
      <c r="A364" s="107">
        <v>30348</v>
      </c>
      <c r="B364" s="16">
        <v>10.1</v>
      </c>
      <c r="C364" s="16">
        <f t="shared" si="5"/>
        <v>-0.47000000000000064</v>
      </c>
    </row>
    <row r="365" spans="1:3" x14ac:dyDescent="0.25">
      <c r="A365" s="107">
        <v>30376</v>
      </c>
      <c r="B365" s="16">
        <v>10.48</v>
      </c>
      <c r="C365" s="16">
        <f t="shared" si="5"/>
        <v>0.38000000000000078</v>
      </c>
    </row>
    <row r="366" spans="1:3" x14ac:dyDescent="0.25">
      <c r="A366" s="107">
        <v>30407</v>
      </c>
      <c r="B366" s="16">
        <v>9.9700000000000006</v>
      </c>
      <c r="C366" s="16">
        <f t="shared" si="5"/>
        <v>-0.50999999999999979</v>
      </c>
    </row>
    <row r="367" spans="1:3" x14ac:dyDescent="0.25">
      <c r="A367" s="107">
        <v>30437</v>
      </c>
      <c r="B367" s="16">
        <v>10.59</v>
      </c>
      <c r="C367" s="16">
        <f t="shared" si="5"/>
        <v>0.61999999999999922</v>
      </c>
    </row>
    <row r="368" spans="1:3" x14ac:dyDescent="0.25">
      <c r="A368" s="107">
        <v>30468</v>
      </c>
      <c r="B368" s="16">
        <v>10.8</v>
      </c>
      <c r="C368" s="16">
        <f t="shared" si="5"/>
        <v>0.21000000000000085</v>
      </c>
    </row>
    <row r="369" spans="1:3" x14ac:dyDescent="0.25">
      <c r="A369" s="107">
        <v>30498</v>
      </c>
      <c r="B369" s="16">
        <v>11.68</v>
      </c>
      <c r="C369" s="16">
        <f t="shared" si="5"/>
        <v>0.87999999999999901</v>
      </c>
    </row>
    <row r="370" spans="1:3" x14ac:dyDescent="0.25">
      <c r="A370" s="107">
        <v>30529</v>
      </c>
      <c r="B370" s="16">
        <v>11.75</v>
      </c>
      <c r="C370" s="16">
        <f t="shared" si="5"/>
        <v>7.0000000000000284E-2</v>
      </c>
    </row>
    <row r="371" spans="1:3" x14ac:dyDescent="0.25">
      <c r="A371" s="107">
        <v>30560</v>
      </c>
      <c r="B371" s="16">
        <v>11.08</v>
      </c>
      <c r="C371" s="16">
        <f t="shared" si="5"/>
        <v>-0.66999999999999993</v>
      </c>
    </row>
    <row r="372" spans="1:3" x14ac:dyDescent="0.25">
      <c r="A372" s="107">
        <v>30590</v>
      </c>
      <c r="B372" s="16">
        <v>11.31</v>
      </c>
      <c r="C372" s="16">
        <f t="shared" si="5"/>
        <v>0.23000000000000043</v>
      </c>
    </row>
    <row r="373" spans="1:3" x14ac:dyDescent="0.25">
      <c r="A373" s="107">
        <v>30621</v>
      </c>
      <c r="B373" s="16">
        <v>11.27</v>
      </c>
      <c r="C373" s="16">
        <f t="shared" si="5"/>
        <v>-4.0000000000000924E-2</v>
      </c>
    </row>
    <row r="374" spans="1:3" x14ac:dyDescent="0.25">
      <c r="A374" s="107">
        <v>30651</v>
      </c>
      <c r="B374" s="16">
        <v>11.41</v>
      </c>
      <c r="C374" s="16">
        <f t="shared" si="5"/>
        <v>0.14000000000000057</v>
      </c>
    </row>
    <row r="375" spans="1:3" x14ac:dyDescent="0.25">
      <c r="A375" s="107">
        <v>30682</v>
      </c>
      <c r="B375" s="16">
        <v>11.37</v>
      </c>
      <c r="C375" s="16">
        <f t="shared" si="5"/>
        <v>-4.0000000000000924E-2</v>
      </c>
    </row>
    <row r="376" spans="1:3" x14ac:dyDescent="0.25">
      <c r="A376" s="107">
        <v>30713</v>
      </c>
      <c r="B376" s="16">
        <v>11.81</v>
      </c>
      <c r="C376" s="16">
        <f t="shared" si="5"/>
        <v>0.44000000000000128</v>
      </c>
    </row>
    <row r="377" spans="1:3" x14ac:dyDescent="0.25">
      <c r="A377" s="107">
        <v>30742</v>
      </c>
      <c r="B377" s="16">
        <v>12.19</v>
      </c>
      <c r="C377" s="16">
        <f t="shared" si="5"/>
        <v>0.37999999999999901</v>
      </c>
    </row>
    <row r="378" spans="1:3" x14ac:dyDescent="0.25">
      <c r="A378" s="107">
        <v>30773</v>
      </c>
      <c r="B378" s="16">
        <v>12.51</v>
      </c>
      <c r="C378" s="16">
        <f t="shared" si="5"/>
        <v>0.32000000000000028</v>
      </c>
    </row>
    <row r="379" spans="1:3" x14ac:dyDescent="0.25">
      <c r="A379" s="107">
        <v>30803</v>
      </c>
      <c r="B379" s="16">
        <v>13.63</v>
      </c>
      <c r="C379" s="16">
        <f t="shared" si="5"/>
        <v>1.120000000000001</v>
      </c>
    </row>
    <row r="380" spans="1:3" x14ac:dyDescent="0.25">
      <c r="A380" s="107">
        <v>30834</v>
      </c>
      <c r="B380" s="16">
        <v>13.65</v>
      </c>
      <c r="C380" s="16">
        <f t="shared" si="5"/>
        <v>1.9999999999999574E-2</v>
      </c>
    </row>
    <row r="381" spans="1:3" x14ac:dyDescent="0.25">
      <c r="A381" s="107">
        <v>30864</v>
      </c>
      <c r="B381" s="16">
        <v>12.74</v>
      </c>
      <c r="C381" s="16">
        <f t="shared" si="5"/>
        <v>-0.91000000000000014</v>
      </c>
    </row>
    <row r="382" spans="1:3" x14ac:dyDescent="0.25">
      <c r="A382" s="107">
        <v>30895</v>
      </c>
      <c r="B382" s="16">
        <v>12.76</v>
      </c>
      <c r="C382" s="16">
        <f t="shared" si="5"/>
        <v>1.9999999999999574E-2</v>
      </c>
    </row>
    <row r="383" spans="1:3" x14ac:dyDescent="0.25">
      <c r="A383" s="107">
        <v>30926</v>
      </c>
      <c r="B383" s="16">
        <v>12.42</v>
      </c>
      <c r="C383" s="16">
        <f t="shared" si="5"/>
        <v>-0.33999999999999986</v>
      </c>
    </row>
    <row r="384" spans="1:3" x14ac:dyDescent="0.25">
      <c r="A384" s="107">
        <v>30956</v>
      </c>
      <c r="B384" s="16">
        <v>11.54</v>
      </c>
      <c r="C384" s="16">
        <f t="shared" si="5"/>
        <v>-0.88000000000000078</v>
      </c>
    </row>
    <row r="385" spans="1:3" x14ac:dyDescent="0.25">
      <c r="A385" s="107">
        <v>30987</v>
      </c>
      <c r="B385" s="16">
        <v>11.21</v>
      </c>
      <c r="C385" s="16">
        <f t="shared" si="5"/>
        <v>-0.32999999999999829</v>
      </c>
    </row>
    <row r="386" spans="1:3" x14ac:dyDescent="0.25">
      <c r="A386" s="107">
        <v>31017</v>
      </c>
      <c r="B386" s="16">
        <v>11.04</v>
      </c>
      <c r="C386" s="16">
        <f t="shared" si="5"/>
        <v>-0.17000000000000171</v>
      </c>
    </row>
    <row r="387" spans="1:3" x14ac:dyDescent="0.25">
      <c r="A387" s="107">
        <v>31048</v>
      </c>
      <c r="B387" s="16">
        <v>10.81</v>
      </c>
      <c r="C387" s="16">
        <f t="shared" si="5"/>
        <v>-0.22999999999999865</v>
      </c>
    </row>
    <row r="388" spans="1:3" x14ac:dyDescent="0.25">
      <c r="A388" s="107">
        <v>31079</v>
      </c>
      <c r="B388" s="16">
        <v>11.52</v>
      </c>
      <c r="C388" s="16">
        <f t="shared" ref="C388:C451" si="6">+B388-B387</f>
        <v>0.70999999999999908</v>
      </c>
    </row>
    <row r="389" spans="1:3" x14ac:dyDescent="0.25">
      <c r="A389" s="107">
        <v>31107</v>
      </c>
      <c r="B389" s="16">
        <v>11.31</v>
      </c>
      <c r="C389" s="16">
        <f t="shared" si="6"/>
        <v>-0.20999999999999908</v>
      </c>
    </row>
    <row r="390" spans="1:3" x14ac:dyDescent="0.25">
      <c r="A390" s="107">
        <v>31138</v>
      </c>
      <c r="B390" s="16">
        <v>10.84</v>
      </c>
      <c r="C390" s="16">
        <f t="shared" si="6"/>
        <v>-0.47000000000000064</v>
      </c>
    </row>
    <row r="391" spans="1:3" x14ac:dyDescent="0.25">
      <c r="A391" s="107">
        <v>31168</v>
      </c>
      <c r="B391" s="16">
        <v>9.74</v>
      </c>
      <c r="C391" s="16">
        <f t="shared" si="6"/>
        <v>-1.0999999999999996</v>
      </c>
    </row>
    <row r="392" spans="1:3" x14ac:dyDescent="0.25">
      <c r="A392" s="107">
        <v>31199</v>
      </c>
      <c r="B392" s="16">
        <v>9.6300000000000008</v>
      </c>
      <c r="C392" s="16">
        <f t="shared" si="6"/>
        <v>-0.10999999999999943</v>
      </c>
    </row>
    <row r="393" spans="1:3" x14ac:dyDescent="0.25">
      <c r="A393" s="107">
        <v>31229</v>
      </c>
      <c r="B393" s="16">
        <v>10.02</v>
      </c>
      <c r="C393" s="16">
        <f t="shared" si="6"/>
        <v>0.38999999999999879</v>
      </c>
    </row>
    <row r="394" spans="1:3" x14ac:dyDescent="0.25">
      <c r="A394" s="107">
        <v>31260</v>
      </c>
      <c r="B394" s="16">
        <v>9.82</v>
      </c>
      <c r="C394" s="16">
        <f t="shared" si="6"/>
        <v>-0.19999999999999929</v>
      </c>
    </row>
    <row r="395" spans="1:3" x14ac:dyDescent="0.25">
      <c r="A395" s="107">
        <v>31291</v>
      </c>
      <c r="B395" s="16">
        <v>9.73</v>
      </c>
      <c r="C395" s="16">
        <f t="shared" si="6"/>
        <v>-8.9999999999999858E-2</v>
      </c>
    </row>
    <row r="396" spans="1:3" x14ac:dyDescent="0.25">
      <c r="A396" s="107">
        <v>31321</v>
      </c>
      <c r="B396" s="16">
        <v>9.49</v>
      </c>
      <c r="C396" s="16">
        <f t="shared" si="6"/>
        <v>-0.24000000000000021</v>
      </c>
    </row>
    <row r="397" spans="1:3" x14ac:dyDescent="0.25">
      <c r="A397" s="107">
        <v>31352</v>
      </c>
      <c r="B397" s="16">
        <v>9.11</v>
      </c>
      <c r="C397" s="16">
        <f t="shared" si="6"/>
        <v>-0.38000000000000078</v>
      </c>
    </row>
    <row r="398" spans="1:3" x14ac:dyDescent="0.25">
      <c r="A398" s="107">
        <v>31382</v>
      </c>
      <c r="B398" s="16">
        <v>8.5500000000000007</v>
      </c>
      <c r="C398" s="16">
        <f t="shared" si="6"/>
        <v>-0.55999999999999872</v>
      </c>
    </row>
    <row r="399" spans="1:3" x14ac:dyDescent="0.25">
      <c r="A399" s="107">
        <v>31413</v>
      </c>
      <c r="B399" s="16">
        <v>8.6999999999999993</v>
      </c>
      <c r="C399" s="16">
        <f t="shared" si="6"/>
        <v>0.14999999999999858</v>
      </c>
    </row>
    <row r="400" spans="1:3" x14ac:dyDescent="0.25">
      <c r="A400" s="107">
        <v>31444</v>
      </c>
      <c r="B400" s="16">
        <v>8.15</v>
      </c>
      <c r="C400" s="16">
        <f t="shared" si="6"/>
        <v>-0.54999999999999893</v>
      </c>
    </row>
    <row r="401" spans="1:3" x14ac:dyDescent="0.25">
      <c r="A401" s="107">
        <v>31472</v>
      </c>
      <c r="B401" s="16">
        <v>7.43</v>
      </c>
      <c r="C401" s="16">
        <f t="shared" si="6"/>
        <v>-0.72000000000000064</v>
      </c>
    </row>
    <row r="402" spans="1:3" x14ac:dyDescent="0.25">
      <c r="A402" s="107">
        <v>31503</v>
      </c>
      <c r="B402" s="16">
        <v>7.37</v>
      </c>
      <c r="C402" s="16">
        <f t="shared" si="6"/>
        <v>-5.9999999999999609E-2</v>
      </c>
    </row>
    <row r="403" spans="1:3" x14ac:dyDescent="0.25">
      <c r="A403" s="107">
        <v>31533</v>
      </c>
      <c r="B403" s="16">
        <v>8.16</v>
      </c>
      <c r="C403" s="16">
        <f t="shared" si="6"/>
        <v>0.79</v>
      </c>
    </row>
    <row r="404" spans="1:3" x14ac:dyDescent="0.25">
      <c r="A404" s="107">
        <v>31564</v>
      </c>
      <c r="B404" s="16">
        <v>7.56</v>
      </c>
      <c r="C404" s="16">
        <f t="shared" si="6"/>
        <v>-0.60000000000000053</v>
      </c>
    </row>
    <row r="405" spans="1:3" x14ac:dyDescent="0.25">
      <c r="A405" s="107">
        <v>31594</v>
      </c>
      <c r="B405" s="16">
        <v>7.28</v>
      </c>
      <c r="C405" s="16">
        <f t="shared" si="6"/>
        <v>-0.27999999999999936</v>
      </c>
    </row>
    <row r="406" spans="1:3" x14ac:dyDescent="0.25">
      <c r="A406" s="107">
        <v>31625</v>
      </c>
      <c r="B406" s="16">
        <v>6.68</v>
      </c>
      <c r="C406" s="16">
        <f t="shared" si="6"/>
        <v>-0.60000000000000053</v>
      </c>
    </row>
    <row r="407" spans="1:3" x14ac:dyDescent="0.25">
      <c r="A407" s="107">
        <v>31656</v>
      </c>
      <c r="B407" s="16">
        <v>7.18</v>
      </c>
      <c r="C407" s="16">
        <f t="shared" si="6"/>
        <v>0.5</v>
      </c>
    </row>
    <row r="408" spans="1:3" x14ac:dyDescent="0.25">
      <c r="A408" s="107">
        <v>31686</v>
      </c>
      <c r="B408" s="16">
        <v>6.87</v>
      </c>
      <c r="C408" s="16">
        <f t="shared" si="6"/>
        <v>-0.30999999999999961</v>
      </c>
    </row>
    <row r="409" spans="1:3" x14ac:dyDescent="0.25">
      <c r="A409" s="107">
        <v>31717</v>
      </c>
      <c r="B409" s="16">
        <v>6.69</v>
      </c>
      <c r="C409" s="16">
        <f t="shared" si="6"/>
        <v>-0.17999999999999972</v>
      </c>
    </row>
    <row r="410" spans="1:3" x14ac:dyDescent="0.25">
      <c r="A410" s="107">
        <v>31747</v>
      </c>
      <c r="B410" s="16">
        <v>6.85</v>
      </c>
      <c r="C410" s="16">
        <f t="shared" si="6"/>
        <v>0.15999999999999925</v>
      </c>
    </row>
    <row r="411" spans="1:3" x14ac:dyDescent="0.25">
      <c r="A411" s="107">
        <v>31778</v>
      </c>
      <c r="B411" s="16">
        <v>6.85</v>
      </c>
      <c r="C411" s="16">
        <f t="shared" si="6"/>
        <v>0</v>
      </c>
    </row>
    <row r="412" spans="1:3" x14ac:dyDescent="0.25">
      <c r="A412" s="107">
        <v>31809</v>
      </c>
      <c r="B412" s="16">
        <v>6.83</v>
      </c>
      <c r="C412" s="16">
        <f t="shared" si="6"/>
        <v>-1.9999999999999574E-2</v>
      </c>
    </row>
    <row r="413" spans="1:3" x14ac:dyDescent="0.25">
      <c r="A413" s="107">
        <v>31837</v>
      </c>
      <c r="B413" s="16">
        <v>7.08</v>
      </c>
      <c r="C413" s="16">
        <f t="shared" si="6"/>
        <v>0.25</v>
      </c>
    </row>
    <row r="414" spans="1:3" x14ac:dyDescent="0.25">
      <c r="A414" s="107">
        <v>31868</v>
      </c>
      <c r="B414" s="16">
        <v>7.93</v>
      </c>
      <c r="C414" s="16">
        <f t="shared" si="6"/>
        <v>0.84999999999999964</v>
      </c>
    </row>
    <row r="415" spans="1:3" x14ac:dyDescent="0.25">
      <c r="A415" s="107">
        <v>31898</v>
      </c>
      <c r="B415" s="16">
        <v>8.2100000000000009</v>
      </c>
      <c r="C415" s="16">
        <f t="shared" si="6"/>
        <v>0.28000000000000114</v>
      </c>
    </row>
    <row r="416" spans="1:3" x14ac:dyDescent="0.25">
      <c r="A416" s="107">
        <v>31929</v>
      </c>
      <c r="B416" s="16">
        <v>8.06</v>
      </c>
      <c r="C416" s="16">
        <f t="shared" si="6"/>
        <v>-0.15000000000000036</v>
      </c>
    </row>
    <row r="417" spans="1:3" x14ac:dyDescent="0.25">
      <c r="A417" s="107">
        <v>31959</v>
      </c>
      <c r="B417" s="16">
        <v>8.18</v>
      </c>
      <c r="C417" s="16">
        <f t="shared" si="6"/>
        <v>0.11999999999999922</v>
      </c>
    </row>
    <row r="418" spans="1:3" x14ac:dyDescent="0.25">
      <c r="A418" s="107">
        <v>31990</v>
      </c>
      <c r="B418" s="16">
        <v>8.49</v>
      </c>
      <c r="C418" s="16">
        <f t="shared" si="6"/>
        <v>0.3100000000000005</v>
      </c>
    </row>
    <row r="419" spans="1:3" x14ac:dyDescent="0.25">
      <c r="A419" s="107">
        <v>32021</v>
      </c>
      <c r="B419" s="16">
        <v>9.1199999999999992</v>
      </c>
      <c r="C419" s="16">
        <f t="shared" si="6"/>
        <v>0.62999999999999901</v>
      </c>
    </row>
    <row r="420" spans="1:3" x14ac:dyDescent="0.25">
      <c r="A420" s="107">
        <v>32051</v>
      </c>
      <c r="B420" s="16">
        <v>8.44</v>
      </c>
      <c r="C420" s="16">
        <f t="shared" si="6"/>
        <v>-0.67999999999999972</v>
      </c>
    </row>
    <row r="421" spans="1:3" x14ac:dyDescent="0.25">
      <c r="A421" s="107">
        <v>32082</v>
      </c>
      <c r="B421" s="16">
        <v>8.4</v>
      </c>
      <c r="C421" s="16">
        <f t="shared" si="6"/>
        <v>-3.9999999999999147E-2</v>
      </c>
    </row>
    <row r="422" spans="1:3" x14ac:dyDescent="0.25">
      <c r="A422" s="107">
        <v>32112</v>
      </c>
      <c r="B422" s="16">
        <v>8.32</v>
      </c>
      <c r="C422" s="16">
        <f t="shared" si="6"/>
        <v>-8.0000000000000071E-2</v>
      </c>
    </row>
    <row r="423" spans="1:3" x14ac:dyDescent="0.25">
      <c r="A423" s="107">
        <v>32143</v>
      </c>
      <c r="B423" s="16">
        <v>7.82</v>
      </c>
      <c r="C423" s="16">
        <f t="shared" si="6"/>
        <v>-0.5</v>
      </c>
    </row>
    <row r="424" spans="1:3" x14ac:dyDescent="0.25">
      <c r="A424" s="107">
        <v>32174</v>
      </c>
      <c r="B424" s="16">
        <v>7.68</v>
      </c>
      <c r="C424" s="16">
        <f t="shared" si="6"/>
        <v>-0.14000000000000057</v>
      </c>
    </row>
    <row r="425" spans="1:3" x14ac:dyDescent="0.25">
      <c r="A425" s="107">
        <v>32203</v>
      </c>
      <c r="B425" s="16">
        <v>8.07</v>
      </c>
      <c r="C425" s="16">
        <f t="shared" si="6"/>
        <v>0.39000000000000057</v>
      </c>
    </row>
    <row r="426" spans="1:3" x14ac:dyDescent="0.25">
      <c r="A426" s="107">
        <v>32234</v>
      </c>
      <c r="B426" s="16">
        <v>8.36</v>
      </c>
      <c r="C426" s="16">
        <f t="shared" si="6"/>
        <v>0.28999999999999915</v>
      </c>
    </row>
    <row r="427" spans="1:3" x14ac:dyDescent="0.25">
      <c r="A427" s="107">
        <v>32264</v>
      </c>
      <c r="B427" s="16">
        <v>8.6999999999999993</v>
      </c>
      <c r="C427" s="16">
        <f t="shared" si="6"/>
        <v>0.33999999999999986</v>
      </c>
    </row>
    <row r="428" spans="1:3" x14ac:dyDescent="0.25">
      <c r="A428" s="107">
        <v>32295</v>
      </c>
      <c r="B428" s="16">
        <v>8.39</v>
      </c>
      <c r="C428" s="16">
        <f t="shared" si="6"/>
        <v>-0.30999999999999872</v>
      </c>
    </row>
    <row r="429" spans="1:3" x14ac:dyDescent="0.25">
      <c r="A429" s="107">
        <v>32325</v>
      </c>
      <c r="B429" s="16">
        <v>8.7100000000000009</v>
      </c>
      <c r="C429" s="16">
        <f t="shared" si="6"/>
        <v>0.32000000000000028</v>
      </c>
    </row>
    <row r="430" spans="1:3" x14ac:dyDescent="0.25">
      <c r="A430" s="107">
        <v>32356</v>
      </c>
      <c r="B430" s="16">
        <v>8.9499999999999993</v>
      </c>
      <c r="C430" s="16">
        <f t="shared" si="6"/>
        <v>0.23999999999999844</v>
      </c>
    </row>
    <row r="431" spans="1:3" x14ac:dyDescent="0.25">
      <c r="A431" s="107">
        <v>32387</v>
      </c>
      <c r="B431" s="16">
        <v>8.59</v>
      </c>
      <c r="C431" s="16">
        <f t="shared" si="6"/>
        <v>-0.35999999999999943</v>
      </c>
    </row>
    <row r="432" spans="1:3" x14ac:dyDescent="0.25">
      <c r="A432" s="107">
        <v>32417</v>
      </c>
      <c r="B432" s="16">
        <v>8.3699999999999992</v>
      </c>
      <c r="C432" s="16">
        <f t="shared" si="6"/>
        <v>-0.22000000000000064</v>
      </c>
    </row>
    <row r="433" spans="1:3" x14ac:dyDescent="0.25">
      <c r="A433" s="107">
        <v>32448</v>
      </c>
      <c r="B433" s="16">
        <v>8.92</v>
      </c>
      <c r="C433" s="16">
        <f t="shared" si="6"/>
        <v>0.55000000000000071</v>
      </c>
    </row>
    <row r="434" spans="1:3" x14ac:dyDescent="0.25">
      <c r="A434" s="107">
        <v>32478</v>
      </c>
      <c r="B434" s="16">
        <v>9.17</v>
      </c>
      <c r="C434" s="16">
        <f t="shared" si="6"/>
        <v>0.25</v>
      </c>
    </row>
    <row r="435" spans="1:3" x14ac:dyDescent="0.25">
      <c r="A435" s="107">
        <v>32509</v>
      </c>
      <c r="B435" s="16">
        <v>8.9600000000000009</v>
      </c>
      <c r="C435" s="16">
        <f t="shared" si="6"/>
        <v>-0.20999999999999908</v>
      </c>
    </row>
    <row r="436" spans="1:3" x14ac:dyDescent="0.25">
      <c r="A436" s="107">
        <v>32540</v>
      </c>
      <c r="B436" s="16">
        <v>9.27</v>
      </c>
      <c r="C436" s="16">
        <f t="shared" si="6"/>
        <v>0.30999999999999872</v>
      </c>
    </row>
    <row r="437" spans="1:3" x14ac:dyDescent="0.25">
      <c r="A437" s="107">
        <v>32568</v>
      </c>
      <c r="B437" s="16">
        <v>9.34</v>
      </c>
      <c r="C437" s="16">
        <f t="shared" si="6"/>
        <v>7.0000000000000284E-2</v>
      </c>
    </row>
    <row r="438" spans="1:3" x14ac:dyDescent="0.25">
      <c r="A438" s="107">
        <v>32599</v>
      </c>
      <c r="B438" s="16">
        <v>8.9499999999999993</v>
      </c>
      <c r="C438" s="16">
        <f t="shared" si="6"/>
        <v>-0.39000000000000057</v>
      </c>
    </row>
    <row r="439" spans="1:3" x14ac:dyDescent="0.25">
      <c r="A439" s="107">
        <v>32629</v>
      </c>
      <c r="B439" s="16">
        <v>8.6</v>
      </c>
      <c r="C439" s="16">
        <f t="shared" si="6"/>
        <v>-0.34999999999999964</v>
      </c>
    </row>
    <row r="440" spans="1:3" x14ac:dyDescent="0.25">
      <c r="A440" s="107">
        <v>32660</v>
      </c>
      <c r="B440" s="16">
        <v>7.91</v>
      </c>
      <c r="C440" s="16">
        <f t="shared" si="6"/>
        <v>-0.6899999999999995</v>
      </c>
    </row>
    <row r="441" spans="1:3" x14ac:dyDescent="0.25">
      <c r="A441" s="107">
        <v>32690</v>
      </c>
      <c r="B441" s="16">
        <v>7.45</v>
      </c>
      <c r="C441" s="16">
        <f t="shared" si="6"/>
        <v>-0.45999999999999996</v>
      </c>
    </row>
    <row r="442" spans="1:3" x14ac:dyDescent="0.25">
      <c r="A442" s="107">
        <v>32721</v>
      </c>
      <c r="B442" s="16">
        <v>8.34</v>
      </c>
      <c r="C442" s="16">
        <f t="shared" si="6"/>
        <v>0.88999999999999968</v>
      </c>
    </row>
    <row r="443" spans="1:3" x14ac:dyDescent="0.25">
      <c r="A443" s="107">
        <v>32752</v>
      </c>
      <c r="B443" s="16">
        <v>8.33</v>
      </c>
      <c r="C443" s="16">
        <f t="shared" si="6"/>
        <v>-9.9999999999997868E-3</v>
      </c>
    </row>
    <row r="444" spans="1:3" x14ac:dyDescent="0.25">
      <c r="A444" s="107">
        <v>32782</v>
      </c>
      <c r="B444" s="16">
        <v>7.86</v>
      </c>
      <c r="C444" s="16">
        <f t="shared" si="6"/>
        <v>-0.46999999999999975</v>
      </c>
    </row>
    <row r="445" spans="1:3" x14ac:dyDescent="0.25">
      <c r="A445" s="107">
        <v>32813</v>
      </c>
      <c r="B445" s="16">
        <v>7.79</v>
      </c>
      <c r="C445" s="16">
        <f t="shared" si="6"/>
        <v>-7.0000000000000284E-2</v>
      </c>
    </row>
    <row r="446" spans="1:3" x14ac:dyDescent="0.25">
      <c r="A446" s="107">
        <v>32843</v>
      </c>
      <c r="B446" s="16">
        <v>7.94</v>
      </c>
      <c r="C446" s="16">
        <f t="shared" si="6"/>
        <v>0.15000000000000036</v>
      </c>
    </row>
    <row r="447" spans="1:3" x14ac:dyDescent="0.25">
      <c r="A447" s="107">
        <v>32874</v>
      </c>
      <c r="B447" s="16">
        <v>8.42</v>
      </c>
      <c r="C447" s="16">
        <f t="shared" si="6"/>
        <v>0.47999999999999954</v>
      </c>
    </row>
    <row r="448" spans="1:3" x14ac:dyDescent="0.25">
      <c r="A448" s="107">
        <v>32905</v>
      </c>
      <c r="B448" s="16">
        <v>8.5500000000000007</v>
      </c>
      <c r="C448" s="16">
        <f t="shared" si="6"/>
        <v>0.13000000000000078</v>
      </c>
    </row>
    <row r="449" spans="1:3" x14ac:dyDescent="0.25">
      <c r="A449" s="107">
        <v>32933</v>
      </c>
      <c r="B449" s="16">
        <v>8.7100000000000009</v>
      </c>
      <c r="C449" s="16">
        <f t="shared" si="6"/>
        <v>0.16000000000000014</v>
      </c>
    </row>
    <row r="450" spans="1:3" x14ac:dyDescent="0.25">
      <c r="A450" s="107">
        <v>32964</v>
      </c>
      <c r="B450" s="16">
        <v>9.07</v>
      </c>
      <c r="C450" s="16">
        <f t="shared" si="6"/>
        <v>0.35999999999999943</v>
      </c>
    </row>
    <row r="451" spans="1:3" x14ac:dyDescent="0.25">
      <c r="A451" s="107">
        <v>32994</v>
      </c>
      <c r="B451" s="16">
        <v>8.64</v>
      </c>
      <c r="C451" s="16">
        <f t="shared" si="6"/>
        <v>-0.42999999999999972</v>
      </c>
    </row>
    <row r="452" spans="1:3" x14ac:dyDescent="0.25">
      <c r="A452" s="107">
        <v>33025</v>
      </c>
      <c r="B452" s="16">
        <v>8.43</v>
      </c>
      <c r="C452" s="16">
        <f t="shared" ref="C452:C487" si="7">+B452-B451</f>
        <v>-0.21000000000000085</v>
      </c>
    </row>
    <row r="453" spans="1:3" x14ac:dyDescent="0.25">
      <c r="A453" s="107">
        <v>33055</v>
      </c>
      <c r="B453" s="16">
        <v>8.19</v>
      </c>
      <c r="C453" s="16">
        <f t="shared" si="7"/>
        <v>-0.24000000000000021</v>
      </c>
    </row>
    <row r="454" spans="1:3" x14ac:dyDescent="0.25">
      <c r="A454" s="107">
        <v>33086</v>
      </c>
      <c r="B454" s="16">
        <v>8.59</v>
      </c>
      <c r="C454" s="16">
        <f t="shared" si="7"/>
        <v>0.40000000000000036</v>
      </c>
    </row>
    <row r="455" spans="1:3" x14ac:dyDescent="0.25">
      <c r="A455" s="107">
        <v>33117</v>
      </c>
      <c r="B455" s="16">
        <v>8.51</v>
      </c>
      <c r="C455" s="16">
        <f t="shared" si="7"/>
        <v>-8.0000000000000071E-2</v>
      </c>
    </row>
    <row r="456" spans="1:3" x14ac:dyDescent="0.25">
      <c r="A456" s="107">
        <v>33147</v>
      </c>
      <c r="B456" s="16">
        <v>8.26</v>
      </c>
      <c r="C456" s="16">
        <f t="shared" si="7"/>
        <v>-0.25</v>
      </c>
    </row>
    <row r="457" spans="1:3" x14ac:dyDescent="0.25">
      <c r="A457" s="107">
        <v>33178</v>
      </c>
      <c r="B457" s="16">
        <v>7.95</v>
      </c>
      <c r="C457" s="16">
        <f t="shared" si="7"/>
        <v>-0.30999999999999961</v>
      </c>
    </row>
    <row r="458" spans="1:3" x14ac:dyDescent="0.25">
      <c r="A458" s="107">
        <v>33208</v>
      </c>
      <c r="B458" s="16">
        <v>7.7</v>
      </c>
      <c r="C458" s="16">
        <f t="shared" si="7"/>
        <v>-0.25</v>
      </c>
    </row>
    <row r="459" spans="1:3" x14ac:dyDescent="0.25">
      <c r="A459" s="107">
        <v>33239</v>
      </c>
      <c r="B459" s="16">
        <v>7.72</v>
      </c>
      <c r="C459" s="16">
        <f t="shared" si="7"/>
        <v>1.9999999999999574E-2</v>
      </c>
    </row>
    <row r="460" spans="1:3" x14ac:dyDescent="0.25">
      <c r="A460" s="107">
        <v>33270</v>
      </c>
      <c r="B460" s="16">
        <v>7.74</v>
      </c>
      <c r="C460" s="16">
        <f t="shared" si="7"/>
        <v>2.0000000000000462E-2</v>
      </c>
    </row>
    <row r="461" spans="1:3" x14ac:dyDescent="0.25">
      <c r="A461" s="107">
        <v>33298</v>
      </c>
      <c r="B461" s="16">
        <v>7.83</v>
      </c>
      <c r="C461" s="16">
        <f t="shared" si="7"/>
        <v>8.9999999999999858E-2</v>
      </c>
    </row>
    <row r="462" spans="1:3" x14ac:dyDescent="0.25">
      <c r="A462" s="107">
        <v>33329</v>
      </c>
      <c r="B462" s="16">
        <v>7.72</v>
      </c>
      <c r="C462" s="16">
        <f t="shared" si="7"/>
        <v>-0.11000000000000032</v>
      </c>
    </row>
    <row r="463" spans="1:3" x14ac:dyDescent="0.25">
      <c r="A463" s="107">
        <v>33359</v>
      </c>
      <c r="B463" s="16">
        <v>7.73</v>
      </c>
      <c r="C463" s="16">
        <f t="shared" si="7"/>
        <v>1.0000000000000675E-2</v>
      </c>
    </row>
    <row r="464" spans="1:3" x14ac:dyDescent="0.25">
      <c r="A464" s="107">
        <v>33390</v>
      </c>
      <c r="B464" s="16">
        <v>7.93</v>
      </c>
      <c r="C464" s="16">
        <f t="shared" si="7"/>
        <v>0.19999999999999929</v>
      </c>
    </row>
    <row r="465" spans="1:3" x14ac:dyDescent="0.25">
      <c r="A465" s="107">
        <v>33420</v>
      </c>
      <c r="B465" s="16">
        <v>7.78</v>
      </c>
      <c r="C465" s="16">
        <f t="shared" si="7"/>
        <v>-0.14999999999999947</v>
      </c>
    </row>
    <row r="466" spans="1:3" x14ac:dyDescent="0.25">
      <c r="A466" s="107">
        <v>33451</v>
      </c>
      <c r="B466" s="16">
        <v>7.32</v>
      </c>
      <c r="C466" s="16">
        <f t="shared" si="7"/>
        <v>-0.45999999999999996</v>
      </c>
    </row>
    <row r="467" spans="1:3" x14ac:dyDescent="0.25">
      <c r="A467" s="107">
        <v>33482</v>
      </c>
      <c r="B467" s="16">
        <v>6.93</v>
      </c>
      <c r="C467" s="16">
        <f t="shared" si="7"/>
        <v>-0.39000000000000057</v>
      </c>
    </row>
    <row r="468" spans="1:3" x14ac:dyDescent="0.25">
      <c r="A468" s="107">
        <v>33512</v>
      </c>
      <c r="B468" s="16">
        <v>6.73</v>
      </c>
      <c r="C468" s="16">
        <f t="shared" si="7"/>
        <v>-0.19999999999999929</v>
      </c>
    </row>
    <row r="469" spans="1:3" x14ac:dyDescent="0.25">
      <c r="A469" s="107">
        <v>33543</v>
      </c>
      <c r="B469" s="16">
        <v>6.53</v>
      </c>
      <c r="C469" s="16">
        <f t="shared" si="7"/>
        <v>-0.20000000000000018</v>
      </c>
    </row>
    <row r="470" spans="1:3" x14ac:dyDescent="0.25">
      <c r="A470" s="107">
        <v>33573</v>
      </c>
      <c r="B470" s="16">
        <v>5.97</v>
      </c>
      <c r="C470" s="16">
        <f t="shared" si="7"/>
        <v>-0.5600000000000005</v>
      </c>
    </row>
    <row r="471" spans="1:3" x14ac:dyDescent="0.25">
      <c r="A471" s="107">
        <v>33604</v>
      </c>
      <c r="B471" s="16">
        <v>6.83</v>
      </c>
      <c r="C471" s="16">
        <f t="shared" si="7"/>
        <v>0.86000000000000032</v>
      </c>
    </row>
    <row r="472" spans="1:3" x14ac:dyDescent="0.25">
      <c r="A472" s="107">
        <v>33635</v>
      </c>
      <c r="B472" s="16">
        <v>6.9</v>
      </c>
      <c r="C472" s="16">
        <f t="shared" si="7"/>
        <v>7.0000000000000284E-2</v>
      </c>
    </row>
    <row r="473" spans="1:3" x14ac:dyDescent="0.25">
      <c r="A473" s="107">
        <v>33664</v>
      </c>
      <c r="B473" s="16">
        <v>7.2</v>
      </c>
      <c r="C473" s="16">
        <f t="shared" si="7"/>
        <v>0.29999999999999982</v>
      </c>
    </row>
    <row r="474" spans="1:3" x14ac:dyDescent="0.25">
      <c r="A474" s="107">
        <v>33695</v>
      </c>
      <c r="B474" s="16">
        <v>7.11</v>
      </c>
      <c r="C474" s="16">
        <f t="shared" si="7"/>
        <v>-8.9999999999999858E-2</v>
      </c>
    </row>
    <row r="475" spans="1:3" x14ac:dyDescent="0.25">
      <c r="A475" s="107">
        <v>33725</v>
      </c>
      <c r="B475" s="16">
        <v>6.74</v>
      </c>
      <c r="C475" s="16">
        <f t="shared" si="7"/>
        <v>-0.37000000000000011</v>
      </c>
    </row>
    <row r="476" spans="1:3" x14ac:dyDescent="0.25">
      <c r="A476" s="107">
        <v>33756</v>
      </c>
      <c r="B476" s="16">
        <v>6.47</v>
      </c>
      <c r="C476" s="16">
        <f t="shared" si="7"/>
        <v>-0.27000000000000046</v>
      </c>
    </row>
    <row r="477" spans="1:3" x14ac:dyDescent="0.25">
      <c r="A477" s="107">
        <v>33786</v>
      </c>
      <c r="B477" s="16">
        <v>6.04</v>
      </c>
      <c r="C477" s="16">
        <f t="shared" si="7"/>
        <v>-0.42999999999999972</v>
      </c>
    </row>
    <row r="478" spans="1:3" x14ac:dyDescent="0.25">
      <c r="A478" s="107">
        <v>33817</v>
      </c>
      <c r="B478" s="16">
        <v>5.81</v>
      </c>
      <c r="C478" s="16">
        <f t="shared" si="7"/>
        <v>-0.23000000000000043</v>
      </c>
    </row>
    <row r="479" spans="1:3" x14ac:dyDescent="0.25">
      <c r="A479" s="107">
        <v>33848</v>
      </c>
      <c r="B479" s="16">
        <v>5.47</v>
      </c>
      <c r="C479" s="16">
        <f t="shared" si="7"/>
        <v>-0.33999999999999986</v>
      </c>
    </row>
    <row r="480" spans="1:3" x14ac:dyDescent="0.25">
      <c r="A480" s="107">
        <v>33878</v>
      </c>
      <c r="B480" s="16">
        <v>6.01</v>
      </c>
      <c r="C480" s="16">
        <f t="shared" si="7"/>
        <v>0.54</v>
      </c>
    </row>
    <row r="481" spans="1:3" x14ac:dyDescent="0.25">
      <c r="A481" s="107">
        <v>33909</v>
      </c>
      <c r="B481" s="16">
        <v>6.34</v>
      </c>
      <c r="C481" s="16">
        <f t="shared" si="7"/>
        <v>0.33000000000000007</v>
      </c>
    </row>
    <row r="482" spans="1:3" x14ac:dyDescent="0.25">
      <c r="A482" s="107">
        <v>33939</v>
      </c>
      <c r="B482" s="16">
        <v>6.11</v>
      </c>
      <c r="C482" s="16">
        <f t="shared" si="7"/>
        <v>-0.22999999999999954</v>
      </c>
    </row>
    <row r="483" spans="1:3" x14ac:dyDescent="0.25">
      <c r="A483" s="107">
        <v>33970</v>
      </c>
      <c r="B483" s="16">
        <v>5.88</v>
      </c>
      <c r="C483" s="16">
        <f t="shared" si="7"/>
        <v>-0.23000000000000043</v>
      </c>
    </row>
    <row r="484" spans="1:3" x14ac:dyDescent="0.25">
      <c r="A484" s="107">
        <v>34001</v>
      </c>
      <c r="B484" s="16">
        <v>5.47</v>
      </c>
      <c r="C484" s="16">
        <f t="shared" si="7"/>
        <v>-0.41000000000000014</v>
      </c>
    </row>
    <row r="485" spans="1:3" x14ac:dyDescent="0.25">
      <c r="A485" s="107">
        <v>34029</v>
      </c>
      <c r="B485" s="16">
        <v>5.49</v>
      </c>
      <c r="C485" s="16">
        <f t="shared" si="7"/>
        <v>2.0000000000000462E-2</v>
      </c>
    </row>
    <row r="486" spans="1:3" x14ac:dyDescent="0.25">
      <c r="A486" s="107">
        <v>34060</v>
      </c>
      <c r="B486" s="16">
        <v>5.4</v>
      </c>
      <c r="C486" s="16">
        <f t="shared" si="7"/>
        <v>-8.9999999999999858E-2</v>
      </c>
    </row>
    <row r="487" spans="1:3" x14ac:dyDescent="0.25">
      <c r="A487" s="107">
        <v>34090</v>
      </c>
      <c r="B487" s="16">
        <v>5.51</v>
      </c>
      <c r="C487" s="16">
        <f t="shared" si="7"/>
        <v>0.10999999999999943</v>
      </c>
    </row>
    <row r="488" spans="1:3" x14ac:dyDescent="0.25">
      <c r="A488" s="107">
        <v>34121</v>
      </c>
      <c r="B488" s="16">
        <v>5.17</v>
      </c>
      <c r="C488" s="16">
        <f>+B488-B487</f>
        <v>-0.33999999999999986</v>
      </c>
    </row>
    <row r="489" spans="1:3" x14ac:dyDescent="0.25">
      <c r="A489" s="107">
        <v>34151</v>
      </c>
      <c r="B489" s="16">
        <v>5.26</v>
      </c>
      <c r="C489" s="16">
        <f t="shared" ref="C489:C506" si="8">+B489-B488</f>
        <v>8.9999999999999858E-2</v>
      </c>
    </row>
    <row r="490" spans="1:3" x14ac:dyDescent="0.25">
      <c r="A490" s="107">
        <v>34182</v>
      </c>
      <c r="B490" s="16">
        <v>4.8600000000000003</v>
      </c>
      <c r="C490" s="16">
        <f t="shared" si="8"/>
        <v>-0.39999999999999947</v>
      </c>
    </row>
    <row r="491" spans="1:3" x14ac:dyDescent="0.25">
      <c r="A491" s="107">
        <v>34213</v>
      </c>
      <c r="B491" s="16">
        <v>4.83</v>
      </c>
      <c r="C491" s="16">
        <f t="shared" si="8"/>
        <v>-3.0000000000000249E-2</v>
      </c>
    </row>
    <row r="492" spans="1:3" x14ac:dyDescent="0.25">
      <c r="A492" s="107">
        <v>34243</v>
      </c>
      <c r="B492" s="16">
        <v>4.88</v>
      </c>
      <c r="C492" s="16">
        <f t="shared" si="8"/>
        <v>4.9999999999999822E-2</v>
      </c>
    </row>
    <row r="493" spans="1:3" x14ac:dyDescent="0.25">
      <c r="A493" s="107">
        <v>34274</v>
      </c>
      <c r="B493" s="16">
        <v>5.19</v>
      </c>
      <c r="C493" s="16">
        <f t="shared" si="8"/>
        <v>0.3100000000000005</v>
      </c>
    </row>
    <row r="494" spans="1:3" x14ac:dyDescent="0.25">
      <c r="A494" s="107">
        <v>34304</v>
      </c>
      <c r="B494" s="16">
        <v>5.22</v>
      </c>
      <c r="C494" s="16">
        <f t="shared" si="8"/>
        <v>2.9999999999999361E-2</v>
      </c>
    </row>
    <row r="495" spans="1:3" x14ac:dyDescent="0.25">
      <c r="A495" s="107">
        <v>34335</v>
      </c>
      <c r="B495" s="16">
        <v>5.15</v>
      </c>
      <c r="C495" s="16">
        <f t="shared" si="8"/>
        <v>-6.9999999999999396E-2</v>
      </c>
    </row>
    <row r="496" spans="1:3" x14ac:dyDescent="0.25">
      <c r="A496" s="107">
        <v>34366</v>
      </c>
      <c r="B496" s="16">
        <v>5.75</v>
      </c>
      <c r="C496" s="16">
        <f t="shared" si="8"/>
        <v>0.59999999999999964</v>
      </c>
    </row>
    <row r="497" spans="1:3" x14ac:dyDescent="0.25">
      <c r="A497" s="107">
        <v>34394</v>
      </c>
      <c r="B497" s="16">
        <v>6.38</v>
      </c>
      <c r="C497" s="16">
        <f t="shared" si="8"/>
        <v>0.62999999999999989</v>
      </c>
    </row>
    <row r="498" spans="1:3" x14ac:dyDescent="0.25">
      <c r="A498" s="107">
        <v>34425</v>
      </c>
      <c r="B498" s="16">
        <v>6.7</v>
      </c>
      <c r="C498" s="16">
        <f t="shared" si="8"/>
        <v>0.32000000000000028</v>
      </c>
    </row>
    <row r="499" spans="1:3" x14ac:dyDescent="0.25">
      <c r="A499" s="107">
        <v>34455</v>
      </c>
      <c r="B499" s="16">
        <v>6.82</v>
      </c>
      <c r="C499" s="16">
        <f t="shared" si="8"/>
        <v>0.12000000000000011</v>
      </c>
    </row>
    <row r="500" spans="1:3" x14ac:dyDescent="0.25">
      <c r="A500" s="107">
        <v>34486</v>
      </c>
      <c r="B500" s="16">
        <v>6.99</v>
      </c>
      <c r="C500" s="16">
        <f t="shared" si="8"/>
        <v>0.16999999999999993</v>
      </c>
    </row>
    <row r="501" spans="1:3" x14ac:dyDescent="0.25">
      <c r="A501" s="107">
        <v>34516</v>
      </c>
      <c r="B501" s="16">
        <v>6.73</v>
      </c>
      <c r="C501" s="16">
        <f t="shared" si="8"/>
        <v>-0.25999999999999979</v>
      </c>
    </row>
    <row r="502" spans="1:3" x14ac:dyDescent="0.25">
      <c r="A502" s="107">
        <v>34547</v>
      </c>
      <c r="B502" s="16">
        <v>6.81</v>
      </c>
      <c r="C502" s="16">
        <f t="shared" si="8"/>
        <v>7.9999999999999183E-2</v>
      </c>
    </row>
    <row r="503" spans="1:3" x14ac:dyDescent="0.25">
      <c r="A503" s="107">
        <v>34578</v>
      </c>
      <c r="B503" s="16">
        <v>7.28</v>
      </c>
      <c r="C503" s="16">
        <f t="shared" si="8"/>
        <v>0.47000000000000064</v>
      </c>
    </row>
    <row r="504" spans="1:3" x14ac:dyDescent="0.25">
      <c r="A504" s="107">
        <v>34608</v>
      </c>
      <c r="B504" s="16">
        <v>7.48</v>
      </c>
      <c r="C504" s="16">
        <f t="shared" si="8"/>
        <v>0.20000000000000018</v>
      </c>
    </row>
    <row r="505" spans="1:3" x14ac:dyDescent="0.25">
      <c r="A505" s="107">
        <v>34639</v>
      </c>
      <c r="B505" s="16">
        <v>7.79</v>
      </c>
      <c r="C505" s="16">
        <f t="shared" si="8"/>
        <v>0.30999999999999961</v>
      </c>
    </row>
    <row r="506" spans="1:3" x14ac:dyDescent="0.25">
      <c r="A506" s="107">
        <v>34669</v>
      </c>
      <c r="B506" s="16">
        <v>7.83</v>
      </c>
      <c r="C506" s="16">
        <f t="shared" si="8"/>
        <v>4.0000000000000036E-2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1_Hist_sim</vt:lpstr>
      <vt:lpstr>1_EW</vt:lpstr>
      <vt:lpstr>1_Delta normal</vt:lpstr>
      <vt:lpstr>2</vt:lpstr>
      <vt:lpstr>3</vt:lpstr>
      <vt:lpstr>4</vt:lpstr>
      <vt:lpstr>5</vt:lpstr>
    </vt:vector>
  </TitlesOfParts>
  <Company>BKE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Pu.tsz.</dc:creator>
  <cp:lastModifiedBy>Dömötör Barbara Mária</cp:lastModifiedBy>
  <dcterms:created xsi:type="dcterms:W3CDTF">1999-03-08T15:52:24Z</dcterms:created>
  <dcterms:modified xsi:type="dcterms:W3CDTF">2024-04-24T16:33:14Z</dcterms:modified>
</cp:coreProperties>
</file>