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S:\!Aktualis\2024ősz\Applied Business Valuation\Week5\"/>
    </mc:Choice>
  </mc:AlternateContent>
  <xr:revisionPtr revIDLastSave="0" documentId="13_ncr:1_{F2CD7BBA-6688-4710-969A-8C6DAED746FA}" xr6:coauthVersionLast="47" xr6:coauthVersionMax="47" xr10:uidLastSave="{00000000-0000-0000-0000-000000000000}"/>
  <bookViews>
    <workbookView xWindow="-120" yWindow="-120" windowWidth="29040" windowHeight="15720" xr2:uid="{95063DC6-0EC2-4FE5-BB57-BEEE24E15A43}"/>
  </bookViews>
  <sheets>
    <sheet name="Munka1" sheetId="1" r:id="rId1"/>
  </sheets>
  <calcPr calcId="191029" iterateCount="10000" iterateDelta="9.9999999999999995E-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17" i="1" l="1"/>
  <c r="M16" i="1"/>
  <c r="M12" i="1"/>
  <c r="M14" i="1"/>
  <c r="L14" i="1"/>
  <c r="J16" i="1"/>
  <c r="J14" i="1"/>
  <c r="I14" i="1"/>
  <c r="J12" i="1"/>
  <c r="J15" i="1"/>
  <c r="G16" i="1"/>
  <c r="G12" i="1"/>
  <c r="F12" i="1"/>
  <c r="G9" i="1"/>
  <c r="G8" i="1"/>
  <c r="G7" i="1"/>
  <c r="F7" i="1"/>
  <c r="G6" i="1"/>
  <c r="G5" i="1"/>
  <c r="G54" i="1"/>
  <c r="G56" i="1"/>
  <c r="G55" i="1"/>
  <c r="H54" i="1"/>
  <c r="H49" i="1"/>
  <c r="G50" i="1"/>
  <c r="F50" i="1"/>
  <c r="G49" i="1"/>
  <c r="I46" i="1"/>
  <c r="J44" i="1"/>
  <c r="J42" i="1"/>
  <c r="J41" i="1"/>
  <c r="J40" i="1"/>
  <c r="J39" i="1"/>
  <c r="I39" i="1"/>
  <c r="G36" i="1"/>
  <c r="G39" i="1" s="1"/>
  <c r="G41" i="1" s="1"/>
  <c r="G42" i="1" s="1"/>
  <c r="G43" i="1" s="1"/>
  <c r="G40" i="1"/>
  <c r="G34" i="1"/>
  <c r="F34" i="1"/>
  <c r="G28" i="1"/>
  <c r="G23" i="1"/>
  <c r="G22" i="1"/>
  <c r="G21" i="1"/>
  <c r="G58" i="1" l="1"/>
</calcChain>
</file>

<file path=xl/sharedStrings.xml><?xml version="1.0" encoding="utf-8"?>
<sst xmlns="http://schemas.openxmlformats.org/spreadsheetml/2006/main" count="85" uniqueCount="65">
  <si>
    <t>Rainbow</t>
  </si>
  <si>
    <t>Manager</t>
  </si>
  <si>
    <t>rA sanitary</t>
  </si>
  <si>
    <t>rA hospitality</t>
  </si>
  <si>
    <t>rA entertainment</t>
  </si>
  <si>
    <t>rf</t>
  </si>
  <si>
    <t>t</t>
  </si>
  <si>
    <t xml:space="preserve">Golden Bath Co. </t>
  </si>
  <si>
    <t xml:space="preserve">Red Pepper Ltd. </t>
  </si>
  <si>
    <t xml:space="preserve">BlueMotion Co. </t>
  </si>
  <si>
    <t>BV Assets</t>
  </si>
  <si>
    <t>FCFF</t>
  </si>
  <si>
    <t>g</t>
  </si>
  <si>
    <t>remainig lifetime</t>
  </si>
  <si>
    <t>years</t>
  </si>
  <si>
    <t>usual lifetime</t>
  </si>
  <si>
    <t>5-10</t>
  </si>
  <si>
    <t>BV Debt</t>
  </si>
  <si>
    <t>Sales</t>
  </si>
  <si>
    <t>Dividend</t>
  </si>
  <si>
    <t>Debt</t>
  </si>
  <si>
    <t>rD</t>
  </si>
  <si>
    <t>Rainbow ownership</t>
  </si>
  <si>
    <t>Chef</t>
  </si>
  <si>
    <t>CEO</t>
  </si>
  <si>
    <t>Sales multiplier</t>
  </si>
  <si>
    <t>CPO</t>
  </si>
  <si>
    <t>1-year sales price</t>
  </si>
  <si>
    <t>D</t>
  </si>
  <si>
    <t>V boy</t>
  </si>
  <si>
    <t>rA=rE=WACC</t>
  </si>
  <si>
    <t>E boy</t>
  </si>
  <si>
    <t>6% stake</t>
  </si>
  <si>
    <t>E today</t>
  </si>
  <si>
    <t>Premium for influence</t>
  </si>
  <si>
    <t>P=DIV1/(rE-g)</t>
  </si>
  <si>
    <t>rE</t>
  </si>
  <si>
    <t>rA=D/V*rD+E/V*rE</t>
  </si>
  <si>
    <t>D boy</t>
  </si>
  <si>
    <t>D/V boy calculated</t>
  </si>
  <si>
    <t>D/V boy assumed</t>
  </si>
  <si>
    <t>(rA-D/V*rD)/(E/V)=rE</t>
  </si>
  <si>
    <t>EV/S</t>
  </si>
  <si>
    <t>EV</t>
  </si>
  <si>
    <t>E boy 2</t>
  </si>
  <si>
    <t>E boy 1</t>
  </si>
  <si>
    <t>85% stake</t>
  </si>
  <si>
    <t>FCFF/(WACC-g)</t>
  </si>
  <si>
    <t>Max?</t>
  </si>
  <si>
    <t>Min</t>
  </si>
  <si>
    <t>Annuity g</t>
  </si>
  <si>
    <t>PV</t>
  </si>
  <si>
    <t>TV liquidation</t>
  </si>
  <si>
    <t>Total</t>
  </si>
  <si>
    <t>20% stake</t>
  </si>
  <si>
    <t>Outsider</t>
  </si>
  <si>
    <t>Marketability</t>
  </si>
  <si>
    <t>Key person</t>
  </si>
  <si>
    <t>Transparency</t>
  </si>
  <si>
    <t>Value</t>
  </si>
  <si>
    <t>Owner</t>
  </si>
  <si>
    <t>40% stake</t>
  </si>
  <si>
    <t>Blocking minority</t>
  </si>
  <si>
    <t>Owner, manager</t>
  </si>
  <si>
    <t>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</si>
</sst>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238"/>
      <scheme val="minor"/>
    </font>
    <font>
      <b/>
      <sz val="12"/>
      <color theme="1"/>
      <name val="Calibri"/>
      <family val="2"/>
      <charset val="238"/>
      <scheme val="minor"/>
    </font>
    <font>
      <b/>
      <sz val="11"/>
      <color rgb="FF000000"/>
      <name val="Calibri"/>
      <family val="2"/>
      <charset val="238"/>
      <scheme val="minor"/>
    </font>
    <font>
      <sz val="12"/>
      <color theme="1"/>
      <name val="Calibri"/>
      <family val="2"/>
      <charset val="238"/>
      <scheme val="minor"/>
    </font>
    <font>
      <sz val="11"/>
      <color rgb="FF000000"/>
      <name val="Calibri"/>
      <family val="2"/>
      <charset val="238"/>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9" fontId="0" fillId="0" borderId="0" xfId="0" applyNumberFormat="1"/>
    <xf numFmtId="0" fontId="1" fillId="0" borderId="0" xfId="0" applyFont="1"/>
    <xf numFmtId="0" fontId="2" fillId="0" borderId="0" xfId="0" applyFont="1"/>
    <xf numFmtId="16" fontId="0" fillId="0" borderId="0" xfId="0" quotePrefix="1" applyNumberFormat="1" applyAlignment="1">
      <alignment horizontal="right"/>
    </xf>
    <xf numFmtId="4" fontId="0" fillId="0" borderId="0" xfId="0" applyNumberFormat="1"/>
    <xf numFmtId="4" fontId="1" fillId="2" borderId="0" xfId="0" applyNumberFormat="1" applyFont="1" applyFill="1"/>
    <xf numFmtId="0" fontId="1" fillId="2" borderId="0" xfId="0" applyFont="1" applyFill="1"/>
    <xf numFmtId="10" fontId="0" fillId="0" borderId="0" xfId="1" applyNumberFormat="1" applyFont="1"/>
    <xf numFmtId="10" fontId="0" fillId="3" borderId="0" xfId="0" applyNumberFormat="1" applyFill="1"/>
    <xf numFmtId="10" fontId="0" fillId="0" borderId="0" xfId="0" applyNumberFormat="1"/>
    <xf numFmtId="0" fontId="1" fillId="4" borderId="0" xfId="0" applyFont="1" applyFill="1"/>
    <xf numFmtId="4" fontId="1" fillId="4" borderId="0" xfId="0" applyNumberFormat="1" applyFont="1" applyFill="1"/>
    <xf numFmtId="4" fontId="1" fillId="5" borderId="0" xfId="0" applyNumberFormat="1" applyFont="1" applyFill="1"/>
    <xf numFmtId="0" fontId="0" fillId="5" borderId="0" xfId="0" applyFill="1"/>
    <xf numFmtId="0" fontId="2" fillId="5" borderId="0" xfId="0" applyFont="1" applyFill="1"/>
    <xf numFmtId="0" fontId="4" fillId="0" borderId="0" xfId="0" applyFont="1"/>
    <xf numFmtId="4" fontId="1" fillId="0" borderId="0" xfId="0" applyNumberFormat="1" applyFont="1"/>
    <xf numFmtId="9" fontId="0" fillId="5" borderId="0" xfId="0" applyNumberFormat="1" applyFill="1"/>
    <xf numFmtId="0" fontId="1" fillId="6" borderId="0" xfId="0" applyFont="1" applyFill="1"/>
    <xf numFmtId="4" fontId="1" fillId="6" borderId="0" xfId="0" applyNumberFormat="1" applyFon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16</xdr:col>
      <xdr:colOff>116591</xdr:colOff>
      <xdr:row>3</xdr:row>
      <xdr:rowOff>84363</xdr:rowOff>
    </xdr:from>
    <xdr:to>
      <xdr:col>31</xdr:col>
      <xdr:colOff>143807</xdr:colOff>
      <xdr:row>34</xdr:row>
      <xdr:rowOff>116160</xdr:rowOff>
    </xdr:to>
    <xdr:sp macro="" textlink="">
      <xdr:nvSpPr>
        <xdr:cNvPr id="2" name="Szövegdoboz 1">
          <a:extLst>
            <a:ext uri="{FF2B5EF4-FFF2-40B4-BE49-F238E27FC236}">
              <a16:creationId xmlns:a16="http://schemas.microsoft.com/office/drawing/2014/main" id="{7B3D3915-E13B-B76A-5DB6-E8122269379D}"/>
            </a:ext>
          </a:extLst>
        </xdr:cNvPr>
        <xdr:cNvSpPr txBox="1"/>
      </xdr:nvSpPr>
      <xdr:spPr>
        <a:xfrm>
          <a:off x="13180880" y="685942"/>
          <a:ext cx="10329256" cy="62481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Rainbow Holding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The Rainbow Holding was founded by the equal contribution of five individuals a decade ago. The investment company focuses primally on private equity opportunities. The firm runs with a minimal amount of operational assets in a rented office with only two of the owners actively taking part in the management. Their portfolio currently includes three companies.</a:t>
          </a:r>
          <a:endParaRPr lang="hu-HU" sz="1100">
            <a:solidFill>
              <a:schemeClr val="dk1"/>
            </a:solidFill>
            <a:effectLst/>
            <a:latin typeface="+mn-lt"/>
            <a:ea typeface="+mn-ea"/>
            <a:cs typeface="+mn-cs"/>
          </a:endParaRPr>
        </a:p>
        <a:p>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pure equity-financed Golden Bath Co. manufactures bathroom equipment and prospers pretty well (expected FCFF: 400 million HUF, g=4%). The chief executive officer and the head of the production both own a stake of 47%. The remaining stake is owned by Rainbow as a result of a transaction several years ago where the two managers bought out the former owners and the capital needed for the transaction was borrowed from Rainbow. They purchased a stake and agreed to sell that step-by-step to the two managers based on a predefined plan. The last of the yearly transactions is due in a year. Then Rainbow will leave the firm for a price of 110 million HUF. That step will bring a great relief as the last months brought several heated disputes between the two principal owners regarding the future of the firm, causing serious challenges for the Rainbow management.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Red Pepper Ltd. runs a cosy restaurant in the city centre of a big city. They realised sales of 250 million HUF and paid a dividend of 50 million HUF last year and expect a 3% long term growth. Uniquely for such firms, the company is financed from 500 million HUF debt at a rate of 6%. To upkeep their motivation, the CEO received a stake of 10% while the chef got 5% when the company was purchased 15 years ago. That time the whole kitchen and guest area has been modernised with the aid of Rainbow. Similar restaurants are bought at five times their sales on the market currently. Last month, Rainbow also received an offer at a similar price.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BlueMotion Co. runs several small cinemas, some of them operating open-air during summertime next to lake Balaton. Currently, the firm that received a considerable amount of capital from Rainbow five years ago saving it from liquidation manages three cinemas. Rainbow owns the firm entirely, and the two managers had a tough time to keep the business running during the last years. They managed to sell off the unneeded central office and paid back the formerly accumulated debt completely. Thus, today, the firm holds only assets (cinema and office equipment, truck) in a value of 30 million HUF. The first long term plan for years finally predicting a stable profit has been finished just some weeks ago. Based on that, perpetuity like FCFE of 15 million HUF will be generated with a yearly growth rate of 5%. Still, it is a crucial issue whether the operating agreements signed with municipalities owning the cinemas can be extended. The current contracts have three years remaining until expiry, and usually, those agreements last for 5 to 10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unleveraged cost of capital for sanitary equipment manufacturing is 13%, that of hospitality amounts to 11%, while the rate for entertainment and leisure equals to 12%. The risk-free rate is 4%, the corporate tax rate stagnates at 10%. </a:t>
          </a:r>
          <a:endParaRPr lang="hu-HU" sz="1100">
            <a:solidFill>
              <a:schemeClr val="dk1"/>
            </a:solidFill>
            <a:effectLst/>
            <a:latin typeface="+mn-lt"/>
            <a:ea typeface="+mn-ea"/>
            <a:cs typeface="+mn-cs"/>
          </a:endParaRPr>
        </a:p>
        <a:p>
          <a:br>
            <a:rPr lang="en-GB" sz="1100">
              <a:solidFill>
                <a:schemeClr val="dk1"/>
              </a:solidFill>
              <a:effectLst/>
              <a:latin typeface="+mn-lt"/>
              <a:ea typeface="+mn-ea"/>
              <a:cs typeface="+mn-cs"/>
            </a:rPr>
          </a:br>
          <a:r>
            <a:rPr lang="en-GB" sz="1100">
              <a:solidFill>
                <a:schemeClr val="dk1"/>
              </a:solidFill>
              <a:effectLst/>
              <a:latin typeface="+mn-lt"/>
              <a:ea typeface="+mn-ea"/>
              <a:cs typeface="+mn-cs"/>
            </a:rPr>
            <a:t>Recently, one of the managing owners announced that she had to retire due to health issues to spend more time with her grandchildren. She intends to sell her stake to provide some monetary aid to her son, who is currently about building a family house.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Estimate the current value of Rainbow.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What further information would you need for providing a more precise estimation?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What would be your maximum price offered for the 20% stake of Rainbow as an outside investor?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would your results differ if considering the purchase from the point of view the CEO leaving the firm? What about the value for other CEO staying?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5. What do you think the outcome of the transaction would be?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EDCCB-0596-4B70-86DA-59C2A6EF8702}">
  <dimension ref="A3:M58"/>
  <sheetViews>
    <sheetView tabSelected="1" topLeftCell="G4" zoomScale="190" zoomScaleNormal="190" workbookViewId="0">
      <selection activeCell="M18" sqref="M18"/>
    </sheetView>
  </sheetViews>
  <sheetFormatPr defaultRowHeight="15.75" x14ac:dyDescent="0.25"/>
  <cols>
    <col min="2" max="2" width="17.5" bestFit="1" customWidth="1"/>
    <col min="4" max="4" width="11.5" bestFit="1" customWidth="1"/>
    <col min="6" max="6" width="19.25" bestFit="1" customWidth="1"/>
    <col min="9" max="9" width="15" bestFit="1" customWidth="1"/>
    <col min="12" max="12" width="15" bestFit="1" customWidth="1"/>
  </cols>
  <sheetData>
    <row r="3" spans="2:13" x14ac:dyDescent="0.25">
      <c r="B3" s="2" t="s">
        <v>0</v>
      </c>
    </row>
    <row r="5" spans="2:13" x14ac:dyDescent="0.25">
      <c r="B5" s="1">
        <v>0.2</v>
      </c>
      <c r="C5" t="s">
        <v>1</v>
      </c>
      <c r="F5" s="16" t="s">
        <v>7</v>
      </c>
      <c r="G5" s="5">
        <f>+G28</f>
        <v>105.76923076923076</v>
      </c>
    </row>
    <row r="6" spans="2:13" x14ac:dyDescent="0.25">
      <c r="B6" s="18">
        <v>0.2</v>
      </c>
      <c r="C6" s="14" t="s">
        <v>1</v>
      </c>
      <c r="F6" s="16" t="s">
        <v>8</v>
      </c>
      <c r="G6" s="5">
        <f>+J44</f>
        <v>637.5</v>
      </c>
    </row>
    <row r="7" spans="2:13" x14ac:dyDescent="0.25">
      <c r="B7" s="1">
        <v>0.2</v>
      </c>
      <c r="F7" s="16" t="str">
        <f>+B46</f>
        <v xml:space="preserve">BlueMotion Co. </v>
      </c>
      <c r="G7" s="5">
        <f>+G58</f>
        <v>59.073133996902357</v>
      </c>
    </row>
    <row r="8" spans="2:13" x14ac:dyDescent="0.25">
      <c r="B8" s="1">
        <v>0.2</v>
      </c>
      <c r="F8" s="2" t="s">
        <v>53</v>
      </c>
      <c r="G8" s="17">
        <f>SUM(G5:G7)</f>
        <v>802.34236476613307</v>
      </c>
    </row>
    <row r="9" spans="2:13" x14ac:dyDescent="0.25">
      <c r="B9" s="1">
        <v>0.2</v>
      </c>
      <c r="F9" s="15" t="s">
        <v>54</v>
      </c>
      <c r="G9" s="13">
        <f>+G8*0.2</f>
        <v>160.46847295322664</v>
      </c>
    </row>
    <row r="11" spans="2:13" x14ac:dyDescent="0.25">
      <c r="F11" s="2" t="s">
        <v>55</v>
      </c>
      <c r="I11" s="2" t="s">
        <v>60</v>
      </c>
      <c r="L11" s="2" t="s">
        <v>63</v>
      </c>
    </row>
    <row r="12" spans="2:13" x14ac:dyDescent="0.25">
      <c r="B12" t="s">
        <v>2</v>
      </c>
      <c r="C12" s="1">
        <v>0.13</v>
      </c>
      <c r="F12" t="str">
        <f>+F9</f>
        <v>20% stake</v>
      </c>
      <c r="G12" s="5">
        <f>+G9</f>
        <v>160.46847295322664</v>
      </c>
      <c r="I12" t="s">
        <v>61</v>
      </c>
      <c r="J12" s="5">
        <f>+G8*0.4</f>
        <v>320.93694590645327</v>
      </c>
      <c r="L12" t="s">
        <v>61</v>
      </c>
      <c r="M12" s="5">
        <f>+J12</f>
        <v>320.93694590645327</v>
      </c>
    </row>
    <row r="13" spans="2:13" x14ac:dyDescent="0.25">
      <c r="B13" t="s">
        <v>3</v>
      </c>
      <c r="C13" s="1">
        <v>0.11</v>
      </c>
      <c r="F13" t="s">
        <v>56</v>
      </c>
      <c r="G13" s="1">
        <v>-0.2</v>
      </c>
      <c r="I13" t="s">
        <v>62</v>
      </c>
      <c r="J13" s="10">
        <v>0.1</v>
      </c>
      <c r="L13" t="s">
        <v>62</v>
      </c>
      <c r="M13" s="10">
        <v>0.1</v>
      </c>
    </row>
    <row r="14" spans="2:13" x14ac:dyDescent="0.25">
      <c r="B14" t="s">
        <v>4</v>
      </c>
      <c r="C14" s="1">
        <v>0.12</v>
      </c>
      <c r="F14" t="s">
        <v>57</v>
      </c>
      <c r="G14" s="1">
        <v>-0.15</v>
      </c>
      <c r="I14" t="str">
        <f>+F14</f>
        <v>Key person</v>
      </c>
      <c r="J14" s="8">
        <f>+G14</f>
        <v>-0.15</v>
      </c>
      <c r="L14" t="str">
        <f>+I14</f>
        <v>Key person</v>
      </c>
      <c r="M14" s="8">
        <f>+J14</f>
        <v>-0.15</v>
      </c>
    </row>
    <row r="15" spans="2:13" x14ac:dyDescent="0.25">
      <c r="B15" t="s">
        <v>5</v>
      </c>
      <c r="C15" s="1">
        <v>0.04</v>
      </c>
      <c r="F15" t="s">
        <v>58</v>
      </c>
      <c r="G15" s="1">
        <v>-0.1</v>
      </c>
      <c r="I15" t="s">
        <v>54</v>
      </c>
      <c r="J15" s="5">
        <f>+G9</f>
        <v>160.46847295322664</v>
      </c>
      <c r="L15" t="s">
        <v>64</v>
      </c>
      <c r="M15" s="10">
        <v>0.05</v>
      </c>
    </row>
    <row r="16" spans="2:13" x14ac:dyDescent="0.25">
      <c r="B16" t="s">
        <v>6</v>
      </c>
      <c r="C16" s="1">
        <v>0.1</v>
      </c>
      <c r="F16" s="19" t="s">
        <v>59</v>
      </c>
      <c r="G16" s="20">
        <f>+G12*(1+G13)*(1+G14)*(1+G15)</f>
        <v>98.206705447374702</v>
      </c>
      <c r="I16" s="19" t="s">
        <v>59</v>
      </c>
      <c r="J16" s="20">
        <f>+J12*(1+J13)*(1+J14)-J15</f>
        <v>139.60757146930723</v>
      </c>
      <c r="L16" t="s">
        <v>54</v>
      </c>
      <c r="M16" s="5">
        <f>+J15</f>
        <v>160.46847295322664</v>
      </c>
    </row>
    <row r="17" spans="2:13" x14ac:dyDescent="0.25">
      <c r="L17" s="19" t="s">
        <v>59</v>
      </c>
      <c r="M17" s="20">
        <f>+M12*(1+M13)*(1+M14)*(1+M15)-M16</f>
        <v>154.61137369043394</v>
      </c>
    </row>
    <row r="20" spans="2:13" x14ac:dyDescent="0.25">
      <c r="B20" s="3" t="s">
        <v>7</v>
      </c>
    </row>
    <row r="21" spans="2:13" x14ac:dyDescent="0.25">
      <c r="B21" t="s">
        <v>22</v>
      </c>
      <c r="C21" s="1">
        <v>0.06</v>
      </c>
      <c r="F21" s="5" t="s">
        <v>29</v>
      </c>
      <c r="G21" s="5">
        <f>+C25/(C12-C26)</f>
        <v>4444.4444444444443</v>
      </c>
    </row>
    <row r="22" spans="2:13" x14ac:dyDescent="0.25">
      <c r="B22" t="s">
        <v>24</v>
      </c>
      <c r="C22" s="1">
        <v>0.47</v>
      </c>
      <c r="F22" t="s">
        <v>31</v>
      </c>
      <c r="G22" s="5">
        <f>+G21-C24</f>
        <v>4444.4444444444443</v>
      </c>
    </row>
    <row r="23" spans="2:13" x14ac:dyDescent="0.25">
      <c r="B23" t="s">
        <v>26</v>
      </c>
      <c r="C23" s="1">
        <v>0.47</v>
      </c>
      <c r="F23" t="s">
        <v>32</v>
      </c>
      <c r="G23" s="5">
        <f>6%*G22</f>
        <v>266.66666666666663</v>
      </c>
    </row>
    <row r="24" spans="2:13" x14ac:dyDescent="0.25">
      <c r="B24" t="s">
        <v>28</v>
      </c>
      <c r="C24" s="5">
        <v>0</v>
      </c>
      <c r="D24" t="s">
        <v>30</v>
      </c>
      <c r="F24" t="s">
        <v>34</v>
      </c>
      <c r="G24" s="1">
        <v>0.2</v>
      </c>
    </row>
    <row r="25" spans="2:13" x14ac:dyDescent="0.25">
      <c r="B25" t="s">
        <v>11</v>
      </c>
      <c r="C25" s="5">
        <v>400</v>
      </c>
    </row>
    <row r="26" spans="2:13" x14ac:dyDescent="0.25">
      <c r="B26" t="s">
        <v>12</v>
      </c>
      <c r="C26" s="1">
        <v>0.04</v>
      </c>
    </row>
    <row r="28" spans="2:13" x14ac:dyDescent="0.25">
      <c r="B28" t="s">
        <v>27</v>
      </c>
      <c r="C28" s="5">
        <v>110</v>
      </c>
      <c r="F28" s="7" t="s">
        <v>33</v>
      </c>
      <c r="G28" s="6">
        <f>+C28/(1+C15)</f>
        <v>105.76923076923076</v>
      </c>
    </row>
    <row r="33" spans="1:10" x14ac:dyDescent="0.25">
      <c r="B33" s="3" t="s">
        <v>8</v>
      </c>
      <c r="F33" t="s">
        <v>37</v>
      </c>
    </row>
    <row r="34" spans="1:10" x14ac:dyDescent="0.25">
      <c r="B34" t="s">
        <v>22</v>
      </c>
      <c r="C34" s="1">
        <v>0.85</v>
      </c>
      <c r="F34" t="str">
        <f>+B13</f>
        <v>rA hospitality</v>
      </c>
      <c r="G34" s="8">
        <f>+C13</f>
        <v>0.11</v>
      </c>
    </row>
    <row r="35" spans="1:10" x14ac:dyDescent="0.25">
      <c r="B35" t="s">
        <v>24</v>
      </c>
      <c r="C35" s="1">
        <v>0.1</v>
      </c>
      <c r="F35" t="s">
        <v>40</v>
      </c>
      <c r="G35" s="9">
        <v>0.61538456709181366</v>
      </c>
    </row>
    <row r="36" spans="1:10" x14ac:dyDescent="0.25">
      <c r="B36" t="s">
        <v>23</v>
      </c>
      <c r="C36" s="1">
        <v>0.05</v>
      </c>
      <c r="F36" t="s">
        <v>36</v>
      </c>
      <c r="G36" s="8">
        <f>+(G34-G35*C42)/(1-G35)</f>
        <v>0.18999998367703508</v>
      </c>
      <c r="H36" t="s">
        <v>41</v>
      </c>
    </row>
    <row r="37" spans="1:10" x14ac:dyDescent="0.25">
      <c r="C37" s="1"/>
    </row>
    <row r="38" spans="1:10" x14ac:dyDescent="0.25">
      <c r="B38" t="s">
        <v>18</v>
      </c>
      <c r="C38">
        <v>250</v>
      </c>
      <c r="F38" t="s">
        <v>35</v>
      </c>
    </row>
    <row r="39" spans="1:10" x14ac:dyDescent="0.25">
      <c r="B39" t="s">
        <v>19</v>
      </c>
      <c r="C39">
        <v>50</v>
      </c>
      <c r="F39" s="11" t="s">
        <v>45</v>
      </c>
      <c r="G39" s="12">
        <f>+C39/(G36-C40)</f>
        <v>312.5000318807941</v>
      </c>
      <c r="I39" t="str">
        <f>+B38</f>
        <v>Sales</v>
      </c>
      <c r="J39" s="5">
        <f>+C38</f>
        <v>250</v>
      </c>
    </row>
    <row r="40" spans="1:10" x14ac:dyDescent="0.25">
      <c r="B40" t="s">
        <v>12</v>
      </c>
      <c r="C40" s="1">
        <v>0.03</v>
      </c>
      <c r="F40" t="s">
        <v>38</v>
      </c>
      <c r="G40" s="5">
        <f>+C41</f>
        <v>500</v>
      </c>
      <c r="I40" t="s">
        <v>42</v>
      </c>
      <c r="J40" s="5">
        <f>+C44</f>
        <v>5</v>
      </c>
    </row>
    <row r="41" spans="1:10" x14ac:dyDescent="0.25">
      <c r="B41" t="s">
        <v>20</v>
      </c>
      <c r="C41">
        <v>500</v>
      </c>
      <c r="F41" t="s">
        <v>29</v>
      </c>
      <c r="G41" s="5">
        <f>+G39+G40</f>
        <v>812.50003188079404</v>
      </c>
      <c r="I41" t="s">
        <v>43</v>
      </c>
      <c r="J41" s="5">
        <f>+J40*J39</f>
        <v>1250</v>
      </c>
    </row>
    <row r="42" spans="1:10" x14ac:dyDescent="0.25">
      <c r="B42" t="s">
        <v>21</v>
      </c>
      <c r="C42" s="1">
        <v>0.06</v>
      </c>
      <c r="F42" t="s">
        <v>39</v>
      </c>
      <c r="G42" s="8">
        <f>+G40/G41</f>
        <v>0.61538459123821609</v>
      </c>
      <c r="I42" s="11" t="s">
        <v>44</v>
      </c>
      <c r="J42" s="12">
        <f>+J41-C41</f>
        <v>750</v>
      </c>
    </row>
    <row r="43" spans="1:10" x14ac:dyDescent="0.25">
      <c r="G43" s="10">
        <f>+G35-G42</f>
        <v>-2.414640243308952E-8</v>
      </c>
    </row>
    <row r="44" spans="1:10" x14ac:dyDescent="0.25">
      <c r="A44" t="s">
        <v>42</v>
      </c>
      <c r="B44" t="s">
        <v>25</v>
      </c>
      <c r="C44" s="5">
        <v>5</v>
      </c>
      <c r="I44" s="7" t="s">
        <v>46</v>
      </c>
      <c r="J44" s="6">
        <f>+J42*85%</f>
        <v>637.5</v>
      </c>
    </row>
    <row r="46" spans="1:10" x14ac:dyDescent="0.25">
      <c r="B46" s="3" t="s">
        <v>9</v>
      </c>
      <c r="I46" s="5">
        <f>+J42-G39</f>
        <v>437.4999681192059</v>
      </c>
    </row>
    <row r="47" spans="1:10" x14ac:dyDescent="0.25">
      <c r="B47" t="s">
        <v>22</v>
      </c>
      <c r="C47" s="1">
        <v>1</v>
      </c>
    </row>
    <row r="49" spans="2:9" x14ac:dyDescent="0.25">
      <c r="B49" t="s">
        <v>10</v>
      </c>
      <c r="C49">
        <v>30</v>
      </c>
      <c r="E49" t="s">
        <v>48</v>
      </c>
      <c r="F49" t="s">
        <v>47</v>
      </c>
      <c r="G49" s="5">
        <f>+C51/(C14-C52)</f>
        <v>214.28571428571431</v>
      </c>
      <c r="H49" s="5">
        <f>+G49/3</f>
        <v>71.428571428571431</v>
      </c>
    </row>
    <row r="50" spans="2:9" x14ac:dyDescent="0.25">
      <c r="B50" t="s">
        <v>17</v>
      </c>
      <c r="C50">
        <v>0</v>
      </c>
      <c r="E50" t="s">
        <v>49</v>
      </c>
      <c r="F50" t="str">
        <f>+B49</f>
        <v>BV Assets</v>
      </c>
      <c r="G50" s="5">
        <f>+C49</f>
        <v>30</v>
      </c>
    </row>
    <row r="51" spans="2:9" x14ac:dyDescent="0.25">
      <c r="B51" t="s">
        <v>11</v>
      </c>
      <c r="C51">
        <v>15</v>
      </c>
    </row>
    <row r="52" spans="2:9" x14ac:dyDescent="0.25">
      <c r="B52" t="s">
        <v>12</v>
      </c>
      <c r="C52" s="1">
        <v>0.05</v>
      </c>
    </row>
    <row r="53" spans="2:9" x14ac:dyDescent="0.25">
      <c r="B53" t="s">
        <v>13</v>
      </c>
      <c r="C53">
        <v>3</v>
      </c>
      <c r="D53" t="s">
        <v>14</v>
      </c>
      <c r="F53" t="s">
        <v>6</v>
      </c>
      <c r="G53">
        <v>3</v>
      </c>
      <c r="I53" s="1"/>
    </row>
    <row r="54" spans="2:9" x14ac:dyDescent="0.25">
      <c r="B54" t="s">
        <v>15</v>
      </c>
      <c r="C54" s="4" t="s">
        <v>16</v>
      </c>
      <c r="D54" t="s">
        <v>14</v>
      </c>
      <c r="F54" t="s">
        <v>50</v>
      </c>
      <c r="G54" s="5">
        <f>+C51/(C14-C52)*(1-(1+C52)^G53/(1+C14)^G53)</f>
        <v>37.719726562500028</v>
      </c>
      <c r="H54" s="8">
        <f>+G54/G49</f>
        <v>0.17602539062500011</v>
      </c>
      <c r="I54" s="1"/>
    </row>
    <row r="55" spans="2:9" x14ac:dyDescent="0.25">
      <c r="F55" t="s">
        <v>52</v>
      </c>
      <c r="G55" s="5">
        <f>+C49</f>
        <v>30</v>
      </c>
    </row>
    <row r="56" spans="2:9" x14ac:dyDescent="0.25">
      <c r="F56" t="s">
        <v>51</v>
      </c>
      <c r="G56" s="5">
        <f>+G55/(1+C14)^G53</f>
        <v>21.353407434402325</v>
      </c>
    </row>
    <row r="58" spans="2:9" x14ac:dyDescent="0.25">
      <c r="F58" s="7" t="s">
        <v>31</v>
      </c>
      <c r="G58" s="6">
        <f>+G54+G56</f>
        <v>59.073133996902357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Juhász Péter</cp:lastModifiedBy>
  <dcterms:created xsi:type="dcterms:W3CDTF">2022-11-26T10:44:12Z</dcterms:created>
  <dcterms:modified xsi:type="dcterms:W3CDTF">2024-12-02T17:55:19Z</dcterms:modified>
</cp:coreProperties>
</file>