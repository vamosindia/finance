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S:\!Aktualis\2024ősz\Applied Business Valuation\Week2\"/>
    </mc:Choice>
  </mc:AlternateContent>
  <xr:revisionPtr revIDLastSave="0" documentId="13_ncr:1_{166F4273-FF14-4632-A065-902B4FA1E4B6}" xr6:coauthVersionLast="47" xr6:coauthVersionMax="47" xr10:uidLastSave="{00000000-0000-0000-0000-000000000000}"/>
  <bookViews>
    <workbookView xWindow="-120" yWindow="-120" windowWidth="19440" windowHeight="14880" activeTab="1" xr2:uid="{EE2224F1-1A86-480D-9DF9-DD5525925017}"/>
  </bookViews>
  <sheets>
    <sheet name="Individual purchase" sheetId="1" r:id="rId1"/>
    <sheet name="Corporate purchase" sheetId="2" r:id="rId2"/>
  </sheets>
  <calcPr calcId="191029" iterateCount="10000" iterateDelta="1E-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1" i="2" l="1"/>
  <c r="B48" i="2"/>
  <c r="B52" i="2"/>
  <c r="B59" i="2"/>
  <c r="B64" i="2"/>
  <c r="B67" i="2"/>
  <c r="B73" i="2"/>
  <c r="B76" i="2"/>
  <c r="B81" i="2"/>
  <c r="B91" i="2"/>
  <c r="B95" i="2"/>
  <c r="B97" i="2"/>
  <c r="D45" i="2"/>
  <c r="E45" i="2"/>
  <c r="F45" i="2"/>
  <c r="G45" i="2"/>
  <c r="C45" i="2"/>
  <c r="D32" i="2"/>
  <c r="D33" i="2" s="1"/>
  <c r="D44" i="2" s="1"/>
  <c r="E32" i="2"/>
  <c r="E33" i="2" s="1"/>
  <c r="E44" i="2" s="1"/>
  <c r="F32" i="2"/>
  <c r="F33" i="2" s="1"/>
  <c r="F44" i="2" s="1"/>
  <c r="G32" i="2"/>
  <c r="G33" i="2" s="1"/>
  <c r="G44" i="2" s="1"/>
  <c r="H32" i="2"/>
  <c r="H33" i="2" s="1"/>
  <c r="H44" i="2" s="1"/>
  <c r="C32" i="2"/>
  <c r="C33" i="2" s="1"/>
  <c r="C44" i="2" s="1"/>
  <c r="J23" i="2"/>
  <c r="D20" i="2"/>
  <c r="E20" i="2" s="1"/>
  <c r="F20" i="2" s="1"/>
  <c r="G20" i="2" s="1"/>
  <c r="H20" i="2" s="1"/>
  <c r="I20" i="2" s="1"/>
  <c r="H46" i="2" s="1"/>
  <c r="H59" i="2"/>
  <c r="G59" i="2"/>
  <c r="F59" i="2"/>
  <c r="E59" i="2"/>
  <c r="D59" i="2"/>
  <c r="C59" i="2"/>
  <c r="C21" i="2"/>
  <c r="C85" i="2" s="1"/>
  <c r="D5" i="2"/>
  <c r="E5" i="2" s="1"/>
  <c r="F5" i="2" s="1"/>
  <c r="G5" i="2" s="1"/>
  <c r="H5" i="2" s="1"/>
  <c r="C98" i="1"/>
  <c r="D93" i="1"/>
  <c r="D95" i="1" s="1"/>
  <c r="E93" i="1"/>
  <c r="F93" i="1"/>
  <c r="G93" i="1"/>
  <c r="H93" i="1"/>
  <c r="D94" i="1"/>
  <c r="E94" i="1"/>
  <c r="F94" i="1"/>
  <c r="G94" i="1"/>
  <c r="H94" i="1"/>
  <c r="E95" i="1"/>
  <c r="F95" i="1"/>
  <c r="G95" i="1"/>
  <c r="H95" i="1"/>
  <c r="C95" i="1"/>
  <c r="C94" i="1"/>
  <c r="B94" i="1"/>
  <c r="C93" i="1"/>
  <c r="C92" i="1"/>
  <c r="D92" i="1"/>
  <c r="E92" i="1"/>
  <c r="F92" i="1"/>
  <c r="G92" i="1"/>
  <c r="H92" i="1"/>
  <c r="B92" i="1"/>
  <c r="G91" i="1"/>
  <c r="F91" i="1" s="1"/>
  <c r="E91" i="1" s="1"/>
  <c r="D91" i="1" s="1"/>
  <c r="C91" i="1" s="1"/>
  <c r="H91" i="1"/>
  <c r="D90" i="1"/>
  <c r="E90" i="1"/>
  <c r="F90" i="1"/>
  <c r="G90" i="1"/>
  <c r="H90" i="1"/>
  <c r="C90" i="1"/>
  <c r="D89" i="1"/>
  <c r="E89" i="1"/>
  <c r="F89" i="1"/>
  <c r="G89" i="1"/>
  <c r="H89" i="1"/>
  <c r="C89" i="1"/>
  <c r="C88" i="1"/>
  <c r="D88" i="1"/>
  <c r="E88" i="1"/>
  <c r="F88" i="1"/>
  <c r="G88" i="1"/>
  <c r="H88" i="1"/>
  <c r="B88" i="1"/>
  <c r="C83" i="1"/>
  <c r="D83" i="1"/>
  <c r="E83" i="1"/>
  <c r="F83" i="1"/>
  <c r="G83" i="1"/>
  <c r="H78" i="1"/>
  <c r="C82" i="1"/>
  <c r="D82" i="1"/>
  <c r="E82" i="1"/>
  <c r="F82" i="1"/>
  <c r="G82" i="1"/>
  <c r="H82" i="1"/>
  <c r="B82" i="1"/>
  <c r="D80" i="1"/>
  <c r="E80" i="1"/>
  <c r="F80" i="1"/>
  <c r="G80" i="1"/>
  <c r="H80" i="1"/>
  <c r="H81" i="1" s="1"/>
  <c r="C80" i="1"/>
  <c r="D79" i="1"/>
  <c r="E79" i="1"/>
  <c r="F79" i="1"/>
  <c r="G79" i="1"/>
  <c r="H79" i="1"/>
  <c r="C79" i="1"/>
  <c r="C78" i="1"/>
  <c r="D78" i="1"/>
  <c r="E78" i="1"/>
  <c r="F78" i="1"/>
  <c r="G78" i="1"/>
  <c r="B78" i="1"/>
  <c r="D74" i="1"/>
  <c r="E74" i="1"/>
  <c r="F74" i="1"/>
  <c r="G74" i="1"/>
  <c r="H74" i="1"/>
  <c r="C74" i="1"/>
  <c r="C73" i="1"/>
  <c r="D73" i="1"/>
  <c r="E73" i="1"/>
  <c r="F73" i="1"/>
  <c r="G73" i="1"/>
  <c r="H73" i="1"/>
  <c r="G72" i="1"/>
  <c r="F72" i="1" s="1"/>
  <c r="E72" i="1" s="1"/>
  <c r="D72" i="1" s="1"/>
  <c r="C72" i="1" s="1"/>
  <c r="H72" i="1"/>
  <c r="D71" i="1"/>
  <c r="E71" i="1"/>
  <c r="F71" i="1"/>
  <c r="G71" i="1"/>
  <c r="H71" i="1"/>
  <c r="C71" i="1"/>
  <c r="C70" i="1"/>
  <c r="D70" i="1"/>
  <c r="E70" i="1"/>
  <c r="F70" i="1"/>
  <c r="G70" i="1"/>
  <c r="H70" i="1"/>
  <c r="B70" i="1"/>
  <c r="D60" i="1"/>
  <c r="E60" i="1"/>
  <c r="F60" i="1"/>
  <c r="G60" i="1"/>
  <c r="H60" i="1"/>
  <c r="C60" i="1"/>
  <c r="B64" i="1"/>
  <c r="B73" i="1" s="1"/>
  <c r="C64" i="1"/>
  <c r="D64" i="1"/>
  <c r="E64" i="1"/>
  <c r="F64" i="1"/>
  <c r="G64" i="1"/>
  <c r="H64" i="1"/>
  <c r="C61" i="1"/>
  <c r="D61" i="1"/>
  <c r="E61" i="1"/>
  <c r="F61" i="1"/>
  <c r="G61" i="1"/>
  <c r="H61" i="1"/>
  <c r="B61" i="1"/>
  <c r="D62" i="1"/>
  <c r="E62" i="1"/>
  <c r="F62" i="1"/>
  <c r="G62" i="1"/>
  <c r="H62" i="1"/>
  <c r="H63" i="1" s="1"/>
  <c r="C62" i="1"/>
  <c r="F57" i="1"/>
  <c r="E57" i="1" s="1"/>
  <c r="D57" i="1" s="1"/>
  <c r="C57" i="1" s="1"/>
  <c r="G57" i="1"/>
  <c r="H57" i="1"/>
  <c r="C56" i="1"/>
  <c r="D56" i="1"/>
  <c r="E56" i="1"/>
  <c r="F56" i="1"/>
  <c r="G56" i="1"/>
  <c r="H56" i="1"/>
  <c r="B56" i="1"/>
  <c r="D55" i="1"/>
  <c r="E55" i="1"/>
  <c r="F55" i="1"/>
  <c r="G55" i="1"/>
  <c r="H55" i="1"/>
  <c r="C55" i="1"/>
  <c r="I31" i="1"/>
  <c r="H33" i="1" s="1"/>
  <c r="H42" i="1"/>
  <c r="B49" i="1"/>
  <c r="B45" i="1"/>
  <c r="D43" i="1"/>
  <c r="E43" i="1"/>
  <c r="C43" i="1"/>
  <c r="C20" i="1"/>
  <c r="C42" i="1" s="1"/>
  <c r="C31" i="1" s="1"/>
  <c r="B20" i="1"/>
  <c r="D5" i="1"/>
  <c r="E5" i="1" s="1"/>
  <c r="F5" i="1" s="1"/>
  <c r="G5" i="1" s="1"/>
  <c r="H5" i="1" s="1"/>
  <c r="C46" i="2" l="1"/>
  <c r="C47" i="2" s="1"/>
  <c r="F46" i="2"/>
  <c r="F47" i="2" s="1"/>
  <c r="E46" i="2"/>
  <c r="E47" i="2" s="1"/>
  <c r="G46" i="2"/>
  <c r="G47" i="2" s="1"/>
  <c r="D46" i="2"/>
  <c r="D47" i="2" s="1"/>
  <c r="C22" i="2"/>
  <c r="C67" i="2" s="1"/>
  <c r="D21" i="2"/>
  <c r="D85" i="2" s="1"/>
  <c r="C23" i="2"/>
  <c r="C95" i="2" s="1"/>
  <c r="D81" i="2"/>
  <c r="E21" i="2"/>
  <c r="E85" i="2" s="1"/>
  <c r="D22" i="2"/>
  <c r="C76" i="2"/>
  <c r="C97" i="2" s="1"/>
  <c r="C81" i="2"/>
  <c r="H83" i="1"/>
  <c r="G81" i="1"/>
  <c r="F81" i="1" s="1"/>
  <c r="E81" i="1" s="1"/>
  <c r="D81" i="1" s="1"/>
  <c r="C81" i="1" s="1"/>
  <c r="H65" i="1"/>
  <c r="H66" i="1" s="1"/>
  <c r="G63" i="1"/>
  <c r="I42" i="1"/>
  <c r="H44" i="1" s="1"/>
  <c r="D20" i="1"/>
  <c r="E20" i="1" s="1"/>
  <c r="C44" i="1"/>
  <c r="D42" i="1"/>
  <c r="C21" i="1"/>
  <c r="C34" i="2" l="1"/>
  <c r="C48" i="2" s="1"/>
  <c r="C49" i="2" s="1"/>
  <c r="C58" i="2" s="1"/>
  <c r="D23" i="2"/>
  <c r="C64" i="2"/>
  <c r="D34" i="2"/>
  <c r="D48" i="2" s="1"/>
  <c r="D49" i="2" s="1"/>
  <c r="C50" i="2"/>
  <c r="D67" i="2"/>
  <c r="F21" i="2"/>
  <c r="F85" i="2" s="1"/>
  <c r="E22" i="2"/>
  <c r="E23" i="2" s="1"/>
  <c r="D35" i="2"/>
  <c r="D58" i="2"/>
  <c r="D64" i="2"/>
  <c r="E81" i="2"/>
  <c r="F63" i="1"/>
  <c r="G65" i="1"/>
  <c r="G66" i="1" s="1"/>
  <c r="C22" i="1"/>
  <c r="C32" i="1"/>
  <c r="D21" i="1"/>
  <c r="E42" i="1"/>
  <c r="D44" i="1"/>
  <c r="D31" i="1"/>
  <c r="E21" i="1"/>
  <c r="D47" i="1" s="1"/>
  <c r="F20" i="1"/>
  <c r="C51" i="2" l="1"/>
  <c r="C73" i="2" s="1"/>
  <c r="C35" i="2"/>
  <c r="C36" i="2" s="1"/>
  <c r="C26" i="2" s="1"/>
  <c r="E64" i="2"/>
  <c r="F81" i="2"/>
  <c r="G21" i="2"/>
  <c r="G85" i="2" s="1"/>
  <c r="D36" i="2"/>
  <c r="D26" i="2" s="1"/>
  <c r="E95" i="2"/>
  <c r="D41" i="2"/>
  <c r="E34" i="2"/>
  <c r="E48" i="2" s="1"/>
  <c r="E49" i="2" s="1"/>
  <c r="E58" i="2" s="1"/>
  <c r="D50" i="2"/>
  <c r="D51" i="2" s="1"/>
  <c r="E67" i="2"/>
  <c r="F22" i="2"/>
  <c r="F23" i="2" s="1"/>
  <c r="D95" i="2"/>
  <c r="C41" i="2"/>
  <c r="D76" i="2"/>
  <c r="D97" i="2" s="1"/>
  <c r="E63" i="1"/>
  <c r="F65" i="1"/>
  <c r="F66" i="1" s="1"/>
  <c r="D32" i="1"/>
  <c r="D45" i="1" s="1"/>
  <c r="D46" i="1" s="1"/>
  <c r="C47" i="1"/>
  <c r="C33" i="1"/>
  <c r="C34" i="1" s="1"/>
  <c r="C25" i="1" s="1"/>
  <c r="C45" i="1"/>
  <c r="C46" i="1" s="1"/>
  <c r="C48" i="1" s="1"/>
  <c r="D22" i="1"/>
  <c r="E22" i="1"/>
  <c r="E32" i="1"/>
  <c r="E45" i="1" s="1"/>
  <c r="E46" i="1" s="1"/>
  <c r="F42" i="1"/>
  <c r="E44" i="1"/>
  <c r="E31" i="1"/>
  <c r="F21" i="1"/>
  <c r="F22" i="1"/>
  <c r="E39" i="1" s="1"/>
  <c r="C37" i="2" l="1"/>
  <c r="C39" i="2" s="1"/>
  <c r="C53" i="2" s="1"/>
  <c r="G22" i="2"/>
  <c r="G23" i="2" s="1"/>
  <c r="D73" i="2"/>
  <c r="E35" i="2"/>
  <c r="D37" i="2"/>
  <c r="G81" i="2"/>
  <c r="H21" i="2"/>
  <c r="H85" i="2" s="1"/>
  <c r="F34" i="2"/>
  <c r="F48" i="2" s="1"/>
  <c r="F49" i="2" s="1"/>
  <c r="E50" i="2"/>
  <c r="F67" i="2"/>
  <c r="E51" i="2"/>
  <c r="E76" i="2"/>
  <c r="E97" i="2" s="1"/>
  <c r="D63" i="1"/>
  <c r="E65" i="1"/>
  <c r="E66" i="1" s="1"/>
  <c r="D33" i="1"/>
  <c r="D34" i="1" s="1"/>
  <c r="D25" i="1" s="1"/>
  <c r="D48" i="1"/>
  <c r="F32" i="1"/>
  <c r="F45" i="1" s="1"/>
  <c r="F46" i="1" s="1"/>
  <c r="E47" i="1"/>
  <c r="E48" i="1" s="1"/>
  <c r="D39" i="1"/>
  <c r="C39" i="1"/>
  <c r="C35" i="1"/>
  <c r="E33" i="1"/>
  <c r="F43" i="1"/>
  <c r="G20" i="1" s="1"/>
  <c r="F31" i="1"/>
  <c r="F33" i="1" s="1"/>
  <c r="C91" i="2" l="1"/>
  <c r="F35" i="2"/>
  <c r="F36" i="2" s="1"/>
  <c r="F26" i="2" s="1"/>
  <c r="I21" i="2"/>
  <c r="I23" i="2" s="1"/>
  <c r="H22" i="2"/>
  <c r="H23" i="2" s="1"/>
  <c r="H45" i="2"/>
  <c r="C42" i="2"/>
  <c r="C38" i="2"/>
  <c r="C52" i="2" s="1"/>
  <c r="C54" i="2" s="1"/>
  <c r="D39" i="2"/>
  <c r="D38" i="2" s="1"/>
  <c r="D52" i="2" s="1"/>
  <c r="D91" i="2"/>
  <c r="E73" i="2"/>
  <c r="E36" i="2"/>
  <c r="E26" i="2" s="1"/>
  <c r="F95" i="2"/>
  <c r="E41" i="2"/>
  <c r="F76" i="2"/>
  <c r="F97" i="2" s="1"/>
  <c r="G34" i="2"/>
  <c r="G48" i="2" s="1"/>
  <c r="G49" i="2" s="1"/>
  <c r="F50" i="2"/>
  <c r="F51" i="2" s="1"/>
  <c r="G67" i="2"/>
  <c r="F58" i="2"/>
  <c r="F64" i="2"/>
  <c r="C63" i="1"/>
  <c r="C65" i="1" s="1"/>
  <c r="C66" i="1" s="1"/>
  <c r="D65" i="1"/>
  <c r="D66" i="1" s="1"/>
  <c r="D35" i="1"/>
  <c r="D37" i="1" s="1"/>
  <c r="D50" i="1" s="1"/>
  <c r="C37" i="1"/>
  <c r="C50" i="1" s="1"/>
  <c r="F34" i="1"/>
  <c r="F25" i="1" s="1"/>
  <c r="E34" i="1"/>
  <c r="E25" i="1" s="1"/>
  <c r="F44" i="1"/>
  <c r="G21" i="1"/>
  <c r="F47" i="1" s="1"/>
  <c r="G42" i="1"/>
  <c r="E37" i="2" l="1"/>
  <c r="E39" i="2" s="1"/>
  <c r="E53" i="2" s="1"/>
  <c r="F73" i="2"/>
  <c r="G76" i="2"/>
  <c r="G97" i="2" s="1"/>
  <c r="F37" i="2"/>
  <c r="D53" i="2"/>
  <c r="D54" i="2" s="1"/>
  <c r="D42" i="2"/>
  <c r="G95" i="2"/>
  <c r="F41" i="2"/>
  <c r="G58" i="2"/>
  <c r="G64" i="2"/>
  <c r="G35" i="2"/>
  <c r="H50" i="2"/>
  <c r="H34" i="2"/>
  <c r="H48" i="2" s="1"/>
  <c r="H49" i="2" s="1"/>
  <c r="G50" i="2"/>
  <c r="G51" i="2" s="1"/>
  <c r="H67" i="2"/>
  <c r="H95" i="2"/>
  <c r="H41" i="2"/>
  <c r="G41" i="2"/>
  <c r="I29" i="2"/>
  <c r="I31" i="2"/>
  <c r="D40" i="1"/>
  <c r="D36" i="1"/>
  <c r="D49" i="1" s="1"/>
  <c r="D51" i="1" s="1"/>
  <c r="C36" i="1"/>
  <c r="C49" i="1" s="1"/>
  <c r="C51" i="1" s="1"/>
  <c r="F48" i="1"/>
  <c r="C40" i="1"/>
  <c r="F35" i="1"/>
  <c r="E35" i="1"/>
  <c r="G22" i="1"/>
  <c r="G32" i="1"/>
  <c r="G45" i="1" s="1"/>
  <c r="G46" i="1" s="1"/>
  <c r="G31" i="1"/>
  <c r="G43" i="1"/>
  <c r="E91" i="2" l="1"/>
  <c r="G36" i="2"/>
  <c r="G26" i="2" s="1"/>
  <c r="G73" i="2"/>
  <c r="I33" i="2"/>
  <c r="I44" i="2" s="1"/>
  <c r="H47" i="2" s="1"/>
  <c r="F91" i="2"/>
  <c r="F39" i="2"/>
  <c r="F53" i="2" s="1"/>
  <c r="E38" i="2"/>
  <c r="E52" i="2" s="1"/>
  <c r="E54" i="2" s="1"/>
  <c r="H76" i="2"/>
  <c r="H97" i="2" s="1"/>
  <c r="E42" i="2"/>
  <c r="E37" i="1"/>
  <c r="E36" i="1" s="1"/>
  <c r="E49" i="1" s="1"/>
  <c r="F39" i="1"/>
  <c r="G33" i="1"/>
  <c r="G44" i="1"/>
  <c r="H20" i="1"/>
  <c r="F38" i="2" l="1"/>
  <c r="F52" i="2" s="1"/>
  <c r="F54" i="2" s="1"/>
  <c r="H35" i="2"/>
  <c r="F42" i="2"/>
  <c r="G37" i="2"/>
  <c r="H21" i="1"/>
  <c r="H22" i="1" s="1"/>
  <c r="H43" i="1"/>
  <c r="F37" i="1"/>
  <c r="F40" i="1" s="1"/>
  <c r="E50" i="1"/>
  <c r="E51" i="1" s="1"/>
  <c r="E40" i="1"/>
  <c r="G34" i="1"/>
  <c r="G25" i="1" s="1"/>
  <c r="G39" i="2" l="1"/>
  <c r="G38" i="2" s="1"/>
  <c r="G52" i="2" s="1"/>
  <c r="G91" i="2"/>
  <c r="H36" i="2"/>
  <c r="H26" i="2" s="1"/>
  <c r="H81" i="2"/>
  <c r="H32" i="1"/>
  <c r="H45" i="1" s="1"/>
  <c r="H46" i="1" s="1"/>
  <c r="H39" i="1"/>
  <c r="G39" i="1"/>
  <c r="F50" i="1"/>
  <c r="F36" i="1"/>
  <c r="F49" i="1" s="1"/>
  <c r="F51" i="1" s="1"/>
  <c r="G47" i="1"/>
  <c r="G48" i="1" s="1"/>
  <c r="H47" i="1"/>
  <c r="G35" i="1"/>
  <c r="H51" i="2" l="1"/>
  <c r="H64" i="2"/>
  <c r="H58" i="2"/>
  <c r="H60" i="2" s="1"/>
  <c r="H37" i="2"/>
  <c r="G53" i="2"/>
  <c r="G54" i="2" s="1"/>
  <c r="G42" i="2"/>
  <c r="G37" i="1"/>
  <c r="G50" i="1" s="1"/>
  <c r="H91" i="2" l="1"/>
  <c r="H39" i="2"/>
  <c r="G60" i="2"/>
  <c r="H63" i="2"/>
  <c r="H73" i="2"/>
  <c r="G40" i="1"/>
  <c r="G36" i="1"/>
  <c r="G49" i="1" s="1"/>
  <c r="G51" i="1" s="1"/>
  <c r="H48" i="1"/>
  <c r="I20" i="1"/>
  <c r="I22" i="1" s="1"/>
  <c r="I28" i="1"/>
  <c r="H31" i="1"/>
  <c r="H65" i="2" l="1"/>
  <c r="H82" i="2" s="1"/>
  <c r="H74" i="2"/>
  <c r="H92" i="2" s="1"/>
  <c r="H93" i="2" s="1"/>
  <c r="H94" i="2" s="1"/>
  <c r="H96" i="2" s="1"/>
  <c r="H98" i="2" s="1"/>
  <c r="F60" i="2"/>
  <c r="G63" i="2"/>
  <c r="H53" i="2"/>
  <c r="H42" i="2"/>
  <c r="H38" i="2"/>
  <c r="H52" i="2" s="1"/>
  <c r="H54" i="2" s="1"/>
  <c r="H34" i="1"/>
  <c r="H25" i="1" s="1"/>
  <c r="I30" i="1"/>
  <c r="G74" i="2" l="1"/>
  <c r="G92" i="2" s="1"/>
  <c r="G93" i="2" s="1"/>
  <c r="G94" i="2" s="1"/>
  <c r="G96" i="2" s="1"/>
  <c r="G98" i="2" s="1"/>
  <c r="G65" i="2"/>
  <c r="E60" i="2"/>
  <c r="F63" i="2"/>
  <c r="H83" i="2"/>
  <c r="H84" i="2" s="1"/>
  <c r="H86" i="2" s="1"/>
  <c r="H66" i="2"/>
  <c r="H75" i="2"/>
  <c r="H35" i="1"/>
  <c r="G82" i="2" l="1"/>
  <c r="G83" i="2" s="1"/>
  <c r="G84" i="2" s="1"/>
  <c r="G86" i="2" s="1"/>
  <c r="F65" i="2"/>
  <c r="F74" i="2"/>
  <c r="F92" i="2" s="1"/>
  <c r="F93" i="2" s="1"/>
  <c r="F94" i="2" s="1"/>
  <c r="F96" i="2" s="1"/>
  <c r="F98" i="2" s="1"/>
  <c r="D60" i="2"/>
  <c r="E63" i="2"/>
  <c r="H77" i="2"/>
  <c r="G75" i="2"/>
  <c r="G66" i="2"/>
  <c r="H68" i="2"/>
  <c r="H69" i="2" s="1"/>
  <c r="H37" i="1"/>
  <c r="F82" i="2" l="1"/>
  <c r="F83" i="2" s="1"/>
  <c r="F84" i="2" s="1"/>
  <c r="F86" i="2" s="1"/>
  <c r="F66" i="2"/>
  <c r="G68" i="2"/>
  <c r="G69" i="2" s="1"/>
  <c r="G77" i="2"/>
  <c r="F75" i="2"/>
  <c r="E65" i="2"/>
  <c r="E74" i="2"/>
  <c r="E92" i="2" s="1"/>
  <c r="E93" i="2" s="1"/>
  <c r="E94" i="2" s="1"/>
  <c r="E96" i="2" s="1"/>
  <c r="E98" i="2" s="1"/>
  <c r="D63" i="2"/>
  <c r="C60" i="2"/>
  <c r="C63" i="2" s="1"/>
  <c r="H50" i="1"/>
  <c r="H40" i="1"/>
  <c r="H36" i="1"/>
  <c r="H49" i="1" s="1"/>
  <c r="H51" i="1" s="1"/>
  <c r="E82" i="2" l="1"/>
  <c r="E83" i="2" s="1"/>
  <c r="E84" i="2" s="1"/>
  <c r="E86" i="2" s="1"/>
  <c r="C65" i="2"/>
  <c r="C74" i="2"/>
  <c r="C92" i="2" s="1"/>
  <c r="C93" i="2" s="1"/>
  <c r="D65" i="2"/>
  <c r="D74" i="2"/>
  <c r="D92" i="2" s="1"/>
  <c r="D93" i="2" s="1"/>
  <c r="D94" i="2" s="1"/>
  <c r="D96" i="2" s="1"/>
  <c r="D98" i="2" s="1"/>
  <c r="F77" i="2"/>
  <c r="E75" i="2"/>
  <c r="E66" i="2"/>
  <c r="F68" i="2"/>
  <c r="F69" i="2" s="1"/>
  <c r="D82" i="2" l="1"/>
  <c r="D83" i="2" s="1"/>
  <c r="D84" i="2" s="1"/>
  <c r="D86" i="2" s="1"/>
  <c r="C82" i="2"/>
  <c r="C83" i="2" s="1"/>
  <c r="C84" i="2" s="1"/>
  <c r="C86" i="2" s="1"/>
  <c r="C94" i="2"/>
  <c r="C96" i="2" s="1"/>
  <c r="D66" i="2"/>
  <c r="E68" i="2"/>
  <c r="E69" i="2" s="1"/>
  <c r="C101" i="2"/>
  <c r="C98" i="2"/>
  <c r="E77" i="2"/>
  <c r="D75" i="2"/>
  <c r="D77" i="2" l="1"/>
  <c r="C75" i="2"/>
  <c r="C77" i="2" s="1"/>
  <c r="C78" i="2" s="1"/>
  <c r="D68" i="2"/>
  <c r="D69" i="2" s="1"/>
  <c r="C66" i="2"/>
  <c r="C68" i="2" s="1"/>
  <c r="C69" i="2" s="1"/>
</calcChain>
</file>

<file path=xl/sharedStrings.xml><?xml version="1.0" encoding="utf-8"?>
<sst xmlns="http://schemas.openxmlformats.org/spreadsheetml/2006/main" count="155" uniqueCount="72">
  <si>
    <t>rD</t>
  </si>
  <si>
    <t>t</t>
  </si>
  <si>
    <t>IC boy</t>
  </si>
  <si>
    <t>RONIC</t>
  </si>
  <si>
    <t>dIC</t>
  </si>
  <si>
    <t>Debt/IC boy</t>
  </si>
  <si>
    <t>Moving costs/IC eoy</t>
  </si>
  <si>
    <t>rA</t>
  </si>
  <si>
    <t>Balance sheet</t>
  </si>
  <si>
    <t>ROIC=Noplat/IC boy</t>
  </si>
  <si>
    <t>FCFF</t>
  </si>
  <si>
    <t>K=dIC/Noplat</t>
  </si>
  <si>
    <t>effective tax rate</t>
  </si>
  <si>
    <t>EBIT</t>
  </si>
  <si>
    <t>Noplat=EBIT*(1-t)</t>
  </si>
  <si>
    <t>Interest paid</t>
  </si>
  <si>
    <t>Profit before tax</t>
  </si>
  <si>
    <t>Tax</t>
  </si>
  <si>
    <t>Profit after tax</t>
  </si>
  <si>
    <t>effective tax calculated</t>
  </si>
  <si>
    <t>Dividend</t>
  </si>
  <si>
    <t>Retained earnings</t>
  </si>
  <si>
    <t>dEquity needed</t>
  </si>
  <si>
    <t>FCFE</t>
  </si>
  <si>
    <t>Tax shield</t>
  </si>
  <si>
    <t>dDebt</t>
  </si>
  <si>
    <t>Share issue/buyback</t>
  </si>
  <si>
    <t>dEquity w/o Retained earnings</t>
  </si>
  <si>
    <t>dNon-operative wealth</t>
  </si>
  <si>
    <t>boy 2031</t>
  </si>
  <si>
    <t>eoy 2030</t>
  </si>
  <si>
    <t>boy</t>
  </si>
  <si>
    <t>Sales</t>
  </si>
  <si>
    <t>Expenses</t>
  </si>
  <si>
    <t>Other Income</t>
  </si>
  <si>
    <t>Other expense</t>
  </si>
  <si>
    <t>APV // rA</t>
  </si>
  <si>
    <t>FCFF+TS</t>
  </si>
  <si>
    <t>V boy</t>
  </si>
  <si>
    <t>TV</t>
  </si>
  <si>
    <t>D/V boy assumed</t>
  </si>
  <si>
    <t>WACC=rA-D/V*rD*t</t>
  </si>
  <si>
    <t>rA=D/V*rD+E/V*rE</t>
  </si>
  <si>
    <t>WACC=D/V*rD*(1-t)+E/V*rE</t>
  </si>
  <si>
    <t>FCFF // WACC</t>
  </si>
  <si>
    <t>D/V boy calculated</t>
  </si>
  <si>
    <t>diff</t>
  </si>
  <si>
    <t>FCFE//rE</t>
  </si>
  <si>
    <t>rE=(rA-D/V*rD)/(1-D/V)</t>
  </si>
  <si>
    <t>D/V+E/V=1</t>
  </si>
  <si>
    <t>EVA//WACC</t>
  </si>
  <si>
    <t>IC boy * WACC</t>
  </si>
  <si>
    <t>EVA</t>
  </si>
  <si>
    <t>PV EVA</t>
  </si>
  <si>
    <t>RI // rE</t>
  </si>
  <si>
    <t>Residual Income</t>
  </si>
  <si>
    <t>PV RI</t>
  </si>
  <si>
    <t>BV E boy * rE</t>
  </si>
  <si>
    <t>BV E boy</t>
  </si>
  <si>
    <t>BV D boy</t>
  </si>
  <si>
    <t>E boy (market value of E)</t>
  </si>
  <si>
    <t>E boy (market value)</t>
  </si>
  <si>
    <t>NPV</t>
  </si>
  <si>
    <t>C0</t>
  </si>
  <si>
    <t>PV</t>
  </si>
  <si>
    <t>Max to pay as an individual</t>
  </si>
  <si>
    <t>Rental right</t>
  </si>
  <si>
    <t>D&amp;A rental right</t>
  </si>
  <si>
    <t>IC+Rental right</t>
  </si>
  <si>
    <t>(IC+Rental rigtht) boy * WACC</t>
  </si>
  <si>
    <t>V-IC</t>
  </si>
  <si>
    <t>dRentalright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</si>
</sst>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00000000000000000000000000000000000"/>
  </numFmts>
  <fonts count="6" x14ac:knownFonts="1">
    <font>
      <sz val="12"/>
      <color theme="1"/>
      <name val="Calibri"/>
      <family val="2"/>
      <charset val="238"/>
      <scheme val="minor"/>
    </font>
    <font>
      <sz val="12"/>
      <color theme="1"/>
      <name val="Calibri"/>
      <family val="2"/>
      <charset val="238"/>
      <scheme val="minor"/>
    </font>
    <font>
      <b/>
      <sz val="12"/>
      <color theme="1"/>
      <name val="Calibri"/>
      <family val="2"/>
      <charset val="238"/>
      <scheme val="minor"/>
    </font>
    <font>
      <b/>
      <sz val="12"/>
      <color rgb="FF7030A0"/>
      <name val="Calibri"/>
      <family val="2"/>
      <charset val="238"/>
      <scheme val="minor"/>
    </font>
    <font>
      <b/>
      <sz val="12"/>
      <color rgb="FFC00000"/>
      <name val="Calibri"/>
      <family val="2"/>
      <charset val="238"/>
      <scheme val="minor"/>
    </font>
    <font>
      <b/>
      <sz val="12"/>
      <color rgb="FFFF0000"/>
      <name val="Calibri"/>
      <family val="2"/>
      <charset val="238"/>
      <scheme val="minor"/>
    </font>
  </fonts>
  <fills count="11">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rgb="FFFFC000"/>
        <bgColor indexed="64"/>
      </patternFill>
    </fill>
    <fill>
      <patternFill patternType="solid">
        <fgColor theme="8" tint="0.39997558519241921"/>
        <bgColor indexed="64"/>
      </patternFill>
    </fill>
    <fill>
      <patternFill patternType="solid">
        <fgColor theme="8"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2" fillId="2" borderId="0" xfId="0" applyFont="1" applyFill="1" applyAlignment="1">
      <alignment horizontal="center"/>
    </xf>
    <xf numFmtId="0" fontId="2" fillId="0" borderId="0" xfId="0" applyFont="1" applyAlignment="1">
      <alignment horizontal="center"/>
    </xf>
    <xf numFmtId="10" fontId="0" fillId="0" borderId="0" xfId="1" applyNumberFormat="1" applyFont="1"/>
    <xf numFmtId="4" fontId="0" fillId="0" borderId="0" xfId="0" applyNumberFormat="1"/>
    <xf numFmtId="0" fontId="0" fillId="4" borderId="0" xfId="0" applyFill="1"/>
    <xf numFmtId="10" fontId="0" fillId="3" borderId="0" xfId="0" applyNumberFormat="1" applyFill="1"/>
    <xf numFmtId="4" fontId="0" fillId="3" borderId="0" xfId="0" applyNumberFormat="1" applyFill="1"/>
    <xf numFmtId="10" fontId="0" fillId="3" borderId="0" xfId="1" applyNumberFormat="1" applyFont="1" applyFill="1"/>
    <xf numFmtId="10" fontId="0" fillId="0" borderId="0" xfId="0" applyNumberFormat="1"/>
    <xf numFmtId="10" fontId="0" fillId="5" borderId="0" xfId="0" applyNumberFormat="1" applyFill="1"/>
    <xf numFmtId="4" fontId="0" fillId="2" borderId="0" xfId="0" applyNumberFormat="1" applyFill="1"/>
    <xf numFmtId="2" fontId="0" fillId="0" borderId="0" xfId="0" applyNumberFormat="1"/>
    <xf numFmtId="0" fontId="0" fillId="6" borderId="0" xfId="0" applyFill="1"/>
    <xf numFmtId="4" fontId="0" fillId="7" borderId="0" xfId="0" applyNumberFormat="1" applyFill="1"/>
    <xf numFmtId="4" fontId="0" fillId="8" borderId="0" xfId="0" applyNumberFormat="1" applyFill="1"/>
    <xf numFmtId="4" fontId="3" fillId="8" borderId="0" xfId="0" applyNumberFormat="1" applyFont="1" applyFill="1"/>
    <xf numFmtId="0" fontId="2" fillId="8" borderId="0" xfId="0" applyFont="1" applyFill="1"/>
    <xf numFmtId="4" fontId="2" fillId="8" borderId="0" xfId="0" applyNumberFormat="1" applyFont="1" applyFill="1"/>
    <xf numFmtId="10" fontId="0" fillId="9" borderId="0" xfId="0" applyNumberFormat="1" applyFill="1"/>
    <xf numFmtId="164" fontId="0" fillId="0" borderId="0" xfId="0" applyNumberFormat="1"/>
    <xf numFmtId="165" fontId="0" fillId="0" borderId="0" xfId="0" applyNumberFormat="1"/>
    <xf numFmtId="0" fontId="4" fillId="0" borderId="1" xfId="0" applyFont="1" applyBorder="1"/>
    <xf numFmtId="4" fontId="4" fillId="0" borderId="2" xfId="0" applyNumberFormat="1" applyFont="1" applyBorder="1"/>
    <xf numFmtId="0" fontId="0" fillId="10" borderId="0" xfId="0" applyFill="1"/>
    <xf numFmtId="4" fontId="0" fillId="10" borderId="0" xfId="0" applyNumberFormat="1" applyFill="1"/>
    <xf numFmtId="0" fontId="5" fillId="0" borderId="0" xfId="0" applyFont="1"/>
    <xf numFmtId="4" fontId="5" fillId="0" borderId="0" xfId="0" applyNumberFormat="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10</xdr:col>
      <xdr:colOff>152400</xdr:colOff>
      <xdr:row>1</xdr:row>
      <xdr:rowOff>54429</xdr:rowOff>
    </xdr:from>
    <xdr:to>
      <xdr:col>19</xdr:col>
      <xdr:colOff>429986</xdr:colOff>
      <xdr:row>19</xdr:row>
      <xdr:rowOff>38100</xdr:rowOff>
    </xdr:to>
    <xdr:sp macro="" textlink="">
      <xdr:nvSpPr>
        <xdr:cNvPr id="2" name="Szövegdoboz 1">
          <a:extLst>
            <a:ext uri="{FF2B5EF4-FFF2-40B4-BE49-F238E27FC236}">
              <a16:creationId xmlns:a16="http://schemas.microsoft.com/office/drawing/2014/main" id="{BF3E39FE-9270-FBFF-D298-C228965B1D42}"/>
            </a:ext>
          </a:extLst>
        </xdr:cNvPr>
        <xdr:cNvSpPr txBox="1"/>
      </xdr:nvSpPr>
      <xdr:spPr>
        <a:xfrm>
          <a:off x="9116786" y="255815"/>
          <a:ext cx="6547757" cy="36086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Kebab Shop is moving!</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John’s grandfather arrived in Central Europe two decades ago. Now, it is John who should take over the role of the CEO of the small family-owned self-service restaurant called “The Kebab Shop” that operates on the ground floor of Grandpa’s house. However, the grandparents have more difficulties climbing the stairs to reach their flat upstairs, so they wish to move the restaurant selling Turkish and Arabic food.</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discovered that the city offers various alternative locations available for sale or rent, and some even provide a more generous space offering the opportunity to extend the current business. One of the most attractive alternatives is to rent the venue of a Chinese restaurant that just closed last month near the city centre. The local municipality owns the real estate, and can not be rented for less than </a:t>
          </a:r>
          <a:r>
            <a:rPr lang="hu-HU" sz="1100">
              <a:solidFill>
                <a:schemeClr val="dk1"/>
              </a:solidFill>
              <a:effectLst/>
              <a:latin typeface="+mn-lt"/>
              <a:ea typeface="+mn-ea"/>
              <a:cs typeface="+mn-cs"/>
            </a:rPr>
            <a:t>six</a:t>
          </a:r>
          <a:r>
            <a:rPr lang="en-GB" sz="1100">
              <a:solidFill>
                <a:schemeClr val="dk1"/>
              </a:solidFill>
              <a:effectLst/>
              <a:latin typeface="+mn-lt"/>
              <a:ea typeface="+mn-ea"/>
              <a:cs typeface="+mn-cs"/>
            </a:rPr>
            <a:t> years. His first job, besides the daily management, will be to determine whether that option is acceptable from a business point of view. For the calculations, assume that at the end of the rental period, the Kebab Shop will have to move out, which may lead to us losing 10 percent of the invested capital on moving costs (not included in the plan yet). At that time, debt needs to be repaid completely.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Based on the data provided, calculate the maximum amount that the family may spend on renting the new real estate for the next five years.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How would the maximum change if it was the firm operating the restaurant to buy the rental rights?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a:t>
          </a:r>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What would the maximum yearly rental fee be if the municipality would not insist on one upfront payment?</a:t>
          </a:r>
          <a:endParaRPr lang="hu-HU" sz="1100">
            <a:solidFill>
              <a:schemeClr val="dk1"/>
            </a:solidFill>
            <a:effectLst/>
            <a:latin typeface="+mn-lt"/>
            <a:ea typeface="+mn-ea"/>
            <a:cs typeface="+mn-cs"/>
          </a:endParaRPr>
        </a:p>
        <a:p>
          <a:endParaRPr lang="hu-HU"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152400</xdr:colOff>
      <xdr:row>1</xdr:row>
      <xdr:rowOff>54429</xdr:rowOff>
    </xdr:from>
    <xdr:to>
      <xdr:col>19</xdr:col>
      <xdr:colOff>429986</xdr:colOff>
      <xdr:row>20</xdr:row>
      <xdr:rowOff>38100</xdr:rowOff>
    </xdr:to>
    <xdr:sp macro="" textlink="">
      <xdr:nvSpPr>
        <xdr:cNvPr id="2" name="Szövegdoboz 1">
          <a:extLst>
            <a:ext uri="{FF2B5EF4-FFF2-40B4-BE49-F238E27FC236}">
              <a16:creationId xmlns:a16="http://schemas.microsoft.com/office/drawing/2014/main" id="{3FE77894-B1F6-4C36-B87E-3DDDBF974AF3}"/>
            </a:ext>
          </a:extLst>
        </xdr:cNvPr>
        <xdr:cNvSpPr txBox="1"/>
      </xdr:nvSpPr>
      <xdr:spPr>
        <a:xfrm>
          <a:off x="9020175" y="254454"/>
          <a:ext cx="6449786" cy="35841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Kebab Shop is moving!</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John’s grandfather arrived in Central Europe two decades ago. Now, it is John who should take over the role of the CEO of the small family-owned self-service restaurant called “The Kebab Shop” that operates on the ground floor of Grandpa’s house. However, the grandparents have more difficulties climbing the stairs to reach their flat upstairs, so they wish to move the restaurant selling Turkish and Arabic food.</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discovered that the city offers various alternative locations available for sale or rent, and some even provide a more generous space offering the opportunity to extend the current business. One of the most attractive alternatives is to rent the venue of a Chinese restaurant that just closed last month near the city centre. The local municipality owns the real estate, and can not be rented for less than </a:t>
          </a:r>
          <a:r>
            <a:rPr lang="hu-HU" sz="1100">
              <a:solidFill>
                <a:schemeClr val="dk1"/>
              </a:solidFill>
              <a:effectLst/>
              <a:latin typeface="+mn-lt"/>
              <a:ea typeface="+mn-ea"/>
              <a:cs typeface="+mn-cs"/>
            </a:rPr>
            <a:t>six</a:t>
          </a:r>
          <a:r>
            <a:rPr lang="en-GB" sz="1100">
              <a:solidFill>
                <a:schemeClr val="dk1"/>
              </a:solidFill>
              <a:effectLst/>
              <a:latin typeface="+mn-lt"/>
              <a:ea typeface="+mn-ea"/>
              <a:cs typeface="+mn-cs"/>
            </a:rPr>
            <a:t> years. His first job, besides the daily management, will be to determine whether that option is acceptable from a business point of view. For the calculations, assume that at the end of the rental period, the Kebab Shop will have to move out, which may lead to us losing 10 percent of the invested capital on moving costs (not included in the plan yet). At that time, debt needs to be repaid completely.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Based on the data provided, calculate the maximum amount that the family may spend on renting the new real estate for the next five years.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How would the maximum change if it was the firm operating the restaurant to buy the rental rights?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a:t>
          </a:r>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What would the maximum yearly rental fee be if the municipality would not insist on one upfront payment?</a:t>
          </a:r>
          <a:endParaRPr lang="hu-HU" sz="1100">
            <a:solidFill>
              <a:schemeClr val="dk1"/>
            </a:solidFill>
            <a:effectLst/>
            <a:latin typeface="+mn-lt"/>
            <a:ea typeface="+mn-ea"/>
            <a:cs typeface="+mn-cs"/>
          </a:endParaRPr>
        </a:p>
        <a:p>
          <a:endParaRPr lang="hu-HU"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629C3-5D86-411E-8DC3-4E35348195A5}">
  <dimension ref="A5:J98"/>
  <sheetViews>
    <sheetView topLeftCell="A71" zoomScale="130" zoomScaleNormal="130" workbookViewId="0">
      <selection activeCell="C81" sqref="C81"/>
    </sheetView>
  </sheetViews>
  <sheetFormatPr defaultRowHeight="15.75" x14ac:dyDescent="0.25"/>
  <cols>
    <col min="2" max="2" width="28.5" bestFit="1" customWidth="1"/>
    <col min="3" max="3" width="9" bestFit="1" customWidth="1"/>
    <col min="4" max="8" width="10.375" bestFit="1" customWidth="1"/>
  </cols>
  <sheetData>
    <row r="5" spans="2:9" x14ac:dyDescent="0.25">
      <c r="C5" s="1">
        <v>2025</v>
      </c>
      <c r="D5" s="2">
        <f>+C5+1</f>
        <v>2026</v>
      </c>
      <c r="E5" s="2">
        <f t="shared" ref="E5:H5" si="0">+D5+1</f>
        <v>2027</v>
      </c>
      <c r="F5" s="2">
        <f t="shared" si="0"/>
        <v>2028</v>
      </c>
      <c r="G5" s="2">
        <f t="shared" si="0"/>
        <v>2029</v>
      </c>
      <c r="H5" s="2">
        <f t="shared" si="0"/>
        <v>2030</v>
      </c>
    </row>
    <row r="6" spans="2:9" x14ac:dyDescent="0.25">
      <c r="B6" t="s">
        <v>2</v>
      </c>
      <c r="C6" s="7">
        <v>12000</v>
      </c>
      <c r="D6" s="4"/>
      <c r="E6" s="4"/>
      <c r="F6" s="4"/>
      <c r="G6" s="4"/>
      <c r="H6" s="4"/>
      <c r="I6" s="4"/>
    </row>
    <row r="7" spans="2:9" x14ac:dyDescent="0.25">
      <c r="B7" t="s">
        <v>4</v>
      </c>
      <c r="C7" s="7">
        <v>1350</v>
      </c>
      <c r="D7" s="7">
        <v>1150</v>
      </c>
      <c r="E7" s="7">
        <v>1100</v>
      </c>
      <c r="F7" s="4"/>
      <c r="G7" s="4"/>
      <c r="H7" s="4"/>
    </row>
    <row r="8" spans="2:9" x14ac:dyDescent="0.25">
      <c r="B8" t="s">
        <v>9</v>
      </c>
      <c r="C8" s="8">
        <v>0.15</v>
      </c>
      <c r="D8" s="3"/>
      <c r="E8" s="3"/>
      <c r="F8" s="3"/>
      <c r="G8" s="3"/>
      <c r="H8" s="3"/>
    </row>
    <row r="9" spans="2:9" x14ac:dyDescent="0.25">
      <c r="B9" t="s">
        <v>3</v>
      </c>
      <c r="C9" s="3"/>
      <c r="D9" s="8">
        <v>0.17</v>
      </c>
      <c r="E9" s="8">
        <v>0.16500000000000001</v>
      </c>
      <c r="F9" s="8">
        <v>0.16</v>
      </c>
      <c r="G9" s="8">
        <v>0.15</v>
      </c>
      <c r="H9" s="8">
        <v>0.15</v>
      </c>
    </row>
    <row r="10" spans="2:9" x14ac:dyDescent="0.25">
      <c r="B10" t="s">
        <v>11</v>
      </c>
      <c r="C10" s="3"/>
      <c r="D10" s="3"/>
      <c r="E10" s="3"/>
      <c r="F10" s="8">
        <v>0.33</v>
      </c>
      <c r="G10" s="8">
        <v>0.33</v>
      </c>
      <c r="H10" s="8">
        <v>0.33</v>
      </c>
    </row>
    <row r="11" spans="2:9" x14ac:dyDescent="0.25">
      <c r="B11" t="s">
        <v>5</v>
      </c>
      <c r="C11" s="8">
        <v>0</v>
      </c>
      <c r="D11" s="8">
        <v>0.05</v>
      </c>
      <c r="E11" s="8">
        <v>0.1</v>
      </c>
      <c r="F11" s="8">
        <v>0.15</v>
      </c>
      <c r="G11" s="8">
        <v>0.2</v>
      </c>
      <c r="H11" s="8">
        <v>0.2</v>
      </c>
    </row>
    <row r="12" spans="2:9" x14ac:dyDescent="0.25">
      <c r="B12" t="s">
        <v>0</v>
      </c>
      <c r="C12" s="5"/>
      <c r="D12" s="6">
        <v>7.0000000000000007E-2</v>
      </c>
      <c r="E12" s="6">
        <v>7.0000000000000007E-2</v>
      </c>
      <c r="F12" s="6">
        <v>7.0000000000000007E-2</v>
      </c>
      <c r="G12" s="6">
        <v>7.0000000000000007E-2</v>
      </c>
      <c r="H12" s="6">
        <v>7.0000000000000007E-2</v>
      </c>
    </row>
    <row r="13" spans="2:9" x14ac:dyDescent="0.25">
      <c r="B13" t="s">
        <v>7</v>
      </c>
      <c r="C13" s="6">
        <v>0.12</v>
      </c>
      <c r="D13" s="6">
        <v>0.12</v>
      </c>
      <c r="E13" s="6">
        <v>0.12</v>
      </c>
      <c r="F13" s="6">
        <v>0.12</v>
      </c>
      <c r="G13" s="6">
        <v>0.12</v>
      </c>
      <c r="H13" s="6">
        <v>0.12</v>
      </c>
    </row>
    <row r="14" spans="2:9" x14ac:dyDescent="0.25">
      <c r="B14" t="s">
        <v>1</v>
      </c>
      <c r="C14" s="6">
        <v>0.2</v>
      </c>
      <c r="D14" s="6">
        <v>0.2</v>
      </c>
      <c r="E14" s="6">
        <v>0.2</v>
      </c>
      <c r="F14" s="6">
        <v>0.2</v>
      </c>
      <c r="G14" s="6">
        <v>0.2</v>
      </c>
      <c r="H14" s="6">
        <v>0.2</v>
      </c>
    </row>
    <row r="15" spans="2:9" x14ac:dyDescent="0.25">
      <c r="B15" t="s">
        <v>6</v>
      </c>
      <c r="C15" s="9"/>
      <c r="D15" s="9"/>
      <c r="E15" s="9"/>
      <c r="F15" s="9"/>
      <c r="G15" s="9"/>
      <c r="H15" s="6">
        <v>0.1</v>
      </c>
    </row>
    <row r="19" spans="2:10" x14ac:dyDescent="0.25">
      <c r="B19" t="s">
        <v>8</v>
      </c>
      <c r="H19" t="s">
        <v>31</v>
      </c>
      <c r="I19" t="s">
        <v>30</v>
      </c>
      <c r="J19" t="s">
        <v>29</v>
      </c>
    </row>
    <row r="20" spans="2:10" x14ac:dyDescent="0.25">
      <c r="B20" t="str">
        <f>+B6</f>
        <v>IC boy</v>
      </c>
      <c r="C20" s="4">
        <f>+C6</f>
        <v>12000</v>
      </c>
      <c r="D20" s="4">
        <f>+C20+C43</f>
        <v>13350</v>
      </c>
      <c r="E20" s="4">
        <f t="shared" ref="E20:H20" si="1">+D20+D43</f>
        <v>14500</v>
      </c>
      <c r="F20" s="4">
        <f t="shared" si="1"/>
        <v>15600</v>
      </c>
      <c r="G20" s="4">
        <f t="shared" si="1"/>
        <v>16390.432499999999</v>
      </c>
      <c r="H20" s="4">
        <f t="shared" si="1"/>
        <v>17219.99140875</v>
      </c>
      <c r="I20" s="4">
        <f>+H20+H42*H10</f>
        <v>18090.613483483125</v>
      </c>
      <c r="J20" s="12">
        <v>0</v>
      </c>
    </row>
    <row r="21" spans="2:10" x14ac:dyDescent="0.25">
      <c r="B21" t="s">
        <v>59</v>
      </c>
      <c r="C21" s="4">
        <f>+C20*C11</f>
        <v>0</v>
      </c>
      <c r="D21" s="4">
        <f>+D20*D11</f>
        <v>667.5</v>
      </c>
      <c r="E21" s="4">
        <f t="shared" ref="E21:H21" si="2">+E20*E11</f>
        <v>1450</v>
      </c>
      <c r="F21" s="4">
        <f t="shared" si="2"/>
        <v>2340</v>
      </c>
      <c r="G21" s="4">
        <f t="shared" si="2"/>
        <v>3278.0864999999999</v>
      </c>
      <c r="H21" s="4">
        <f t="shared" si="2"/>
        <v>3443.9982817500004</v>
      </c>
      <c r="I21">
        <v>0</v>
      </c>
      <c r="J21" s="12">
        <v>0</v>
      </c>
    </row>
    <row r="22" spans="2:10" x14ac:dyDescent="0.25">
      <c r="B22" t="s">
        <v>58</v>
      </c>
      <c r="C22" s="4">
        <f>+C20-C21</f>
        <v>12000</v>
      </c>
      <c r="D22" s="4">
        <f>+D20-D21</f>
        <v>12682.5</v>
      </c>
      <c r="E22" s="4">
        <f t="shared" ref="E22:I22" si="3">+E20-E21</f>
        <v>13050</v>
      </c>
      <c r="F22" s="4">
        <f t="shared" si="3"/>
        <v>13260</v>
      </c>
      <c r="G22" s="4">
        <f t="shared" si="3"/>
        <v>13112.346</v>
      </c>
      <c r="H22" s="4">
        <f t="shared" si="3"/>
        <v>13775.993127</v>
      </c>
      <c r="I22" s="4">
        <f t="shared" si="3"/>
        <v>18090.613483483125</v>
      </c>
      <c r="J22" s="12">
        <v>0</v>
      </c>
    </row>
    <row r="24" spans="2:10" x14ac:dyDescent="0.25">
      <c r="B24" t="s">
        <v>12</v>
      </c>
      <c r="C24" s="10">
        <v>0.2</v>
      </c>
      <c r="D24" s="10">
        <v>0.2</v>
      </c>
      <c r="E24" s="10">
        <v>0.2</v>
      </c>
      <c r="F24" s="10">
        <v>0.2</v>
      </c>
      <c r="G24" s="10">
        <v>0.2</v>
      </c>
      <c r="H24" s="10">
        <v>0.2</v>
      </c>
    </row>
    <row r="25" spans="2:10" x14ac:dyDescent="0.25">
      <c r="B25" t="s">
        <v>19</v>
      </c>
      <c r="C25" s="3">
        <f>+C34/C33</f>
        <v>0.2</v>
      </c>
      <c r="D25" s="3">
        <f t="shared" ref="D25:H25" si="4">+D34/D33</f>
        <v>0.2</v>
      </c>
      <c r="E25" s="3">
        <f t="shared" si="4"/>
        <v>0.2</v>
      </c>
      <c r="F25" s="3">
        <f t="shared" si="4"/>
        <v>0.2</v>
      </c>
      <c r="G25" s="3">
        <f t="shared" si="4"/>
        <v>0.2</v>
      </c>
      <c r="H25" s="3">
        <f t="shared" si="4"/>
        <v>0.2</v>
      </c>
    </row>
    <row r="26" spans="2:10" x14ac:dyDescent="0.25">
      <c r="C26" s="3"/>
      <c r="D26" s="3"/>
      <c r="E26" s="3"/>
      <c r="F26" s="3"/>
      <c r="G26" s="3"/>
      <c r="H26" s="3"/>
    </row>
    <row r="27" spans="2:10" x14ac:dyDescent="0.25">
      <c r="B27" t="s">
        <v>32</v>
      </c>
      <c r="C27" s="13"/>
      <c r="D27" s="13"/>
      <c r="E27" s="13"/>
      <c r="F27" s="13"/>
      <c r="G27" s="13"/>
      <c r="H27" s="13"/>
    </row>
    <row r="28" spans="2:10" x14ac:dyDescent="0.25">
      <c r="B28" t="s">
        <v>34</v>
      </c>
      <c r="I28" s="14">
        <f>+I20*0.9</f>
        <v>16281.552135134812</v>
      </c>
    </row>
    <row r="29" spans="2:10" x14ac:dyDescent="0.25">
      <c r="B29" t="s">
        <v>33</v>
      </c>
      <c r="C29" s="13"/>
      <c r="D29" s="13"/>
      <c r="E29" s="13"/>
      <c r="F29" s="13"/>
      <c r="G29" s="13"/>
      <c r="H29" s="13"/>
    </row>
    <row r="30" spans="2:10" x14ac:dyDescent="0.25">
      <c r="B30" t="s">
        <v>35</v>
      </c>
      <c r="I30" s="14">
        <f>+I20</f>
        <v>18090.613483483125</v>
      </c>
    </row>
    <row r="31" spans="2:10" x14ac:dyDescent="0.25">
      <c r="B31" t="s">
        <v>13</v>
      </c>
      <c r="C31" s="4">
        <f>+C42/(1-C24)</f>
        <v>2250</v>
      </c>
      <c r="D31" s="4">
        <f t="shared" ref="D31:H31" si="5">+D42/(1-D24)</f>
        <v>2536.875</v>
      </c>
      <c r="E31" s="4">
        <f t="shared" si="5"/>
        <v>2774.0625</v>
      </c>
      <c r="F31" s="4">
        <f t="shared" si="5"/>
        <v>2994.0625</v>
      </c>
      <c r="G31" s="4">
        <f t="shared" si="5"/>
        <v>3142.26859375</v>
      </c>
      <c r="H31" s="4">
        <f t="shared" si="5"/>
        <v>3297.8108891406246</v>
      </c>
      <c r="I31" s="14">
        <f>+I28-I30</f>
        <v>-1809.0613483483121</v>
      </c>
    </row>
    <row r="32" spans="2:10" x14ac:dyDescent="0.25">
      <c r="B32" t="s">
        <v>15</v>
      </c>
      <c r="C32" s="4">
        <f>+C21*C12</f>
        <v>0</v>
      </c>
      <c r="D32" s="4">
        <f t="shared" ref="D32:H32" si="6">+D21*D12</f>
        <v>46.725000000000001</v>
      </c>
      <c r="E32" s="4">
        <f t="shared" si="6"/>
        <v>101.50000000000001</v>
      </c>
      <c r="F32" s="4">
        <f t="shared" si="6"/>
        <v>163.80000000000001</v>
      </c>
      <c r="G32" s="4">
        <f t="shared" si="6"/>
        <v>229.46605500000001</v>
      </c>
      <c r="H32" s="4">
        <f t="shared" si="6"/>
        <v>241.07987972250004</v>
      </c>
    </row>
    <row r="33" spans="2:9" x14ac:dyDescent="0.25">
      <c r="B33" t="s">
        <v>16</v>
      </c>
      <c r="C33" s="4">
        <f>+C31-C32</f>
        <v>2250</v>
      </c>
      <c r="D33" s="4">
        <f t="shared" ref="D33:G33" si="7">+D31-D32</f>
        <v>2490.15</v>
      </c>
      <c r="E33" s="4">
        <f t="shared" si="7"/>
        <v>2672.5625</v>
      </c>
      <c r="F33" s="4">
        <f t="shared" si="7"/>
        <v>2830.2624999999998</v>
      </c>
      <c r="G33" s="4">
        <f t="shared" si="7"/>
        <v>2912.8025387500002</v>
      </c>
      <c r="H33" s="14">
        <f>+H31-H32+I31</f>
        <v>1247.6696610698123</v>
      </c>
    </row>
    <row r="34" spans="2:9" x14ac:dyDescent="0.25">
      <c r="B34" t="s">
        <v>17</v>
      </c>
      <c r="C34" s="4">
        <f>+IF(C33&lt;0,0,C33*C14)</f>
        <v>450</v>
      </c>
      <c r="D34" s="4">
        <f t="shared" ref="D34:H34" si="8">+IF(D33&lt;0,0,D33*D14)</f>
        <v>498.03000000000003</v>
      </c>
      <c r="E34" s="4">
        <f t="shared" si="8"/>
        <v>534.51250000000005</v>
      </c>
      <c r="F34" s="4">
        <f t="shared" si="8"/>
        <v>566.05250000000001</v>
      </c>
      <c r="G34" s="4">
        <f t="shared" si="8"/>
        <v>582.56050775000006</v>
      </c>
      <c r="H34" s="4">
        <f t="shared" si="8"/>
        <v>249.53393221396246</v>
      </c>
    </row>
    <row r="35" spans="2:9" x14ac:dyDescent="0.25">
      <c r="B35" t="s">
        <v>18</v>
      </c>
      <c r="C35" s="4">
        <f>+C33-C34</f>
        <v>1800</v>
      </c>
      <c r="D35" s="4">
        <f t="shared" ref="D35:H35" si="9">+D33-D34</f>
        <v>1992.1200000000001</v>
      </c>
      <c r="E35" s="4">
        <f t="shared" si="9"/>
        <v>2138.0500000000002</v>
      </c>
      <c r="F35" s="4">
        <f t="shared" si="9"/>
        <v>2264.21</v>
      </c>
      <c r="G35" s="4">
        <f t="shared" si="9"/>
        <v>2330.2420310000002</v>
      </c>
      <c r="H35" s="4">
        <f t="shared" si="9"/>
        <v>998.13572885584983</v>
      </c>
    </row>
    <row r="36" spans="2:9" x14ac:dyDescent="0.25">
      <c r="B36" t="s">
        <v>20</v>
      </c>
      <c r="C36" s="4">
        <f>+C35-C37</f>
        <v>1117.5</v>
      </c>
      <c r="D36" s="4">
        <f t="shared" ref="D36:H36" si="10">+D35-D37</f>
        <v>1624.6200000000001</v>
      </c>
      <c r="E36" s="4">
        <f t="shared" si="10"/>
        <v>1928.0500000000002</v>
      </c>
      <c r="F36" s="4">
        <f t="shared" si="10"/>
        <v>2264.21</v>
      </c>
      <c r="G36" s="4">
        <f t="shared" si="10"/>
        <v>1666.594904</v>
      </c>
      <c r="H36" s="4">
        <f t="shared" si="10"/>
        <v>998.13572885584983</v>
      </c>
    </row>
    <row r="37" spans="2:9" x14ac:dyDescent="0.25">
      <c r="B37" t="s">
        <v>21</v>
      </c>
      <c r="C37" s="4">
        <f>+IF(C35&lt;0,C35,MAX(0,MIN(C39,C35)))</f>
        <v>682.5</v>
      </c>
      <c r="D37" s="4">
        <f t="shared" ref="D37:H37" si="11">+IF(D35&lt;0,D35,MAX(0,MIN(D39,D35)))</f>
        <v>367.5</v>
      </c>
      <c r="E37" s="4">
        <f t="shared" si="11"/>
        <v>210</v>
      </c>
      <c r="F37" s="4">
        <f t="shared" si="11"/>
        <v>0</v>
      </c>
      <c r="G37" s="4">
        <f t="shared" si="11"/>
        <v>663.64712700000018</v>
      </c>
      <c r="H37" s="4">
        <f t="shared" si="11"/>
        <v>0</v>
      </c>
    </row>
    <row r="38" spans="2:9" x14ac:dyDescent="0.25">
      <c r="C38" s="4"/>
      <c r="D38" s="4"/>
      <c r="E38" s="4"/>
      <c r="F38" s="4"/>
      <c r="G38" s="4"/>
      <c r="H38" s="4"/>
    </row>
    <row r="39" spans="2:9" x14ac:dyDescent="0.25">
      <c r="B39" t="s">
        <v>22</v>
      </c>
      <c r="C39" s="4">
        <f>+D22-C22</f>
        <v>682.5</v>
      </c>
      <c r="D39" s="4">
        <f>+E22-D22</f>
        <v>367.5</v>
      </c>
      <c r="E39" s="4">
        <f>+F22-E22</f>
        <v>210</v>
      </c>
      <c r="F39" s="4">
        <f>+G22-F22</f>
        <v>-147.65400000000045</v>
      </c>
      <c r="G39" s="4">
        <f>+H22-G22</f>
        <v>663.64712700000018</v>
      </c>
      <c r="H39" s="11">
        <f>+J22-H22</f>
        <v>-13775.993127</v>
      </c>
    </row>
    <row r="40" spans="2:9" x14ac:dyDescent="0.25">
      <c r="B40" t="s">
        <v>26</v>
      </c>
      <c r="C40" s="4">
        <f>+C39-C37</f>
        <v>0</v>
      </c>
      <c r="D40" s="4">
        <f t="shared" ref="D40:H40" si="12">+D39-D37</f>
        <v>0</v>
      </c>
      <c r="E40" s="4">
        <f t="shared" si="12"/>
        <v>0</v>
      </c>
      <c r="F40" s="4">
        <f t="shared" si="12"/>
        <v>-147.65400000000045</v>
      </c>
      <c r="G40" s="4">
        <f t="shared" si="12"/>
        <v>0</v>
      </c>
      <c r="H40" s="4">
        <f t="shared" si="12"/>
        <v>-13775.993127</v>
      </c>
    </row>
    <row r="42" spans="2:9" x14ac:dyDescent="0.25">
      <c r="B42" t="s">
        <v>14</v>
      </c>
      <c r="C42" s="4">
        <f>+C20*C8</f>
        <v>1800</v>
      </c>
      <c r="D42" s="4">
        <f>+C42+C43*D9</f>
        <v>2029.5</v>
      </c>
      <c r="E42" s="4">
        <f>+D42+D43*E9</f>
        <v>2219.25</v>
      </c>
      <c r="F42" s="4">
        <f>+E42+E43*F9</f>
        <v>2395.25</v>
      </c>
      <c r="G42" s="4">
        <f t="shared" ref="G42" si="13">+F42+F43*G9</f>
        <v>2513.814875</v>
      </c>
      <c r="H42" s="4">
        <f>+G42+G43*H9</f>
        <v>2638.2487113124998</v>
      </c>
      <c r="I42" s="14">
        <f>+I31*(1-H24)</f>
        <v>-1447.2490786786498</v>
      </c>
    </row>
    <row r="43" spans="2:9" x14ac:dyDescent="0.25">
      <c r="B43" t="s">
        <v>4</v>
      </c>
      <c r="C43" s="4">
        <f>+C7</f>
        <v>1350</v>
      </c>
      <c r="D43" s="4">
        <f t="shared" ref="D43:E43" si="14">+D7</f>
        <v>1150</v>
      </c>
      <c r="E43" s="4">
        <f t="shared" si="14"/>
        <v>1100</v>
      </c>
      <c r="F43" s="4">
        <f>+F42*F10</f>
        <v>790.4325</v>
      </c>
      <c r="G43" s="4">
        <f>+G42*G10</f>
        <v>829.55890875</v>
      </c>
      <c r="H43" s="11">
        <f>+J20-H20</f>
        <v>-17219.99140875</v>
      </c>
    </row>
    <row r="44" spans="2:9" x14ac:dyDescent="0.25">
      <c r="B44" t="s">
        <v>10</v>
      </c>
      <c r="C44" s="4">
        <f>+C42-C43</f>
        <v>450</v>
      </c>
      <c r="D44" s="4">
        <f>+D42-D43</f>
        <v>879.5</v>
      </c>
      <c r="E44" s="4">
        <f>+E42-E43</f>
        <v>1119.25</v>
      </c>
      <c r="F44" s="4">
        <f>+F42-F43</f>
        <v>1604.8175000000001</v>
      </c>
      <c r="G44" s="4">
        <f t="shared" ref="G44" si="15">+G42-G43</f>
        <v>1684.25596625</v>
      </c>
      <c r="H44" s="14">
        <f>+H42-H43+I42</f>
        <v>18410.991041383848</v>
      </c>
    </row>
    <row r="45" spans="2:9" x14ac:dyDescent="0.25">
      <c r="B45" t="str">
        <f>+B32</f>
        <v>Interest paid</v>
      </c>
      <c r="C45" s="4">
        <f t="shared" ref="C45:H45" si="16">+C32</f>
        <v>0</v>
      </c>
      <c r="D45" s="4">
        <f t="shared" si="16"/>
        <v>46.725000000000001</v>
      </c>
      <c r="E45" s="4">
        <f t="shared" si="16"/>
        <v>101.50000000000001</v>
      </c>
      <c r="F45" s="4">
        <f t="shared" si="16"/>
        <v>163.80000000000001</v>
      </c>
      <c r="G45" s="4">
        <f t="shared" si="16"/>
        <v>229.46605500000001</v>
      </c>
      <c r="H45" s="4">
        <f t="shared" si="16"/>
        <v>241.07987972250004</v>
      </c>
    </row>
    <row r="46" spans="2:9" x14ac:dyDescent="0.25">
      <c r="B46" t="s">
        <v>24</v>
      </c>
      <c r="C46" s="4">
        <f>+C45*C24</f>
        <v>0</v>
      </c>
      <c r="D46" s="4">
        <f t="shared" ref="D46:H46" si="17">+D45*D24</f>
        <v>9.3450000000000006</v>
      </c>
      <c r="E46" s="4">
        <f t="shared" si="17"/>
        <v>20.300000000000004</v>
      </c>
      <c r="F46" s="4">
        <f t="shared" si="17"/>
        <v>32.760000000000005</v>
      </c>
      <c r="G46" s="4">
        <f t="shared" si="17"/>
        <v>45.893211000000008</v>
      </c>
      <c r="H46" s="4">
        <f t="shared" si="17"/>
        <v>48.215975944500009</v>
      </c>
    </row>
    <row r="47" spans="2:9" x14ac:dyDescent="0.25">
      <c r="B47" t="s">
        <v>25</v>
      </c>
      <c r="C47" s="4">
        <f>+D21-C21</f>
        <v>667.5</v>
      </c>
      <c r="D47" s="4">
        <f t="shared" ref="D47:G47" si="18">+E21-D21</f>
        <v>782.5</v>
      </c>
      <c r="E47" s="4">
        <f t="shared" si="18"/>
        <v>890</v>
      </c>
      <c r="F47" s="4">
        <f t="shared" si="18"/>
        <v>938.08649999999989</v>
      </c>
      <c r="G47" s="4">
        <f t="shared" si="18"/>
        <v>165.9117817500005</v>
      </c>
      <c r="H47" s="4">
        <f>+J21-H21</f>
        <v>-3443.9982817500004</v>
      </c>
    </row>
    <row r="48" spans="2:9" x14ac:dyDescent="0.25">
      <c r="B48" t="s">
        <v>23</v>
      </c>
      <c r="C48" s="4">
        <f>+C44-C45+C46+C47</f>
        <v>1117.5</v>
      </c>
      <c r="D48" s="4">
        <f t="shared" ref="D48:H48" si="19">+D44-D45+D46+D47</f>
        <v>1624.62</v>
      </c>
      <c r="E48" s="4">
        <f t="shared" si="19"/>
        <v>1928.05</v>
      </c>
      <c r="F48" s="4">
        <f t="shared" si="19"/>
        <v>2411.864</v>
      </c>
      <c r="G48" s="4">
        <f t="shared" si="19"/>
        <v>1666.5949040000005</v>
      </c>
      <c r="H48" s="4">
        <f t="shared" si="19"/>
        <v>14774.128855855846</v>
      </c>
    </row>
    <row r="49" spans="2:10" x14ac:dyDescent="0.25">
      <c r="B49" s="4" t="str">
        <f>+B36</f>
        <v>Dividend</v>
      </c>
      <c r="C49" s="4">
        <f t="shared" ref="C49:H49" si="20">+C36</f>
        <v>1117.5</v>
      </c>
      <c r="D49" s="4">
        <f t="shared" si="20"/>
        <v>1624.6200000000001</v>
      </c>
      <c r="E49" s="4">
        <f t="shared" si="20"/>
        <v>1928.0500000000002</v>
      </c>
      <c r="F49" s="4">
        <f t="shared" si="20"/>
        <v>2264.21</v>
      </c>
      <c r="G49" s="4">
        <f t="shared" si="20"/>
        <v>1666.594904</v>
      </c>
      <c r="H49" s="4">
        <f t="shared" si="20"/>
        <v>998.13572885584983</v>
      </c>
    </row>
    <row r="50" spans="2:10" x14ac:dyDescent="0.25">
      <c r="B50" t="s">
        <v>27</v>
      </c>
      <c r="C50" s="4">
        <f>+D22-C22-C37</f>
        <v>0</v>
      </c>
      <c r="D50" s="4">
        <f>+E22-D22-D37</f>
        <v>0</v>
      </c>
      <c r="E50" s="4">
        <f>+F22-E22-E37</f>
        <v>0</v>
      </c>
      <c r="F50" s="4">
        <f>+G22-F22-F37</f>
        <v>-147.65400000000045</v>
      </c>
      <c r="G50" s="4">
        <f>+H22-G22-G37</f>
        <v>0</v>
      </c>
      <c r="H50" s="4">
        <f>+J22-H22-H37</f>
        <v>-13775.993127</v>
      </c>
    </row>
    <row r="51" spans="2:10" x14ac:dyDescent="0.25">
      <c r="B51" t="s">
        <v>28</v>
      </c>
      <c r="C51" s="4">
        <f>+C48-C49+C50</f>
        <v>0</v>
      </c>
      <c r="D51" s="4">
        <f t="shared" ref="D51:G51" si="21">+D48-D49+D50</f>
        <v>-2.2737367544323206E-13</v>
      </c>
      <c r="E51" s="4">
        <f t="shared" si="21"/>
        <v>-2.2737367544323206E-13</v>
      </c>
      <c r="F51" s="4">
        <f t="shared" si="21"/>
        <v>-4.5474735088646412E-13</v>
      </c>
      <c r="G51" s="4">
        <f t="shared" si="21"/>
        <v>4.5474735088646412E-13</v>
      </c>
      <c r="H51" s="4">
        <f>+H48-H49+H50</f>
        <v>0</v>
      </c>
    </row>
    <row r="54" spans="2:10" x14ac:dyDescent="0.25">
      <c r="B54" t="s">
        <v>36</v>
      </c>
    </row>
    <row r="55" spans="2:10" x14ac:dyDescent="0.25">
      <c r="B55" t="s">
        <v>37</v>
      </c>
      <c r="C55" s="4">
        <f>+C44+C46</f>
        <v>450</v>
      </c>
      <c r="D55" s="4">
        <f t="shared" ref="D55:H55" si="22">+D44+D46</f>
        <v>888.84500000000003</v>
      </c>
      <c r="E55" s="4">
        <f t="shared" si="22"/>
        <v>1139.55</v>
      </c>
      <c r="F55" s="4">
        <f t="shared" si="22"/>
        <v>1637.5775000000001</v>
      </c>
      <c r="G55" s="4">
        <f t="shared" si="22"/>
        <v>1730.1491772500001</v>
      </c>
      <c r="H55" s="4">
        <f t="shared" si="22"/>
        <v>18459.207017328346</v>
      </c>
    </row>
    <row r="56" spans="2:10" x14ac:dyDescent="0.25">
      <c r="B56" s="3" t="str">
        <f>+B13</f>
        <v>rA</v>
      </c>
      <c r="C56" s="3">
        <f t="shared" ref="C56:H56" si="23">+C13</f>
        <v>0.12</v>
      </c>
      <c r="D56" s="3">
        <f t="shared" si="23"/>
        <v>0.12</v>
      </c>
      <c r="E56" s="3">
        <f t="shared" si="23"/>
        <v>0.12</v>
      </c>
      <c r="F56" s="3">
        <f t="shared" si="23"/>
        <v>0.12</v>
      </c>
      <c r="G56" s="3">
        <f t="shared" si="23"/>
        <v>0.12</v>
      </c>
      <c r="H56" s="3">
        <f t="shared" si="23"/>
        <v>0.12</v>
      </c>
      <c r="I56" s="2" t="s">
        <v>39</v>
      </c>
    </row>
    <row r="57" spans="2:10" x14ac:dyDescent="0.25">
      <c r="B57" s="17" t="s">
        <v>38</v>
      </c>
      <c r="C57" s="18">
        <f t="shared" ref="C57:F57" si="24">+(C55+D57)/(1+C56)</f>
        <v>13295.928648616726</v>
      </c>
      <c r="D57" s="18">
        <f t="shared" si="24"/>
        <v>14441.440086450733</v>
      </c>
      <c r="E57" s="18">
        <f t="shared" si="24"/>
        <v>15285.567896824823</v>
      </c>
      <c r="F57" s="18">
        <f t="shared" si="24"/>
        <v>15980.286044443803</v>
      </c>
      <c r="G57" s="18">
        <f>+(G55+H57)/(1+G56)</f>
        <v>16260.342869777061</v>
      </c>
      <c r="H57" s="18">
        <f>+(H55+I57)/(1+H56)</f>
        <v>16481.434836900309</v>
      </c>
      <c r="I57" s="16">
        <v>0</v>
      </c>
    </row>
    <row r="59" spans="2:10" x14ac:dyDescent="0.25">
      <c r="B59" t="s">
        <v>44</v>
      </c>
      <c r="J59" t="s">
        <v>49</v>
      </c>
    </row>
    <row r="60" spans="2:10" x14ac:dyDescent="0.25">
      <c r="B60" t="s">
        <v>40</v>
      </c>
      <c r="C60" s="19">
        <f>+C64/C57</f>
        <v>0</v>
      </c>
      <c r="D60" s="19">
        <f t="shared" ref="D60:H60" si="25">+D64/D57</f>
        <v>4.6221152184556906E-2</v>
      </c>
      <c r="E60" s="19">
        <f t="shared" si="25"/>
        <v>9.4860721550371674E-2</v>
      </c>
      <c r="F60" s="19">
        <f t="shared" si="25"/>
        <v>0.14643042017471247</v>
      </c>
      <c r="G60" s="19">
        <f t="shared" si="25"/>
        <v>0.20160008471241692</v>
      </c>
      <c r="H60" s="19">
        <f t="shared" si="25"/>
        <v>0.20896228488791688</v>
      </c>
      <c r="J60" t="s">
        <v>42</v>
      </c>
    </row>
    <row r="61" spans="2:10" x14ac:dyDescent="0.25">
      <c r="B61" s="4" t="str">
        <f>+B44</f>
        <v>FCFF</v>
      </c>
      <c r="C61" s="4">
        <f t="shared" ref="C61:H61" si="26">+C44</f>
        <v>450</v>
      </c>
      <c r="D61" s="4">
        <f t="shared" si="26"/>
        <v>879.5</v>
      </c>
      <c r="E61" s="4">
        <f t="shared" si="26"/>
        <v>1119.25</v>
      </c>
      <c r="F61" s="4">
        <f t="shared" si="26"/>
        <v>1604.8175000000001</v>
      </c>
      <c r="G61" s="4">
        <f t="shared" si="26"/>
        <v>1684.25596625</v>
      </c>
      <c r="H61" s="4">
        <f t="shared" si="26"/>
        <v>18410.991041383848</v>
      </c>
      <c r="J61" t="s">
        <v>43</v>
      </c>
    </row>
    <row r="62" spans="2:10" x14ac:dyDescent="0.25">
      <c r="B62" t="s">
        <v>41</v>
      </c>
      <c r="C62" s="3">
        <f>+C56-C60*C12*C24</f>
        <v>0.12</v>
      </c>
      <c r="D62" s="3">
        <f t="shared" ref="D62:H62" si="27">+D56-D60*D12*D24</f>
        <v>0.1193529038694162</v>
      </c>
      <c r="E62" s="3">
        <f t="shared" si="27"/>
        <v>0.1186719498982948</v>
      </c>
      <c r="F62" s="3">
        <f t="shared" si="27"/>
        <v>0.11794997411755402</v>
      </c>
      <c r="G62" s="3">
        <f t="shared" si="27"/>
        <v>0.11717759881402616</v>
      </c>
      <c r="H62" s="3">
        <f t="shared" si="27"/>
        <v>0.11707452801156916</v>
      </c>
      <c r="I62" s="2" t="s">
        <v>39</v>
      </c>
    </row>
    <row r="63" spans="2:10" x14ac:dyDescent="0.25">
      <c r="B63" s="17" t="s">
        <v>38</v>
      </c>
      <c r="C63" s="18">
        <f t="shared" ref="C63:G63" si="28">+(C61+D63)/(1+C62)</f>
        <v>13295.928648616728</v>
      </c>
      <c r="D63" s="18">
        <f t="shared" si="28"/>
        <v>14441.440086450737</v>
      </c>
      <c r="E63" s="18">
        <f t="shared" si="28"/>
        <v>15285.567896824825</v>
      </c>
      <c r="F63" s="18">
        <f t="shared" si="28"/>
        <v>15980.286044443803</v>
      </c>
      <c r="G63" s="18">
        <f t="shared" si="28"/>
        <v>16260.34286977706</v>
      </c>
      <c r="H63" s="18">
        <f>+(H61+I63)/(1+H62)</f>
        <v>16481.434836900309</v>
      </c>
      <c r="I63" s="16">
        <v>0</v>
      </c>
    </row>
    <row r="64" spans="2:10" x14ac:dyDescent="0.25">
      <c r="B64" s="4" t="str">
        <f>+B21</f>
        <v>BV D boy</v>
      </c>
      <c r="C64" s="4">
        <f t="shared" ref="C64:H64" si="29">+C21</f>
        <v>0</v>
      </c>
      <c r="D64" s="4">
        <f t="shared" si="29"/>
        <v>667.5</v>
      </c>
      <c r="E64" s="4">
        <f t="shared" si="29"/>
        <v>1450</v>
      </c>
      <c r="F64" s="4">
        <f t="shared" si="29"/>
        <v>2340</v>
      </c>
      <c r="G64" s="4">
        <f t="shared" si="29"/>
        <v>3278.0864999999999</v>
      </c>
      <c r="H64" s="4">
        <f t="shared" si="29"/>
        <v>3443.9982817500004</v>
      </c>
    </row>
    <row r="65" spans="2:9" x14ac:dyDescent="0.25">
      <c r="B65" t="s">
        <v>45</v>
      </c>
      <c r="C65" s="3">
        <f>+C64/C63</f>
        <v>0</v>
      </c>
      <c r="D65" s="3">
        <f t="shared" ref="D65:H65" si="30">+D64/D63</f>
        <v>4.6221152184556892E-2</v>
      </c>
      <c r="E65" s="3">
        <f t="shared" si="30"/>
        <v>9.4860721550371674E-2</v>
      </c>
      <c r="F65" s="3">
        <f t="shared" si="30"/>
        <v>0.14643042017471247</v>
      </c>
      <c r="G65" s="3">
        <f t="shared" si="30"/>
        <v>0.20160008471241694</v>
      </c>
      <c r="H65" s="3">
        <f t="shared" si="30"/>
        <v>0.20896228488791688</v>
      </c>
    </row>
    <row r="66" spans="2:9" x14ac:dyDescent="0.25">
      <c r="B66" t="s">
        <v>46</v>
      </c>
      <c r="C66" s="20">
        <f>++C60-C65</f>
        <v>0</v>
      </c>
      <c r="D66" s="20">
        <f t="shared" ref="D66:H66" si="31">++D60-D65</f>
        <v>0</v>
      </c>
      <c r="E66" s="20">
        <f t="shared" si="31"/>
        <v>0</v>
      </c>
      <c r="F66" s="20">
        <f t="shared" si="31"/>
        <v>0</v>
      </c>
      <c r="G66" s="20">
        <f t="shared" si="31"/>
        <v>0</v>
      </c>
      <c r="H66" s="20">
        <f t="shared" si="31"/>
        <v>0</v>
      </c>
    </row>
    <row r="68" spans="2:9" x14ac:dyDescent="0.25">
      <c r="C68" s="21"/>
    </row>
    <row r="69" spans="2:9" x14ac:dyDescent="0.25">
      <c r="B69" t="s">
        <v>47</v>
      </c>
    </row>
    <row r="70" spans="2:9" x14ac:dyDescent="0.25">
      <c r="B70" s="4" t="str">
        <f>+B48</f>
        <v>FCFE</v>
      </c>
      <c r="C70" s="4">
        <f t="shared" ref="C70:H70" si="32">+C48</f>
        <v>1117.5</v>
      </c>
      <c r="D70" s="4">
        <f t="shared" si="32"/>
        <v>1624.62</v>
      </c>
      <c r="E70" s="4">
        <f t="shared" si="32"/>
        <v>1928.05</v>
      </c>
      <c r="F70" s="4">
        <f t="shared" si="32"/>
        <v>2411.864</v>
      </c>
      <c r="G70" s="4">
        <f t="shared" si="32"/>
        <v>1666.5949040000005</v>
      </c>
      <c r="H70" s="4">
        <f t="shared" si="32"/>
        <v>14774.128855855846</v>
      </c>
    </row>
    <row r="71" spans="2:9" x14ac:dyDescent="0.25">
      <c r="B71" t="s">
        <v>48</v>
      </c>
      <c r="C71" s="3">
        <f>+(C56-C60*C12)/(1-C60)</f>
        <v>0.12</v>
      </c>
      <c r="D71" s="3">
        <f t="shared" ref="D71:H71" si="33">+(D56-D60*D12)/(1-D60)</f>
        <v>0.12242305395482521</v>
      </c>
      <c r="E71" s="3">
        <f t="shared" si="33"/>
        <v>0.12524011739457677</v>
      </c>
      <c r="F71" s="3">
        <f t="shared" si="33"/>
        <v>0.12857753273052938</v>
      </c>
      <c r="G71" s="3">
        <f t="shared" si="33"/>
        <v>0.13262525714571252</v>
      </c>
      <c r="H71" s="3">
        <f t="shared" si="33"/>
        <v>0.1332081113767318</v>
      </c>
      <c r="I71" s="2" t="s">
        <v>39</v>
      </c>
    </row>
    <row r="72" spans="2:9" x14ac:dyDescent="0.25">
      <c r="B72" t="s">
        <v>60</v>
      </c>
      <c r="C72" s="4">
        <f t="shared" ref="C72:G72" si="34">+(C70+D72)/(1+C71)</f>
        <v>13295.928648616726</v>
      </c>
      <c r="D72" s="4">
        <f t="shared" si="34"/>
        <v>13773.940086450735</v>
      </c>
      <c r="E72" s="4">
        <f t="shared" si="34"/>
        <v>13835.567896824825</v>
      </c>
      <c r="F72" s="4">
        <f t="shared" si="34"/>
        <v>13640.286044443805</v>
      </c>
      <c r="G72" s="4">
        <f t="shared" si="34"/>
        <v>12982.256369777062</v>
      </c>
      <c r="H72" s="4">
        <f>+(H70+I72)/(1+H71)</f>
        <v>13037.436555150309</v>
      </c>
      <c r="I72" s="16">
        <v>0</v>
      </c>
    </row>
    <row r="73" spans="2:9" x14ac:dyDescent="0.25">
      <c r="B73" s="4" t="str">
        <f>+B64</f>
        <v>BV D boy</v>
      </c>
      <c r="C73" s="4">
        <f t="shared" ref="C73:H73" si="35">+C64</f>
        <v>0</v>
      </c>
      <c r="D73" s="4">
        <f t="shared" si="35"/>
        <v>667.5</v>
      </c>
      <c r="E73" s="4">
        <f t="shared" si="35"/>
        <v>1450</v>
      </c>
      <c r="F73" s="4">
        <f t="shared" si="35"/>
        <v>2340</v>
      </c>
      <c r="G73" s="4">
        <f t="shared" si="35"/>
        <v>3278.0864999999999</v>
      </c>
      <c r="H73" s="4">
        <f t="shared" si="35"/>
        <v>3443.9982817500004</v>
      </c>
    </row>
    <row r="74" spans="2:9" x14ac:dyDescent="0.25">
      <c r="B74" s="17" t="s">
        <v>38</v>
      </c>
      <c r="C74" s="18">
        <f>+C72+C73</f>
        <v>13295.928648616726</v>
      </c>
      <c r="D74" s="18">
        <f t="shared" ref="D74:H74" si="36">+D72+D73</f>
        <v>14441.440086450735</v>
      </c>
      <c r="E74" s="18">
        <f t="shared" si="36"/>
        <v>15285.567896824825</v>
      </c>
      <c r="F74" s="18">
        <f t="shared" si="36"/>
        <v>15980.286044443805</v>
      </c>
      <c r="G74" s="18">
        <f t="shared" si="36"/>
        <v>16260.342869777061</v>
      </c>
      <c r="H74" s="18">
        <f t="shared" si="36"/>
        <v>16481.434836900309</v>
      </c>
    </row>
    <row r="77" spans="2:9" x14ac:dyDescent="0.25">
      <c r="B77" t="s">
        <v>50</v>
      </c>
    </row>
    <row r="78" spans="2:9" x14ac:dyDescent="0.25">
      <c r="B78" s="4" t="str">
        <f>+B42</f>
        <v>Noplat=EBIT*(1-t)</v>
      </c>
      <c r="C78" s="4">
        <f t="shared" ref="C78:G78" si="37">+C42</f>
        <v>1800</v>
      </c>
      <c r="D78" s="4">
        <f t="shared" si="37"/>
        <v>2029.5</v>
      </c>
      <c r="E78" s="4">
        <f t="shared" si="37"/>
        <v>2219.25</v>
      </c>
      <c r="F78" s="4">
        <f t="shared" si="37"/>
        <v>2395.25</v>
      </c>
      <c r="G78" s="4">
        <f t="shared" si="37"/>
        <v>2513.814875</v>
      </c>
      <c r="H78" s="15">
        <f>+H42+I42</f>
        <v>1190.9996326338501</v>
      </c>
    </row>
    <row r="79" spans="2:9" x14ac:dyDescent="0.25">
      <c r="B79" t="s">
        <v>51</v>
      </c>
      <c r="C79" s="4">
        <f>+C62*C20</f>
        <v>1440</v>
      </c>
      <c r="D79" s="4">
        <f t="shared" ref="D79:H79" si="38">+D62*D20</f>
        <v>1593.3612666567062</v>
      </c>
      <c r="E79" s="4">
        <f t="shared" si="38"/>
        <v>1720.7432735252746</v>
      </c>
      <c r="F79" s="4">
        <f t="shared" si="38"/>
        <v>1840.0195962338428</v>
      </c>
      <c r="G79" s="4">
        <f t="shared" si="38"/>
        <v>1920.5915238733758</v>
      </c>
      <c r="H79" s="4">
        <f t="shared" si="38"/>
        <v>2016.0223665426822</v>
      </c>
    </row>
    <row r="80" spans="2:9" ht="16.5" thickBot="1" x14ac:dyDescent="0.3">
      <c r="B80" t="s">
        <v>52</v>
      </c>
      <c r="C80" s="4">
        <f>+C78-C79</f>
        <v>360</v>
      </c>
      <c r="D80" s="4">
        <f t="shared" ref="D80:H80" si="39">+D78-D79</f>
        <v>436.13873334329378</v>
      </c>
      <c r="E80" s="4">
        <f t="shared" si="39"/>
        <v>498.50672647472538</v>
      </c>
      <c r="F80" s="4">
        <f t="shared" si="39"/>
        <v>555.23040376615722</v>
      </c>
      <c r="G80" s="4">
        <f t="shared" si="39"/>
        <v>593.22335112662427</v>
      </c>
      <c r="H80" s="4">
        <f t="shared" si="39"/>
        <v>-825.02273390883215</v>
      </c>
      <c r="I80" s="2" t="s">
        <v>39</v>
      </c>
    </row>
    <row r="81" spans="1:9" ht="16.5" thickBot="1" x14ac:dyDescent="0.3">
      <c r="A81" t="s">
        <v>62</v>
      </c>
      <c r="B81" s="22" t="s">
        <v>53</v>
      </c>
      <c r="C81" s="23">
        <f t="shared" ref="C81:G81" si="40">+(C80+D81)/(1+C62)</f>
        <v>1295.9286486167323</v>
      </c>
      <c r="D81" s="4">
        <f t="shared" si="40"/>
        <v>1091.4400864507402</v>
      </c>
      <c r="E81" s="4">
        <f t="shared" si="40"/>
        <v>785.56789682482861</v>
      </c>
      <c r="F81" s="4">
        <f t="shared" si="40"/>
        <v>380.28604444380812</v>
      </c>
      <c r="G81" s="4">
        <f t="shared" si="40"/>
        <v>-130.08963022293494</v>
      </c>
      <c r="H81" s="4">
        <f>+(H80+I81)/(1+H62)</f>
        <v>-738.55657184968732</v>
      </c>
      <c r="I81" s="16">
        <v>0</v>
      </c>
    </row>
    <row r="82" spans="1:9" x14ac:dyDescent="0.25">
      <c r="A82" t="s">
        <v>63</v>
      </c>
      <c r="B82" s="4" t="str">
        <f>+B20</f>
        <v>IC boy</v>
      </c>
      <c r="C82" s="4">
        <f t="shared" ref="C82:H82" si="41">+C20</f>
        <v>12000</v>
      </c>
      <c r="D82" s="4">
        <f t="shared" si="41"/>
        <v>13350</v>
      </c>
      <c r="E82" s="4">
        <f t="shared" si="41"/>
        <v>14500</v>
      </c>
      <c r="F82" s="4">
        <f t="shared" si="41"/>
        <v>15600</v>
      </c>
      <c r="G82" s="4">
        <f t="shared" si="41"/>
        <v>16390.432499999999</v>
      </c>
      <c r="H82" s="4">
        <f t="shared" si="41"/>
        <v>17219.99140875</v>
      </c>
    </row>
    <row r="83" spans="1:9" x14ac:dyDescent="0.25">
      <c r="A83" t="s">
        <v>64</v>
      </c>
      <c r="B83" s="17" t="s">
        <v>38</v>
      </c>
      <c r="C83" s="18">
        <f t="shared" ref="C83:G83" si="42">+C81+C82</f>
        <v>13295.928648616733</v>
      </c>
      <c r="D83" s="18">
        <f t="shared" si="42"/>
        <v>14441.440086450741</v>
      </c>
      <c r="E83" s="18">
        <f t="shared" si="42"/>
        <v>15285.567896824828</v>
      </c>
      <c r="F83" s="18">
        <f t="shared" si="42"/>
        <v>15980.286044443808</v>
      </c>
      <c r="G83" s="18">
        <f t="shared" si="42"/>
        <v>16260.342869777063</v>
      </c>
      <c r="H83" s="18">
        <f>+H81+H82</f>
        <v>16481.434836900313</v>
      </c>
    </row>
    <row r="87" spans="1:9" x14ac:dyDescent="0.25">
      <c r="B87" t="s">
        <v>54</v>
      </c>
    </row>
    <row r="88" spans="1:9" x14ac:dyDescent="0.25">
      <c r="B88" s="4" t="str">
        <f>+B35</f>
        <v>Profit after tax</v>
      </c>
      <c r="C88" s="4">
        <f t="shared" ref="C88:H88" si="43">+C35</f>
        <v>1800</v>
      </c>
      <c r="D88" s="4">
        <f t="shared" si="43"/>
        <v>1992.1200000000001</v>
      </c>
      <c r="E88" s="4">
        <f t="shared" si="43"/>
        <v>2138.0500000000002</v>
      </c>
      <c r="F88" s="4">
        <f t="shared" si="43"/>
        <v>2264.21</v>
      </c>
      <c r="G88" s="4">
        <f t="shared" si="43"/>
        <v>2330.2420310000002</v>
      </c>
      <c r="H88" s="4">
        <f t="shared" si="43"/>
        <v>998.13572885584983</v>
      </c>
    </row>
    <row r="89" spans="1:9" x14ac:dyDescent="0.25">
      <c r="B89" t="s">
        <v>57</v>
      </c>
      <c r="C89" s="4">
        <f>+C71*C22</f>
        <v>1440</v>
      </c>
      <c r="D89" s="4">
        <f t="shared" ref="D89:H89" si="44">+D71*D22</f>
        <v>1552.6303817820708</v>
      </c>
      <c r="E89" s="4">
        <f t="shared" si="44"/>
        <v>1634.383531999227</v>
      </c>
      <c r="F89" s="4">
        <f t="shared" si="44"/>
        <v>1704.9380840068195</v>
      </c>
      <c r="G89" s="4">
        <f t="shared" si="44"/>
        <v>1739.0282600335549</v>
      </c>
      <c r="H89" s="4">
        <f t="shared" si="44"/>
        <v>1835.0740267865078</v>
      </c>
    </row>
    <row r="90" spans="1:9" ht="16.5" thickBot="1" x14ac:dyDescent="0.3">
      <c r="B90" t="s">
        <v>55</v>
      </c>
      <c r="C90" s="4">
        <f>+C88-C89</f>
        <v>360</v>
      </c>
      <c r="D90" s="4">
        <f t="shared" ref="D90:H90" si="45">+D88-D89</f>
        <v>439.48961821792932</v>
      </c>
      <c r="E90" s="4">
        <f t="shared" si="45"/>
        <v>503.66646800077319</v>
      </c>
      <c r="F90" s="4">
        <f t="shared" si="45"/>
        <v>559.27191599318053</v>
      </c>
      <c r="G90" s="4">
        <f t="shared" si="45"/>
        <v>591.21377096644528</v>
      </c>
      <c r="H90" s="4">
        <f t="shared" si="45"/>
        <v>-836.938297930658</v>
      </c>
      <c r="I90" s="2" t="s">
        <v>39</v>
      </c>
    </row>
    <row r="91" spans="1:9" ht="16.5" thickBot="1" x14ac:dyDescent="0.3">
      <c r="B91" s="22" t="s">
        <v>56</v>
      </c>
      <c r="C91" s="23">
        <f t="shared" ref="C91:G91" si="46">+(C90+D91)/(1+C71)</f>
        <v>1295.9286486167323</v>
      </c>
      <c r="D91" s="4">
        <f t="shared" si="46"/>
        <v>1091.4400864507404</v>
      </c>
      <c r="E91" s="4">
        <f t="shared" si="46"/>
        <v>785.56789682482918</v>
      </c>
      <c r="F91" s="4">
        <f t="shared" si="46"/>
        <v>380.28604444380829</v>
      </c>
      <c r="G91" s="4">
        <f t="shared" si="46"/>
        <v>-130.08963022293489</v>
      </c>
      <c r="H91" s="4">
        <f>+(H90+I91)/(1+H71)</f>
        <v>-738.55657184968754</v>
      </c>
      <c r="I91" s="16">
        <v>0</v>
      </c>
    </row>
    <row r="92" spans="1:9" x14ac:dyDescent="0.25">
      <c r="B92" s="4" t="str">
        <f>+B22</f>
        <v>BV E boy</v>
      </c>
      <c r="C92" s="4">
        <f t="shared" ref="C92:H92" si="47">+C22</f>
        <v>12000</v>
      </c>
      <c r="D92" s="4">
        <f t="shared" si="47"/>
        <v>12682.5</v>
      </c>
      <c r="E92" s="4">
        <f t="shared" si="47"/>
        <v>13050</v>
      </c>
      <c r="F92" s="4">
        <f t="shared" si="47"/>
        <v>13260</v>
      </c>
      <c r="G92" s="4">
        <f t="shared" si="47"/>
        <v>13112.346</v>
      </c>
      <c r="H92" s="4">
        <f t="shared" si="47"/>
        <v>13775.993127</v>
      </c>
    </row>
    <row r="93" spans="1:9" x14ac:dyDescent="0.25">
      <c r="B93" t="s">
        <v>61</v>
      </c>
      <c r="C93" s="4">
        <f>+C91+C92</f>
        <v>13295.928648616733</v>
      </c>
      <c r="D93" s="4">
        <f t="shared" ref="D93:H93" si="48">+D91+D92</f>
        <v>13773.940086450741</v>
      </c>
      <c r="E93" s="4">
        <f t="shared" si="48"/>
        <v>13835.567896824828</v>
      </c>
      <c r="F93" s="4">
        <f t="shared" si="48"/>
        <v>13640.286044443808</v>
      </c>
      <c r="G93" s="4">
        <f t="shared" si="48"/>
        <v>12982.256369777064</v>
      </c>
      <c r="H93" s="4">
        <f t="shared" si="48"/>
        <v>13037.436555150312</v>
      </c>
    </row>
    <row r="94" spans="1:9" x14ac:dyDescent="0.25">
      <c r="B94" s="4" t="str">
        <f>+B73</f>
        <v>BV D boy</v>
      </c>
      <c r="C94" s="4">
        <f>+C73</f>
        <v>0</v>
      </c>
      <c r="D94" s="4">
        <f t="shared" ref="D94:H94" si="49">+D73</f>
        <v>667.5</v>
      </c>
      <c r="E94" s="4">
        <f t="shared" si="49"/>
        <v>1450</v>
      </c>
      <c r="F94" s="4">
        <f t="shared" si="49"/>
        <v>2340</v>
      </c>
      <c r="G94" s="4">
        <f t="shared" si="49"/>
        <v>3278.0864999999999</v>
      </c>
      <c r="H94" s="4">
        <f t="shared" si="49"/>
        <v>3443.9982817500004</v>
      </c>
    </row>
    <row r="95" spans="1:9" x14ac:dyDescent="0.25">
      <c r="B95" s="17" t="s">
        <v>38</v>
      </c>
      <c r="C95" s="18">
        <f>+C93+C94</f>
        <v>13295.928648616733</v>
      </c>
      <c r="D95" s="18">
        <f t="shared" ref="D95:H95" si="50">+D93+D94</f>
        <v>14441.440086450741</v>
      </c>
      <c r="E95" s="18">
        <f t="shared" si="50"/>
        <v>15285.567896824828</v>
      </c>
      <c r="F95" s="18">
        <f t="shared" si="50"/>
        <v>15980.286044443808</v>
      </c>
      <c r="G95" s="18">
        <f t="shared" si="50"/>
        <v>16260.342869777063</v>
      </c>
      <c r="H95" s="18">
        <f t="shared" si="50"/>
        <v>16481.434836900313</v>
      </c>
    </row>
    <row r="98" spans="2:3" x14ac:dyDescent="0.25">
      <c r="B98" t="s">
        <v>65</v>
      </c>
      <c r="C98" s="4">
        <f>+C93-C92</f>
        <v>1295.928648616733</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186F4-BA3F-4B20-A2ED-4067A57AD4DB}">
  <dimension ref="A5:J101"/>
  <sheetViews>
    <sheetView tabSelected="1" topLeftCell="A37" zoomScale="140" zoomScaleNormal="140" workbookViewId="0">
      <selection activeCell="C20" sqref="C20"/>
    </sheetView>
  </sheetViews>
  <sheetFormatPr defaultRowHeight="15.75" x14ac:dyDescent="0.25"/>
  <cols>
    <col min="2" max="2" width="28.5" bestFit="1" customWidth="1"/>
    <col min="3" max="3" width="9" bestFit="1" customWidth="1"/>
    <col min="4" max="8" width="10.375" bestFit="1" customWidth="1"/>
  </cols>
  <sheetData>
    <row r="5" spans="2:9" x14ac:dyDescent="0.25">
      <c r="C5" s="1">
        <v>2025</v>
      </c>
      <c r="D5" s="2">
        <f>+C5+1</f>
        <v>2026</v>
      </c>
      <c r="E5" s="2">
        <f t="shared" ref="E5:H5" si="0">+D5+1</f>
        <v>2027</v>
      </c>
      <c r="F5" s="2">
        <f t="shared" si="0"/>
        <v>2028</v>
      </c>
      <c r="G5" s="2">
        <f t="shared" si="0"/>
        <v>2029</v>
      </c>
      <c r="H5" s="2">
        <f t="shared" si="0"/>
        <v>2030</v>
      </c>
    </row>
    <row r="6" spans="2:9" x14ac:dyDescent="0.25">
      <c r="B6" t="s">
        <v>2</v>
      </c>
      <c r="C6" s="7">
        <v>12000</v>
      </c>
      <c r="D6" s="4"/>
      <c r="E6" s="4"/>
      <c r="F6" s="4"/>
      <c r="G6" s="4"/>
      <c r="H6" s="4"/>
      <c r="I6" s="4"/>
    </row>
    <row r="7" spans="2:9" x14ac:dyDescent="0.25">
      <c r="B7" t="s">
        <v>4</v>
      </c>
      <c r="C7" s="7">
        <v>1350</v>
      </c>
      <c r="D7" s="7">
        <v>1150</v>
      </c>
      <c r="E7" s="7">
        <v>1100</v>
      </c>
      <c r="F7" s="4"/>
      <c r="G7" s="4"/>
      <c r="H7" s="4"/>
    </row>
    <row r="8" spans="2:9" x14ac:dyDescent="0.25">
      <c r="B8" t="s">
        <v>9</v>
      </c>
      <c r="C8" s="8">
        <v>0.15</v>
      </c>
      <c r="D8" s="3"/>
      <c r="E8" s="3"/>
      <c r="F8" s="3"/>
      <c r="G8" s="3"/>
      <c r="H8" s="3"/>
    </row>
    <row r="9" spans="2:9" x14ac:dyDescent="0.25">
      <c r="B9" t="s">
        <v>3</v>
      </c>
      <c r="C9" s="3"/>
      <c r="D9" s="8">
        <v>0.17</v>
      </c>
      <c r="E9" s="8">
        <v>0.16500000000000001</v>
      </c>
      <c r="F9" s="8">
        <v>0.16</v>
      </c>
      <c r="G9" s="8">
        <v>0.15</v>
      </c>
      <c r="H9" s="8">
        <v>0.15</v>
      </c>
    </row>
    <row r="10" spans="2:9" x14ac:dyDescent="0.25">
      <c r="B10" t="s">
        <v>11</v>
      </c>
      <c r="C10" s="3"/>
      <c r="D10" s="3"/>
      <c r="E10" s="3"/>
      <c r="F10" s="8">
        <v>0.33</v>
      </c>
      <c r="G10" s="8">
        <v>0.33</v>
      </c>
      <c r="H10" s="8">
        <v>0.33</v>
      </c>
    </row>
    <row r="11" spans="2:9" x14ac:dyDescent="0.25">
      <c r="B11" t="s">
        <v>5</v>
      </c>
      <c r="C11" s="8">
        <v>0</v>
      </c>
      <c r="D11" s="8">
        <v>0.05</v>
      </c>
      <c r="E11" s="8">
        <v>0.1</v>
      </c>
      <c r="F11" s="8">
        <v>0.15</v>
      </c>
      <c r="G11" s="8">
        <v>0.2</v>
      </c>
      <c r="H11" s="8">
        <v>0.2</v>
      </c>
    </row>
    <row r="12" spans="2:9" x14ac:dyDescent="0.25">
      <c r="B12" t="s">
        <v>0</v>
      </c>
      <c r="C12" s="5"/>
      <c r="D12" s="6">
        <v>7.0000000000000007E-2</v>
      </c>
      <c r="E12" s="6">
        <v>7.0000000000000007E-2</v>
      </c>
      <c r="F12" s="6">
        <v>7.0000000000000007E-2</v>
      </c>
      <c r="G12" s="6">
        <v>7.0000000000000007E-2</v>
      </c>
      <c r="H12" s="6">
        <v>7.0000000000000007E-2</v>
      </c>
    </row>
    <row r="13" spans="2:9" x14ac:dyDescent="0.25">
      <c r="B13" t="s">
        <v>7</v>
      </c>
      <c r="C13" s="6">
        <v>0.12</v>
      </c>
      <c r="D13" s="6">
        <v>0.12</v>
      </c>
      <c r="E13" s="6">
        <v>0.12</v>
      </c>
      <c r="F13" s="6">
        <v>0.12</v>
      </c>
      <c r="G13" s="6">
        <v>0.12</v>
      </c>
      <c r="H13" s="6">
        <v>0.12</v>
      </c>
    </row>
    <row r="14" spans="2:9" x14ac:dyDescent="0.25">
      <c r="B14" t="s">
        <v>1</v>
      </c>
      <c r="C14" s="6">
        <v>0.2</v>
      </c>
      <c r="D14" s="6">
        <v>0.2</v>
      </c>
      <c r="E14" s="6">
        <v>0.2</v>
      </c>
      <c r="F14" s="6">
        <v>0.2</v>
      </c>
      <c r="G14" s="6">
        <v>0.2</v>
      </c>
      <c r="H14" s="6">
        <v>0.2</v>
      </c>
    </row>
    <row r="15" spans="2:9" x14ac:dyDescent="0.25">
      <c r="B15" t="s">
        <v>6</v>
      </c>
      <c r="C15" s="9"/>
      <c r="D15" s="9"/>
      <c r="E15" s="9"/>
      <c r="F15" s="9"/>
      <c r="G15" s="9"/>
      <c r="H15" s="6">
        <v>0.1</v>
      </c>
    </row>
    <row r="19" spans="2:10" x14ac:dyDescent="0.25">
      <c r="B19" t="s">
        <v>8</v>
      </c>
      <c r="H19" t="s">
        <v>31</v>
      </c>
      <c r="I19" t="s">
        <v>30</v>
      </c>
      <c r="J19" t="s">
        <v>29</v>
      </c>
    </row>
    <row r="20" spans="2:10" x14ac:dyDescent="0.25">
      <c r="B20" s="24" t="s">
        <v>66</v>
      </c>
      <c r="C20" s="14">
        <v>1504.8469272451325</v>
      </c>
      <c r="D20" s="25">
        <f>+C20-$C$20/6</f>
        <v>1254.0391060376105</v>
      </c>
      <c r="E20" s="25">
        <f t="shared" ref="E20:H20" si="1">+D20-$C$20/6</f>
        <v>1003.2312848300884</v>
      </c>
      <c r="F20" s="25">
        <f t="shared" si="1"/>
        <v>752.42346362256626</v>
      </c>
      <c r="G20" s="25">
        <f t="shared" si="1"/>
        <v>501.61564241504414</v>
      </c>
      <c r="H20" s="25">
        <f t="shared" si="1"/>
        <v>250.80782120752204</v>
      </c>
      <c r="I20" s="25">
        <f>+H20-$C$20/6</f>
        <v>0</v>
      </c>
      <c r="J20" s="25">
        <v>0</v>
      </c>
    </row>
    <row r="21" spans="2:10" x14ac:dyDescent="0.25">
      <c r="B21" t="str">
        <f>+B6</f>
        <v>IC boy</v>
      </c>
      <c r="C21" s="4">
        <f>+C6</f>
        <v>12000</v>
      </c>
      <c r="D21" s="4">
        <f>+C21+C45</f>
        <v>13350</v>
      </c>
      <c r="E21" s="4">
        <f t="shared" ref="E21:H21" si="2">+D21+D45</f>
        <v>14500</v>
      </c>
      <c r="F21" s="4">
        <f t="shared" si="2"/>
        <v>15600</v>
      </c>
      <c r="G21" s="4">
        <f t="shared" si="2"/>
        <v>16390.432499999999</v>
      </c>
      <c r="H21" s="4">
        <f t="shared" si="2"/>
        <v>17219.99140875</v>
      </c>
      <c r="I21" s="4">
        <f>+H21+H44*H10</f>
        <v>18024.400218684339</v>
      </c>
      <c r="J21" s="12">
        <v>0</v>
      </c>
    </row>
    <row r="22" spans="2:10" x14ac:dyDescent="0.25">
      <c r="B22" t="s">
        <v>59</v>
      </c>
      <c r="C22" s="4">
        <f>+C21*C11</f>
        <v>0</v>
      </c>
      <c r="D22" s="4">
        <f>+D21*D11</f>
        <v>667.5</v>
      </c>
      <c r="E22" s="4">
        <f t="shared" ref="E22:H22" si="3">+E21*E11</f>
        <v>1450</v>
      </c>
      <c r="F22" s="4">
        <f t="shared" si="3"/>
        <v>2340</v>
      </c>
      <c r="G22" s="4">
        <f t="shared" si="3"/>
        <v>3278.0864999999999</v>
      </c>
      <c r="H22" s="4">
        <f t="shared" si="3"/>
        <v>3443.9982817500004</v>
      </c>
      <c r="I22">
        <v>0</v>
      </c>
      <c r="J22" s="12">
        <v>0</v>
      </c>
    </row>
    <row r="23" spans="2:10" x14ac:dyDescent="0.25">
      <c r="B23" t="s">
        <v>58</v>
      </c>
      <c r="C23" s="4">
        <f>+C21-C22+C20</f>
        <v>13504.846927245133</v>
      </c>
      <c r="D23" s="4">
        <f t="shared" ref="D23:J23" si="4">+D21-D22+D20</f>
        <v>13936.53910603761</v>
      </c>
      <c r="E23" s="4">
        <f t="shared" si="4"/>
        <v>14053.231284830088</v>
      </c>
      <c r="F23" s="4">
        <f t="shared" si="4"/>
        <v>14012.423463622566</v>
      </c>
      <c r="G23" s="4">
        <f t="shared" si="4"/>
        <v>13613.961642415044</v>
      </c>
      <c r="H23" s="4">
        <f t="shared" si="4"/>
        <v>14026.800948207521</v>
      </c>
      <c r="I23" s="4">
        <f t="shared" si="4"/>
        <v>18024.400218684339</v>
      </c>
      <c r="J23" s="4">
        <f t="shared" si="4"/>
        <v>0</v>
      </c>
    </row>
    <row r="25" spans="2:10" x14ac:dyDescent="0.25">
      <c r="B25" t="s">
        <v>12</v>
      </c>
      <c r="C25" s="10">
        <v>0.2</v>
      </c>
      <c r="D25" s="10">
        <v>0.2</v>
      </c>
      <c r="E25" s="10">
        <v>0.2</v>
      </c>
      <c r="F25" s="10">
        <v>0.2</v>
      </c>
      <c r="G25" s="10">
        <v>0.2</v>
      </c>
      <c r="H25" s="10">
        <v>0.2</v>
      </c>
    </row>
    <row r="26" spans="2:10" x14ac:dyDescent="0.25">
      <c r="B26" t="s">
        <v>19</v>
      </c>
      <c r="C26" s="3">
        <f>+C36/C35</f>
        <v>0.2</v>
      </c>
      <c r="D26" s="3">
        <f t="shared" ref="D26:H26" si="5">+D36/D35</f>
        <v>0.2</v>
      </c>
      <c r="E26" s="3">
        <f t="shared" si="5"/>
        <v>0.2</v>
      </c>
      <c r="F26" s="3">
        <f t="shared" si="5"/>
        <v>0.20000000000000004</v>
      </c>
      <c r="G26" s="3">
        <f t="shared" si="5"/>
        <v>0.2</v>
      </c>
      <c r="H26" s="3">
        <f t="shared" si="5"/>
        <v>0.2</v>
      </c>
    </row>
    <row r="27" spans="2:10" x14ac:dyDescent="0.25">
      <c r="C27" s="3"/>
      <c r="D27" s="3"/>
      <c r="E27" s="3"/>
      <c r="F27" s="3"/>
      <c r="G27" s="3"/>
      <c r="H27" s="3"/>
    </row>
    <row r="28" spans="2:10" x14ac:dyDescent="0.25">
      <c r="B28" t="s">
        <v>32</v>
      </c>
      <c r="C28" s="13"/>
      <c r="D28" s="13"/>
      <c r="E28" s="13"/>
      <c r="F28" s="13"/>
      <c r="G28" s="13"/>
      <c r="H28" s="13"/>
    </row>
    <row r="29" spans="2:10" x14ac:dyDescent="0.25">
      <c r="B29" t="s">
        <v>34</v>
      </c>
      <c r="I29" s="14">
        <f>+I21*0.9</f>
        <v>16221.960196815906</v>
      </c>
    </row>
    <row r="30" spans="2:10" x14ac:dyDescent="0.25">
      <c r="B30" t="s">
        <v>33</v>
      </c>
      <c r="C30" s="13"/>
      <c r="D30" s="13"/>
      <c r="E30" s="13"/>
      <c r="F30" s="13"/>
      <c r="G30" s="13"/>
      <c r="H30" s="13"/>
    </row>
    <row r="31" spans="2:10" x14ac:dyDescent="0.25">
      <c r="B31" t="s">
        <v>35</v>
      </c>
      <c r="I31" s="14">
        <f>+I21</f>
        <v>18024.400218684339</v>
      </c>
    </row>
    <row r="32" spans="2:10" x14ac:dyDescent="0.25">
      <c r="B32" s="24" t="s">
        <v>67</v>
      </c>
      <c r="C32" s="25">
        <f>+$C$20/6</f>
        <v>250.8078212075221</v>
      </c>
      <c r="D32" s="25">
        <f t="shared" ref="D32:H32" si="6">+$C$20/6</f>
        <v>250.8078212075221</v>
      </c>
      <c r="E32" s="25">
        <f t="shared" si="6"/>
        <v>250.8078212075221</v>
      </c>
      <c r="F32" s="25">
        <f t="shared" si="6"/>
        <v>250.8078212075221</v>
      </c>
      <c r="G32" s="25">
        <f t="shared" si="6"/>
        <v>250.8078212075221</v>
      </c>
      <c r="H32" s="25">
        <f t="shared" si="6"/>
        <v>250.8078212075221</v>
      </c>
      <c r="I32" s="14"/>
    </row>
    <row r="33" spans="2:9" x14ac:dyDescent="0.25">
      <c r="B33" s="24" t="s">
        <v>13</v>
      </c>
      <c r="C33" s="25">
        <f>+'Individual purchase'!C31-C32</f>
        <v>1999.192178792478</v>
      </c>
      <c r="D33" s="25">
        <f>+'Individual purchase'!D31-D32</f>
        <v>2286.067178792478</v>
      </c>
      <c r="E33" s="25">
        <f>+'Individual purchase'!E31-E32</f>
        <v>2523.254678792478</v>
      </c>
      <c r="F33" s="25">
        <f>+'Individual purchase'!F31-F32</f>
        <v>2743.254678792478</v>
      </c>
      <c r="G33" s="25">
        <f>+'Individual purchase'!G31-G32</f>
        <v>2891.460772542478</v>
      </c>
      <c r="H33" s="25">
        <f>+'Individual purchase'!H31-H32</f>
        <v>3047.0030679331026</v>
      </c>
      <c r="I33" s="14">
        <f>+I29-I31</f>
        <v>-1802.4400218684332</v>
      </c>
    </row>
    <row r="34" spans="2:9" x14ac:dyDescent="0.25">
      <c r="B34" t="s">
        <v>15</v>
      </c>
      <c r="C34" s="4">
        <f>+C22*C12</f>
        <v>0</v>
      </c>
      <c r="D34" s="4">
        <f t="shared" ref="D34:H34" si="7">+D22*D12</f>
        <v>46.725000000000001</v>
      </c>
      <c r="E34" s="4">
        <f t="shared" si="7"/>
        <v>101.50000000000001</v>
      </c>
      <c r="F34" s="4">
        <f t="shared" si="7"/>
        <v>163.80000000000001</v>
      </c>
      <c r="G34" s="4">
        <f t="shared" si="7"/>
        <v>229.46605500000001</v>
      </c>
      <c r="H34" s="4">
        <f t="shared" si="7"/>
        <v>241.07987972250004</v>
      </c>
    </row>
    <row r="35" spans="2:9" x14ac:dyDescent="0.25">
      <c r="B35" t="s">
        <v>16</v>
      </c>
      <c r="C35" s="4">
        <f>+C33-C34</f>
        <v>1999.192178792478</v>
      </c>
      <c r="D35" s="4">
        <f t="shared" ref="D35:G35" si="8">+D33-D34</f>
        <v>2239.3421787924781</v>
      </c>
      <c r="E35" s="4">
        <f t="shared" si="8"/>
        <v>2421.754678792478</v>
      </c>
      <c r="F35" s="4">
        <f t="shared" si="8"/>
        <v>2579.4546787924778</v>
      </c>
      <c r="G35" s="4">
        <f t="shared" si="8"/>
        <v>2661.9947175424782</v>
      </c>
      <c r="H35" s="14">
        <f>+H33-H34+I33</f>
        <v>1003.4831663421692</v>
      </c>
    </row>
    <row r="36" spans="2:9" x14ac:dyDescent="0.25">
      <c r="B36" t="s">
        <v>17</v>
      </c>
      <c r="C36" s="4">
        <f>+IF(C35&lt;0,0,C35*C14)</f>
        <v>399.83843575849562</v>
      </c>
      <c r="D36" s="4">
        <f t="shared" ref="D36:H36" si="9">+IF(D35&lt;0,0,D35*D14)</f>
        <v>447.86843575849565</v>
      </c>
      <c r="E36" s="4">
        <f t="shared" si="9"/>
        <v>484.35093575849561</v>
      </c>
      <c r="F36" s="4">
        <f t="shared" si="9"/>
        <v>515.89093575849563</v>
      </c>
      <c r="G36" s="4">
        <f t="shared" si="9"/>
        <v>532.39894350849568</v>
      </c>
      <c r="H36" s="4">
        <f t="shared" si="9"/>
        <v>200.69663326843386</v>
      </c>
    </row>
    <row r="37" spans="2:9" x14ac:dyDescent="0.25">
      <c r="B37" t="s">
        <v>18</v>
      </c>
      <c r="C37" s="4">
        <f>+C35-C36</f>
        <v>1599.3537430339825</v>
      </c>
      <c r="D37" s="4">
        <f t="shared" ref="D37:H37" si="10">+D35-D36</f>
        <v>1791.4737430339824</v>
      </c>
      <c r="E37" s="4">
        <f t="shared" si="10"/>
        <v>1937.4037430339824</v>
      </c>
      <c r="F37" s="4">
        <f t="shared" si="10"/>
        <v>2063.5637430339821</v>
      </c>
      <c r="G37" s="4">
        <f t="shared" si="10"/>
        <v>2129.5957740339827</v>
      </c>
      <c r="H37" s="4">
        <f t="shared" si="10"/>
        <v>802.78653307373531</v>
      </c>
    </row>
    <row r="38" spans="2:9" x14ac:dyDescent="0.25">
      <c r="B38" t="s">
        <v>20</v>
      </c>
      <c r="C38" s="4">
        <f>+C37-C39</f>
        <v>1167.6615642415059</v>
      </c>
      <c r="D38" s="4">
        <f t="shared" ref="D38:H38" si="11">+D37-D39</f>
        <v>1674.7815642415039</v>
      </c>
      <c r="E38" s="4">
        <f t="shared" si="11"/>
        <v>1937.4037430339824</v>
      </c>
      <c r="F38" s="4">
        <f t="shared" si="11"/>
        <v>2063.5637430339821</v>
      </c>
      <c r="G38" s="4">
        <f t="shared" si="11"/>
        <v>1716.7564682415059</v>
      </c>
      <c r="H38" s="4">
        <f t="shared" si="11"/>
        <v>802.78653307373531</v>
      </c>
    </row>
    <row r="39" spans="2:9" x14ac:dyDescent="0.25">
      <c r="B39" t="s">
        <v>21</v>
      </c>
      <c r="C39" s="4">
        <f>+IF(C37&lt;0,C37,MAX(0,MIN(C41,C37)))</f>
        <v>431.69217879247662</v>
      </c>
      <c r="D39" s="4">
        <f t="shared" ref="D39:H39" si="12">+IF(D37&lt;0,D37,MAX(0,MIN(D41,D37)))</f>
        <v>116.69217879247844</v>
      </c>
      <c r="E39" s="4">
        <f t="shared" si="12"/>
        <v>0</v>
      </c>
      <c r="F39" s="4">
        <f t="shared" si="12"/>
        <v>0</v>
      </c>
      <c r="G39" s="4">
        <f t="shared" si="12"/>
        <v>412.83930579247681</v>
      </c>
      <c r="H39" s="4">
        <f t="shared" si="12"/>
        <v>0</v>
      </c>
    </row>
    <row r="40" spans="2:9" x14ac:dyDescent="0.25">
      <c r="C40" s="4"/>
      <c r="D40" s="4"/>
      <c r="E40" s="4"/>
      <c r="F40" s="4"/>
      <c r="G40" s="4"/>
      <c r="H40" s="4"/>
    </row>
    <row r="41" spans="2:9" x14ac:dyDescent="0.25">
      <c r="B41" t="s">
        <v>22</v>
      </c>
      <c r="C41" s="4">
        <f>+D23-C23</f>
        <v>431.69217879247662</v>
      </c>
      <c r="D41" s="4">
        <f>+E23-D23</f>
        <v>116.69217879247844</v>
      </c>
      <c r="E41" s="4">
        <f>+F23-E23</f>
        <v>-40.807821207521556</v>
      </c>
      <c r="F41" s="4">
        <f>+G23-F23</f>
        <v>-398.46182120752201</v>
      </c>
      <c r="G41" s="4">
        <f>+H23-G23</f>
        <v>412.83930579247681</v>
      </c>
      <c r="H41" s="11">
        <f>+J23-H23</f>
        <v>-14026.800948207521</v>
      </c>
    </row>
    <row r="42" spans="2:9" x14ac:dyDescent="0.25">
      <c r="B42" t="s">
        <v>26</v>
      </c>
      <c r="C42" s="4">
        <f>+C41-C39</f>
        <v>0</v>
      </c>
      <c r="D42" s="4">
        <f t="shared" ref="D42:H42" si="13">+D41-D39</f>
        <v>0</v>
      </c>
      <c r="E42" s="4">
        <f t="shared" si="13"/>
        <v>-40.807821207521556</v>
      </c>
      <c r="F42" s="4">
        <f t="shared" si="13"/>
        <v>-398.46182120752201</v>
      </c>
      <c r="G42" s="4">
        <f t="shared" si="13"/>
        <v>0</v>
      </c>
      <c r="H42" s="4">
        <f t="shared" si="13"/>
        <v>-14026.800948207521</v>
      </c>
    </row>
    <row r="44" spans="2:9" x14ac:dyDescent="0.25">
      <c r="B44" s="24" t="s">
        <v>14</v>
      </c>
      <c r="C44" s="25">
        <f>+C33*(1-C25)</f>
        <v>1599.3537430339825</v>
      </c>
      <c r="D44" s="25">
        <f t="shared" ref="D44:H44" si="14">+D33*(1-D25)</f>
        <v>1828.8537430339825</v>
      </c>
      <c r="E44" s="25">
        <f t="shared" si="14"/>
        <v>2018.6037430339825</v>
      </c>
      <c r="F44" s="25">
        <f t="shared" si="14"/>
        <v>2194.6037430339825</v>
      </c>
      <c r="G44" s="25">
        <f t="shared" si="14"/>
        <v>2313.1686180339825</v>
      </c>
      <c r="H44" s="25">
        <f t="shared" si="14"/>
        <v>2437.6024543464823</v>
      </c>
      <c r="I44" s="14">
        <f>+I33*(1-H25)</f>
        <v>-1441.9520174947465</v>
      </c>
    </row>
    <row r="45" spans="2:9" x14ac:dyDescent="0.25">
      <c r="B45" s="24" t="s">
        <v>4</v>
      </c>
      <c r="C45" s="25">
        <f>+'Individual purchase'!C43</f>
        <v>1350</v>
      </c>
      <c r="D45" s="25">
        <f>+'Individual purchase'!D43</f>
        <v>1150</v>
      </c>
      <c r="E45" s="25">
        <f>+'Individual purchase'!E43</f>
        <v>1100</v>
      </c>
      <c r="F45" s="25">
        <f>+'Individual purchase'!F43</f>
        <v>790.4325</v>
      </c>
      <c r="G45" s="25">
        <f>+'Individual purchase'!G43</f>
        <v>829.55890875</v>
      </c>
      <c r="H45" s="11">
        <f>+J21-H21</f>
        <v>-17219.99140875</v>
      </c>
    </row>
    <row r="46" spans="2:9" x14ac:dyDescent="0.25">
      <c r="B46" s="24" t="s">
        <v>71</v>
      </c>
      <c r="C46" s="25">
        <f>+D20-C20</f>
        <v>-250.80782120752201</v>
      </c>
      <c r="D46" s="25">
        <f t="shared" ref="D46:H46" si="15">+E20-D20</f>
        <v>-250.80782120752212</v>
      </c>
      <c r="E46" s="25">
        <f t="shared" si="15"/>
        <v>-250.80782120752212</v>
      </c>
      <c r="F46" s="25">
        <f t="shared" si="15"/>
        <v>-250.80782120752212</v>
      </c>
      <c r="G46" s="25">
        <f t="shared" si="15"/>
        <v>-250.8078212075221</v>
      </c>
      <c r="H46" s="25">
        <f t="shared" si="15"/>
        <v>-250.80782120752204</v>
      </c>
    </row>
    <row r="47" spans="2:9" x14ac:dyDescent="0.25">
      <c r="B47" s="24" t="s">
        <v>10</v>
      </c>
      <c r="C47" s="25">
        <f>+C44-C45-C46</f>
        <v>500.16156424150449</v>
      </c>
      <c r="D47" s="25">
        <f>+D44-D45-D46</f>
        <v>929.66156424150461</v>
      </c>
      <c r="E47" s="25">
        <f t="shared" ref="E47:G47" si="16">+E44-E45-E46</f>
        <v>1169.4115642415045</v>
      </c>
      <c r="F47" s="25">
        <f t="shared" si="16"/>
        <v>1654.9790642415046</v>
      </c>
      <c r="G47" s="25">
        <f t="shared" si="16"/>
        <v>1734.4175304915045</v>
      </c>
      <c r="H47" s="14">
        <f>+H44-H45+I44-H46</f>
        <v>18466.449666809258</v>
      </c>
    </row>
    <row r="48" spans="2:9" x14ac:dyDescent="0.25">
      <c r="B48" t="str">
        <f>+B34</f>
        <v>Interest paid</v>
      </c>
      <c r="C48" s="4">
        <f t="shared" ref="C48:H48" si="17">+C34</f>
        <v>0</v>
      </c>
      <c r="D48" s="4">
        <f t="shared" si="17"/>
        <v>46.725000000000001</v>
      </c>
      <c r="E48" s="4">
        <f t="shared" si="17"/>
        <v>101.50000000000001</v>
      </c>
      <c r="F48" s="4">
        <f t="shared" si="17"/>
        <v>163.80000000000001</v>
      </c>
      <c r="G48" s="4">
        <f t="shared" si="17"/>
        <v>229.46605500000001</v>
      </c>
      <c r="H48" s="4">
        <f t="shared" si="17"/>
        <v>241.07987972250004</v>
      </c>
    </row>
    <row r="49" spans="2:10" x14ac:dyDescent="0.25">
      <c r="B49" t="s">
        <v>24</v>
      </c>
      <c r="C49" s="4">
        <f>+C48*C25</f>
        <v>0</v>
      </c>
      <c r="D49" s="4">
        <f t="shared" ref="D49:H49" si="18">+D48*D25</f>
        <v>9.3450000000000006</v>
      </c>
      <c r="E49" s="4">
        <f t="shared" si="18"/>
        <v>20.300000000000004</v>
      </c>
      <c r="F49" s="4">
        <f t="shared" si="18"/>
        <v>32.760000000000005</v>
      </c>
      <c r="G49" s="4">
        <f t="shared" si="18"/>
        <v>45.893211000000008</v>
      </c>
      <c r="H49" s="4">
        <f t="shared" si="18"/>
        <v>48.215975944500009</v>
      </c>
    </row>
    <row r="50" spans="2:10" x14ac:dyDescent="0.25">
      <c r="B50" t="s">
        <v>25</v>
      </c>
      <c r="C50" s="4">
        <f>+D22-C22</f>
        <v>667.5</v>
      </c>
      <c r="D50" s="4">
        <f t="shared" ref="D50:G50" si="19">+E22-D22</f>
        <v>782.5</v>
      </c>
      <c r="E50" s="4">
        <f t="shared" si="19"/>
        <v>890</v>
      </c>
      <c r="F50" s="4">
        <f t="shared" si="19"/>
        <v>938.08649999999989</v>
      </c>
      <c r="G50" s="4">
        <f t="shared" si="19"/>
        <v>165.9117817500005</v>
      </c>
      <c r="H50" s="4">
        <f>+J22-H22</f>
        <v>-3443.9982817500004</v>
      </c>
    </row>
    <row r="51" spans="2:10" x14ac:dyDescent="0.25">
      <c r="B51" t="s">
        <v>23</v>
      </c>
      <c r="C51" s="4">
        <f>+C47-C48+C49+C50</f>
        <v>1167.6615642415045</v>
      </c>
      <c r="D51" s="4">
        <f t="shared" ref="D51:H51" si="20">+D47-D48+D49+D50</f>
        <v>1674.7815642415046</v>
      </c>
      <c r="E51" s="4">
        <f t="shared" si="20"/>
        <v>1978.2115642415044</v>
      </c>
      <c r="F51" s="4">
        <f t="shared" si="20"/>
        <v>2462.0255642415045</v>
      </c>
      <c r="G51" s="4">
        <f t="shared" si="20"/>
        <v>1716.756468241505</v>
      </c>
      <c r="H51" s="4">
        <f t="shared" si="20"/>
        <v>14829.587481281256</v>
      </c>
    </row>
    <row r="52" spans="2:10" x14ac:dyDescent="0.25">
      <c r="B52" s="4" t="str">
        <f>+B38</f>
        <v>Dividend</v>
      </c>
      <c r="C52" s="4">
        <f t="shared" ref="C52:H52" si="21">+C38</f>
        <v>1167.6615642415059</v>
      </c>
      <c r="D52" s="4">
        <f t="shared" si="21"/>
        <v>1674.7815642415039</v>
      </c>
      <c r="E52" s="4">
        <f t="shared" si="21"/>
        <v>1937.4037430339824</v>
      </c>
      <c r="F52" s="4">
        <f t="shared" si="21"/>
        <v>2063.5637430339821</v>
      </c>
      <c r="G52" s="4">
        <f t="shared" si="21"/>
        <v>1716.7564682415059</v>
      </c>
      <c r="H52" s="4">
        <f t="shared" si="21"/>
        <v>802.78653307373531</v>
      </c>
    </row>
    <row r="53" spans="2:10" x14ac:dyDescent="0.25">
      <c r="B53" t="s">
        <v>27</v>
      </c>
      <c r="C53" s="4">
        <f>+D23-C23-C39</f>
        <v>0</v>
      </c>
      <c r="D53" s="4">
        <f>+E23-D23-D39</f>
        <v>0</v>
      </c>
      <c r="E53" s="4">
        <f>+F23-E23-E39</f>
        <v>-40.807821207521556</v>
      </c>
      <c r="F53" s="4">
        <f>+G23-F23-F39</f>
        <v>-398.46182120752201</v>
      </c>
      <c r="G53" s="4">
        <f>+H23-G23-G39</f>
        <v>0</v>
      </c>
      <c r="H53" s="4">
        <f>+J23-H23-H39</f>
        <v>-14026.800948207521</v>
      </c>
    </row>
    <row r="54" spans="2:10" x14ac:dyDescent="0.25">
      <c r="B54" t="s">
        <v>28</v>
      </c>
      <c r="C54" s="4">
        <f>+C51-C52+C53</f>
        <v>-1.3642420526593924E-12</v>
      </c>
      <c r="D54" s="4">
        <f t="shared" ref="D54:G54" si="22">+D51-D52+D53</f>
        <v>6.8212102632969618E-13</v>
      </c>
      <c r="E54" s="4">
        <f t="shared" si="22"/>
        <v>4.5474735088646412E-13</v>
      </c>
      <c r="F54" s="4">
        <f t="shared" si="22"/>
        <v>4.5474735088646412E-13</v>
      </c>
      <c r="G54" s="4">
        <f t="shared" si="22"/>
        <v>-9.0949470177292824E-13</v>
      </c>
      <c r="H54" s="4">
        <f>+H51-H52+H53</f>
        <v>0</v>
      </c>
    </row>
    <row r="57" spans="2:10" x14ac:dyDescent="0.25">
      <c r="B57" t="s">
        <v>36</v>
      </c>
    </row>
    <row r="58" spans="2:10" x14ac:dyDescent="0.25">
      <c r="B58" t="s">
        <v>37</v>
      </c>
      <c r="C58" s="4">
        <f>+C47+C49</f>
        <v>500.16156424150449</v>
      </c>
      <c r="D58" s="4">
        <f t="shared" ref="D58:H58" si="23">+D47+D49</f>
        <v>939.00656424150463</v>
      </c>
      <c r="E58" s="4">
        <f t="shared" si="23"/>
        <v>1189.7115642415044</v>
      </c>
      <c r="F58" s="4">
        <f t="shared" si="23"/>
        <v>1687.7390642415046</v>
      </c>
      <c r="G58" s="4">
        <f t="shared" si="23"/>
        <v>1780.3107414915046</v>
      </c>
      <c r="H58" s="4">
        <f t="shared" si="23"/>
        <v>18514.665642753756</v>
      </c>
    </row>
    <row r="59" spans="2:10" x14ac:dyDescent="0.25">
      <c r="B59" s="3" t="str">
        <f>+B13</f>
        <v>rA</v>
      </c>
      <c r="C59" s="3">
        <f t="shared" ref="C59:H59" si="24">+C13</f>
        <v>0.12</v>
      </c>
      <c r="D59" s="3">
        <f t="shared" si="24"/>
        <v>0.12</v>
      </c>
      <c r="E59" s="3">
        <f t="shared" si="24"/>
        <v>0.12</v>
      </c>
      <c r="F59" s="3">
        <f t="shared" si="24"/>
        <v>0.12</v>
      </c>
      <c r="G59" s="3">
        <f t="shared" si="24"/>
        <v>0.12</v>
      </c>
      <c r="H59" s="3">
        <f t="shared" si="24"/>
        <v>0.12</v>
      </c>
      <c r="I59" s="2" t="s">
        <v>39</v>
      </c>
    </row>
    <row r="60" spans="2:10" x14ac:dyDescent="0.25">
      <c r="B60" s="17" t="s">
        <v>38</v>
      </c>
      <c r="C60" s="18">
        <f t="shared" ref="C60:F60" si="25">+(C58+D60)/(1+C59)</f>
        <v>13504.846927245128</v>
      </c>
      <c r="D60" s="18">
        <f t="shared" si="25"/>
        <v>14625.266994273039</v>
      </c>
      <c r="E60" s="18">
        <f t="shared" si="25"/>
        <v>15441.2924693443</v>
      </c>
      <c r="F60" s="18">
        <f t="shared" si="25"/>
        <v>16104.536001424112</v>
      </c>
      <c r="G60" s="18">
        <f>+(G58+H60)/(1+G59)</f>
        <v>16349.341257353504</v>
      </c>
      <c r="H60" s="18">
        <f>+(H58+I60)/(1+H59)</f>
        <v>16530.951466744424</v>
      </c>
      <c r="I60" s="16">
        <v>0</v>
      </c>
    </row>
    <row r="62" spans="2:10" x14ac:dyDescent="0.25">
      <c r="B62" t="s">
        <v>44</v>
      </c>
      <c r="J62" t="s">
        <v>49</v>
      </c>
    </row>
    <row r="63" spans="2:10" x14ac:dyDescent="0.25">
      <c r="B63" t="s">
        <v>40</v>
      </c>
      <c r="C63" s="19">
        <f>+C67/C60</f>
        <v>0</v>
      </c>
      <c r="D63" s="19">
        <f t="shared" ref="D63:H63" si="26">+D67/D60</f>
        <v>4.5640192432820519E-2</v>
      </c>
      <c r="E63" s="19">
        <f t="shared" si="26"/>
        <v>9.3904056469281613E-2</v>
      </c>
      <c r="F63" s="19">
        <f t="shared" si="26"/>
        <v>0.14530067800730648</v>
      </c>
      <c r="G63" s="19">
        <f t="shared" si="26"/>
        <v>0.20050266542241282</v>
      </c>
      <c r="H63" s="19">
        <f t="shared" si="26"/>
        <v>0.20833636156263274</v>
      </c>
      <c r="J63" t="s">
        <v>42</v>
      </c>
    </row>
    <row r="64" spans="2:10" x14ac:dyDescent="0.25">
      <c r="B64" s="4" t="str">
        <f>+B47</f>
        <v>FCFF</v>
      </c>
      <c r="C64" s="4">
        <f t="shared" ref="C64:H64" si="27">+C47</f>
        <v>500.16156424150449</v>
      </c>
      <c r="D64" s="4">
        <f t="shared" si="27"/>
        <v>929.66156424150461</v>
      </c>
      <c r="E64" s="4">
        <f t="shared" si="27"/>
        <v>1169.4115642415045</v>
      </c>
      <c r="F64" s="4">
        <f t="shared" si="27"/>
        <v>1654.9790642415046</v>
      </c>
      <c r="G64" s="4">
        <f t="shared" si="27"/>
        <v>1734.4175304915045</v>
      </c>
      <c r="H64" s="4">
        <f t="shared" si="27"/>
        <v>18466.449666809258</v>
      </c>
      <c r="J64" t="s">
        <v>43</v>
      </c>
    </row>
    <row r="65" spans="2:9" x14ac:dyDescent="0.25">
      <c r="B65" t="s">
        <v>41</v>
      </c>
      <c r="C65" s="3">
        <f>+C59-C63*C12*C25</f>
        <v>0.12</v>
      </c>
      <c r="D65" s="3">
        <f t="shared" ref="D65:H65" si="28">+D59-D63*D12*D25</f>
        <v>0.11936103730594051</v>
      </c>
      <c r="E65" s="3">
        <f t="shared" si="28"/>
        <v>0.11868534320943006</v>
      </c>
      <c r="F65" s="3">
        <f t="shared" si="28"/>
        <v>0.11796579050789771</v>
      </c>
      <c r="G65" s="3">
        <f t="shared" si="28"/>
        <v>0.11719296268408622</v>
      </c>
      <c r="H65" s="3">
        <f t="shared" si="28"/>
        <v>0.11708329093812314</v>
      </c>
      <c r="I65" s="2" t="s">
        <v>39</v>
      </c>
    </row>
    <row r="66" spans="2:9" x14ac:dyDescent="0.25">
      <c r="B66" s="17" t="s">
        <v>38</v>
      </c>
      <c r="C66" s="18">
        <f t="shared" ref="C66:G66" si="29">+(C64+D66)/(1+C65)</f>
        <v>13504.846927245135</v>
      </c>
      <c r="D66" s="18">
        <f t="shared" si="29"/>
        <v>14625.266994273046</v>
      </c>
      <c r="E66" s="18">
        <f t="shared" si="29"/>
        <v>15441.292469344307</v>
      </c>
      <c r="F66" s="18">
        <f t="shared" si="29"/>
        <v>16104.536001424121</v>
      </c>
      <c r="G66" s="18">
        <f t="shared" si="29"/>
        <v>16349.341257353512</v>
      </c>
      <c r="H66" s="18">
        <f>+(H64+I66)/(1+H65)</f>
        <v>16530.951466744427</v>
      </c>
      <c r="I66" s="16">
        <v>0</v>
      </c>
    </row>
    <row r="67" spans="2:9" x14ac:dyDescent="0.25">
      <c r="B67" s="4" t="str">
        <f>+B22</f>
        <v>BV D boy</v>
      </c>
      <c r="C67" s="4">
        <f t="shared" ref="C67:H67" si="30">+C22</f>
        <v>0</v>
      </c>
      <c r="D67" s="4">
        <f t="shared" si="30"/>
        <v>667.5</v>
      </c>
      <c r="E67" s="4">
        <f t="shared" si="30"/>
        <v>1450</v>
      </c>
      <c r="F67" s="4">
        <f t="shared" si="30"/>
        <v>2340</v>
      </c>
      <c r="G67" s="4">
        <f t="shared" si="30"/>
        <v>3278.0864999999999</v>
      </c>
      <c r="H67" s="4">
        <f t="shared" si="30"/>
        <v>3443.9982817500004</v>
      </c>
    </row>
    <row r="68" spans="2:9" x14ac:dyDescent="0.25">
      <c r="B68" t="s">
        <v>45</v>
      </c>
      <c r="C68" s="3">
        <f>+C67/C66</f>
        <v>0</v>
      </c>
      <c r="D68" s="3">
        <f t="shared" ref="D68:H68" si="31">+D67/D66</f>
        <v>4.5640192432820491E-2</v>
      </c>
      <c r="E68" s="3">
        <f t="shared" si="31"/>
        <v>9.3904056469281558E-2</v>
      </c>
      <c r="F68" s="3">
        <f t="shared" si="31"/>
        <v>0.14530067800730639</v>
      </c>
      <c r="G68" s="3">
        <f t="shared" si="31"/>
        <v>0.20050266542241274</v>
      </c>
      <c r="H68" s="3">
        <f t="shared" si="31"/>
        <v>0.20833636156263269</v>
      </c>
    </row>
    <row r="69" spans="2:9" x14ac:dyDescent="0.25">
      <c r="B69" t="s">
        <v>46</v>
      </c>
      <c r="C69" s="20">
        <f>++C63-C68</f>
        <v>0</v>
      </c>
      <c r="D69" s="20">
        <f t="shared" ref="D69:H69" si="32">++D63-D68</f>
        <v>0</v>
      </c>
      <c r="E69" s="20">
        <f t="shared" si="32"/>
        <v>0</v>
      </c>
      <c r="F69" s="20">
        <f t="shared" si="32"/>
        <v>0</v>
      </c>
      <c r="G69" s="20">
        <f t="shared" si="32"/>
        <v>0</v>
      </c>
      <c r="H69" s="20">
        <f t="shared" si="32"/>
        <v>0</v>
      </c>
    </row>
    <row r="71" spans="2:9" x14ac:dyDescent="0.25">
      <c r="C71" s="21"/>
    </row>
    <row r="72" spans="2:9" x14ac:dyDescent="0.25">
      <c r="B72" t="s">
        <v>47</v>
      </c>
    </row>
    <row r="73" spans="2:9" x14ac:dyDescent="0.25">
      <c r="B73" s="4" t="str">
        <f>+B51</f>
        <v>FCFE</v>
      </c>
      <c r="C73" s="4">
        <f t="shared" ref="C73:H73" si="33">+C51</f>
        <v>1167.6615642415045</v>
      </c>
      <c r="D73" s="4">
        <f t="shared" si="33"/>
        <v>1674.7815642415046</v>
      </c>
      <c r="E73" s="4">
        <f t="shared" si="33"/>
        <v>1978.2115642415044</v>
      </c>
      <c r="F73" s="4">
        <f t="shared" si="33"/>
        <v>2462.0255642415045</v>
      </c>
      <c r="G73" s="4">
        <f t="shared" si="33"/>
        <v>1716.756468241505</v>
      </c>
      <c r="H73" s="4">
        <f t="shared" si="33"/>
        <v>14829.587481281256</v>
      </c>
    </row>
    <row r="74" spans="2:9" x14ac:dyDescent="0.25">
      <c r="B74" t="s">
        <v>48</v>
      </c>
      <c r="C74" s="3">
        <f>+(C59-C63*C12)/(1-C63)</f>
        <v>0.12</v>
      </c>
      <c r="D74" s="3">
        <f t="shared" ref="D74:H74" si="34">+(D59-D63*D12)/(1-D63)</f>
        <v>0.12239114179321764</v>
      </c>
      <c r="E74" s="3">
        <f t="shared" si="34"/>
        <v>0.12518179433092771</v>
      </c>
      <c r="F74" s="3">
        <f t="shared" si="34"/>
        <v>0.12850010490639821</v>
      </c>
      <c r="G74" s="3">
        <f t="shared" si="34"/>
        <v>0.13253929542669132</v>
      </c>
      <c r="H74" s="3">
        <f t="shared" si="34"/>
        <v>0.13315813632503443</v>
      </c>
      <c r="I74" s="2" t="s">
        <v>39</v>
      </c>
    </row>
    <row r="75" spans="2:9" x14ac:dyDescent="0.25">
      <c r="B75" t="s">
        <v>60</v>
      </c>
      <c r="C75" s="4">
        <f t="shared" ref="C75:G75" si="35">+(C73+D75)/(1+C74)</f>
        <v>13504.846927245135</v>
      </c>
      <c r="D75" s="4">
        <f t="shared" si="35"/>
        <v>13957.766994273046</v>
      </c>
      <c r="E75" s="4">
        <f t="shared" si="35"/>
        <v>13991.292469344306</v>
      </c>
      <c r="F75" s="4">
        <f t="shared" si="35"/>
        <v>13764.536001424118</v>
      </c>
      <c r="G75" s="4">
        <f t="shared" si="35"/>
        <v>13071.254757353508</v>
      </c>
      <c r="H75" s="4">
        <f>+(H73+I75)/(1+H74)</f>
        <v>13086.953184994425</v>
      </c>
      <c r="I75" s="16">
        <v>0</v>
      </c>
    </row>
    <row r="76" spans="2:9" x14ac:dyDescent="0.25">
      <c r="B76" s="4" t="str">
        <f>+B67</f>
        <v>BV D boy</v>
      </c>
      <c r="C76" s="4">
        <f t="shared" ref="C76:H76" si="36">+C67</f>
        <v>0</v>
      </c>
      <c r="D76" s="4">
        <f t="shared" si="36"/>
        <v>667.5</v>
      </c>
      <c r="E76" s="4">
        <f t="shared" si="36"/>
        <v>1450</v>
      </c>
      <c r="F76" s="4">
        <f t="shared" si="36"/>
        <v>2340</v>
      </c>
      <c r="G76" s="4">
        <f t="shared" si="36"/>
        <v>3278.0864999999999</v>
      </c>
      <c r="H76" s="4">
        <f t="shared" si="36"/>
        <v>3443.9982817500004</v>
      </c>
    </row>
    <row r="77" spans="2:9" x14ac:dyDescent="0.25">
      <c r="B77" s="17" t="s">
        <v>38</v>
      </c>
      <c r="C77" s="18">
        <f>+C75+C76</f>
        <v>13504.846927245135</v>
      </c>
      <c r="D77" s="18">
        <f t="shared" ref="D77:H77" si="37">+D75+D76</f>
        <v>14625.266994273046</v>
      </c>
      <c r="E77" s="18">
        <f t="shared" si="37"/>
        <v>15441.292469344306</v>
      </c>
      <c r="F77" s="18">
        <f t="shared" si="37"/>
        <v>16104.536001424118</v>
      </c>
      <c r="G77" s="18">
        <f t="shared" si="37"/>
        <v>16349.341257353508</v>
      </c>
      <c r="H77" s="18">
        <f t="shared" si="37"/>
        <v>16530.951466744424</v>
      </c>
    </row>
    <row r="78" spans="2:9" x14ac:dyDescent="0.25">
      <c r="B78" s="26" t="s">
        <v>70</v>
      </c>
      <c r="C78" s="27">
        <f>+C77-C20-C21</f>
        <v>0</v>
      </c>
    </row>
    <row r="80" spans="2:9" x14ac:dyDescent="0.25">
      <c r="B80" t="s">
        <v>50</v>
      </c>
    </row>
    <row r="81" spans="1:9" x14ac:dyDescent="0.25">
      <c r="B81" s="4" t="str">
        <f>+B44</f>
        <v>Noplat=EBIT*(1-t)</v>
      </c>
      <c r="C81" s="4">
        <f t="shared" ref="C81:G81" si="38">+C44</f>
        <v>1599.3537430339825</v>
      </c>
      <c r="D81" s="4">
        <f t="shared" si="38"/>
        <v>1828.8537430339825</v>
      </c>
      <c r="E81" s="4">
        <f t="shared" si="38"/>
        <v>2018.6037430339825</v>
      </c>
      <c r="F81" s="4">
        <f t="shared" si="38"/>
        <v>2194.6037430339825</v>
      </c>
      <c r="G81" s="4">
        <f t="shared" si="38"/>
        <v>2313.1686180339825</v>
      </c>
      <c r="H81" s="15">
        <f>+H44+I44</f>
        <v>995.65043685173578</v>
      </c>
    </row>
    <row r="82" spans="1:9" x14ac:dyDescent="0.25">
      <c r="B82" s="24" t="s">
        <v>69</v>
      </c>
      <c r="C82" s="25">
        <f>+C65*(C21+C20)</f>
        <v>1620.581631269416</v>
      </c>
      <c r="D82" s="25">
        <f t="shared" ref="D82:H82" si="39">+D65*(D21+D20)</f>
        <v>1743.1532565531693</v>
      </c>
      <c r="E82" s="25">
        <f t="shared" si="39"/>
        <v>1840.0063258952323</v>
      </c>
      <c r="F82" s="25">
        <f t="shared" si="39"/>
        <v>1929.0265606061307</v>
      </c>
      <c r="G82" s="25">
        <f t="shared" si="39"/>
        <v>1979.629167611834</v>
      </c>
      <c r="H82" s="25">
        <f t="shared" si="39"/>
        <v>2045.5386691626545</v>
      </c>
    </row>
    <row r="83" spans="1:9" ht="16.5" thickBot="1" x14ac:dyDescent="0.3">
      <c r="B83" t="s">
        <v>52</v>
      </c>
      <c r="C83" s="4">
        <f>+C81-C82</f>
        <v>-21.227888235433511</v>
      </c>
      <c r="D83" s="4">
        <f t="shared" ref="D83:H83" si="40">+D81-D82</f>
        <v>85.700486480813197</v>
      </c>
      <c r="E83" s="4">
        <f t="shared" si="40"/>
        <v>178.59741713875019</v>
      </c>
      <c r="F83" s="4">
        <f t="shared" si="40"/>
        <v>265.57718242785177</v>
      </c>
      <c r="G83" s="4">
        <f t="shared" si="40"/>
        <v>333.53945042214855</v>
      </c>
      <c r="H83" s="4">
        <f t="shared" si="40"/>
        <v>-1049.8882323109187</v>
      </c>
      <c r="I83" s="2" t="s">
        <v>39</v>
      </c>
    </row>
    <row r="84" spans="1:9" ht="16.5" thickBot="1" x14ac:dyDescent="0.3">
      <c r="A84" t="s">
        <v>62</v>
      </c>
      <c r="B84" s="22" t="s">
        <v>53</v>
      </c>
      <c r="C84" s="23">
        <f t="shared" ref="C84:G84" si="41">+(C83+D84)/(1+C65)</f>
        <v>2.7470089695011014E-12</v>
      </c>
      <c r="D84" s="4">
        <f t="shared" si="41"/>
        <v>21.227888235436588</v>
      </c>
      <c r="E84" s="4">
        <f t="shared" si="41"/>
        <v>-61.938815485780324</v>
      </c>
      <c r="F84" s="4">
        <f t="shared" si="41"/>
        <v>-247.88746219844592</v>
      </c>
      <c r="G84" s="4">
        <f t="shared" si="41"/>
        <v>-542.70688506153397</v>
      </c>
      <c r="H84" s="4">
        <f>+(H83+I84)/(1+H65)</f>
        <v>-939.8477632130955</v>
      </c>
      <c r="I84" s="16">
        <v>0</v>
      </c>
    </row>
    <row r="85" spans="1:9" x14ac:dyDescent="0.25">
      <c r="A85" t="s">
        <v>63</v>
      </c>
      <c r="B85" s="25" t="s">
        <v>68</v>
      </c>
      <c r="C85" s="25">
        <f>+C21+C20</f>
        <v>13504.846927245133</v>
      </c>
      <c r="D85" s="25">
        <f t="shared" ref="D85:H85" si="42">+D21+D20</f>
        <v>14604.03910603761</v>
      </c>
      <c r="E85" s="25">
        <f t="shared" si="42"/>
        <v>15503.231284830088</v>
      </c>
      <c r="F85" s="25">
        <f t="shared" si="42"/>
        <v>16352.423463622566</v>
      </c>
      <c r="G85" s="25">
        <f t="shared" si="42"/>
        <v>16892.048142415042</v>
      </c>
      <c r="H85" s="25">
        <f t="shared" si="42"/>
        <v>17470.799229957523</v>
      </c>
    </row>
    <row r="86" spans="1:9" x14ac:dyDescent="0.25">
      <c r="A86" t="s">
        <v>64</v>
      </c>
      <c r="B86" s="17" t="s">
        <v>38</v>
      </c>
      <c r="C86" s="18">
        <f t="shared" ref="C86:G86" si="43">+C84+C85</f>
        <v>13504.846927245137</v>
      </c>
      <c r="D86" s="18">
        <f t="shared" si="43"/>
        <v>14625.266994273046</v>
      </c>
      <c r="E86" s="18">
        <f t="shared" si="43"/>
        <v>15441.292469344307</v>
      </c>
      <c r="F86" s="18">
        <f t="shared" si="43"/>
        <v>16104.536001424121</v>
      </c>
      <c r="G86" s="18">
        <f t="shared" si="43"/>
        <v>16349.341257353508</v>
      </c>
      <c r="H86" s="18">
        <f>+H84+H85</f>
        <v>16530.951466744427</v>
      </c>
    </row>
    <row r="90" spans="1:9" x14ac:dyDescent="0.25">
      <c r="B90" t="s">
        <v>54</v>
      </c>
    </row>
    <row r="91" spans="1:9" x14ac:dyDescent="0.25">
      <c r="B91" s="4" t="str">
        <f>+B37</f>
        <v>Profit after tax</v>
      </c>
      <c r="C91" s="4">
        <f t="shared" ref="C91:H91" si="44">+C37</f>
        <v>1599.3537430339825</v>
      </c>
      <c r="D91" s="4">
        <f t="shared" si="44"/>
        <v>1791.4737430339824</v>
      </c>
      <c r="E91" s="4">
        <f t="shared" si="44"/>
        <v>1937.4037430339824</v>
      </c>
      <c r="F91" s="4">
        <f t="shared" si="44"/>
        <v>2063.5637430339821</v>
      </c>
      <c r="G91" s="4">
        <f t="shared" si="44"/>
        <v>2129.5957740339827</v>
      </c>
      <c r="H91" s="4">
        <f t="shared" si="44"/>
        <v>802.78653307373531</v>
      </c>
    </row>
    <row r="92" spans="1:9" x14ac:dyDescent="0.25">
      <c r="B92" t="s">
        <v>57</v>
      </c>
      <c r="C92" s="4">
        <f>+C74*C23</f>
        <v>1620.581631269416</v>
      </c>
      <c r="D92" s="4">
        <f t="shared" ref="D92:H92" si="45">+D74*D23</f>
        <v>1705.7089338337717</v>
      </c>
      <c r="E92" s="4">
        <f t="shared" si="45"/>
        <v>1759.2087083825591</v>
      </c>
      <c r="F92" s="4">
        <f t="shared" si="45"/>
        <v>1800.5978850683755</v>
      </c>
      <c r="G92" s="4">
        <f t="shared" si="45"/>
        <v>1804.3848840516914</v>
      </c>
      <c r="H92" s="4">
        <f t="shared" si="45"/>
        <v>1867.7826728655393</v>
      </c>
    </row>
    <row r="93" spans="1:9" ht="16.5" thickBot="1" x14ac:dyDescent="0.3">
      <c r="B93" t="s">
        <v>55</v>
      </c>
      <c r="C93" s="4">
        <f>+C91-C92</f>
        <v>-21.227888235433511</v>
      </c>
      <c r="D93" s="4">
        <f t="shared" ref="D93:H93" si="46">+D91-D92</f>
        <v>85.764809200210721</v>
      </c>
      <c r="E93" s="4">
        <f t="shared" si="46"/>
        <v>178.19503465142338</v>
      </c>
      <c r="F93" s="4">
        <f t="shared" si="46"/>
        <v>262.96585796560657</v>
      </c>
      <c r="G93" s="4">
        <f t="shared" si="46"/>
        <v>325.21088998229129</v>
      </c>
      <c r="H93" s="4">
        <f t="shared" si="46"/>
        <v>-1064.9961397918041</v>
      </c>
      <c r="I93" s="2" t="s">
        <v>39</v>
      </c>
    </row>
    <row r="94" spans="1:9" ht="16.5" thickBot="1" x14ac:dyDescent="0.3">
      <c r="B94" s="22" t="s">
        <v>56</v>
      </c>
      <c r="C94" s="23">
        <f t="shared" ref="C94:G94" si="47">+(C93+D94)/(1+C74)</f>
        <v>2.1316282072803002E-12</v>
      </c>
      <c r="D94" s="4">
        <f t="shared" si="47"/>
        <v>21.227888235435898</v>
      </c>
      <c r="E94" s="4">
        <f t="shared" si="47"/>
        <v>-61.938815485781014</v>
      </c>
      <c r="F94" s="4">
        <f t="shared" si="47"/>
        <v>-247.88746219844671</v>
      </c>
      <c r="G94" s="4">
        <f t="shared" si="47"/>
        <v>-542.70688506153454</v>
      </c>
      <c r="H94" s="4">
        <f>+(H93+I94)/(1+H74)</f>
        <v>-939.84776321309596</v>
      </c>
      <c r="I94" s="16">
        <v>0</v>
      </c>
    </row>
    <row r="95" spans="1:9" x14ac:dyDescent="0.25">
      <c r="B95" s="4" t="str">
        <f>+B23</f>
        <v>BV E boy</v>
      </c>
      <c r="C95" s="4">
        <f t="shared" ref="C95:H95" si="48">+C23</f>
        <v>13504.846927245133</v>
      </c>
      <c r="D95" s="4">
        <f t="shared" si="48"/>
        <v>13936.53910603761</v>
      </c>
      <c r="E95" s="4">
        <f t="shared" si="48"/>
        <v>14053.231284830088</v>
      </c>
      <c r="F95" s="4">
        <f t="shared" si="48"/>
        <v>14012.423463622566</v>
      </c>
      <c r="G95" s="4">
        <f t="shared" si="48"/>
        <v>13613.961642415044</v>
      </c>
      <c r="H95" s="4">
        <f t="shared" si="48"/>
        <v>14026.800948207521</v>
      </c>
    </row>
    <row r="96" spans="1:9" x14ac:dyDescent="0.25">
      <c r="B96" t="s">
        <v>61</v>
      </c>
      <c r="C96" s="4">
        <f>+C94+C95</f>
        <v>13504.846927245135</v>
      </c>
      <c r="D96" s="4">
        <f t="shared" ref="D96:H96" si="49">+D94+D95</f>
        <v>13957.766994273046</v>
      </c>
      <c r="E96" s="4">
        <f t="shared" si="49"/>
        <v>13991.292469344307</v>
      </c>
      <c r="F96" s="4">
        <f t="shared" si="49"/>
        <v>13764.53600142412</v>
      </c>
      <c r="G96" s="4">
        <f t="shared" si="49"/>
        <v>13071.25475735351</v>
      </c>
      <c r="H96" s="4">
        <f t="shared" si="49"/>
        <v>13086.953184994425</v>
      </c>
    </row>
    <row r="97" spans="2:8" x14ac:dyDescent="0.25">
      <c r="B97" s="4" t="str">
        <f>+B76</f>
        <v>BV D boy</v>
      </c>
      <c r="C97" s="4">
        <f>+C76</f>
        <v>0</v>
      </c>
      <c r="D97" s="4">
        <f t="shared" ref="D97:H97" si="50">+D76</f>
        <v>667.5</v>
      </c>
      <c r="E97" s="4">
        <f t="shared" si="50"/>
        <v>1450</v>
      </c>
      <c r="F97" s="4">
        <f t="shared" si="50"/>
        <v>2340</v>
      </c>
      <c r="G97" s="4">
        <f t="shared" si="50"/>
        <v>3278.0864999999999</v>
      </c>
      <c r="H97" s="4">
        <f t="shared" si="50"/>
        <v>3443.9982817500004</v>
      </c>
    </row>
    <row r="98" spans="2:8" x14ac:dyDescent="0.25">
      <c r="B98" s="17" t="s">
        <v>38</v>
      </c>
      <c r="C98" s="18">
        <f>+C96+C97</f>
        <v>13504.846927245135</v>
      </c>
      <c r="D98" s="18">
        <f t="shared" ref="D98:H98" si="51">+D96+D97</f>
        <v>14625.266994273046</v>
      </c>
      <c r="E98" s="18">
        <f t="shared" si="51"/>
        <v>15441.292469344307</v>
      </c>
      <c r="F98" s="18">
        <f t="shared" si="51"/>
        <v>16104.53600142412</v>
      </c>
      <c r="G98" s="18">
        <f t="shared" si="51"/>
        <v>16349.34125735351</v>
      </c>
      <c r="H98" s="18">
        <f t="shared" si="51"/>
        <v>16530.951466744424</v>
      </c>
    </row>
    <row r="101" spans="2:8" x14ac:dyDescent="0.25">
      <c r="B101" t="s">
        <v>65</v>
      </c>
      <c r="C101" s="4">
        <f>+C96-C95</f>
        <v>0</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Individual purchase</vt:lpstr>
      <vt:lpstr>Corporate purchase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Péter Juhász</dc:creator>
  <cp:lastModifiedBy>Juhász Péter</cp:lastModifiedBy>
  <dcterms:created xsi:type="dcterms:W3CDTF">2023-11-05T11:18:39Z</dcterms:created>
  <dcterms:modified xsi:type="dcterms:W3CDTF">2024-11-12T14:55:36Z</dcterms:modified>
</cp:coreProperties>
</file>