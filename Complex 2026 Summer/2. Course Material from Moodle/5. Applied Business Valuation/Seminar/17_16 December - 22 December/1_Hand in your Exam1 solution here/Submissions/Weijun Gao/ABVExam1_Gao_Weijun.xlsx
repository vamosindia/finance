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gao/Desktop/"/>
    </mc:Choice>
  </mc:AlternateContent>
  <xr:revisionPtr revIDLastSave="0" documentId="13_ncr:1_{A8E9D510-32BB-014E-946B-3488C50CB322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OpeningPage" sheetId="5" r:id="rId1"/>
    <sheet name="Admin" sheetId="6" r:id="rId2"/>
    <sheet name="Task 1" sheetId="4" r:id="rId3"/>
    <sheet name="Task 2" sheetId="11" r:id="rId4"/>
    <sheet name="Task 3" sheetId="10" r:id="rId5"/>
    <sheet name="Task 4" sheetId="8" r:id="rId6"/>
    <sheet name="Task 5" sheetId="9" r:id="rId7"/>
    <sheet name="Bonus Task" sheetId="14" r:id="rId8"/>
  </sheets>
  <externalReferences>
    <externalReference r:id="rId9"/>
  </externalReferences>
  <definedNames>
    <definedName name="lista">OFFSET([1]DinamicValidation!$B$4,0,0,COUNTA([1]DinamicValidation!$B$4:$B$1048576),1)</definedName>
  </definedNames>
  <calcPr calcId="191029" iterateCount="10000" iterateDelta="1E-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4" l="1"/>
  <c r="D21" i="14"/>
  <c r="E21" i="14"/>
  <c r="F21" i="14"/>
  <c r="G21" i="14"/>
  <c r="C51" i="8"/>
  <c r="C47" i="8"/>
  <c r="C50" i="8"/>
  <c r="C52" i="8"/>
  <c r="C46" i="8" l="1"/>
  <c r="J47" i="4"/>
  <c r="J29" i="4"/>
  <c r="K49" i="4" l="1"/>
  <c r="J49" i="4"/>
  <c r="I46" i="4"/>
  <c r="I47" i="4"/>
  <c r="I48" i="4"/>
  <c r="K48" i="4"/>
  <c r="J48" i="4"/>
  <c r="K47" i="4"/>
  <c r="K46" i="4"/>
  <c r="J46" i="4"/>
  <c r="K42" i="4"/>
  <c r="J42" i="4"/>
  <c r="K38" i="4"/>
  <c r="J38" i="4"/>
  <c r="K40" i="4"/>
  <c r="J40" i="4"/>
  <c r="K31" i="4"/>
  <c r="K32" i="4"/>
  <c r="K33" i="4"/>
  <c r="K34" i="4"/>
  <c r="J34" i="4"/>
  <c r="J33" i="4"/>
  <c r="J32" i="4"/>
  <c r="J31" i="4"/>
  <c r="K26" i="4"/>
  <c r="K27" i="4"/>
  <c r="K28" i="4"/>
  <c r="K29" i="4"/>
  <c r="J28" i="4"/>
  <c r="J27" i="4"/>
  <c r="J26" i="4"/>
  <c r="K25" i="4"/>
  <c r="J25" i="4"/>
  <c r="K23" i="4"/>
  <c r="J23" i="4"/>
  <c r="K17" i="4"/>
  <c r="J17" i="4" s="1"/>
  <c r="I17" i="4" s="1"/>
  <c r="J41" i="11"/>
  <c r="C40" i="8"/>
  <c r="C37" i="8"/>
  <c r="C35" i="8"/>
  <c r="C38" i="8" s="1"/>
  <c r="E48" i="10" l="1"/>
  <c r="D48" i="10"/>
  <c r="E47" i="10"/>
  <c r="D47" i="10"/>
  <c r="D43" i="10"/>
  <c r="F43" i="10"/>
  <c r="E43" i="10"/>
  <c r="E42" i="10"/>
  <c r="G46" i="10"/>
  <c r="C39" i="8" l="1"/>
  <c r="C41" i="8" s="1"/>
  <c r="C42" i="8" s="1"/>
  <c r="D64" i="10" l="1"/>
  <c r="D63" i="10"/>
  <c r="D62" i="10"/>
  <c r="D61" i="10"/>
  <c r="D59" i="10"/>
  <c r="D57" i="10"/>
  <c r="D56" i="10"/>
  <c r="D55" i="10"/>
  <c r="D51" i="10" l="1"/>
  <c r="D50" i="10"/>
  <c r="E41" i="10"/>
  <c r="F41" i="10"/>
  <c r="F42" i="10"/>
  <c r="D41" i="10"/>
  <c r="E44" i="11"/>
  <c r="F44" i="11"/>
  <c r="G44" i="11"/>
  <c r="H44" i="11"/>
  <c r="I44" i="11"/>
  <c r="J44" i="11"/>
  <c r="D44" i="11"/>
  <c r="D42" i="10"/>
  <c r="E40" i="10"/>
  <c r="F40" i="10"/>
  <c r="D40" i="10"/>
  <c r="F39" i="10"/>
  <c r="E39" i="10"/>
  <c r="D39" i="10"/>
  <c r="E38" i="10"/>
  <c r="F38" i="10"/>
  <c r="D38" i="10"/>
  <c r="G75" i="11"/>
  <c r="H75" i="11"/>
  <c r="I75" i="11"/>
  <c r="J75" i="11"/>
  <c r="G35" i="11"/>
  <c r="G64" i="11" s="1"/>
  <c r="E69" i="11"/>
  <c r="F69" i="11"/>
  <c r="G69" i="11"/>
  <c r="H69" i="11"/>
  <c r="I69" i="11"/>
  <c r="J69" i="11"/>
  <c r="D69" i="11"/>
  <c r="H64" i="11"/>
  <c r="I64" i="11"/>
  <c r="J64" i="11"/>
  <c r="F30" i="11"/>
  <c r="G30" i="11"/>
  <c r="E30" i="11"/>
  <c r="J32" i="11"/>
  <c r="I35" i="11"/>
  <c r="I32" i="11" s="1"/>
  <c r="H35" i="11"/>
  <c r="J35" i="11"/>
  <c r="H30" i="11" l="1"/>
  <c r="I30" i="11"/>
  <c r="J30" i="11" s="1"/>
  <c r="D39" i="11" l="1"/>
  <c r="G33" i="14"/>
  <c r="F33" i="14"/>
  <c r="E33" i="14"/>
  <c r="D33" i="14"/>
  <c r="C33" i="14"/>
  <c r="D45" i="11" l="1"/>
  <c r="D40" i="11"/>
  <c r="D77" i="11" s="1"/>
  <c r="D48" i="11"/>
  <c r="D41" i="11"/>
  <c r="E24" i="4"/>
  <c r="J21" i="4" s="1"/>
  <c r="E41" i="4"/>
  <c r="E44" i="4" s="1"/>
  <c r="E24" i="11"/>
  <c r="D55" i="11" l="1"/>
  <c r="D46" i="11"/>
  <c r="E39" i="11" s="1"/>
  <c r="D47" i="11"/>
  <c r="D56" i="11"/>
  <c r="D57" i="11" s="1"/>
  <c r="D49" i="11"/>
  <c r="F24" i="11"/>
  <c r="D58" i="11" l="1"/>
  <c r="D59" i="11" s="1"/>
  <c r="D68" i="11"/>
  <c r="D63" i="11"/>
  <c r="E40" i="11"/>
  <c r="E41" i="11" s="1"/>
  <c r="E45" i="11"/>
  <c r="G24" i="11"/>
  <c r="E77" i="11" l="1"/>
  <c r="E48" i="11"/>
  <c r="D50" i="11"/>
  <c r="D51" i="11" s="1"/>
  <c r="D74" i="11" s="1"/>
  <c r="E46" i="11"/>
  <c r="F39" i="11" s="1"/>
  <c r="E55" i="11"/>
  <c r="F45" i="11"/>
  <c r="H24" i="11"/>
  <c r="E49" i="11" l="1"/>
  <c r="E56" i="11"/>
  <c r="E57" i="11" s="1"/>
  <c r="E58" i="11" s="1"/>
  <c r="E59" i="11" s="1"/>
  <c r="F46" i="11"/>
  <c r="G39" i="11" s="1"/>
  <c r="F55" i="11"/>
  <c r="F40" i="11"/>
  <c r="F41" i="11"/>
  <c r="E47" i="11"/>
  <c r="D20" i="6"/>
  <c r="C7" i="14"/>
  <c r="B7" i="14"/>
  <c r="C6" i="14"/>
  <c r="B6" i="14"/>
  <c r="C4" i="14"/>
  <c r="B4" i="14"/>
  <c r="C3" i="14"/>
  <c r="B3" i="14"/>
  <c r="C2" i="14"/>
  <c r="B2" i="14"/>
  <c r="G45" i="11" l="1"/>
  <c r="F77" i="11"/>
  <c r="E50" i="11"/>
  <c r="F48" i="11"/>
  <c r="F47" i="11"/>
  <c r="E63" i="11"/>
  <c r="E68" i="11"/>
  <c r="E51" i="11"/>
  <c r="E74" i="11" s="1"/>
  <c r="D41" i="4"/>
  <c r="D44" i="4" s="1"/>
  <c r="F63" i="11" l="1"/>
  <c r="F49" i="11"/>
  <c r="F68" i="11" s="1"/>
  <c r="F56" i="11"/>
  <c r="F57" i="11" s="1"/>
  <c r="F58" i="11" s="1"/>
  <c r="F59" i="11" s="1"/>
  <c r="G46" i="11"/>
  <c r="H39" i="11" s="1"/>
  <c r="G55" i="11"/>
  <c r="F41" i="4"/>
  <c r="F44" i="4" s="1"/>
  <c r="E29" i="4"/>
  <c r="D29" i="4"/>
  <c r="F29" i="4"/>
  <c r="G47" i="11" l="1"/>
  <c r="H45" i="11"/>
  <c r="F18" i="4"/>
  <c r="E18" i="4" s="1"/>
  <c r="D18" i="4" s="1"/>
  <c r="H55" i="11" l="1"/>
  <c r="H46" i="11"/>
  <c r="I39" i="11" s="1"/>
  <c r="G63" i="11"/>
  <c r="B7" i="11"/>
  <c r="C6" i="11"/>
  <c r="B6" i="11"/>
  <c r="C4" i="11"/>
  <c r="B4" i="11"/>
  <c r="C3" i="11"/>
  <c r="B3" i="11"/>
  <c r="C2" i="11"/>
  <c r="B2" i="11"/>
  <c r="B7" i="10"/>
  <c r="C6" i="10"/>
  <c r="B6" i="10"/>
  <c r="C4" i="10"/>
  <c r="B4" i="10"/>
  <c r="C3" i="10"/>
  <c r="B3" i="10"/>
  <c r="C2" i="10"/>
  <c r="B2" i="10"/>
  <c r="H47" i="11" l="1"/>
  <c r="I45" i="11"/>
  <c r="B7" i="9"/>
  <c r="C6" i="9"/>
  <c r="B6" i="9"/>
  <c r="C4" i="9"/>
  <c r="B4" i="9"/>
  <c r="C3" i="9"/>
  <c r="B3" i="9"/>
  <c r="C2" i="9"/>
  <c r="B2" i="9"/>
  <c r="B7" i="8"/>
  <c r="C6" i="8"/>
  <c r="B6" i="8"/>
  <c r="C4" i="8"/>
  <c r="B4" i="8"/>
  <c r="C3" i="8"/>
  <c r="B3" i="8"/>
  <c r="C2" i="8"/>
  <c r="B2" i="8"/>
  <c r="E48" i="4"/>
  <c r="F48" i="4"/>
  <c r="F51" i="4" s="1"/>
  <c r="D48" i="4"/>
  <c r="D51" i="4" s="1"/>
  <c r="E51" i="4"/>
  <c r="F24" i="4"/>
  <c r="K21" i="4" s="1"/>
  <c r="D24" i="4"/>
  <c r="I21" i="4" s="1"/>
  <c r="I55" i="11" l="1"/>
  <c r="I46" i="11"/>
  <c r="H63" i="11"/>
  <c r="F30" i="4"/>
  <c r="K18" i="4" s="1"/>
  <c r="E30" i="4"/>
  <c r="J18" i="4" s="1"/>
  <c r="J39" i="4" s="1"/>
  <c r="D30" i="4"/>
  <c r="D52" i="4"/>
  <c r="B3" i="4"/>
  <c r="C3" i="4"/>
  <c r="B4" i="4"/>
  <c r="C4" i="4"/>
  <c r="B6" i="4"/>
  <c r="C6" i="4"/>
  <c r="B7" i="4"/>
  <c r="C2" i="4"/>
  <c r="B2" i="4"/>
  <c r="K35" i="4" l="1"/>
  <c r="K36" i="4" s="1"/>
  <c r="K39" i="4"/>
  <c r="J35" i="4"/>
  <c r="J36" i="4" s="1"/>
  <c r="J22" i="4"/>
  <c r="J24" i="4" s="1"/>
  <c r="J30" i="4" s="1"/>
  <c r="J37" i="4" s="1"/>
  <c r="J41" i="4" s="1"/>
  <c r="J44" i="4" s="1"/>
  <c r="K22" i="4"/>
  <c r="K24" i="4" s="1"/>
  <c r="K30" i="4" s="1"/>
  <c r="K37" i="4" s="1"/>
  <c r="K41" i="4" s="1"/>
  <c r="I47" i="11"/>
  <c r="J39" i="11"/>
  <c r="J45" i="11"/>
  <c r="E52" i="4"/>
  <c r="F52" i="4"/>
  <c r="F32" i="4"/>
  <c r="F34" i="4" s="1"/>
  <c r="K43" i="4" s="1"/>
  <c r="E32" i="4"/>
  <c r="E34" i="4" s="1"/>
  <c r="J43" i="4" s="1"/>
  <c r="D32" i="4"/>
  <c r="D34" i="4" s="1"/>
  <c r="C7" i="4"/>
  <c r="C7" i="10"/>
  <c r="C7" i="11"/>
  <c r="C7" i="8"/>
  <c r="C7" i="9"/>
  <c r="K44" i="4" l="1"/>
  <c r="J55" i="11"/>
  <c r="J46" i="11"/>
  <c r="J47" i="11" s="1"/>
  <c r="I63" i="11"/>
  <c r="J63" i="11" l="1"/>
  <c r="J65" i="11" s="1"/>
  <c r="J40" i="11" s="1"/>
  <c r="I65" i="11"/>
  <c r="I40" i="11" l="1"/>
  <c r="H65" i="11"/>
  <c r="K40" i="11"/>
  <c r="J50" i="11" s="1"/>
  <c r="J77" i="11"/>
  <c r="J48" i="11"/>
  <c r="I50" i="11"/>
  <c r="J49" i="11" l="1"/>
  <c r="J68" i="11" s="1"/>
  <c r="J70" i="11" s="1"/>
  <c r="J56" i="11"/>
  <c r="J57" i="11" s="1"/>
  <c r="J58" i="11" s="1"/>
  <c r="J59" i="11" s="1"/>
  <c r="J51" i="11"/>
  <c r="J74" i="11" s="1"/>
  <c r="J76" i="11" s="1"/>
  <c r="J78" i="11" s="1"/>
  <c r="H40" i="11"/>
  <c r="G65" i="11"/>
  <c r="G40" i="11" s="1"/>
  <c r="I77" i="11"/>
  <c r="I48" i="11"/>
  <c r="I41" i="11"/>
  <c r="I56" i="11" l="1"/>
  <c r="I57" i="11" s="1"/>
  <c r="I58" i="11" s="1"/>
  <c r="I59" i="11" s="1"/>
  <c r="I49" i="11"/>
  <c r="I68" i="11" s="1"/>
  <c r="I70" i="11" s="1"/>
  <c r="I51" i="11"/>
  <c r="I74" i="11" s="1"/>
  <c r="I76" i="11" s="1"/>
  <c r="I78" i="11" s="1"/>
  <c r="H77" i="11"/>
  <c r="G50" i="11"/>
  <c r="H48" i="11"/>
  <c r="H41" i="11"/>
  <c r="H50" i="11"/>
  <c r="G77" i="11"/>
  <c r="G48" i="11"/>
  <c r="F50" i="11"/>
  <c r="F51" i="11" s="1"/>
  <c r="F74" i="11" s="1"/>
  <c r="G41" i="11"/>
  <c r="H49" i="11" l="1"/>
  <c r="H68" i="11" s="1"/>
  <c r="H70" i="11" s="1"/>
  <c r="H56" i="11"/>
  <c r="H57" i="11" s="1"/>
  <c r="H51" i="11"/>
  <c r="H74" i="11" s="1"/>
  <c r="G56" i="11"/>
  <c r="G57" i="11" s="1"/>
  <c r="G49" i="11"/>
  <c r="G68" i="11" s="1"/>
  <c r="G70" i="11" s="1"/>
  <c r="F70" i="11" s="1"/>
  <c r="G51" i="11"/>
  <c r="G74" i="11" s="1"/>
  <c r="F33" i="11" l="1"/>
  <c r="E70" i="11"/>
  <c r="G58" i="11"/>
  <c r="G59" i="11"/>
  <c r="H76" i="11"/>
  <c r="G76" i="11" s="1"/>
  <c r="H58" i="11"/>
  <c r="H59" i="11"/>
  <c r="G78" i="11" l="1"/>
  <c r="H78" i="11"/>
  <c r="D70" i="11"/>
  <c r="D33" i="11" s="1"/>
  <c r="E33" i="11"/>
  <c r="F75" i="11"/>
  <c r="F76" i="11" s="1"/>
  <c r="F35" i="11"/>
  <c r="F64" i="11" s="1"/>
  <c r="F65" i="11" s="1"/>
  <c r="F78" i="11" l="1"/>
  <c r="E75" i="11"/>
  <c r="E76" i="11" s="1"/>
  <c r="E35" i="11"/>
  <c r="E64" i="11" s="1"/>
  <c r="E65" i="11" s="1"/>
  <c r="D65" i="11" s="1"/>
  <c r="D75" i="11"/>
  <c r="D35" i="11"/>
  <c r="D64" i="11" s="1"/>
  <c r="E78" i="11" l="1"/>
  <c r="D76" i="11"/>
  <c r="D78" i="11" s="1"/>
</calcChain>
</file>

<file path=xl/sharedStrings.xml><?xml version="1.0" encoding="utf-8"?>
<sst xmlns="http://schemas.openxmlformats.org/spreadsheetml/2006/main" count="222" uniqueCount="174">
  <si>
    <t>g</t>
  </si>
  <si>
    <t>RONIC</t>
  </si>
  <si>
    <r>
      <t>r</t>
    </r>
    <r>
      <rPr>
        <vertAlign val="subscript"/>
        <sz val="12"/>
        <color rgb="FF000000"/>
        <rFont val="Times New Roman"/>
        <family val="1"/>
        <charset val="238"/>
      </rPr>
      <t>A</t>
    </r>
  </si>
  <si>
    <r>
      <t>r</t>
    </r>
    <r>
      <rPr>
        <vertAlign val="subscript"/>
        <sz val="12"/>
        <color rgb="FF000000"/>
        <rFont val="Times New Roman"/>
        <family val="1"/>
        <charset val="238"/>
      </rPr>
      <t>D</t>
    </r>
  </si>
  <si>
    <t>t</t>
  </si>
  <si>
    <t>rD</t>
  </si>
  <si>
    <t>ROIC</t>
  </si>
  <si>
    <t>Master in Finance</t>
  </si>
  <si>
    <t>Master in Accounting</t>
  </si>
  <si>
    <t>Instructor</t>
  </si>
  <si>
    <t>Péter Juhász, PhD, CFA</t>
  </si>
  <si>
    <t>Date</t>
  </si>
  <si>
    <t>Total points achieved</t>
  </si>
  <si>
    <t>Neptun code</t>
  </si>
  <si>
    <t>Student name</t>
  </si>
  <si>
    <t>Study program</t>
  </si>
  <si>
    <t>Points achived:</t>
  </si>
  <si>
    <t>IC boy</t>
  </si>
  <si>
    <t>Sales</t>
  </si>
  <si>
    <t>Other income</t>
  </si>
  <si>
    <t>Material expenses</t>
  </si>
  <si>
    <t>Labour expenses</t>
  </si>
  <si>
    <t>D&amp;A</t>
  </si>
  <si>
    <t>Dividend received</t>
  </si>
  <si>
    <t>Interests received</t>
  </si>
  <si>
    <t>Financial profit</t>
  </si>
  <si>
    <t>Profit before tax</t>
  </si>
  <si>
    <t>Corporate tax</t>
  </si>
  <si>
    <t>Profit after tax</t>
  </si>
  <si>
    <t>Dividend</t>
  </si>
  <si>
    <t>Retained earnings</t>
  </si>
  <si>
    <t>Cash</t>
  </si>
  <si>
    <t>Receivables</t>
  </si>
  <si>
    <t>Inventory</t>
  </si>
  <si>
    <t>Current assets</t>
  </si>
  <si>
    <t>Total of Liabilities and Equity</t>
  </si>
  <si>
    <t>Equity</t>
  </si>
  <si>
    <t>Short term liabilities</t>
  </si>
  <si>
    <t>Payables</t>
  </si>
  <si>
    <t>Short term loans</t>
  </si>
  <si>
    <t>Total of assests</t>
  </si>
  <si>
    <t>D/IC boy</t>
  </si>
  <si>
    <t>D/V boy</t>
  </si>
  <si>
    <t>Marketable securities</t>
  </si>
  <si>
    <t>Together</t>
  </si>
  <si>
    <t>Firm A</t>
  </si>
  <si>
    <t>Firm B</t>
  </si>
  <si>
    <t>D/V</t>
  </si>
  <si>
    <t>rA</t>
  </si>
  <si>
    <t>TV1</t>
  </si>
  <si>
    <t>TV2</t>
  </si>
  <si>
    <t>g targeted for the given year</t>
  </si>
  <si>
    <t>Total net monthly rental income before D&amp;A</t>
  </si>
  <si>
    <t>Corporate tax rate</t>
  </si>
  <si>
    <t>Required rate of return on renting</t>
  </si>
  <si>
    <t>Accounting life time left over</t>
  </si>
  <si>
    <t>years</t>
  </si>
  <si>
    <t>Expected g of rental fees</t>
  </si>
  <si>
    <t>Net book value of the building</t>
  </si>
  <si>
    <t>Gross book value of the building</t>
  </si>
  <si>
    <t>Age of the building</t>
  </si>
  <si>
    <t>Average inflation during the last 20 years</t>
  </si>
  <si>
    <t>Applied Business Valuation</t>
  </si>
  <si>
    <t>Number of shares</t>
  </si>
  <si>
    <t>Interests paid on short term loans</t>
  </si>
  <si>
    <t>Interests paid on long term loans</t>
  </si>
  <si>
    <t>Capitalisation rate for EBITDA</t>
  </si>
  <si>
    <t>Useful operational years left over</t>
  </si>
  <si>
    <t>K</t>
  </si>
  <si>
    <t>WACC</t>
  </si>
  <si>
    <t>E</t>
  </si>
  <si>
    <t>rE</t>
  </si>
  <si>
    <t>of which operational cash</t>
  </si>
  <si>
    <t>betaE</t>
  </si>
  <si>
    <t>betaD</t>
  </si>
  <si>
    <t>Market risk premium</t>
  </si>
  <si>
    <t>Noplat (million)</t>
  </si>
  <si>
    <t>of which liquidity debt</t>
  </si>
  <si>
    <t>Bonds outstanding</t>
  </si>
  <si>
    <t>Long term bank loan</t>
  </si>
  <si>
    <t>Operational profit</t>
  </si>
  <si>
    <t>Intangible assets</t>
  </si>
  <si>
    <t>PP&amp;E</t>
  </si>
  <si>
    <t>1-year forward required returns</t>
  </si>
  <si>
    <t>1y</t>
  </si>
  <si>
    <t>2y</t>
  </si>
  <si>
    <t>3y</t>
  </si>
  <si>
    <t>4y</t>
  </si>
  <si>
    <t>5y</t>
  </si>
  <si>
    <t>Financials</t>
  </si>
  <si>
    <t>Government bond spot rates</t>
  </si>
  <si>
    <t>Expected sport return of the market portfolio</t>
  </si>
  <si>
    <t>Nominal tax rate</t>
  </si>
  <si>
    <t>Effective tax rate</t>
  </si>
  <si>
    <t xml:space="preserve">Debt risk premium </t>
  </si>
  <si>
    <t>Competitor's data</t>
  </si>
  <si>
    <t>EV</t>
  </si>
  <si>
    <t>D</t>
  </si>
  <si>
    <t>D/E</t>
  </si>
  <si>
    <t>Firm AA</t>
  </si>
  <si>
    <t>Firm BB</t>
  </si>
  <si>
    <t>Firm CC</t>
  </si>
  <si>
    <t>Firm DD</t>
  </si>
  <si>
    <t>Gao Weijun</t>
  </si>
  <si>
    <t>EVMNP2</t>
  </si>
  <si>
    <t xml:space="preserve">IC </t>
  </si>
  <si>
    <t xml:space="preserve">D </t>
  </si>
  <si>
    <t>noplat</t>
  </si>
  <si>
    <t>dIC</t>
  </si>
  <si>
    <t>FCFF</t>
  </si>
  <si>
    <t>interest = D*rD</t>
  </si>
  <si>
    <t>TS</t>
  </si>
  <si>
    <t>dDebt</t>
  </si>
  <si>
    <t>FCFE</t>
  </si>
  <si>
    <t>P/L</t>
  </si>
  <si>
    <t>EBIT</t>
  </si>
  <si>
    <t>D*rD</t>
  </si>
  <si>
    <t>Tax</t>
  </si>
  <si>
    <t>t effective</t>
  </si>
  <si>
    <t>FCFF // WACC</t>
  </si>
  <si>
    <t>V boy</t>
  </si>
  <si>
    <t>APV // rA</t>
  </si>
  <si>
    <t>FCFF + TS</t>
  </si>
  <si>
    <t xml:space="preserve">V </t>
  </si>
  <si>
    <t>FCFE // rE</t>
  </si>
  <si>
    <t>PV E</t>
  </si>
  <si>
    <t>V</t>
  </si>
  <si>
    <t>t effective assumed</t>
  </si>
  <si>
    <t>t effective calculated</t>
  </si>
  <si>
    <t>Min</t>
  </si>
  <si>
    <t>Max</t>
  </si>
  <si>
    <t>synergy</t>
  </si>
  <si>
    <t>no transaction</t>
  </si>
  <si>
    <t>with transaction</t>
  </si>
  <si>
    <t>buyer</t>
  </si>
  <si>
    <t>seller transaction</t>
  </si>
  <si>
    <t>price</t>
  </si>
  <si>
    <t>35% in cash</t>
  </si>
  <si>
    <t>75% stake</t>
  </si>
  <si>
    <t>%ownership B</t>
  </si>
  <si>
    <t>Old shares</t>
  </si>
  <si>
    <t>Stakeof old owners</t>
  </si>
  <si>
    <t>Total number shares</t>
  </si>
  <si>
    <t>New shares to issue</t>
  </si>
  <si>
    <t>Growing annuity of Rent</t>
  </si>
  <si>
    <t>TS of D&amp;A</t>
  </si>
  <si>
    <t>Total PV with TS</t>
  </si>
  <si>
    <t>Book Value of the Building</t>
  </si>
  <si>
    <t>PV in 20 Years</t>
  </si>
  <si>
    <t>PV Today</t>
  </si>
  <si>
    <t>Adjusted historical cost</t>
  </si>
  <si>
    <t>Capitalization</t>
  </si>
  <si>
    <t>DCF</t>
  </si>
  <si>
    <t>Rental income</t>
  </si>
  <si>
    <t>NOPLAT</t>
  </si>
  <si>
    <t>Gross profit</t>
  </si>
  <si>
    <t>d Inventory</t>
  </si>
  <si>
    <t>d Receivables</t>
  </si>
  <si>
    <t>d Operational Cash</t>
  </si>
  <si>
    <t>d Payables</t>
  </si>
  <si>
    <t>d short-term Debt</t>
  </si>
  <si>
    <t>Cash from operation/Operation C-F</t>
  </si>
  <si>
    <t>d Ivested assets</t>
  </si>
  <si>
    <t>tax on int rec</t>
  </si>
  <si>
    <t>Investment CF</t>
  </si>
  <si>
    <t>interest paid</t>
  </si>
  <si>
    <t>tax shield</t>
  </si>
  <si>
    <t>d long-term Debt</t>
  </si>
  <si>
    <t>DIV</t>
  </si>
  <si>
    <t>D Non-operational wealth</t>
  </si>
  <si>
    <t>of which non-operational cash</t>
  </si>
  <si>
    <t>Non op wealth</t>
  </si>
  <si>
    <t>dNon-op wealth</t>
  </si>
  <si>
    <t>dBV E-Ret 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</si>
</sst>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;;;@"/>
    <numFmt numFmtId="165" formatCode="_(* #,##0_);_(* \(#,##0\);_(* &quot;-&quot;??_);_(@_)"/>
  </numFmts>
  <fonts count="26" x14ac:knownFonts="1">
    <font>
      <sz val="12"/>
      <color theme="1"/>
      <name val="Times New Roman"/>
      <family val="2"/>
      <charset val="238"/>
    </font>
    <font>
      <sz val="10"/>
      <color theme="1"/>
      <name val="Calibri"/>
      <family val="2"/>
      <charset val="238"/>
    </font>
    <font>
      <b/>
      <sz val="12"/>
      <color rgb="FF000000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vertAlign val="subscript"/>
      <sz val="12"/>
      <color rgb="FF000000"/>
      <name val="Times New Roman"/>
      <family val="1"/>
      <charset val="238"/>
    </font>
    <font>
      <sz val="18"/>
      <color theme="1"/>
      <name val="Times New Roman"/>
      <family val="2"/>
      <charset val="238"/>
    </font>
    <font>
      <b/>
      <sz val="18"/>
      <color theme="1"/>
      <name val="Times New Roman"/>
      <family val="1"/>
      <charset val="238"/>
    </font>
    <font>
      <sz val="8"/>
      <name val="Times New Roman"/>
      <family val="2"/>
      <charset val="238"/>
    </font>
    <font>
      <b/>
      <sz val="28"/>
      <color theme="1"/>
      <name val="Times New Roman"/>
      <family val="1"/>
      <charset val="238"/>
    </font>
    <font>
      <sz val="14"/>
      <color theme="1"/>
      <name val="Times New Roman"/>
      <family val="2"/>
      <charset val="238"/>
    </font>
    <font>
      <b/>
      <sz val="14"/>
      <color theme="1"/>
      <name val="Times New Roman"/>
      <family val="1"/>
      <charset val="238"/>
    </font>
    <font>
      <b/>
      <sz val="16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b/>
      <i/>
      <sz val="12"/>
      <color rgb="FF000000"/>
      <name val="Times New Roman"/>
      <family val="1"/>
      <charset val="238"/>
    </font>
    <font>
      <sz val="12"/>
      <color theme="0"/>
      <name val="Times New Roman"/>
      <family val="2"/>
      <charset val="238"/>
    </font>
    <font>
      <sz val="16"/>
      <color rgb="FF000000"/>
      <name val="Times New Roman"/>
      <family val="1"/>
      <charset val="238"/>
    </font>
    <font>
      <sz val="12"/>
      <color theme="1"/>
      <name val="Times New Roman"/>
      <family val="2"/>
      <charset val="238"/>
    </font>
    <font>
      <b/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2"/>
      <color rgb="FFFF0000"/>
      <name val="Times New Roman"/>
      <family val="2"/>
      <charset val="238"/>
    </font>
    <font>
      <sz val="12"/>
      <color rgb="FF000000"/>
      <name val="Calibri"/>
      <family val="2"/>
      <charset val="238"/>
    </font>
    <font>
      <sz val="12"/>
      <color theme="1"/>
      <name val="Calibri"/>
      <family val="2"/>
      <charset val="238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7" fillId="0" borderId="0" applyFont="0" applyFill="0" applyBorder="0" applyAlignment="0" applyProtection="0"/>
    <xf numFmtId="0" fontId="23" fillId="0" borderId="0"/>
  </cellStyleXfs>
  <cellXfs count="7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0" fontId="3" fillId="0" borderId="0" xfId="0" applyNumberFormat="1" applyFont="1" applyAlignment="1">
      <alignment horizontal="right" vertic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Protection="1">
      <protection hidden="1"/>
    </xf>
    <xf numFmtId="0" fontId="7" fillId="2" borderId="5" xfId="0" applyFont="1" applyFill="1" applyBorder="1" applyProtection="1">
      <protection hidden="1"/>
    </xf>
    <xf numFmtId="0" fontId="10" fillId="5" borderId="6" xfId="0" applyFont="1" applyFill="1" applyBorder="1"/>
    <xf numFmtId="0" fontId="10" fillId="5" borderId="8" xfId="0" applyFont="1" applyFill="1" applyBorder="1"/>
    <xf numFmtId="164" fontId="11" fillId="5" borderId="9" xfId="0" applyNumberFormat="1" applyFont="1" applyFill="1" applyBorder="1" applyAlignment="1">
      <alignment horizontal="center"/>
    </xf>
    <xf numFmtId="0" fontId="10" fillId="5" borderId="9" xfId="0" applyFont="1" applyFill="1" applyBorder="1"/>
    <xf numFmtId="0" fontId="10" fillId="5" borderId="10" xfId="0" applyFont="1" applyFill="1" applyBorder="1"/>
    <xf numFmtId="0" fontId="10" fillId="5" borderId="4" xfId="0" applyFont="1" applyFill="1" applyBorder="1"/>
    <xf numFmtId="0" fontId="12" fillId="2" borderId="1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12" xfId="0" applyFont="1" applyBorder="1"/>
    <xf numFmtId="4" fontId="3" fillId="4" borderId="4" xfId="0" applyNumberFormat="1" applyFont="1" applyFill="1" applyBorder="1" applyAlignment="1">
      <alignment horizontal="right" vertical="center"/>
    </xf>
    <xf numFmtId="4" fontId="2" fillId="4" borderId="4" xfId="0" applyNumberFormat="1" applyFont="1" applyFill="1" applyBorder="1" applyAlignment="1">
      <alignment horizontal="right" vertical="center"/>
    </xf>
    <xf numFmtId="4" fontId="3" fillId="4" borderId="12" xfId="0" applyNumberFormat="1" applyFont="1" applyFill="1" applyBorder="1" applyAlignment="1">
      <alignment horizontal="left" vertical="center"/>
    </xf>
    <xf numFmtId="4" fontId="14" fillId="4" borderId="4" xfId="0" applyNumberFormat="1" applyFont="1" applyFill="1" applyBorder="1" applyAlignment="1">
      <alignment horizontal="right" vertical="center"/>
    </xf>
    <xf numFmtId="0" fontId="7" fillId="3" borderId="5" xfId="0" applyFont="1" applyFill="1" applyBorder="1" applyAlignment="1" applyProtection="1">
      <alignment horizontal="center"/>
      <protection locked="0"/>
    </xf>
    <xf numFmtId="0" fontId="13" fillId="0" borderId="0" xfId="0" applyFont="1"/>
    <xf numFmtId="4" fontId="13" fillId="0" borderId="0" xfId="0" applyNumberFormat="1" applyFont="1"/>
    <xf numFmtId="0" fontId="4" fillId="0" borderId="0" xfId="0" applyFont="1" applyAlignment="1">
      <alignment horizontal="center"/>
    </xf>
    <xf numFmtId="10" fontId="0" fillId="0" borderId="0" xfId="0" applyNumberFormat="1"/>
    <xf numFmtId="0" fontId="15" fillId="0" borderId="0" xfId="0" applyFont="1"/>
    <xf numFmtId="0" fontId="16" fillId="0" borderId="0" xfId="0" applyFont="1"/>
    <xf numFmtId="0" fontId="7" fillId="0" borderId="0" xfId="0" applyFont="1" applyAlignment="1" applyProtection="1">
      <alignment horizontal="center"/>
      <protection hidden="1"/>
    </xf>
    <xf numFmtId="14" fontId="11" fillId="5" borderId="7" xfId="0" applyNumberFormat="1" applyFont="1" applyFill="1" applyBorder="1" applyAlignment="1">
      <alignment horizontal="center"/>
    </xf>
    <xf numFmtId="14" fontId="7" fillId="0" borderId="0" xfId="0" applyNumberFormat="1" applyFont="1" applyAlignment="1">
      <alignment horizontal="center"/>
    </xf>
    <xf numFmtId="2" fontId="0" fillId="0" borderId="0" xfId="0" applyNumberFormat="1"/>
    <xf numFmtId="9" fontId="0" fillId="0" borderId="0" xfId="0" applyNumberFormat="1"/>
    <xf numFmtId="10" fontId="13" fillId="0" borderId="0" xfId="0" applyNumberFormat="1" applyFont="1"/>
    <xf numFmtId="10" fontId="0" fillId="0" borderId="0" xfId="1" applyNumberFormat="1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  <xf numFmtId="4" fontId="3" fillId="0" borderId="4" xfId="0" applyNumberFormat="1" applyFont="1" applyBorder="1" applyAlignment="1">
      <alignment horizontal="right" vertical="center"/>
    </xf>
    <xf numFmtId="4" fontId="2" fillId="0" borderId="4" xfId="0" applyNumberFormat="1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0" fillId="3" borderId="5" xfId="0" applyFill="1" applyBorder="1"/>
    <xf numFmtId="0" fontId="3" fillId="6" borderId="0" xfId="0" applyFont="1" applyFill="1" applyAlignment="1">
      <alignment horizontal="left" vertical="center"/>
    </xf>
    <xf numFmtId="10" fontId="0" fillId="6" borderId="0" xfId="0" applyNumberFormat="1" applyFill="1"/>
    <xf numFmtId="4" fontId="0" fillId="0" borderId="0" xfId="0" applyNumberFormat="1" applyAlignment="1">
      <alignment horizontal="center"/>
    </xf>
    <xf numFmtId="3" fontId="0" fillId="0" borderId="0" xfId="0" applyNumberFormat="1"/>
    <xf numFmtId="0" fontId="18" fillId="0" borderId="0" xfId="0" applyFont="1"/>
    <xf numFmtId="0" fontId="19" fillId="2" borderId="0" xfId="0" applyFont="1" applyFill="1"/>
    <xf numFmtId="0" fontId="20" fillId="0" borderId="0" xfId="0" applyFont="1"/>
    <xf numFmtId="0" fontId="20" fillId="2" borderId="0" xfId="0" applyFont="1" applyFill="1"/>
    <xf numFmtId="0" fontId="0" fillId="2" borderId="0" xfId="0" applyFill="1"/>
    <xf numFmtId="10" fontId="0" fillId="2" borderId="0" xfId="0" applyNumberFormat="1" applyFill="1"/>
    <xf numFmtId="10" fontId="3" fillId="2" borderId="0" xfId="0" applyNumberFormat="1" applyFont="1" applyFill="1" applyAlignment="1">
      <alignment horizontal="right" vertical="center"/>
    </xf>
    <xf numFmtId="4" fontId="0" fillId="2" borderId="0" xfId="0" applyNumberFormat="1" applyFill="1"/>
    <xf numFmtId="0" fontId="21" fillId="2" borderId="0" xfId="0" applyFont="1" applyFill="1"/>
    <xf numFmtId="4" fontId="21" fillId="2" borderId="0" xfId="0" applyNumberFormat="1" applyFont="1" applyFill="1"/>
    <xf numFmtId="0" fontId="22" fillId="0" borderId="0" xfId="0" applyFont="1"/>
    <xf numFmtId="165" fontId="22" fillId="0" borderId="0" xfId="0" applyNumberFormat="1" applyFont="1"/>
    <xf numFmtId="165" fontId="0" fillId="0" borderId="0" xfId="0" applyNumberFormat="1"/>
    <xf numFmtId="43" fontId="0" fillId="0" borderId="0" xfId="0" applyNumberFormat="1"/>
    <xf numFmtId="0" fontId="23" fillId="0" borderId="0" xfId="2"/>
    <xf numFmtId="0" fontId="18" fillId="0" borderId="0" xfId="2" applyFont="1"/>
    <xf numFmtId="0" fontId="24" fillId="0" borderId="0" xfId="0" applyFont="1"/>
    <xf numFmtId="0" fontId="25" fillId="0" borderId="0" xfId="0" applyFont="1"/>
    <xf numFmtId="4" fontId="25" fillId="0" borderId="0" xfId="0" applyNumberFormat="1" applyFont="1"/>
    <xf numFmtId="4" fontId="24" fillId="0" borderId="0" xfId="0" applyNumberFormat="1" applyFont="1"/>
    <xf numFmtId="10" fontId="0" fillId="3" borderId="5" xfId="0" applyNumberFormat="1" applyFill="1" applyBorder="1"/>
    <xf numFmtId="0" fontId="9" fillId="0" borderId="0" xfId="0" applyFont="1" applyAlignment="1">
      <alignment horizontal="center"/>
    </xf>
  </cellXfs>
  <cellStyles count="3">
    <cellStyle name="Normal" xfId="0" builtinId="0"/>
    <cellStyle name="Normál 2" xfId="2" xr:uid="{57B1D0B3-5714-D34B-A80E-17FBD8B95BE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542924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12887324" cy="5610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en-US" sz="1000"/>
        </a:p>
        <a:p>
          <a:pPr algn="ctr"/>
          <a:r>
            <a:rPr lang="hu-HU" sz="8000" b="1">
              <a:solidFill>
                <a:srgbClr val="7030A0"/>
              </a:solidFill>
            </a:rPr>
            <a:t>Applied Business Valuation</a:t>
          </a:r>
        </a:p>
        <a:p>
          <a:pPr algn="ctr"/>
          <a:r>
            <a:rPr lang="hu-HU" sz="5000"/>
            <a:t>Final exam 1 tasks</a:t>
          </a:r>
        </a:p>
        <a:p>
          <a:pPr algn="ctr"/>
          <a:endParaRPr lang="hu-HU" sz="5000"/>
        </a:p>
        <a:p>
          <a:pPr algn="ctr"/>
          <a:r>
            <a:rPr lang="hu-HU" sz="5000" baseline="0">
              <a:solidFill>
                <a:schemeClr val="dk1"/>
              </a:solidFill>
              <a:latin typeface="+mn-lt"/>
              <a:ea typeface="+mn-ea"/>
              <a:cs typeface="+mn-cs"/>
            </a:rPr>
            <a:t>Péter Juhász, PhD</a:t>
          </a:r>
          <a:r>
            <a:rPr lang="hu-HU" sz="5000" baseline="0"/>
            <a:t>, CFA</a:t>
          </a:r>
        </a:p>
        <a:p>
          <a:pPr algn="ctr"/>
          <a:r>
            <a:rPr lang="hu-HU" sz="3000" baseline="0"/>
            <a:t>peter.juhasz@uni-corvinus.hu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1</xdr:row>
      <xdr:rowOff>19050</xdr:rowOff>
    </xdr:from>
    <xdr:to>
      <xdr:col>4</xdr:col>
      <xdr:colOff>666750</xdr:colOff>
      <xdr:row>6</xdr:row>
      <xdr:rowOff>114300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6355EBA2-DB27-4EF1-AFED-D11B8547EEFD}"/>
            </a:ext>
          </a:extLst>
        </xdr:cNvPr>
        <xdr:cNvSpPr txBox="1"/>
      </xdr:nvSpPr>
      <xdr:spPr>
        <a:xfrm>
          <a:off x="990600" y="219075"/>
          <a:ext cx="5629275" cy="1095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hu-HU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Kindly</a:t>
          </a:r>
          <a:r>
            <a:rPr lang="hu-HU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save this file renaming it following the pattern below. Please hand in the file only after named properly.</a:t>
          </a:r>
        </a:p>
        <a:p>
          <a:pPr algn="ctr"/>
          <a:endParaRPr lang="hu-HU" sz="16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hu-HU" sz="1600" b="1" baseline="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ABVExam1_FamilyName_GivenName.xlsx</a:t>
          </a:r>
          <a:endParaRPr lang="hu-HU" sz="16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10</xdr:row>
      <xdr:rowOff>38100</xdr:rowOff>
    </xdr:from>
    <xdr:to>
      <xdr:col>7</xdr:col>
      <xdr:colOff>285750</xdr:colOff>
      <xdr:row>15</xdr:row>
      <xdr:rowOff>114300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95324" y="2362200"/>
          <a:ext cx="7372351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1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Prepare the </a:t>
          </a:r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business cash flow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of the firm for 2022 and 2023 based on the data provided. 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List any assumptions you made.</a:t>
          </a:r>
          <a:b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12</xdr:col>
      <xdr:colOff>362902</xdr:colOff>
      <xdr:row>15</xdr:row>
      <xdr:rowOff>165735</xdr:rowOff>
    </xdr:from>
    <xdr:to>
      <xdr:col>23</xdr:col>
      <xdr:colOff>206693</xdr:colOff>
      <xdr:row>35</xdr:row>
      <xdr:rowOff>204470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BFDAC5A9-4707-436A-B503-673577B23A49}"/>
            </a:ext>
          </a:extLst>
        </xdr:cNvPr>
        <xdr:cNvSpPr txBox="1"/>
      </xdr:nvSpPr>
      <xdr:spPr>
        <a:xfrm>
          <a:off x="12676822" y="3488055"/>
          <a:ext cx="7219951" cy="43059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Profit before tax is after dividend received. </a:t>
          </a:r>
          <a:endParaRPr lang="en-US" sz="1800">
            <a:effectLst/>
          </a:endParaRPr>
        </a:p>
        <a:p>
          <a:endParaRPr lang="hu-HU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income is  </a:t>
          </a:r>
          <a:r>
            <a:rPr lang="hu-HU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 of the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operational.</a:t>
          </a:r>
        </a:p>
        <a:p>
          <a:endParaRPr lang="en-US" sz="1800">
            <a:effectLst/>
          </a:endParaRPr>
        </a:p>
        <a:p>
          <a:r>
            <a:rPr lang="hu-HU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Short-term loans with liquidity debt as a part of operational cash-flow (mature in one year)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Marketable securities </a:t>
          </a:r>
          <a:r>
            <a:rPr lang="hu-HU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non-operating asset.</a:t>
          </a:r>
          <a:endParaRPr lang="en-US" sz="1800">
            <a:effectLst/>
          </a:endParaRPr>
        </a:p>
        <a:p>
          <a:endParaRPr lang="hu-HU" sz="14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4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15</xdr:row>
      <xdr:rowOff>38100</xdr:rowOff>
    </xdr:from>
    <xdr:to>
      <xdr:col>9</xdr:col>
      <xdr:colOff>304800</xdr:colOff>
      <xdr:row>22</xdr:row>
      <xdr:rowOff>47625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95324" y="3362325"/>
          <a:ext cx="7229476" cy="140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2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You find the key numbers of a </a:t>
          </a:r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financial plan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 below. Determine the </a:t>
          </a:r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value of the firm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using at least three different DCF methods for the start of 2025 assuming that new projects will not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create any added value during the terminal value period. Is there a point accepting the plan?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9</xdr:col>
      <xdr:colOff>304800</xdr:colOff>
      <xdr:row>14</xdr:row>
      <xdr:rowOff>142875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85800" y="2324100"/>
          <a:ext cx="7239000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Notes of the reviewer.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7</xdr:col>
      <xdr:colOff>130629</xdr:colOff>
      <xdr:row>23</xdr:row>
      <xdr:rowOff>157842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96686" y="3211286"/>
          <a:ext cx="8006443" cy="1725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3</a:t>
          </a:r>
        </a:p>
        <a:p>
          <a:pPr algn="l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Firm AA </a:t>
          </a:r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plans to </a:t>
          </a:r>
          <a:r>
            <a:rPr lang="hu-HU" sz="14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take over and merge with Firm BB</a:t>
          </a:r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(Both companies show a perpetuity like operation.) They plan for reorganisations are shown below. Owners of Firm BB expect to pay a </a:t>
          </a:r>
          <a:r>
            <a:rPr lang="hu-HU" sz="14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transaction fee of 10 M HUF</a:t>
          </a:r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while Firm </a:t>
          </a:r>
          <a:r>
            <a:rPr lang="hu-HU" sz="14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AA will pay 20 M HUF for consultatnts and integration</a:t>
          </a:r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What is the realistic </a:t>
          </a:r>
          <a:r>
            <a:rPr lang="hu-HU" sz="14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bargaining range</a:t>
          </a:r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for firm AA taking over firm BB? How many </a:t>
          </a:r>
          <a:r>
            <a:rPr lang="hu-HU" sz="14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new shares </a:t>
          </a:r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should we issue if we wish to pass </a:t>
          </a:r>
          <a:r>
            <a:rPr lang="hu-HU" sz="14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40% of the synergy to the old owners </a:t>
          </a:r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and </a:t>
          </a:r>
          <a:r>
            <a:rPr lang="hu-HU" sz="14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35% of the price will be paid from non-operational cash available</a:t>
          </a:r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? (10 points)</a:t>
          </a:r>
        </a:p>
      </xdr:txBody>
    </xdr:sp>
    <xdr:clientData/>
  </xdr:twoCellAnchor>
  <xdr:twoCellAnchor>
    <xdr:from>
      <xdr:col>1</xdr:col>
      <xdr:colOff>1</xdr:colOff>
      <xdr:row>10</xdr:row>
      <xdr:rowOff>9525</xdr:rowOff>
    </xdr:from>
    <xdr:to>
      <xdr:col>7</xdr:col>
      <xdr:colOff>142876</xdr:colOff>
      <xdr:row>14</xdr:row>
      <xdr:rowOff>152400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685801" y="2333625"/>
          <a:ext cx="7239000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600">
              <a:latin typeface="Times New Roman" panose="02020603050405020304" pitchFamily="18" charset="0"/>
              <a:cs typeface="Times New Roman" panose="02020603050405020304" pitchFamily="18" charset="0"/>
            </a:rPr>
            <a:t>Notes of</a:t>
          </a:r>
          <a:r>
            <a:rPr lang="hu-HU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reviewer.</a:t>
          </a:r>
          <a:endParaRPr lang="hu-HU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9</xdr:row>
      <xdr:rowOff>114300</xdr:rowOff>
    </xdr:from>
    <xdr:to>
      <xdr:col>5</xdr:col>
      <xdr:colOff>190500</xdr:colOff>
      <xdr:row>17</xdr:row>
      <xdr:rowOff>114299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695324" y="2238375"/>
          <a:ext cx="7115176" cy="16001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4</a:t>
          </a:r>
        </a:p>
        <a:p>
          <a:pPr algn="just"/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Estimate the value of </a:t>
          </a:r>
          <a:r>
            <a:rPr lang="hu-HU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an office building 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currently rented to a number of other firms based on the data below using at </a:t>
          </a:r>
          <a:r>
            <a:rPr lang="hu-HU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least two different asset valuation approaches.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Explain the </a:t>
          </a:r>
          <a:r>
            <a:rPr lang="hu-HU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differences and shortcommings of the two methods used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pPr algn="just"/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6</xdr:col>
      <xdr:colOff>647700</xdr:colOff>
      <xdr:row>14</xdr:row>
      <xdr:rowOff>152400</xdr:rowOff>
    </xdr:from>
    <xdr:to>
      <xdr:col>17</xdr:col>
      <xdr:colOff>476251</xdr:colOff>
      <xdr:row>25</xdr:row>
      <xdr:rowOff>183064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92746C0D-371E-44C8-8C2A-1FAAB707CC14}"/>
            </a:ext>
          </a:extLst>
        </xdr:cNvPr>
        <xdr:cNvSpPr txBox="1"/>
      </xdr:nvSpPr>
      <xdr:spPr>
        <a:xfrm>
          <a:off x="7958781" y="3264472"/>
          <a:ext cx="7254047" cy="22960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used</a:t>
          </a:r>
          <a:r>
            <a:rPr lang="hu-HU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DCF, Adjusted historicl cost and capitalization to calculate the value. </a:t>
          </a:r>
        </a:p>
        <a:p>
          <a:endParaRPr lang="hu-HU" sz="14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DCF and capitalisation are from the future  point of view. When using DCF, i calculated the future cash flow plus the tax shield and discounted to present. When using capitalization, i used capitalisation rate for EBITDA as a multiple to get the current value from the rental income (here i assuem that the ratio is based on similar assets in the market and it is correct or close).</a:t>
          </a:r>
        </a:p>
        <a:p>
          <a:endParaRPr lang="hu-HU" sz="14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Adjusted historical is based on the past data. I adjusted it from the book value and also the inflation. The result is not related to the future cash flow.</a:t>
          </a:r>
        </a:p>
        <a:p>
          <a:endParaRPr lang="hu-HU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10</xdr:row>
      <xdr:rowOff>38100</xdr:rowOff>
    </xdr:from>
    <xdr:to>
      <xdr:col>7</xdr:col>
      <xdr:colOff>285750</xdr:colOff>
      <xdr:row>15</xdr:row>
      <xdr:rowOff>114300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695324" y="2362200"/>
          <a:ext cx="7372351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</a:t>
          </a:r>
          <a:r>
            <a:rPr lang="hu-HU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5</a:t>
          </a:r>
          <a:endParaRPr lang="hu-H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Explain how the financial planning process for a firm is different from that of a commercial bank.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9525</xdr:colOff>
      <xdr:row>16</xdr:row>
      <xdr:rowOff>9524</xdr:rowOff>
    </xdr:from>
    <xdr:to>
      <xdr:col>7</xdr:col>
      <xdr:colOff>285751</xdr:colOff>
      <xdr:row>33</xdr:row>
      <xdr:rowOff>85724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B2457B3A-23F9-459B-B509-8C0E2E7D7599}"/>
            </a:ext>
          </a:extLst>
        </xdr:cNvPr>
        <xdr:cNvSpPr txBox="1"/>
      </xdr:nvSpPr>
      <xdr:spPr>
        <a:xfrm>
          <a:off x="695325" y="3533774"/>
          <a:ext cx="7372351" cy="3533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Within a firm, individual business units can have different costs of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capital if their risk profiles differ. The company’s overall cost of capital is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simply a weighted average of its business units’ costs of capital. In banking,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example, risky trading operations carry much higher costs of capital than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more stable retail banking units.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Commercial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banks usually don't have sales, their income mainly coming from interest (alse some non-interest income sometimes), while a firm's mainly revenue is from sales. </a:t>
          </a:r>
          <a:r>
            <a:rPr lang="hu-HU" sz="1100" noProof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Valuing banks can be done mostly by valuing the equity of the bank with the FCFE DCF method.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10</xdr:row>
      <xdr:rowOff>38100</xdr:rowOff>
    </xdr:from>
    <xdr:to>
      <xdr:col>7</xdr:col>
      <xdr:colOff>285750</xdr:colOff>
      <xdr:row>15</xdr:row>
      <xdr:rowOff>114300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E4EE38FF-1B41-4FE7-8857-8F3EE85ABCBE}"/>
            </a:ext>
          </a:extLst>
        </xdr:cNvPr>
        <xdr:cNvSpPr txBox="1"/>
      </xdr:nvSpPr>
      <xdr:spPr>
        <a:xfrm>
          <a:off x="706210" y="2269671"/>
          <a:ext cx="7411811" cy="105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Bonus Task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Estimate the indicated 1-year forward costs of capital for each year using the data provided. (10 points)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unka/!!ExcelTr&#233;ningLegfrissebb/MasterExcelTasks2019No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ning"/>
      <sheetName val="MovingAround"/>
      <sheetName val="SelectingRanges"/>
      <sheetName val="InsertCells"/>
      <sheetName val="FormattingCells1"/>
      <sheetName val="FormattingCells2"/>
      <sheetName val="PasteSpecial"/>
      <sheetName val="ConditionalFormatting"/>
      <sheetName val="DataValidation"/>
      <sheetName val="FindSpecialCells"/>
      <sheetName val="FastInput"/>
      <sheetName val="Protecting&amp;Hiding sheets"/>
      <sheetName val="PricingShares"/>
      <sheetName val="Financial Planning"/>
      <sheetName val="Optimizing1FindingIRR"/>
      <sheetName val="Optimizing2GoalSeek"/>
      <sheetName val="Optimizing3Solver"/>
      <sheetName val="SensitivityAnalysis"/>
      <sheetName val="Sparklines"/>
      <sheetName val="VisualisingStatistics"/>
      <sheetName val="Charts1Tornado"/>
      <sheetName val="Charts2Waterfall"/>
      <sheetName val="Charts3Combined"/>
      <sheetName val="Charts4Pictures"/>
      <sheetName val="Charts5FillingPicture"/>
      <sheetName val="Charts6PeopleChart"/>
      <sheetName val="Charts8ProportionalAppearance"/>
      <sheetName val="Charts7RadialBar"/>
      <sheetName val="Charts8Dashboard"/>
      <sheetName val="Shapes"/>
      <sheetName val="LinksAmongCells"/>
      <sheetName val="UsingNames"/>
      <sheetName val="DependentLists"/>
      <sheetName val="Trends"/>
      <sheetName val="Moving Average"/>
      <sheetName val="Seasonality"/>
      <sheetName val="DataAnalysis"/>
      <sheetName val="SubTotals&amp;Groups"/>
      <sheetName val="FunctionsDifferently"/>
      <sheetName val="Sorting"/>
      <sheetName val="AutoFilter"/>
      <sheetName val="AdvancedFiler"/>
      <sheetName val="DatabaseFunctions"/>
      <sheetName val="Tables"/>
      <sheetName val="DinamicValidation"/>
      <sheetName val="PivotTable"/>
      <sheetName val="PowerQuery"/>
      <sheetName val="ReferenceFunctions"/>
      <sheetName val="RandomSample"/>
      <sheetName val="MonteCarlo"/>
      <sheetName val="Objects1"/>
      <sheetName val="ScenarioswithObjects"/>
      <sheetName val="ChartwithObject"/>
      <sheetName val="IntroToMacros"/>
      <sheetName val="Protecting&amp;Hiding_sheets1"/>
      <sheetName val="Financial_Planning1"/>
      <sheetName val="Moving_Average1"/>
      <sheetName val="Protecting&amp;Hiding_sheets"/>
      <sheetName val="Financial_Planning"/>
      <sheetName val="Moving_Average"/>
      <sheetName val="Protecting&amp;Hiding_sheets2"/>
      <sheetName val="Financial_Planning2"/>
      <sheetName val="Moving_Average2"/>
      <sheetName val="Protecting&amp;Hiding_sheets3"/>
      <sheetName val="Financial_Planning3"/>
      <sheetName val="Moving_Averag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4">
          <cell r="B4" t="str">
            <v>KSA</v>
          </cell>
        </row>
        <row r="5">
          <cell r="B5" t="str">
            <v>Kuvait</v>
          </cell>
        </row>
        <row r="6">
          <cell r="B6" t="str">
            <v>Bahrain</v>
          </cell>
        </row>
        <row r="7">
          <cell r="B7" t="str">
            <v>Qatar</v>
          </cell>
        </row>
        <row r="8">
          <cell r="B8" t="str">
            <v>UAE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7DBD-DECA-4097-9804-D82621A13861}">
  <sheetPr codeName="Munka2">
    <tabColor rgb="FF7030A0"/>
  </sheetPr>
  <dimension ref="A1"/>
  <sheetViews>
    <sheetView showGridLines="0" workbookViewId="0">
      <selection activeCell="I34" sqref="I34"/>
    </sheetView>
  </sheetViews>
  <sheetFormatPr baseColWidth="10" defaultColWidth="8.83203125" defaultRowHeight="16" x14ac:dyDescent="0.2"/>
  <sheetData/>
  <sheetProtection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0D39-D3DB-4713-8991-75511A3E78C9}">
  <sheetPr codeName="Munka3"/>
  <dimension ref="C9:I20"/>
  <sheetViews>
    <sheetView showGridLines="0" tabSelected="1" workbookViewId="0">
      <selection activeCell="D14" sqref="D14"/>
    </sheetView>
  </sheetViews>
  <sheetFormatPr baseColWidth="10" defaultColWidth="8.83203125" defaultRowHeight="16" x14ac:dyDescent="0.2"/>
  <cols>
    <col min="3" max="3" width="27.33203125" bestFit="1" customWidth="1"/>
    <col min="4" max="4" width="32.6640625" bestFit="1" customWidth="1"/>
    <col min="9" max="9" width="25.33203125" bestFit="1" customWidth="1"/>
    <col min="10" max="10" width="12.6640625" bestFit="1" customWidth="1"/>
  </cols>
  <sheetData>
    <row r="9" spans="3:9" ht="35" x14ac:dyDescent="0.35">
      <c r="C9" s="72" t="s">
        <v>62</v>
      </c>
      <c r="D9" s="72"/>
      <c r="E9" s="5"/>
      <c r="F9" s="5"/>
      <c r="G9" s="5"/>
    </row>
    <row r="10" spans="3:9" ht="35" x14ac:dyDescent="0.35">
      <c r="C10" s="72"/>
      <c r="D10" s="72"/>
      <c r="E10" s="5"/>
      <c r="F10" s="5"/>
      <c r="G10" s="5"/>
    </row>
    <row r="11" spans="3:9" ht="23" x14ac:dyDescent="0.25">
      <c r="C11" s="4"/>
      <c r="D11" s="4"/>
      <c r="G11" s="7"/>
    </row>
    <row r="12" spans="3:9" ht="23" x14ac:dyDescent="0.25">
      <c r="C12" s="4" t="s">
        <v>11</v>
      </c>
      <c r="D12" s="35">
        <v>45642</v>
      </c>
    </row>
    <row r="13" spans="3:9" ht="23" x14ac:dyDescent="0.25">
      <c r="C13" s="4" t="s">
        <v>14</v>
      </c>
      <c r="D13" s="26" t="s">
        <v>103</v>
      </c>
      <c r="I13" s="31" t="s">
        <v>7</v>
      </c>
    </row>
    <row r="14" spans="3:9" ht="23" x14ac:dyDescent="0.25">
      <c r="C14" s="4" t="s">
        <v>13</v>
      </c>
      <c r="D14" s="26" t="s">
        <v>104</v>
      </c>
      <c r="I14" s="31" t="s">
        <v>8</v>
      </c>
    </row>
    <row r="15" spans="3:9" ht="23" x14ac:dyDescent="0.25">
      <c r="C15" s="4"/>
      <c r="D15" s="6"/>
      <c r="I15" s="31"/>
    </row>
    <row r="16" spans="3:9" ht="23" x14ac:dyDescent="0.25">
      <c r="C16" s="4" t="s">
        <v>15</v>
      </c>
      <c r="D16" s="33" t="s">
        <v>7</v>
      </c>
    </row>
    <row r="17" spans="3:4" ht="23" x14ac:dyDescent="0.25">
      <c r="C17" s="4" t="s">
        <v>9</v>
      </c>
      <c r="D17" s="7" t="s">
        <v>10</v>
      </c>
    </row>
    <row r="18" spans="3:4" ht="23" x14ac:dyDescent="0.25">
      <c r="D18" s="7"/>
    </row>
    <row r="19" spans="3:4" ht="23" x14ac:dyDescent="0.25">
      <c r="D19" s="7"/>
    </row>
    <row r="20" spans="3:4" ht="23" x14ac:dyDescent="0.25">
      <c r="C20" s="4" t="s">
        <v>12</v>
      </c>
      <c r="D20" s="8">
        <f>+'Task 1'!C9+'Task 4'!C9+'Task 5'!C9+'Task 3'!C9+'Task 2'!C9+'Bonus Task'!C9</f>
        <v>0</v>
      </c>
    </row>
  </sheetData>
  <sheetProtection sheet="1" selectLockedCells="1"/>
  <mergeCells count="2">
    <mergeCell ref="C9:D9"/>
    <mergeCell ref="C10:D10"/>
  </mergeCells>
  <phoneticPr fontId="8" type="noConversion"/>
  <dataValidations count="1">
    <dataValidation allowBlank="1" showInputMessage="1" showErrorMessage="1" errorTitle="Ilyen csoport nincsen!" error="Kérem, a felsorolásból válasszon!" promptTitle="Válassza ki a csoportját!" sqref="D16" xr:uid="{E7C1251C-1580-42F2-91B9-E2C0C2F99FBF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24AA-CF15-465A-AA1F-31C1352C6464}">
  <sheetPr codeName="Munka4">
    <tabColor rgb="FF7030A0"/>
  </sheetPr>
  <dimension ref="B1:K53"/>
  <sheetViews>
    <sheetView zoomScale="75" workbookViewId="0">
      <selection activeCell="Q51" sqref="Q51"/>
    </sheetView>
  </sheetViews>
  <sheetFormatPr baseColWidth="10" defaultColWidth="8.83203125" defaultRowHeight="16" x14ac:dyDescent="0.2"/>
  <cols>
    <col min="2" max="2" width="19.83203125" bestFit="1" customWidth="1"/>
    <col min="3" max="3" width="30" bestFit="1" customWidth="1"/>
    <col min="4" max="6" width="9.5" bestFit="1" customWidth="1"/>
    <col min="8" max="8" width="30.5" bestFit="1" customWidth="1"/>
    <col min="10" max="11" width="13.6640625" bestFit="1" customWidth="1"/>
  </cols>
  <sheetData>
    <row r="1" spans="2:3" ht="17" thickBot="1" x14ac:dyDescent="0.25"/>
    <row r="2" spans="2:3" ht="18" x14ac:dyDescent="0.2">
      <c r="B2" s="9" t="str">
        <f>+Admin!C12</f>
        <v>Date</v>
      </c>
      <c r="C2" s="34">
        <f>+Admin!D12</f>
        <v>45642</v>
      </c>
    </row>
    <row r="3" spans="2:3" ht="18" x14ac:dyDescent="0.2">
      <c r="B3" s="10" t="str">
        <f>+Admin!C13</f>
        <v>Student name</v>
      </c>
      <c r="C3" s="11" t="str">
        <f>+Admin!D13</f>
        <v>Gao Weijun</v>
      </c>
    </row>
    <row r="4" spans="2:3" ht="18" x14ac:dyDescent="0.2">
      <c r="B4" s="10" t="str">
        <f>+Admin!C14</f>
        <v>Neptun code</v>
      </c>
      <c r="C4" s="11" t="str">
        <f>+Admin!D14</f>
        <v>EVMNP2</v>
      </c>
    </row>
    <row r="5" spans="2:3" ht="18" x14ac:dyDescent="0.2">
      <c r="B5" s="10"/>
      <c r="C5" s="12"/>
    </row>
    <row r="6" spans="2:3" ht="18" x14ac:dyDescent="0.2">
      <c r="B6" s="10" t="str">
        <f>+Admin!C16</f>
        <v>Study program</v>
      </c>
      <c r="C6" s="12" t="str">
        <f>+Admin!D16</f>
        <v>Master in Finance</v>
      </c>
    </row>
    <row r="7" spans="2:3" ht="19" thickBot="1" x14ac:dyDescent="0.25">
      <c r="B7" s="13" t="str">
        <f>+Admin!C17</f>
        <v>Instructor</v>
      </c>
      <c r="C7" s="14" t="str">
        <f>+Admin!D17</f>
        <v>Péter Juhász, PhD, CFA</v>
      </c>
    </row>
    <row r="8" spans="2:3" ht="17" thickBot="1" x14ac:dyDescent="0.25"/>
    <row r="9" spans="2:3" ht="21" thickBot="1" x14ac:dyDescent="0.25">
      <c r="B9" s="15" t="s">
        <v>16</v>
      </c>
      <c r="C9" s="16"/>
    </row>
    <row r="16" spans="2:3" ht="17" thickBot="1" x14ac:dyDescent="0.25"/>
    <row r="17" spans="3:11" ht="17" thickBot="1" x14ac:dyDescent="0.25">
      <c r="I17" s="18">
        <f ca="1">+J17-1</f>
        <v>2021</v>
      </c>
      <c r="J17" s="18">
        <f ca="1">+K17-1</f>
        <v>2022</v>
      </c>
      <c r="K17" s="18">
        <f ca="1">+YEAR(TODAY())-1</f>
        <v>2023</v>
      </c>
    </row>
    <row r="18" spans="3:11" ht="17" thickBot="1" x14ac:dyDescent="0.25">
      <c r="C18" s="17"/>
      <c r="D18" s="18">
        <f ca="1">+E18-1</f>
        <v>2021</v>
      </c>
      <c r="E18" s="18">
        <f ca="1">+F18-1</f>
        <v>2022</v>
      </c>
      <c r="F18" s="18">
        <f ca="1">+YEAR(TODAY())-1</f>
        <v>2023</v>
      </c>
      <c r="H18" t="s">
        <v>118</v>
      </c>
      <c r="J18" s="39">
        <f>E31/(E30-E25)</f>
        <v>0.22758620689655173</v>
      </c>
      <c r="K18" s="39">
        <f>F31/(F30-F25)</f>
        <v>0.14859437751004015</v>
      </c>
    </row>
    <row r="19" spans="3:11" ht="17" thickBot="1" x14ac:dyDescent="0.25">
      <c r="C19" s="19" t="s">
        <v>18</v>
      </c>
      <c r="D19" s="22">
        <v>19000</v>
      </c>
      <c r="E19" s="22">
        <v>22000</v>
      </c>
      <c r="F19" s="22">
        <v>25000</v>
      </c>
    </row>
    <row r="20" spans="3:11" ht="17" thickBot="1" x14ac:dyDescent="0.25">
      <c r="C20" s="19" t="s">
        <v>19</v>
      </c>
      <c r="D20" s="22">
        <v>250</v>
      </c>
      <c r="E20" s="22">
        <v>0</v>
      </c>
      <c r="F20" s="22">
        <v>300</v>
      </c>
      <c r="H20" s="41"/>
    </row>
    <row r="21" spans="3:11" ht="17" thickBot="1" x14ac:dyDescent="0.25">
      <c r="C21" s="19" t="s">
        <v>20</v>
      </c>
      <c r="D21" s="22">
        <v>10000</v>
      </c>
      <c r="E21" s="22">
        <v>12000</v>
      </c>
      <c r="F21" s="22">
        <v>13000</v>
      </c>
      <c r="H21" s="65" t="s">
        <v>115</v>
      </c>
      <c r="I21" s="40">
        <f>D24</f>
        <v>2250</v>
      </c>
      <c r="J21" s="40">
        <f t="shared" ref="J21:K21" si="0">E24</f>
        <v>1700</v>
      </c>
      <c r="K21" s="40">
        <f t="shared" si="0"/>
        <v>2800</v>
      </c>
    </row>
    <row r="22" spans="3:11" ht="17" thickBot="1" x14ac:dyDescent="0.25">
      <c r="C22" s="19" t="s">
        <v>21</v>
      </c>
      <c r="D22" s="22">
        <v>5000</v>
      </c>
      <c r="E22" s="22">
        <v>6000</v>
      </c>
      <c r="F22" s="22">
        <v>7000</v>
      </c>
      <c r="H22" s="65" t="s">
        <v>154</v>
      </c>
      <c r="J22">
        <f>J21*(1-J18)</f>
        <v>1313.1034482758621</v>
      </c>
      <c r="K22">
        <f>K21*(1-K18)</f>
        <v>2383.9357429718875</v>
      </c>
    </row>
    <row r="23" spans="3:11" ht="17" thickBot="1" x14ac:dyDescent="0.25">
      <c r="C23" s="19" t="s">
        <v>22</v>
      </c>
      <c r="D23" s="22">
        <v>2000</v>
      </c>
      <c r="E23" s="22">
        <v>2300</v>
      </c>
      <c r="F23" s="22">
        <v>2500</v>
      </c>
      <c r="H23" s="65" t="s">
        <v>22</v>
      </c>
      <c r="J23" s="40">
        <f>E23</f>
        <v>2300</v>
      </c>
      <c r="K23" s="40">
        <f>F23</f>
        <v>2500</v>
      </c>
    </row>
    <row r="24" spans="3:11" ht="17" thickBot="1" x14ac:dyDescent="0.25">
      <c r="C24" s="20" t="s">
        <v>80</v>
      </c>
      <c r="D24" s="23">
        <f>+D19+D20-D21-D22-D23</f>
        <v>2250</v>
      </c>
      <c r="E24" s="23">
        <f t="shared" ref="E24:F24" si="1">+E19+E20-E21-E22-E23</f>
        <v>1700</v>
      </c>
      <c r="F24" s="23">
        <f t="shared" si="1"/>
        <v>2800</v>
      </c>
      <c r="H24" s="66" t="s">
        <v>155</v>
      </c>
      <c r="J24" s="40">
        <f>J22+J23</f>
        <v>3613.1034482758623</v>
      </c>
      <c r="K24" s="40">
        <f>K22+K23</f>
        <v>4883.9357429718875</v>
      </c>
    </row>
    <row r="25" spans="3:11" ht="17" thickBot="1" x14ac:dyDescent="0.25">
      <c r="C25" s="19" t="s">
        <v>23</v>
      </c>
      <c r="D25" s="22">
        <v>0</v>
      </c>
      <c r="E25" s="22">
        <v>0</v>
      </c>
      <c r="F25" s="22">
        <v>100</v>
      </c>
      <c r="H25" s="65" t="s">
        <v>156</v>
      </c>
      <c r="J25" s="40">
        <f>D40-E40</f>
        <v>-100</v>
      </c>
      <c r="K25" s="40">
        <f>E40-F40</f>
        <v>-100</v>
      </c>
    </row>
    <row r="26" spans="3:11" ht="17" thickBot="1" x14ac:dyDescent="0.25">
      <c r="C26" s="19" t="s">
        <v>24</v>
      </c>
      <c r="D26" s="22">
        <v>0</v>
      </c>
      <c r="E26" s="22">
        <v>20</v>
      </c>
      <c r="F26" s="22">
        <v>0</v>
      </c>
      <c r="H26" s="65" t="s">
        <v>157</v>
      </c>
      <c r="J26" s="40">
        <f>D39-E39</f>
        <v>-350</v>
      </c>
      <c r="K26" s="40">
        <f>E39-F39</f>
        <v>50</v>
      </c>
    </row>
    <row r="27" spans="3:11" ht="17" thickBot="1" x14ac:dyDescent="0.25">
      <c r="C27" s="19" t="s">
        <v>64</v>
      </c>
      <c r="D27" s="22">
        <v>30</v>
      </c>
      <c r="E27" s="22">
        <v>20</v>
      </c>
      <c r="F27" s="22">
        <v>10</v>
      </c>
      <c r="H27" s="65" t="s">
        <v>158</v>
      </c>
      <c r="J27" s="40">
        <f>D37-E37</f>
        <v>-20</v>
      </c>
      <c r="K27" s="40">
        <f>E37-F37</f>
        <v>-30</v>
      </c>
    </row>
    <row r="28" spans="3:11" ht="17" thickBot="1" x14ac:dyDescent="0.25">
      <c r="C28" s="19" t="s">
        <v>65</v>
      </c>
      <c r="D28" s="22">
        <v>200</v>
      </c>
      <c r="E28" s="22">
        <v>250</v>
      </c>
      <c r="F28" s="22">
        <v>300</v>
      </c>
      <c r="H28" s="65" t="s">
        <v>159</v>
      </c>
      <c r="J28" s="40">
        <f>E47-D47</f>
        <v>-60</v>
      </c>
      <c r="K28" s="40">
        <f>F47-E47</f>
        <v>210</v>
      </c>
    </row>
    <row r="29" spans="3:11" ht="17" thickBot="1" x14ac:dyDescent="0.25">
      <c r="C29" s="20" t="s">
        <v>25</v>
      </c>
      <c r="D29" s="23">
        <f t="shared" ref="D29" si="2">+D25+D26-D27-D28</f>
        <v>-230</v>
      </c>
      <c r="E29" s="23">
        <f>+E25+E26-E27-E28</f>
        <v>-250</v>
      </c>
      <c r="F29" s="23">
        <f>+F25+F26-F27-F28</f>
        <v>-210</v>
      </c>
      <c r="H29" s="65" t="s">
        <v>160</v>
      </c>
      <c r="J29" s="40">
        <f>E46-D46</f>
        <v>-100</v>
      </c>
      <c r="K29" s="40">
        <f>F46-E46</f>
        <v>50</v>
      </c>
    </row>
    <row r="30" spans="3:11" ht="17" thickBot="1" x14ac:dyDescent="0.25">
      <c r="C30" s="19" t="s">
        <v>26</v>
      </c>
      <c r="D30" s="22">
        <f>+D29+D24</f>
        <v>2020</v>
      </c>
      <c r="E30" s="22">
        <f>+E29+E24</f>
        <v>1450</v>
      </c>
      <c r="F30" s="22">
        <f t="shared" ref="F30" si="3">+F29+F24</f>
        <v>2590</v>
      </c>
      <c r="H30" s="66" t="s">
        <v>161</v>
      </c>
      <c r="J30" s="58">
        <f>J24+SUM(J25:J29)</f>
        <v>2983.1034482758623</v>
      </c>
      <c r="K30" s="58">
        <f>K24+SUM(K25:K29)</f>
        <v>5063.9357429718875</v>
      </c>
    </row>
    <row r="31" spans="3:11" ht="17" thickBot="1" x14ac:dyDescent="0.25">
      <c r="C31" s="19" t="s">
        <v>27</v>
      </c>
      <c r="D31" s="43">
        <v>300</v>
      </c>
      <c r="E31" s="43">
        <v>330</v>
      </c>
      <c r="F31" s="43">
        <v>370</v>
      </c>
      <c r="H31" s="65" t="s">
        <v>162</v>
      </c>
      <c r="J31" s="40">
        <f>SUM(E42:E43)-SUM(D42:D43)</f>
        <v>5600</v>
      </c>
      <c r="K31" s="40">
        <f>SUM(F42:F43)-SUM(E42:E43)</f>
        <v>-600</v>
      </c>
    </row>
    <row r="32" spans="3:11" ht="17" thickBot="1" x14ac:dyDescent="0.25">
      <c r="C32" s="20" t="s">
        <v>28</v>
      </c>
      <c r="D32" s="44">
        <f>+D30-D31</f>
        <v>1720</v>
      </c>
      <c r="E32" s="44">
        <f t="shared" ref="E32:F32" si="4">+E30-E31</f>
        <v>1120</v>
      </c>
      <c r="F32" s="44">
        <f t="shared" si="4"/>
        <v>2220</v>
      </c>
      <c r="H32" s="65" t="s">
        <v>22</v>
      </c>
      <c r="J32" s="40">
        <f>E23</f>
        <v>2300</v>
      </c>
      <c r="K32" s="40">
        <f>F23</f>
        <v>2500</v>
      </c>
    </row>
    <row r="33" spans="3:11" ht="17" thickBot="1" x14ac:dyDescent="0.25">
      <c r="C33" s="19" t="s">
        <v>29</v>
      </c>
      <c r="D33" s="43">
        <v>1000</v>
      </c>
      <c r="E33" s="43">
        <v>1200</v>
      </c>
      <c r="F33" s="43">
        <v>1400</v>
      </c>
      <c r="H33" t="s">
        <v>23</v>
      </c>
      <c r="J33" s="40">
        <f>E25</f>
        <v>0</v>
      </c>
      <c r="K33" s="40">
        <f>F25</f>
        <v>100</v>
      </c>
    </row>
    <row r="34" spans="3:11" ht="17" thickBot="1" x14ac:dyDescent="0.25">
      <c r="C34" s="19" t="s">
        <v>30</v>
      </c>
      <c r="D34" s="22">
        <f>+D32-D33</f>
        <v>720</v>
      </c>
      <c r="E34" s="22">
        <f t="shared" ref="E34:F34" si="5">+E32-E33</f>
        <v>-80</v>
      </c>
      <c r="F34" s="22">
        <f t="shared" si="5"/>
        <v>820</v>
      </c>
      <c r="H34" t="s">
        <v>24</v>
      </c>
      <c r="J34" s="40">
        <f>E26</f>
        <v>20</v>
      </c>
      <c r="K34" s="40">
        <f>F26</f>
        <v>0</v>
      </c>
    </row>
    <row r="35" spans="3:11" ht="17" thickBot="1" x14ac:dyDescent="0.25">
      <c r="C35" s="21"/>
      <c r="D35" s="24"/>
      <c r="E35" s="24"/>
      <c r="F35" s="24"/>
      <c r="H35" t="s">
        <v>163</v>
      </c>
      <c r="J35">
        <f>J34*J18</f>
        <v>4.5517241379310347</v>
      </c>
      <c r="K35">
        <f>K34*K18</f>
        <v>0</v>
      </c>
    </row>
    <row r="36" spans="3:11" ht="17" thickBot="1" x14ac:dyDescent="0.25">
      <c r="C36" s="19" t="s">
        <v>31</v>
      </c>
      <c r="D36" s="22">
        <v>500</v>
      </c>
      <c r="E36" s="22">
        <v>600</v>
      </c>
      <c r="F36" s="22">
        <v>400</v>
      </c>
      <c r="H36" s="66" t="s">
        <v>164</v>
      </c>
      <c r="J36" s="40">
        <f>-J31-J32+J33+J34-J35</f>
        <v>-7884.5517241379312</v>
      </c>
      <c r="K36" s="40">
        <f>-K31-K32+K33+K34-K35</f>
        <v>-1800</v>
      </c>
    </row>
    <row r="37" spans="3:11" ht="17" thickBot="1" x14ac:dyDescent="0.25">
      <c r="C37" s="45" t="s">
        <v>72</v>
      </c>
      <c r="D37" s="22">
        <v>200</v>
      </c>
      <c r="E37" s="22">
        <v>220</v>
      </c>
      <c r="F37" s="22">
        <v>250</v>
      </c>
      <c r="H37" s="66" t="s">
        <v>109</v>
      </c>
      <c r="J37" s="58">
        <f>J30+J36</f>
        <v>-4901.4482758620688</v>
      </c>
      <c r="K37" s="58">
        <f>K30+K36</f>
        <v>3263.9357429718875</v>
      </c>
    </row>
    <row r="38" spans="3:11" ht="17" thickBot="1" x14ac:dyDescent="0.25">
      <c r="C38" s="19" t="s">
        <v>43</v>
      </c>
      <c r="D38" s="22">
        <v>0</v>
      </c>
      <c r="E38" s="22">
        <v>50</v>
      </c>
      <c r="F38" s="22">
        <v>40</v>
      </c>
      <c r="H38" s="65" t="s">
        <v>165</v>
      </c>
      <c r="J38" s="40">
        <f>SUM(E27:E28)</f>
        <v>270</v>
      </c>
      <c r="K38" s="40">
        <f>SUM(F27:F28)</f>
        <v>310</v>
      </c>
    </row>
    <row r="39" spans="3:11" ht="17" thickBot="1" x14ac:dyDescent="0.25">
      <c r="C39" s="19" t="s">
        <v>32</v>
      </c>
      <c r="D39" s="22">
        <v>600</v>
      </c>
      <c r="E39" s="22">
        <v>950</v>
      </c>
      <c r="F39" s="22">
        <v>900</v>
      </c>
      <c r="H39" s="65" t="s">
        <v>166</v>
      </c>
      <c r="J39">
        <f>J38*J18</f>
        <v>61.448275862068968</v>
      </c>
      <c r="K39">
        <f>K38*K18</f>
        <v>46.064257028112443</v>
      </c>
    </row>
    <row r="40" spans="3:11" ht="17" thickBot="1" x14ac:dyDescent="0.25">
      <c r="C40" s="19" t="s">
        <v>33</v>
      </c>
      <c r="D40" s="22">
        <v>400</v>
      </c>
      <c r="E40" s="22">
        <v>500</v>
      </c>
      <c r="F40" s="22">
        <v>600</v>
      </c>
      <c r="H40" t="s">
        <v>167</v>
      </c>
      <c r="J40" s="40">
        <f>E50-D50</f>
        <v>1000</v>
      </c>
      <c r="K40" s="40">
        <f>F50-E50</f>
        <v>1000</v>
      </c>
    </row>
    <row r="41" spans="3:11" ht="17" thickBot="1" x14ac:dyDescent="0.25">
      <c r="C41" s="20" t="s">
        <v>34</v>
      </c>
      <c r="D41" s="25">
        <f>+D36+D38+D39+D40</f>
        <v>1500</v>
      </c>
      <c r="E41" s="25">
        <f>+E36+E38+E39+E40</f>
        <v>2100</v>
      </c>
      <c r="F41" s="25">
        <f t="shared" ref="F41" si="6">+F36+F38+F39+F40</f>
        <v>1940</v>
      </c>
      <c r="H41" s="66" t="s">
        <v>113</v>
      </c>
      <c r="J41" s="40">
        <f>J37-J38+J39+J40</f>
        <v>-4110</v>
      </c>
      <c r="K41" s="40">
        <f>K37-K38+K39+K40</f>
        <v>4000</v>
      </c>
    </row>
    <row r="42" spans="3:11" ht="17" thickBot="1" x14ac:dyDescent="0.25">
      <c r="C42" s="19" t="s">
        <v>82</v>
      </c>
      <c r="D42" s="22">
        <v>15000</v>
      </c>
      <c r="E42" s="22">
        <v>20000</v>
      </c>
      <c r="F42" s="22">
        <v>19500</v>
      </c>
      <c r="H42" s="65" t="s">
        <v>168</v>
      </c>
      <c r="J42" s="40">
        <f>E33</f>
        <v>1200</v>
      </c>
      <c r="K42" s="40">
        <f>F33</f>
        <v>1400</v>
      </c>
    </row>
    <row r="43" spans="3:11" ht="17" thickBot="1" x14ac:dyDescent="0.25">
      <c r="C43" s="19" t="s">
        <v>81</v>
      </c>
      <c r="D43" s="22">
        <v>1500</v>
      </c>
      <c r="E43" s="22">
        <v>2100</v>
      </c>
      <c r="F43" s="22">
        <v>2000</v>
      </c>
      <c r="H43" s="65" t="s">
        <v>173</v>
      </c>
      <c r="J43" s="40">
        <f>E51-D51-E34</f>
        <v>5640</v>
      </c>
      <c r="K43" s="40">
        <f>F51-E51-F34</f>
        <v>-2640</v>
      </c>
    </row>
    <row r="44" spans="3:11" ht="17" thickBot="1" x14ac:dyDescent="0.25">
      <c r="C44" s="20" t="s">
        <v>40</v>
      </c>
      <c r="D44" s="23">
        <f>+D42+D41+D43</f>
        <v>18000</v>
      </c>
      <c r="E44" s="23">
        <f t="shared" ref="E44:F44" si="7">+E42+E41+E43</f>
        <v>24200</v>
      </c>
      <c r="F44" s="23">
        <f t="shared" si="7"/>
        <v>23440</v>
      </c>
      <c r="H44" s="66" t="s">
        <v>169</v>
      </c>
      <c r="J44" s="40">
        <f>J41-J42+J43</f>
        <v>330</v>
      </c>
      <c r="K44" s="40">
        <f>K41-K42+K43</f>
        <v>-40</v>
      </c>
    </row>
    <row r="45" spans="3:11" ht="17" thickBot="1" x14ac:dyDescent="0.25">
      <c r="C45" s="19" t="s">
        <v>39</v>
      </c>
      <c r="D45" s="22">
        <v>300</v>
      </c>
      <c r="E45" s="22">
        <v>200</v>
      </c>
      <c r="F45" s="22">
        <v>250</v>
      </c>
    </row>
    <row r="46" spans="3:11" ht="17" thickBot="1" x14ac:dyDescent="0.25">
      <c r="C46" s="45" t="s">
        <v>77</v>
      </c>
      <c r="D46" s="22">
        <v>300</v>
      </c>
      <c r="E46" s="22">
        <v>200</v>
      </c>
      <c r="F46" s="22">
        <v>250</v>
      </c>
      <c r="H46" t="s">
        <v>170</v>
      </c>
      <c r="I46" s="40">
        <f>D36-D37</f>
        <v>300</v>
      </c>
      <c r="J46" s="40">
        <f>E36-E37</f>
        <v>380</v>
      </c>
      <c r="K46" s="40">
        <f>F36-F37</f>
        <v>150</v>
      </c>
    </row>
    <row r="47" spans="3:11" ht="17" thickBot="1" x14ac:dyDescent="0.25">
      <c r="C47" s="19" t="s">
        <v>38</v>
      </c>
      <c r="D47" s="22">
        <v>300</v>
      </c>
      <c r="E47" s="22">
        <v>240</v>
      </c>
      <c r="F47" s="22">
        <v>450</v>
      </c>
      <c r="H47" s="40" t="s">
        <v>43</v>
      </c>
      <c r="I47" s="40">
        <f>D38</f>
        <v>0</v>
      </c>
      <c r="J47" s="40">
        <f>E38</f>
        <v>50</v>
      </c>
      <c r="K47" s="40">
        <f>F38</f>
        <v>40</v>
      </c>
    </row>
    <row r="48" spans="3:11" ht="17" thickBot="1" x14ac:dyDescent="0.25">
      <c r="C48" s="20" t="s">
        <v>37</v>
      </c>
      <c r="D48" s="23">
        <f>+D45+D47</f>
        <v>600</v>
      </c>
      <c r="E48" s="23">
        <f t="shared" ref="E48:F48" si="8">+E45+E47</f>
        <v>440</v>
      </c>
      <c r="F48" s="23">
        <f t="shared" si="8"/>
        <v>700</v>
      </c>
      <c r="H48" t="s">
        <v>171</v>
      </c>
      <c r="I48" s="40">
        <f>SUM(I46:I47)</f>
        <v>300</v>
      </c>
      <c r="J48" s="40">
        <f>SUM(J46:J47)</f>
        <v>430</v>
      </c>
      <c r="K48" s="40">
        <f>SUM(K46:K47)</f>
        <v>190</v>
      </c>
    </row>
    <row r="49" spans="3:11" ht="17" thickBot="1" x14ac:dyDescent="0.25">
      <c r="C49" s="19" t="s">
        <v>78</v>
      </c>
      <c r="D49" s="22">
        <v>1000</v>
      </c>
      <c r="E49" s="22">
        <v>800</v>
      </c>
      <c r="F49" s="22">
        <v>600</v>
      </c>
      <c r="H49" s="41" t="s">
        <v>172</v>
      </c>
      <c r="J49" s="40">
        <f>J48-I48</f>
        <v>130</v>
      </c>
      <c r="K49" s="40">
        <f>K48-J48</f>
        <v>-240</v>
      </c>
    </row>
    <row r="50" spans="3:11" ht="17" thickBot="1" x14ac:dyDescent="0.25">
      <c r="C50" s="19" t="s">
        <v>79</v>
      </c>
      <c r="D50" s="22">
        <v>4000</v>
      </c>
      <c r="E50" s="22">
        <v>5000</v>
      </c>
      <c r="F50" s="22">
        <v>6000</v>
      </c>
      <c r="J50" s="40"/>
      <c r="K50" s="40"/>
    </row>
    <row r="51" spans="3:11" ht="17" thickBot="1" x14ac:dyDescent="0.25">
      <c r="C51" s="19" t="s">
        <v>36</v>
      </c>
      <c r="D51" s="22">
        <f>+D44-D48-D50-D49</f>
        <v>12400</v>
      </c>
      <c r="E51" s="22">
        <f t="shared" ref="E51:F51" si="9">+E44-E48-E50-E49</f>
        <v>17960</v>
      </c>
      <c r="F51" s="22">
        <f t="shared" si="9"/>
        <v>16140</v>
      </c>
    </row>
    <row r="52" spans="3:11" ht="17" thickBot="1" x14ac:dyDescent="0.25">
      <c r="C52" s="20" t="s">
        <v>35</v>
      </c>
      <c r="D52" s="23">
        <f>+D48+D50+D51</f>
        <v>17000</v>
      </c>
      <c r="E52" s="23">
        <f t="shared" ref="E52:F52" si="10">+E48+E50+E51</f>
        <v>23400</v>
      </c>
      <c r="F52" s="23">
        <f t="shared" si="10"/>
        <v>22840</v>
      </c>
    </row>
    <row r="53" spans="3:11" x14ac:dyDescent="0.2">
      <c r="D53" s="40"/>
      <c r="E53" s="40"/>
      <c r="F53" s="4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A70D-9BBD-467B-9276-4356E1676819}">
  <sheetPr>
    <tabColor rgb="FF7030A0"/>
  </sheetPr>
  <dimension ref="B1:K78"/>
  <sheetViews>
    <sheetView zoomScale="119" zoomScaleNormal="80" workbookViewId="0">
      <selection activeCell="F65" sqref="F65"/>
    </sheetView>
  </sheetViews>
  <sheetFormatPr baseColWidth="10" defaultColWidth="8.83203125" defaultRowHeight="16" x14ac:dyDescent="0.2"/>
  <cols>
    <col min="2" max="2" width="18.6640625" bestFit="1" customWidth="1"/>
    <col min="3" max="3" width="24" bestFit="1" customWidth="1"/>
    <col min="4" max="4" width="20.5" bestFit="1" customWidth="1"/>
    <col min="5" max="11" width="10" bestFit="1" customWidth="1"/>
  </cols>
  <sheetData>
    <row r="1" spans="2:3" ht="17" thickBot="1" x14ac:dyDescent="0.25"/>
    <row r="2" spans="2:3" ht="18" x14ac:dyDescent="0.2">
      <c r="B2" s="9" t="str">
        <f>+Admin!C12</f>
        <v>Date</v>
      </c>
      <c r="C2" s="34">
        <f>+Admin!D12</f>
        <v>45642</v>
      </c>
    </row>
    <row r="3" spans="2:3" ht="18" x14ac:dyDescent="0.2">
      <c r="B3" s="10" t="str">
        <f>+Admin!C13</f>
        <v>Student name</v>
      </c>
      <c r="C3" s="11" t="str">
        <f>+Admin!D13</f>
        <v>Gao Weijun</v>
      </c>
    </row>
    <row r="4" spans="2:3" ht="18" x14ac:dyDescent="0.2">
      <c r="B4" s="10" t="str">
        <f>+Admin!C14</f>
        <v>Neptun code</v>
      </c>
      <c r="C4" s="11" t="str">
        <f>+Admin!D14</f>
        <v>EVMNP2</v>
      </c>
    </row>
    <row r="5" spans="2:3" ht="18" x14ac:dyDescent="0.2">
      <c r="B5" s="10"/>
      <c r="C5" s="12"/>
    </row>
    <row r="6" spans="2:3" ht="18" x14ac:dyDescent="0.2">
      <c r="B6" s="10" t="str">
        <f>+Admin!C16</f>
        <v>Study program</v>
      </c>
      <c r="C6" s="12" t="str">
        <f>+Admin!D16</f>
        <v>Master in Finance</v>
      </c>
    </row>
    <row r="7" spans="2:3" ht="19" thickBot="1" x14ac:dyDescent="0.25">
      <c r="B7" s="13" t="str">
        <f>+Admin!C17</f>
        <v>Instructor</v>
      </c>
      <c r="C7" s="14" t="str">
        <f>+Admin!D17</f>
        <v>Péter Juhász, PhD, CFA</v>
      </c>
    </row>
    <row r="8" spans="2:3" ht="17" thickBot="1" x14ac:dyDescent="0.25"/>
    <row r="9" spans="2:3" ht="21" thickBot="1" x14ac:dyDescent="0.25">
      <c r="B9" s="15" t="s">
        <v>16</v>
      </c>
      <c r="C9" s="16"/>
    </row>
    <row r="24" spans="3:11" x14ac:dyDescent="0.2">
      <c r="C24" s="27"/>
      <c r="D24" s="29">
        <v>2025</v>
      </c>
      <c r="E24" s="29">
        <f>+D24+1</f>
        <v>2026</v>
      </c>
      <c r="F24" s="29">
        <f t="shared" ref="F24:H24" si="0">+E24+1</f>
        <v>2027</v>
      </c>
      <c r="G24" s="29">
        <f t="shared" si="0"/>
        <v>2028</v>
      </c>
      <c r="H24" s="29">
        <f t="shared" si="0"/>
        <v>2029</v>
      </c>
      <c r="I24" s="1" t="s">
        <v>49</v>
      </c>
      <c r="J24" s="1" t="s">
        <v>50</v>
      </c>
    </row>
    <row r="25" spans="3:11" x14ac:dyDescent="0.2">
      <c r="C25" s="2" t="s">
        <v>4</v>
      </c>
      <c r="D25" s="3">
        <v>0.2</v>
      </c>
      <c r="E25" s="3">
        <v>0.2</v>
      </c>
      <c r="F25" s="3">
        <v>0.2</v>
      </c>
      <c r="G25" s="3">
        <v>0.2</v>
      </c>
      <c r="H25" s="3">
        <v>0.2</v>
      </c>
      <c r="I25" s="3">
        <v>0.2</v>
      </c>
      <c r="J25" s="3">
        <v>0.2</v>
      </c>
    </row>
    <row r="26" spans="3:11" ht="18" x14ac:dyDescent="0.2">
      <c r="C26" s="2" t="s">
        <v>2</v>
      </c>
      <c r="D26" s="3">
        <v>0.12</v>
      </c>
      <c r="E26" s="3">
        <v>0.12</v>
      </c>
      <c r="F26" s="3">
        <v>0.12</v>
      </c>
      <c r="G26" s="3">
        <v>0.12</v>
      </c>
      <c r="H26" s="3">
        <v>0.12</v>
      </c>
      <c r="I26" s="3">
        <v>0.12</v>
      </c>
      <c r="J26" s="3">
        <v>0.12</v>
      </c>
    </row>
    <row r="27" spans="3:11" ht="18" x14ac:dyDescent="0.2">
      <c r="C27" s="2" t="s">
        <v>3</v>
      </c>
      <c r="D27" s="3">
        <v>0.06</v>
      </c>
      <c r="E27" s="3">
        <v>7.0000000000000007E-2</v>
      </c>
      <c r="F27" s="3">
        <v>7.1999999999999995E-2</v>
      </c>
      <c r="G27" s="3">
        <v>7.2999999999999995E-2</v>
      </c>
      <c r="H27" s="3">
        <v>7.3999999999999996E-2</v>
      </c>
      <c r="I27" s="3">
        <v>7.3999999999999996E-2</v>
      </c>
      <c r="J27" s="3">
        <v>7.3999999999999996E-2</v>
      </c>
    </row>
    <row r="28" spans="3:11" x14ac:dyDescent="0.2">
      <c r="C28" s="27" t="s">
        <v>17</v>
      </c>
      <c r="D28" s="28">
        <v>200000</v>
      </c>
      <c r="E28" s="3"/>
      <c r="F28" s="3"/>
      <c r="G28" s="3"/>
      <c r="H28" s="3"/>
      <c r="I28" s="3"/>
      <c r="J28" s="3"/>
    </row>
    <row r="29" spans="3:11" x14ac:dyDescent="0.2">
      <c r="C29" s="2" t="s">
        <v>51</v>
      </c>
      <c r="D29" s="27"/>
      <c r="E29" s="38"/>
      <c r="F29" s="38">
        <v>0.12</v>
      </c>
      <c r="G29" s="3">
        <v>0.1</v>
      </c>
      <c r="H29" s="3">
        <v>0.08</v>
      </c>
      <c r="I29" s="3">
        <v>0.05</v>
      </c>
      <c r="J29" s="30">
        <v>0.05</v>
      </c>
      <c r="K29" s="30"/>
    </row>
    <row r="30" spans="3:11" x14ac:dyDescent="0.2">
      <c r="C30" s="2" t="s">
        <v>68</v>
      </c>
      <c r="D30" s="3">
        <v>0.85</v>
      </c>
      <c r="E30" s="57">
        <f>F29/F32</f>
        <v>0.85714285714285698</v>
      </c>
      <c r="F30" s="57">
        <f t="shared" ref="F30:H30" si="1">G29/G32</f>
        <v>0.76923076923076927</v>
      </c>
      <c r="G30" s="57">
        <f t="shared" si="1"/>
        <v>0.66666666666666674</v>
      </c>
      <c r="H30" s="57">
        <f t="shared" si="1"/>
        <v>0.43828892005610098</v>
      </c>
      <c r="I30" s="57">
        <f>J29/I32</f>
        <v>0.43828892005610098</v>
      </c>
      <c r="J30" s="57">
        <f>I30</f>
        <v>0.43828892005610098</v>
      </c>
      <c r="K30" s="3"/>
    </row>
    <row r="31" spans="3:11" x14ac:dyDescent="0.2">
      <c r="C31" s="2" t="s">
        <v>6</v>
      </c>
      <c r="D31" s="3">
        <v>0.11</v>
      </c>
      <c r="E31" s="3">
        <v>0.115</v>
      </c>
      <c r="F31" s="3"/>
      <c r="G31" s="3"/>
      <c r="H31" s="3"/>
      <c r="I31" s="3"/>
      <c r="J31" s="3"/>
      <c r="K31" s="3"/>
    </row>
    <row r="32" spans="3:11" x14ac:dyDescent="0.2">
      <c r="C32" s="2" t="s">
        <v>1</v>
      </c>
      <c r="D32" s="3"/>
      <c r="E32" s="3"/>
      <c r="F32" s="3">
        <v>0.14000000000000001</v>
      </c>
      <c r="G32" s="3">
        <v>0.13</v>
      </c>
      <c r="H32" s="3">
        <v>0.12</v>
      </c>
      <c r="I32" s="3">
        <f>I35</f>
        <v>0.11408</v>
      </c>
      <c r="J32" s="3">
        <f>J35</f>
        <v>0.11408</v>
      </c>
      <c r="K32" s="3"/>
    </row>
    <row r="33" spans="3:11" x14ac:dyDescent="0.2">
      <c r="C33" s="2" t="s">
        <v>42</v>
      </c>
      <c r="D33" s="57">
        <f>D40/D70</f>
        <v>0.14590913479864992</v>
      </c>
      <c r="E33" s="57">
        <f t="shared" ref="E33:F33" si="2">E40/E70</f>
        <v>0.19301006626166356</v>
      </c>
      <c r="F33" s="57">
        <f t="shared" si="2"/>
        <v>0.24063348661704603</v>
      </c>
      <c r="G33" s="3">
        <v>0.3</v>
      </c>
      <c r="H33" s="3">
        <v>0.4</v>
      </c>
      <c r="I33" s="3">
        <v>0.4</v>
      </c>
      <c r="J33" s="3">
        <v>0.4</v>
      </c>
      <c r="K33" s="3"/>
    </row>
    <row r="34" spans="3:11" x14ac:dyDescent="0.2">
      <c r="C34" s="2" t="s">
        <v>41</v>
      </c>
      <c r="D34" s="3">
        <v>0.15</v>
      </c>
      <c r="E34" s="3">
        <v>0.2</v>
      </c>
      <c r="F34" s="3">
        <v>0.25</v>
      </c>
      <c r="G34" s="3"/>
      <c r="H34" s="3"/>
      <c r="I34" s="3"/>
    </row>
    <row r="35" spans="3:11" x14ac:dyDescent="0.2">
      <c r="C35" s="2" t="s">
        <v>69</v>
      </c>
      <c r="D35" s="56">
        <f>D26-D27*D33*D25</f>
        <v>0.1182490903824162</v>
      </c>
      <c r="E35" s="56">
        <f t="shared" ref="E35:J35" si="3">E26-E27*E33*E25</f>
        <v>0.11729785907233671</v>
      </c>
      <c r="F35" s="56">
        <f t="shared" si="3"/>
        <v>0.11653487779271453</v>
      </c>
      <c r="G35" s="56">
        <f>G26-G27*G33*G25</f>
        <v>0.11562</v>
      </c>
      <c r="H35" s="56">
        <f t="shared" si="3"/>
        <v>0.11408</v>
      </c>
      <c r="I35" s="56">
        <f>I26-I27*I33*I25</f>
        <v>0.11408</v>
      </c>
      <c r="J35" s="56">
        <f t="shared" si="3"/>
        <v>0.11408</v>
      </c>
    </row>
    <row r="39" spans="3:11" x14ac:dyDescent="0.2">
      <c r="C39" t="s">
        <v>105</v>
      </c>
      <c r="D39" s="40">
        <f>D28</f>
        <v>200000</v>
      </c>
      <c r="E39" s="40">
        <f t="shared" ref="E39:J39" si="4">D39+D46</f>
        <v>218700</v>
      </c>
      <c r="F39" s="40">
        <f t="shared" si="4"/>
        <v>240257.57142857142</v>
      </c>
      <c r="G39" s="40">
        <f t="shared" si="4"/>
        <v>261925.6945054945</v>
      </c>
      <c r="H39" s="40">
        <f t="shared" si="4"/>
        <v>282582.63850549451</v>
      </c>
      <c r="I39" s="40">
        <f t="shared" si="4"/>
        <v>297249.64818291389</v>
      </c>
      <c r="J39" s="40">
        <f t="shared" si="4"/>
        <v>312650.00834420422</v>
      </c>
    </row>
    <row r="40" spans="3:11" x14ac:dyDescent="0.2">
      <c r="C40" t="s">
        <v>106</v>
      </c>
      <c r="D40">
        <f>D34*D39</f>
        <v>30000</v>
      </c>
      <c r="E40">
        <f>E34*E39</f>
        <v>43740</v>
      </c>
      <c r="F40">
        <f>F34*F39</f>
        <v>60064.392857142855</v>
      </c>
      <c r="G40">
        <f>G33*G65</f>
        <v>81659.166799193394</v>
      </c>
      <c r="H40">
        <f>H33*H65</f>
        <v>117336.07741935487</v>
      </c>
      <c r="I40">
        <f>I33*I65</f>
        <v>123202.88129032259</v>
      </c>
      <c r="J40">
        <f>J33*J65</f>
        <v>129363.0253548387</v>
      </c>
      <c r="K40">
        <f>J40*(1+J29)</f>
        <v>135831.17662258065</v>
      </c>
    </row>
    <row r="41" spans="3:11" x14ac:dyDescent="0.2">
      <c r="C41" t="s">
        <v>70</v>
      </c>
      <c r="D41" s="40">
        <f>D39-D40</f>
        <v>170000</v>
      </c>
      <c r="E41" s="40">
        <f>E39-E40</f>
        <v>174960</v>
      </c>
      <c r="F41" s="40">
        <f>F39-F40</f>
        <v>180193.17857142858</v>
      </c>
      <c r="G41" s="40">
        <f t="shared" ref="G41:I41" si="5">G39-G40</f>
        <v>180266.5277063011</v>
      </c>
      <c r="H41" s="40">
        <f t="shared" si="5"/>
        <v>165246.56108613964</v>
      </c>
      <c r="I41" s="40">
        <f t="shared" si="5"/>
        <v>174046.76689259132</v>
      </c>
      <c r="J41" s="40">
        <f>J39-J40</f>
        <v>183286.98298936553</v>
      </c>
    </row>
    <row r="43" spans="3:11" x14ac:dyDescent="0.2">
      <c r="C43" t="s">
        <v>127</v>
      </c>
      <c r="D43" s="37">
        <v>0.2</v>
      </c>
      <c r="E43" s="37">
        <v>0.2</v>
      </c>
      <c r="F43" s="37">
        <v>0.2</v>
      </c>
      <c r="G43" s="37">
        <v>0.2</v>
      </c>
      <c r="H43" s="37">
        <v>0.2</v>
      </c>
      <c r="I43" s="37">
        <v>0.2</v>
      </c>
      <c r="J43" s="37">
        <v>0.2</v>
      </c>
      <c r="K43" s="37"/>
    </row>
    <row r="44" spans="3:11" x14ac:dyDescent="0.2">
      <c r="C44" t="s">
        <v>128</v>
      </c>
      <c r="D44" s="37">
        <f>D58/D57</f>
        <v>0.2</v>
      </c>
      <c r="E44" s="37">
        <f t="shared" ref="E44:J44" si="6">E58/E57</f>
        <v>0.2</v>
      </c>
      <c r="F44" s="37">
        <f t="shared" si="6"/>
        <v>0.2</v>
      </c>
      <c r="G44" s="37">
        <f t="shared" si="6"/>
        <v>0.2</v>
      </c>
      <c r="H44" s="37">
        <f t="shared" si="6"/>
        <v>0.2</v>
      </c>
      <c r="I44" s="37">
        <f t="shared" si="6"/>
        <v>0.2</v>
      </c>
      <c r="J44" s="37">
        <f t="shared" si="6"/>
        <v>0.2</v>
      </c>
      <c r="K44" s="37"/>
    </row>
    <row r="45" spans="3:11" x14ac:dyDescent="0.2">
      <c r="C45" t="s">
        <v>107</v>
      </c>
      <c r="D45">
        <f>D39*D31</f>
        <v>22000</v>
      </c>
      <c r="E45">
        <f>E39*E31</f>
        <v>25150.5</v>
      </c>
      <c r="F45">
        <f>E45+E46*F32</f>
        <v>28168.559999999998</v>
      </c>
      <c r="G45">
        <f t="shared" ref="G45:I45" si="7">F45+F46*G32</f>
        <v>30985.415999999997</v>
      </c>
      <c r="H45">
        <f t="shared" si="7"/>
        <v>33464.249279999996</v>
      </c>
      <c r="I45">
        <f t="shared" si="7"/>
        <v>35137.461743999993</v>
      </c>
      <c r="J45">
        <f>I45+I46*J32</f>
        <v>36894.334831199994</v>
      </c>
    </row>
    <row r="46" spans="3:11" x14ac:dyDescent="0.2">
      <c r="C46" t="s">
        <v>108</v>
      </c>
      <c r="D46">
        <f>D45*D30</f>
        <v>18700</v>
      </c>
      <c r="E46">
        <f>E45*E30</f>
        <v>21557.571428571424</v>
      </c>
      <c r="F46">
        <f>F45*F30</f>
        <v>21668.123076923075</v>
      </c>
      <c r="G46">
        <f t="shared" ref="G46:H46" si="8">G45*G30</f>
        <v>20656.944</v>
      </c>
      <c r="H46">
        <f t="shared" si="8"/>
        <v>14667.009677419353</v>
      </c>
      <c r="I46">
        <f>I45*I30</f>
        <v>15400.36016129032</v>
      </c>
      <c r="J46">
        <f>J45*J30</f>
        <v>16170.378169354837</v>
      </c>
    </row>
    <row r="47" spans="3:11" x14ac:dyDescent="0.2">
      <c r="C47" t="s">
        <v>109</v>
      </c>
      <c r="D47">
        <f>D45-D46</f>
        <v>3300</v>
      </c>
      <c r="E47">
        <f>E45-E46</f>
        <v>3592.9285714285761</v>
      </c>
      <c r="F47">
        <f t="shared" ref="F47:J47" si="9">F45-F46</f>
        <v>6500.4369230769225</v>
      </c>
      <c r="G47">
        <f t="shared" si="9"/>
        <v>10328.471999999998</v>
      </c>
      <c r="H47">
        <f t="shared" si="9"/>
        <v>18797.239602580645</v>
      </c>
      <c r="I47">
        <f t="shared" si="9"/>
        <v>19737.101582709671</v>
      </c>
      <c r="J47">
        <f t="shared" si="9"/>
        <v>20723.956661845157</v>
      </c>
    </row>
    <row r="48" spans="3:11" x14ac:dyDescent="0.2">
      <c r="C48" t="s">
        <v>110</v>
      </c>
      <c r="D48">
        <f>D40*D27</f>
        <v>1800</v>
      </c>
      <c r="E48">
        <f>E40*E27</f>
        <v>3061.8</v>
      </c>
      <c r="F48">
        <f t="shared" ref="F48:J48" si="10">F40*F27</f>
        <v>4324.6362857142849</v>
      </c>
      <c r="G48">
        <f t="shared" si="10"/>
        <v>5961.1191763411171</v>
      </c>
      <c r="H48">
        <f t="shared" si="10"/>
        <v>8682.8697290322598</v>
      </c>
      <c r="I48">
        <f t="shared" si="10"/>
        <v>9117.013215483872</v>
      </c>
      <c r="J48">
        <f t="shared" si="10"/>
        <v>9572.8638762580631</v>
      </c>
    </row>
    <row r="49" spans="3:10" x14ac:dyDescent="0.2">
      <c r="C49" t="s">
        <v>111</v>
      </c>
      <c r="D49">
        <f>D48*D43</f>
        <v>360</v>
      </c>
      <c r="E49">
        <f>E48*E43</f>
        <v>612.36</v>
      </c>
      <c r="F49">
        <f t="shared" ref="F49:J49" si="11">F48*F43</f>
        <v>864.927257142857</v>
      </c>
      <c r="G49">
        <f t="shared" si="11"/>
        <v>1192.2238352682234</v>
      </c>
      <c r="H49">
        <f t="shared" si="11"/>
        <v>1736.573945806452</v>
      </c>
      <c r="I49">
        <f t="shared" si="11"/>
        <v>1823.4026430967745</v>
      </c>
      <c r="J49">
        <f t="shared" si="11"/>
        <v>1914.5727752516127</v>
      </c>
    </row>
    <row r="50" spans="3:10" x14ac:dyDescent="0.2">
      <c r="C50" t="s">
        <v>112</v>
      </c>
      <c r="D50">
        <f>E40-D40</f>
        <v>13740</v>
      </c>
      <c r="E50">
        <f>F40-E40</f>
        <v>16324.392857142855</v>
      </c>
      <c r="F50">
        <f t="shared" ref="F50:J50" si="12">G40-F40</f>
        <v>21594.773942050539</v>
      </c>
      <c r="G50">
        <f t="shared" si="12"/>
        <v>35676.910620161478</v>
      </c>
      <c r="H50">
        <f t="shared" si="12"/>
        <v>5866.8038709677203</v>
      </c>
      <c r="I50">
        <f t="shared" si="12"/>
        <v>6160.1440645161056</v>
      </c>
      <c r="J50">
        <f t="shared" si="12"/>
        <v>6468.1512677419523</v>
      </c>
    </row>
    <row r="51" spans="3:10" x14ac:dyDescent="0.2">
      <c r="C51" t="s">
        <v>113</v>
      </c>
      <c r="D51">
        <f>D47-D48+D49+D50</f>
        <v>15600</v>
      </c>
      <c r="E51">
        <f>E47-E48+E49+E50</f>
        <v>17467.881428571432</v>
      </c>
      <c r="F51">
        <f t="shared" ref="F51:I51" si="13">F47-F48+F49+F50</f>
        <v>24635.501836556032</v>
      </c>
      <c r="G51">
        <f t="shared" si="13"/>
        <v>41236.487279088586</v>
      </c>
      <c r="H51">
        <f t="shared" si="13"/>
        <v>17717.747690322558</v>
      </c>
      <c r="I51">
        <f t="shared" si="13"/>
        <v>18603.635074838679</v>
      </c>
      <c r="J51">
        <f>J47-J48+J49+J50</f>
        <v>19533.816828580661</v>
      </c>
    </row>
    <row r="54" spans="3:10" x14ac:dyDescent="0.2">
      <c r="C54" s="51" t="s">
        <v>114</v>
      </c>
    </row>
    <row r="55" spans="3:10" x14ac:dyDescent="0.2">
      <c r="C55" t="s">
        <v>115</v>
      </c>
      <c r="D55">
        <f>D45/(1-D43)</f>
        <v>27500</v>
      </c>
      <c r="E55">
        <f t="shared" ref="E55:J55" si="14">E45/(1-E43)</f>
        <v>31438.125</v>
      </c>
      <c r="F55">
        <f t="shared" si="14"/>
        <v>35210.699999999997</v>
      </c>
      <c r="G55">
        <f t="shared" si="14"/>
        <v>38731.769999999997</v>
      </c>
      <c r="H55">
        <f t="shared" si="14"/>
        <v>41830.311599999994</v>
      </c>
      <c r="I55">
        <f t="shared" si="14"/>
        <v>43921.827179999986</v>
      </c>
      <c r="J55">
        <f t="shared" si="14"/>
        <v>46117.918538999991</v>
      </c>
    </row>
    <row r="56" spans="3:10" x14ac:dyDescent="0.2">
      <c r="C56" t="s">
        <v>116</v>
      </c>
      <c r="D56">
        <f>D48</f>
        <v>1800</v>
      </c>
      <c r="E56">
        <f t="shared" ref="E56:J56" si="15">E48</f>
        <v>3061.8</v>
      </c>
      <c r="F56">
        <f t="shared" si="15"/>
        <v>4324.6362857142849</v>
      </c>
      <c r="G56">
        <f t="shared" si="15"/>
        <v>5961.1191763411171</v>
      </c>
      <c r="H56">
        <f t="shared" si="15"/>
        <v>8682.8697290322598</v>
      </c>
      <c r="I56">
        <f t="shared" si="15"/>
        <v>9117.013215483872</v>
      </c>
      <c r="J56">
        <f t="shared" si="15"/>
        <v>9572.8638762580631</v>
      </c>
    </row>
    <row r="57" spans="3:10" x14ac:dyDescent="0.2">
      <c r="C57" t="s">
        <v>26</v>
      </c>
      <c r="D57">
        <f>D55-D56</f>
        <v>25700</v>
      </c>
      <c r="E57">
        <f t="shared" ref="E57:J57" si="16">E55-E56</f>
        <v>28376.325000000001</v>
      </c>
      <c r="F57">
        <f t="shared" si="16"/>
        <v>30886.063714285712</v>
      </c>
      <c r="G57">
        <f t="shared" si="16"/>
        <v>32770.650823658878</v>
      </c>
      <c r="H57">
        <f t="shared" si="16"/>
        <v>33147.441870967734</v>
      </c>
      <c r="I57">
        <f t="shared" si="16"/>
        <v>34804.813964516114</v>
      </c>
      <c r="J57">
        <f t="shared" si="16"/>
        <v>36545.054662741924</v>
      </c>
    </row>
    <row r="58" spans="3:10" x14ac:dyDescent="0.2">
      <c r="C58" t="s">
        <v>117</v>
      </c>
      <c r="D58">
        <f>D57*D25</f>
        <v>5140</v>
      </c>
      <c r="E58">
        <f t="shared" ref="E58:J58" si="17">E57*E25</f>
        <v>5675.2650000000003</v>
      </c>
      <c r="F58">
        <f t="shared" si="17"/>
        <v>6177.212742857143</v>
      </c>
      <c r="G58">
        <f t="shared" si="17"/>
        <v>6554.1301647317759</v>
      </c>
      <c r="H58">
        <f t="shared" si="17"/>
        <v>6629.4883741935473</v>
      </c>
      <c r="I58">
        <f t="shared" si="17"/>
        <v>6960.9627929032231</v>
      </c>
      <c r="J58">
        <f t="shared" si="17"/>
        <v>7309.0109325483854</v>
      </c>
    </row>
    <row r="59" spans="3:10" x14ac:dyDescent="0.2">
      <c r="C59" t="s">
        <v>28</v>
      </c>
      <c r="D59">
        <f>D57-D58</f>
        <v>20560</v>
      </c>
      <c r="E59">
        <f t="shared" ref="E59:J59" si="18">E57-E58</f>
        <v>22701.06</v>
      </c>
      <c r="F59">
        <f t="shared" si="18"/>
        <v>24708.850971428568</v>
      </c>
      <c r="G59">
        <f t="shared" si="18"/>
        <v>26216.520658927104</v>
      </c>
      <c r="H59">
        <f t="shared" si="18"/>
        <v>26517.953496774186</v>
      </c>
      <c r="I59">
        <f t="shared" si="18"/>
        <v>27843.851171612892</v>
      </c>
      <c r="J59">
        <f t="shared" si="18"/>
        <v>29236.043730193538</v>
      </c>
    </row>
    <row r="62" spans="3:10" x14ac:dyDescent="0.2">
      <c r="C62" s="52" t="s">
        <v>119</v>
      </c>
    </row>
    <row r="63" spans="3:10" x14ac:dyDescent="0.2">
      <c r="C63" t="s">
        <v>109</v>
      </c>
      <c r="D63">
        <f>D47</f>
        <v>3300</v>
      </c>
      <c r="E63">
        <f t="shared" ref="E63:I63" si="19">E47</f>
        <v>3592.9285714285761</v>
      </c>
      <c r="F63">
        <f t="shared" si="19"/>
        <v>6500.4369230769225</v>
      </c>
      <c r="G63">
        <f t="shared" si="19"/>
        <v>10328.471999999998</v>
      </c>
      <c r="H63">
        <f t="shared" si="19"/>
        <v>18797.239602580645</v>
      </c>
      <c r="I63">
        <f t="shared" si="19"/>
        <v>19737.101582709671</v>
      </c>
      <c r="J63">
        <f>J47</f>
        <v>20723.956661845157</v>
      </c>
    </row>
    <row r="64" spans="3:10" x14ac:dyDescent="0.2">
      <c r="C64" t="s">
        <v>69</v>
      </c>
      <c r="D64" s="30">
        <f>D35</f>
        <v>0.1182490903824162</v>
      </c>
      <c r="E64" s="30">
        <f t="shared" ref="E64:J64" si="20">E35</f>
        <v>0.11729785907233671</v>
      </c>
      <c r="F64" s="30">
        <f t="shared" si="20"/>
        <v>0.11653487779271453</v>
      </c>
      <c r="G64" s="30">
        <f t="shared" si="20"/>
        <v>0.11562</v>
      </c>
      <c r="H64" s="30">
        <f t="shared" si="20"/>
        <v>0.11408</v>
      </c>
      <c r="I64" s="30">
        <f t="shared" si="20"/>
        <v>0.11408</v>
      </c>
      <c r="J64" s="30">
        <f t="shared" si="20"/>
        <v>0.11408</v>
      </c>
    </row>
    <row r="65" spans="3:10" x14ac:dyDescent="0.2">
      <c r="C65" s="53" t="s">
        <v>120</v>
      </c>
      <c r="D65" s="55">
        <f t="shared" ref="D65:H65" si="21">(D63+E65)/(1+D64)</f>
        <v>205607.41478865664</v>
      </c>
      <c r="E65" s="55">
        <f t="shared" si="21"/>
        <v>226620.30456329545</v>
      </c>
      <c r="F65" s="55">
        <f t="shared" si="21"/>
        <v>249609.45253946233</v>
      </c>
      <c r="G65" s="55">
        <f>(G63+H65)/(1+G64)</f>
        <v>272197.222663978</v>
      </c>
      <c r="H65" s="55">
        <f t="shared" si="21"/>
        <v>293340.19354838715</v>
      </c>
      <c r="I65" s="55">
        <f>(I63+J65)/(1+I64)</f>
        <v>308007.20322580647</v>
      </c>
      <c r="J65" s="55">
        <f>J63/(J64-J29)</f>
        <v>323407.56338709674</v>
      </c>
    </row>
    <row r="67" spans="3:10" x14ac:dyDescent="0.2">
      <c r="C67" s="54" t="s">
        <v>121</v>
      </c>
    </row>
    <row r="68" spans="3:10" x14ac:dyDescent="0.2">
      <c r="C68" t="s">
        <v>122</v>
      </c>
      <c r="D68">
        <f>D47+D49</f>
        <v>3660</v>
      </c>
      <c r="E68">
        <f t="shared" ref="E68:J68" si="22">E47+E49</f>
        <v>4205.2885714285758</v>
      </c>
      <c r="F68">
        <f t="shared" si="22"/>
        <v>7365.3641802197799</v>
      </c>
      <c r="G68">
        <f t="shared" si="22"/>
        <v>11520.695835268221</v>
      </c>
      <c r="H68">
        <f t="shared" si="22"/>
        <v>20533.813548387097</v>
      </c>
      <c r="I68">
        <f t="shared" si="22"/>
        <v>21560.504225806446</v>
      </c>
      <c r="J68">
        <f t="shared" si="22"/>
        <v>22638.529437096771</v>
      </c>
    </row>
    <row r="69" spans="3:10" x14ac:dyDescent="0.2">
      <c r="C69" t="s">
        <v>48</v>
      </c>
      <c r="D69" s="30">
        <f>D26</f>
        <v>0.12</v>
      </c>
      <c r="E69" s="30">
        <f t="shared" ref="E69:J69" si="23">E26</f>
        <v>0.12</v>
      </c>
      <c r="F69" s="30">
        <f t="shared" si="23"/>
        <v>0.12</v>
      </c>
      <c r="G69" s="30">
        <f t="shared" si="23"/>
        <v>0.12</v>
      </c>
      <c r="H69" s="30">
        <f t="shared" si="23"/>
        <v>0.12</v>
      </c>
      <c r="I69" s="30">
        <f t="shared" si="23"/>
        <v>0.12</v>
      </c>
      <c r="J69" s="30">
        <f t="shared" si="23"/>
        <v>0.12</v>
      </c>
    </row>
    <row r="70" spans="3:10" x14ac:dyDescent="0.2">
      <c r="C70" s="55" t="s">
        <v>123</v>
      </c>
      <c r="D70" s="55">
        <f t="shared" ref="D70:H70" si="24">(D68+E70)/(1+D69)</f>
        <v>205607.41478865646</v>
      </c>
      <c r="E70" s="55">
        <f t="shared" si="24"/>
        <v>226620.30456329527</v>
      </c>
      <c r="F70" s="55">
        <f t="shared" si="24"/>
        <v>249609.45253946216</v>
      </c>
      <c r="G70" s="55">
        <f t="shared" si="24"/>
        <v>272197.22266397788</v>
      </c>
      <c r="H70" s="55">
        <f t="shared" si="24"/>
        <v>293340.19354838703</v>
      </c>
      <c r="I70" s="55">
        <f>(I68+J70)/(1+I69)</f>
        <v>308007.20322580641</v>
      </c>
      <c r="J70" s="55">
        <f>J68/(J69-J29)</f>
        <v>323407.56338709674</v>
      </c>
    </row>
    <row r="73" spans="3:10" x14ac:dyDescent="0.2">
      <c r="C73" s="52" t="s">
        <v>124</v>
      </c>
    </row>
    <row r="74" spans="3:10" x14ac:dyDescent="0.2">
      <c r="C74" t="s">
        <v>113</v>
      </c>
      <c r="D74">
        <f>D51</f>
        <v>15600</v>
      </c>
      <c r="E74">
        <f t="shared" ref="E74:I74" si="25">E51</f>
        <v>17467.881428571432</v>
      </c>
      <c r="F74">
        <f t="shared" si="25"/>
        <v>24635.501836556032</v>
      </c>
      <c r="G74">
        <f t="shared" si="25"/>
        <v>41236.487279088586</v>
      </c>
      <c r="H74">
        <f t="shared" si="25"/>
        <v>17717.747690322558</v>
      </c>
      <c r="I74">
        <f t="shared" si="25"/>
        <v>18603.635074838679</v>
      </c>
      <c r="J74">
        <f>J51</f>
        <v>19533.816828580661</v>
      </c>
    </row>
    <row r="75" spans="3:10" x14ac:dyDescent="0.2">
      <c r="C75" t="s">
        <v>71</v>
      </c>
      <c r="D75" s="39">
        <f>(D26-D33*D27)/(1-D33)</f>
        <v>0.13025013665947022</v>
      </c>
      <c r="E75" s="39">
        <f t="shared" ref="E75:J75" si="26">(E26-E33*E27)/(1-E33)</f>
        <v>0.13195864150173195</v>
      </c>
      <c r="F75" s="39">
        <f t="shared" si="26"/>
        <v>0.13521058297153704</v>
      </c>
      <c r="G75" s="39">
        <f t="shared" si="26"/>
        <v>0.14014285714285715</v>
      </c>
      <c r="H75" s="39">
        <f t="shared" si="26"/>
        <v>0.15066666666666667</v>
      </c>
      <c r="I75" s="39">
        <f t="shared" si="26"/>
        <v>0.15066666666666667</v>
      </c>
      <c r="J75" s="39">
        <f t="shared" si="26"/>
        <v>0.15066666666666667</v>
      </c>
    </row>
    <row r="76" spans="3:10" x14ac:dyDescent="0.2">
      <c r="C76" t="s">
        <v>125</v>
      </c>
      <c r="D76">
        <f>(D74+E76)/(1+D75)</f>
        <v>175607.41478865664</v>
      </c>
      <c r="E76">
        <f t="shared" ref="E76:H76" si="27">(E74+F76)/(1+E75)</f>
        <v>182880.30456329542</v>
      </c>
      <c r="F76">
        <f t="shared" si="27"/>
        <v>189545.05968231946</v>
      </c>
      <c r="G76">
        <f t="shared" si="27"/>
        <v>190538.05586478463</v>
      </c>
      <c r="H76">
        <f t="shared" si="27"/>
        <v>176004.11612903228</v>
      </c>
      <c r="I76">
        <f>(I74+J76)/(1+I75)</f>
        <v>184804.32193548395</v>
      </c>
      <c r="J76">
        <f>J74/(J75-J29)</f>
        <v>194044.53803225822</v>
      </c>
    </row>
    <row r="77" spans="3:10" x14ac:dyDescent="0.2">
      <c r="C77" t="s">
        <v>97</v>
      </c>
      <c r="D77">
        <f>D40</f>
        <v>30000</v>
      </c>
      <c r="E77">
        <f t="shared" ref="E77:J77" si="28">E40</f>
        <v>43740</v>
      </c>
      <c r="F77">
        <f t="shared" si="28"/>
        <v>60064.392857142855</v>
      </c>
      <c r="G77">
        <f t="shared" si="28"/>
        <v>81659.166799193394</v>
      </c>
      <c r="H77">
        <f t="shared" si="28"/>
        <v>117336.07741935487</v>
      </c>
      <c r="I77">
        <f t="shared" si="28"/>
        <v>123202.88129032259</v>
      </c>
      <c r="J77">
        <f t="shared" si="28"/>
        <v>129363.0253548387</v>
      </c>
    </row>
    <row r="78" spans="3:10" x14ac:dyDescent="0.2">
      <c r="C78" s="55" t="s">
        <v>126</v>
      </c>
      <c r="D78" s="55">
        <f>D76+D77</f>
        <v>205607.41478865664</v>
      </c>
      <c r="E78" s="55">
        <f t="shared" ref="E78:I78" si="29">E76+E77</f>
        <v>226620.30456329542</v>
      </c>
      <c r="F78" s="55">
        <f t="shared" si="29"/>
        <v>249609.45253946231</v>
      </c>
      <c r="G78" s="55">
        <f t="shared" si="29"/>
        <v>272197.222663978</v>
      </c>
      <c r="H78" s="55">
        <f t="shared" si="29"/>
        <v>293340.19354838715</v>
      </c>
      <c r="I78" s="55">
        <f t="shared" si="29"/>
        <v>308007.20322580653</v>
      </c>
      <c r="J78" s="55">
        <f>J76+J77</f>
        <v>323407.56338709692</v>
      </c>
    </row>
  </sheetData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1001-DD57-4B42-9CDC-B6256E26F6D7}">
  <sheetPr>
    <tabColor rgb="FF7030A0"/>
  </sheetPr>
  <dimension ref="B1:G64"/>
  <sheetViews>
    <sheetView zoomScale="150" workbookViewId="0">
      <selection activeCell="G50" sqref="G50"/>
    </sheetView>
  </sheetViews>
  <sheetFormatPr baseColWidth="10" defaultColWidth="8.83203125" defaultRowHeight="16" x14ac:dyDescent="0.2"/>
  <cols>
    <col min="2" max="2" width="19.83203125" bestFit="1" customWidth="1"/>
    <col min="3" max="3" width="37.1640625" bestFit="1" customWidth="1"/>
    <col min="4" max="4" width="20.83203125" bestFit="1" customWidth="1"/>
    <col min="5" max="5" width="14.33203125" bestFit="1" customWidth="1"/>
    <col min="6" max="6" width="13.6640625" bestFit="1" customWidth="1"/>
    <col min="8" max="8" width="14" bestFit="1" customWidth="1"/>
  </cols>
  <sheetData>
    <row r="1" spans="2:3" ht="17" thickBot="1" x14ac:dyDescent="0.25"/>
    <row r="2" spans="2:3" ht="18" x14ac:dyDescent="0.2">
      <c r="B2" s="9" t="str">
        <f>+Admin!C12</f>
        <v>Date</v>
      </c>
      <c r="C2" s="34">
        <f>+Admin!D12</f>
        <v>45642</v>
      </c>
    </row>
    <row r="3" spans="2:3" ht="18" x14ac:dyDescent="0.2">
      <c r="B3" s="10" t="str">
        <f>+Admin!C13</f>
        <v>Student name</v>
      </c>
      <c r="C3" s="11" t="str">
        <f>+Admin!D13</f>
        <v>Gao Weijun</v>
      </c>
    </row>
    <row r="4" spans="2:3" ht="18" x14ac:dyDescent="0.2">
      <c r="B4" s="10" t="str">
        <f>+Admin!C14</f>
        <v>Neptun code</v>
      </c>
      <c r="C4" s="11" t="str">
        <f>+Admin!D14</f>
        <v>EVMNP2</v>
      </c>
    </row>
    <row r="5" spans="2:3" ht="18" x14ac:dyDescent="0.2">
      <c r="B5" s="10"/>
      <c r="C5" s="12"/>
    </row>
    <row r="6" spans="2:3" ht="18" x14ac:dyDescent="0.2">
      <c r="B6" s="10" t="str">
        <f>+Admin!C16</f>
        <v>Study program</v>
      </c>
      <c r="C6" s="12" t="str">
        <f>+Admin!D16</f>
        <v>Master in Finance</v>
      </c>
    </row>
    <row r="7" spans="2:3" ht="19" thickBot="1" x14ac:dyDescent="0.25">
      <c r="B7" s="13" t="str">
        <f>+Admin!C17</f>
        <v>Instructor</v>
      </c>
      <c r="C7" s="14" t="str">
        <f>+Admin!D17</f>
        <v>Péter Juhász, PhD, CFA</v>
      </c>
    </row>
    <row r="8" spans="2:3" ht="17" thickBot="1" x14ac:dyDescent="0.25"/>
    <row r="9" spans="2:3" ht="21" thickBot="1" x14ac:dyDescent="0.25">
      <c r="B9" s="15" t="s">
        <v>16</v>
      </c>
      <c r="C9" s="16"/>
    </row>
    <row r="27" spans="3:6" x14ac:dyDescent="0.2">
      <c r="D27" s="29" t="s">
        <v>45</v>
      </c>
      <c r="E27" s="29" t="s">
        <v>46</v>
      </c>
      <c r="F27" s="29" t="s">
        <v>44</v>
      </c>
    </row>
    <row r="28" spans="3:6" x14ac:dyDescent="0.2">
      <c r="C28" t="s">
        <v>4</v>
      </c>
      <c r="D28" s="30">
        <v>0.2</v>
      </c>
      <c r="E28" s="30">
        <v>0.2</v>
      </c>
      <c r="F28" s="30">
        <v>0.2</v>
      </c>
    </row>
    <row r="29" spans="3:6" x14ac:dyDescent="0.2">
      <c r="C29" t="s">
        <v>48</v>
      </c>
      <c r="D29" s="30">
        <v>0.11</v>
      </c>
      <c r="E29" s="30">
        <v>0.11</v>
      </c>
      <c r="F29" s="30">
        <v>0.11</v>
      </c>
    </row>
    <row r="30" spans="3:6" x14ac:dyDescent="0.2">
      <c r="C30" t="s">
        <v>47</v>
      </c>
      <c r="D30" s="30">
        <v>0.4</v>
      </c>
      <c r="E30" s="30">
        <v>0.3</v>
      </c>
      <c r="F30" s="30">
        <v>0.4</v>
      </c>
    </row>
    <row r="31" spans="3:6" x14ac:dyDescent="0.2">
      <c r="C31" t="s">
        <v>5</v>
      </c>
      <c r="D31" s="30">
        <v>0.05</v>
      </c>
      <c r="E31" s="30">
        <v>0.04</v>
      </c>
      <c r="F31" s="30">
        <v>0.05</v>
      </c>
    </row>
    <row r="32" spans="3:6" x14ac:dyDescent="0.2">
      <c r="C32" t="s">
        <v>76</v>
      </c>
      <c r="D32" s="36">
        <v>840</v>
      </c>
      <c r="E32" s="36">
        <v>130</v>
      </c>
      <c r="F32" s="36">
        <v>1000</v>
      </c>
    </row>
    <row r="33" spans="3:7" x14ac:dyDescent="0.2">
      <c r="C33" t="s">
        <v>0</v>
      </c>
      <c r="D33" s="30">
        <v>0.03</v>
      </c>
      <c r="E33" s="30">
        <v>3.7999999999999999E-2</v>
      </c>
      <c r="F33" s="30">
        <v>3.3000000000000002E-2</v>
      </c>
    </row>
    <row r="34" spans="3:7" x14ac:dyDescent="0.2">
      <c r="C34" t="s">
        <v>1</v>
      </c>
      <c r="D34" s="30">
        <v>0.10100000000000001</v>
      </c>
      <c r="E34" s="30">
        <v>0.12</v>
      </c>
      <c r="F34" s="30">
        <v>0.10199999999999999</v>
      </c>
    </row>
    <row r="35" spans="3:7" x14ac:dyDescent="0.2">
      <c r="C35" t="s">
        <v>63</v>
      </c>
      <c r="D35" s="40">
        <v>200000000</v>
      </c>
      <c r="E35" s="40">
        <v>1000000</v>
      </c>
    </row>
    <row r="38" spans="3:7" x14ac:dyDescent="0.2">
      <c r="C38" t="s">
        <v>69</v>
      </c>
      <c r="D38" s="39">
        <f>D29-D31*D30*D28</f>
        <v>0.106</v>
      </c>
      <c r="E38" s="39">
        <f t="shared" ref="E38:F38" si="0">E29-E31*E30*E28</f>
        <v>0.1076</v>
      </c>
      <c r="F38" s="39">
        <f t="shared" si="0"/>
        <v>0.106</v>
      </c>
    </row>
    <row r="39" spans="3:7" x14ac:dyDescent="0.2">
      <c r="C39" t="s">
        <v>68</v>
      </c>
      <c r="D39" s="39">
        <f>D33/D34</f>
        <v>0.29702970297029702</v>
      </c>
      <c r="E39" s="39">
        <f>E33/E34</f>
        <v>0.31666666666666665</v>
      </c>
      <c r="F39" s="39">
        <f>F33/F34</f>
        <v>0.3235294117647059</v>
      </c>
    </row>
    <row r="40" spans="3:7" x14ac:dyDescent="0.2">
      <c r="C40" t="s">
        <v>109</v>
      </c>
      <c r="D40" s="36">
        <f>D32*(1-D39)</f>
        <v>590.49504950495043</v>
      </c>
      <c r="E40" s="36">
        <f t="shared" ref="E40:F40" si="1">E32*(1-E39)</f>
        <v>88.833333333333329</v>
      </c>
      <c r="F40" s="36">
        <f t="shared" si="1"/>
        <v>676.47058823529414</v>
      </c>
    </row>
    <row r="41" spans="3:7" x14ac:dyDescent="0.2">
      <c r="C41" t="s">
        <v>120</v>
      </c>
      <c r="D41">
        <f>D40/(D38-D33)</f>
        <v>7769.6717040125059</v>
      </c>
      <c r="E41">
        <f t="shared" ref="E41:F41" si="2">E40/(E38-E33)</f>
        <v>1276.3409961685825</v>
      </c>
      <c r="F41">
        <f t="shared" si="2"/>
        <v>9266.7203867848511</v>
      </c>
    </row>
    <row r="42" spans="3:7" x14ac:dyDescent="0.2">
      <c r="C42" t="s">
        <v>97</v>
      </c>
      <c r="D42">
        <f>D41*D30</f>
        <v>3107.8686816050026</v>
      </c>
      <c r="E42">
        <f>E41*E30</f>
        <v>382.90229885057471</v>
      </c>
      <c r="F42">
        <f t="shared" ref="F42" si="3">F41*F30</f>
        <v>3706.6881547139405</v>
      </c>
    </row>
    <row r="43" spans="3:7" x14ac:dyDescent="0.2">
      <c r="C43" t="s">
        <v>70</v>
      </c>
      <c r="D43">
        <f>D41-D42</f>
        <v>4661.8030224075028</v>
      </c>
      <c r="E43">
        <f>E41-E42</f>
        <v>893.43869731800783</v>
      </c>
      <c r="F43">
        <f>F41-F42</f>
        <v>5560.032232070911</v>
      </c>
    </row>
    <row r="45" spans="3:7" x14ac:dyDescent="0.2">
      <c r="G45" t="s">
        <v>131</v>
      </c>
    </row>
    <row r="46" spans="3:7" x14ac:dyDescent="0.2">
      <c r="D46" t="s">
        <v>132</v>
      </c>
      <c r="E46" t="s">
        <v>133</v>
      </c>
      <c r="G46">
        <f>F41-E41-D41</f>
        <v>220.70768660376234</v>
      </c>
    </row>
    <row r="47" spans="3:7" x14ac:dyDescent="0.2">
      <c r="C47" t="s">
        <v>129</v>
      </c>
      <c r="D47">
        <f>E43</f>
        <v>893.43869731800783</v>
      </c>
      <c r="E47">
        <f>E43+D50</f>
        <v>903.43869731800783</v>
      </c>
    </row>
    <row r="48" spans="3:7" x14ac:dyDescent="0.2">
      <c r="C48" t="s">
        <v>130</v>
      </c>
      <c r="D48">
        <f>G46+D47</f>
        <v>1114.1463839217702</v>
      </c>
      <c r="E48">
        <f>D48-D51</f>
        <v>1094.1463839217702</v>
      </c>
    </row>
    <row r="50" spans="3:4" x14ac:dyDescent="0.2">
      <c r="C50" t="s">
        <v>135</v>
      </c>
      <c r="D50">
        <f>10</f>
        <v>10</v>
      </c>
    </row>
    <row r="51" spans="3:4" x14ac:dyDescent="0.2">
      <c r="C51" t="s">
        <v>134</v>
      </c>
      <c r="D51">
        <f>20</f>
        <v>20</v>
      </c>
    </row>
    <row r="55" spans="3:4" x14ac:dyDescent="0.2">
      <c r="C55" t="s">
        <v>136</v>
      </c>
      <c r="D55">
        <f>D47+G46*40%</f>
        <v>981.72177195951281</v>
      </c>
    </row>
    <row r="56" spans="3:4" x14ac:dyDescent="0.2">
      <c r="C56" t="s">
        <v>137</v>
      </c>
      <c r="D56">
        <f>D55*35%</f>
        <v>343.60262018582944</v>
      </c>
    </row>
    <row r="57" spans="3:4" x14ac:dyDescent="0.2">
      <c r="C57" t="s">
        <v>138</v>
      </c>
      <c r="D57">
        <f>D55-D56</f>
        <v>638.11915177368337</v>
      </c>
    </row>
    <row r="59" spans="3:4" x14ac:dyDescent="0.2">
      <c r="C59" t="s">
        <v>139</v>
      </c>
      <c r="D59" s="39">
        <f>D57/F43</f>
        <v>0.11476896628277405</v>
      </c>
    </row>
    <row r="61" spans="3:4" x14ac:dyDescent="0.2">
      <c r="C61" t="s">
        <v>140</v>
      </c>
      <c r="D61" s="40">
        <f>D35</f>
        <v>200000000</v>
      </c>
    </row>
    <row r="62" spans="3:4" x14ac:dyDescent="0.2">
      <c r="C62" t="s">
        <v>141</v>
      </c>
      <c r="D62" s="30">
        <f>1-D59</f>
        <v>0.885231033717226</v>
      </c>
    </row>
    <row r="63" spans="3:4" x14ac:dyDescent="0.2">
      <c r="C63" t="s">
        <v>142</v>
      </c>
      <c r="D63">
        <f>D61/D62</f>
        <v>225929720.47101441</v>
      </c>
    </row>
    <row r="64" spans="3:4" x14ac:dyDescent="0.2">
      <c r="C64" s="59" t="s">
        <v>143</v>
      </c>
      <c r="D64" s="60">
        <f>D63-D61</f>
        <v>25929720.47101441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83F8-C1ED-4618-BEF3-F3B796AB9621}">
  <sheetPr codeName="Munka6">
    <tabColor rgb="FF7030A0"/>
  </sheetPr>
  <dimension ref="B1:D52"/>
  <sheetViews>
    <sheetView zoomScale="111" workbookViewId="0">
      <selection activeCell="C52" sqref="C52"/>
    </sheetView>
  </sheetViews>
  <sheetFormatPr baseColWidth="10" defaultColWidth="8.83203125" defaultRowHeight="16" x14ac:dyDescent="0.2"/>
  <cols>
    <col min="2" max="2" width="38.1640625" bestFit="1" customWidth="1"/>
    <col min="3" max="3" width="24.1640625" bestFit="1" customWidth="1"/>
    <col min="4" max="4" width="8.83203125" bestFit="1" customWidth="1"/>
    <col min="5" max="5" width="7" bestFit="1" customWidth="1"/>
  </cols>
  <sheetData>
    <row r="1" spans="2:3" ht="17" thickBot="1" x14ac:dyDescent="0.25"/>
    <row r="2" spans="2:3" ht="18" x14ac:dyDescent="0.2">
      <c r="B2" s="9" t="str">
        <f>+Admin!C12</f>
        <v>Date</v>
      </c>
      <c r="C2" s="34">
        <f>+Admin!D12</f>
        <v>45642</v>
      </c>
    </row>
    <row r="3" spans="2:3" ht="18" x14ac:dyDescent="0.2">
      <c r="B3" s="10" t="str">
        <f>+Admin!C13</f>
        <v>Student name</v>
      </c>
      <c r="C3" s="11" t="str">
        <f>+Admin!D13</f>
        <v>Gao Weijun</v>
      </c>
    </row>
    <row r="4" spans="2:3" ht="18" x14ac:dyDescent="0.2">
      <c r="B4" s="10" t="str">
        <f>+Admin!C14</f>
        <v>Neptun code</v>
      </c>
      <c r="C4" s="11" t="str">
        <f>+Admin!D14</f>
        <v>EVMNP2</v>
      </c>
    </row>
    <row r="5" spans="2:3" ht="18" x14ac:dyDescent="0.2">
      <c r="B5" s="10"/>
      <c r="C5" s="12"/>
    </row>
    <row r="6" spans="2:3" ht="18" x14ac:dyDescent="0.2">
      <c r="B6" s="10" t="str">
        <f>+Admin!C16</f>
        <v>Study program</v>
      </c>
      <c r="C6" s="12" t="str">
        <f>+Admin!D16</f>
        <v>Master in Finance</v>
      </c>
    </row>
    <row r="7" spans="2:3" ht="19" thickBot="1" x14ac:dyDescent="0.25">
      <c r="B7" s="13" t="str">
        <f>+Admin!C17</f>
        <v>Instructor</v>
      </c>
      <c r="C7" s="14" t="str">
        <f>+Admin!D17</f>
        <v>Péter Juhász, PhD, CFA</v>
      </c>
    </row>
    <row r="8" spans="2:3" ht="17" thickBot="1" x14ac:dyDescent="0.25"/>
    <row r="9" spans="2:3" ht="21" thickBot="1" x14ac:dyDescent="0.25">
      <c r="B9" s="15" t="s">
        <v>16</v>
      </c>
      <c r="C9" s="16"/>
    </row>
    <row r="20" spans="2:4" x14ac:dyDescent="0.2">
      <c r="B20" t="s">
        <v>53</v>
      </c>
      <c r="C20" s="39">
        <v>0.15</v>
      </c>
    </row>
    <row r="21" spans="2:4" x14ac:dyDescent="0.2">
      <c r="B21" t="s">
        <v>54</v>
      </c>
      <c r="C21" s="39">
        <v>0.09</v>
      </c>
    </row>
    <row r="22" spans="2:4" x14ac:dyDescent="0.2">
      <c r="B22" t="s">
        <v>66</v>
      </c>
      <c r="C22" s="37">
        <v>7.0000000000000007E-2</v>
      </c>
    </row>
    <row r="23" spans="2:4" x14ac:dyDescent="0.2">
      <c r="B23" t="s">
        <v>61</v>
      </c>
      <c r="C23" s="30">
        <v>0.02</v>
      </c>
    </row>
    <row r="24" spans="2:4" x14ac:dyDescent="0.2">
      <c r="C24" s="37"/>
    </row>
    <row r="25" spans="2:4" x14ac:dyDescent="0.2">
      <c r="B25" t="s">
        <v>60</v>
      </c>
      <c r="C25">
        <v>20</v>
      </c>
      <c r="D25" t="s">
        <v>56</v>
      </c>
    </row>
    <row r="26" spans="2:4" x14ac:dyDescent="0.2">
      <c r="B26" t="s">
        <v>67</v>
      </c>
      <c r="C26">
        <v>25</v>
      </c>
      <c r="D26" t="s">
        <v>56</v>
      </c>
    </row>
    <row r="27" spans="2:4" x14ac:dyDescent="0.2">
      <c r="B27" t="s">
        <v>55</v>
      </c>
      <c r="C27">
        <v>20</v>
      </c>
      <c r="D27" t="s">
        <v>56</v>
      </c>
    </row>
    <row r="29" spans="2:4" x14ac:dyDescent="0.2">
      <c r="B29" t="s">
        <v>52</v>
      </c>
      <c r="C29" s="36">
        <v>250</v>
      </c>
    </row>
    <row r="30" spans="2:4" x14ac:dyDescent="0.2">
      <c r="B30" t="s">
        <v>57</v>
      </c>
      <c r="C30" s="37">
        <v>0.05</v>
      </c>
    </row>
    <row r="32" spans="2:4" x14ac:dyDescent="0.2">
      <c r="B32" t="s">
        <v>58</v>
      </c>
      <c r="C32" s="40">
        <v>28000</v>
      </c>
    </row>
    <row r="33" spans="2:3" x14ac:dyDescent="0.2">
      <c r="B33" t="s">
        <v>59</v>
      </c>
      <c r="C33" s="40">
        <v>50000</v>
      </c>
    </row>
    <row r="35" spans="2:3" x14ac:dyDescent="0.2">
      <c r="B35" t="s">
        <v>22</v>
      </c>
      <c r="C35">
        <f>C32/C27</f>
        <v>1400</v>
      </c>
    </row>
    <row r="37" spans="2:3" x14ac:dyDescent="0.2">
      <c r="B37" s="61" t="s">
        <v>144</v>
      </c>
      <c r="C37" s="62">
        <f>C29/(C21-C30)*(1-((1+C30)^C26)/((1+C21)^C26))</f>
        <v>3795.5734192759428</v>
      </c>
    </row>
    <row r="38" spans="2:3" x14ac:dyDescent="0.2">
      <c r="B38" s="61" t="s">
        <v>145</v>
      </c>
      <c r="C38" s="62">
        <f>C35*C20/C21*(1-1/(1+C21)^C27)</f>
        <v>1916.9945905080435</v>
      </c>
    </row>
    <row r="39" spans="2:3" x14ac:dyDescent="0.2">
      <c r="B39" s="61" t="s">
        <v>146</v>
      </c>
      <c r="C39" s="62">
        <f>+C37+C38</f>
        <v>5712.5680097839868</v>
      </c>
    </row>
    <row r="40" spans="2:3" x14ac:dyDescent="0.2">
      <c r="B40" t="s">
        <v>147</v>
      </c>
      <c r="C40" s="63">
        <f>C32</f>
        <v>28000</v>
      </c>
    </row>
    <row r="41" spans="2:3" x14ac:dyDescent="0.2">
      <c r="B41" t="s">
        <v>148</v>
      </c>
      <c r="C41" s="63">
        <f>C39+C40</f>
        <v>33712.568009783987</v>
      </c>
    </row>
    <row r="42" spans="2:3" x14ac:dyDescent="0.2">
      <c r="B42" t="s">
        <v>149</v>
      </c>
      <c r="C42" s="64">
        <f>C41/(1+C21)^20</f>
        <v>6015.3635068309486</v>
      </c>
    </row>
    <row r="46" spans="2:3" x14ac:dyDescent="0.2">
      <c r="B46" s="67" t="s">
        <v>150</v>
      </c>
      <c r="C46" s="70">
        <f>+C33*(1+C23)^C25*C32/C33</f>
        <v>41606.527087393923</v>
      </c>
    </row>
    <row r="47" spans="2:3" x14ac:dyDescent="0.2">
      <c r="B47" s="67" t="s">
        <v>151</v>
      </c>
      <c r="C47" s="70">
        <f>+C29*12/C22</f>
        <v>42857.142857142855</v>
      </c>
    </row>
    <row r="48" spans="2:3" x14ac:dyDescent="0.2">
      <c r="B48" s="67"/>
      <c r="C48" s="67"/>
    </row>
    <row r="50" spans="2:3" x14ac:dyDescent="0.2">
      <c r="B50" s="68" t="s">
        <v>153</v>
      </c>
      <c r="C50" s="69">
        <f>+C29*12*(1-C20)/(C21-C30)*(1-(1+C30)^C26/(1+C21)^C26)</f>
        <v>38714.848876614618</v>
      </c>
    </row>
    <row r="51" spans="2:3" x14ac:dyDescent="0.2">
      <c r="B51" s="68" t="s">
        <v>111</v>
      </c>
      <c r="C51" s="68">
        <f>+C32/C27*C20/C21*(1-1/(1+C21)^C27)</f>
        <v>1916.9945905080435</v>
      </c>
    </row>
    <row r="52" spans="2:3" x14ac:dyDescent="0.2">
      <c r="B52" s="67" t="s">
        <v>152</v>
      </c>
      <c r="C52" s="70">
        <f>+C50+C51</f>
        <v>40631.843467122664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7B94-CD1F-4364-9903-53CFB2227E96}">
  <sheetPr codeName="Munka1">
    <tabColor rgb="FF7030A0"/>
  </sheetPr>
  <dimension ref="B1:K21"/>
  <sheetViews>
    <sheetView topLeftCell="A2" zoomScale="125" workbookViewId="0">
      <selection activeCell="L20" sqref="L20"/>
    </sheetView>
  </sheetViews>
  <sheetFormatPr baseColWidth="10" defaultColWidth="8.83203125" defaultRowHeight="16" x14ac:dyDescent="0.2"/>
  <cols>
    <col min="2" max="2" width="19.83203125" bestFit="1" customWidth="1"/>
    <col min="3" max="3" width="37.1640625" bestFit="1" customWidth="1"/>
  </cols>
  <sheetData>
    <row r="1" spans="2:3" ht="17" thickBot="1" x14ac:dyDescent="0.25"/>
    <row r="2" spans="2:3" ht="18" x14ac:dyDescent="0.2">
      <c r="B2" s="9" t="str">
        <f>+Admin!C12</f>
        <v>Date</v>
      </c>
      <c r="C2" s="34">
        <f>+Admin!D12</f>
        <v>45642</v>
      </c>
    </row>
    <row r="3" spans="2:3" ht="18" x14ac:dyDescent="0.2">
      <c r="B3" s="10" t="str">
        <f>+Admin!C13</f>
        <v>Student name</v>
      </c>
      <c r="C3" s="11" t="str">
        <f>+Admin!D13</f>
        <v>Gao Weijun</v>
      </c>
    </row>
    <row r="4" spans="2:3" ht="18" x14ac:dyDescent="0.2">
      <c r="B4" s="10" t="str">
        <f>+Admin!C14</f>
        <v>Neptun code</v>
      </c>
      <c r="C4" s="11" t="str">
        <f>+Admin!D14</f>
        <v>EVMNP2</v>
      </c>
    </row>
    <row r="5" spans="2:3" ht="18" x14ac:dyDescent="0.2">
      <c r="B5" s="10"/>
      <c r="C5" s="12"/>
    </row>
    <row r="6" spans="2:3" ht="18" x14ac:dyDescent="0.2">
      <c r="B6" s="10" t="str">
        <f>+Admin!C16</f>
        <v>Study program</v>
      </c>
      <c r="C6" s="12" t="str">
        <f>+Admin!D16</f>
        <v>Master in Finance</v>
      </c>
    </row>
    <row r="7" spans="2:3" ht="19" thickBot="1" x14ac:dyDescent="0.25">
      <c r="B7" s="13" t="str">
        <f>+Admin!C17</f>
        <v>Instructor</v>
      </c>
      <c r="C7" s="14" t="str">
        <f>+Admin!D17</f>
        <v>Péter Juhász, PhD, CFA</v>
      </c>
    </row>
    <row r="8" spans="2:3" ht="17" thickBot="1" x14ac:dyDescent="0.25"/>
    <row r="9" spans="2:3" ht="21" thickBot="1" x14ac:dyDescent="0.25">
      <c r="B9" s="15" t="s">
        <v>16</v>
      </c>
      <c r="C9" s="16"/>
    </row>
    <row r="21" spans="11:11" ht="20" x14ac:dyDescent="0.2">
      <c r="K21" s="3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9109-2294-4339-96E1-62238F74142B}">
  <sheetPr>
    <tabColor rgb="FF7030A0"/>
  </sheetPr>
  <dimension ref="B1:L42"/>
  <sheetViews>
    <sheetView topLeftCell="A16" zoomScale="112" workbookViewId="0">
      <selection activeCell="K43" sqref="K43"/>
    </sheetView>
  </sheetViews>
  <sheetFormatPr baseColWidth="10" defaultColWidth="9" defaultRowHeight="16" x14ac:dyDescent="0.2"/>
  <cols>
    <col min="2" max="2" width="36.5" bestFit="1" customWidth="1"/>
    <col min="3" max="3" width="23.1640625" bestFit="1" customWidth="1"/>
    <col min="4" max="4" width="7.1640625" bestFit="1" customWidth="1"/>
    <col min="5" max="5" width="7.6640625" bestFit="1" customWidth="1"/>
    <col min="6" max="8" width="7.33203125" bestFit="1" customWidth="1"/>
    <col min="9" max="9" width="5.5" bestFit="1" customWidth="1"/>
    <col min="10" max="10" width="5.83203125" bestFit="1" customWidth="1"/>
    <col min="11" max="11" width="7.33203125" bestFit="1" customWidth="1"/>
    <col min="12" max="12" width="6.33203125" bestFit="1" customWidth="1"/>
    <col min="13" max="13" width="7.6640625" bestFit="1" customWidth="1"/>
    <col min="14" max="14" width="5.6640625" bestFit="1" customWidth="1"/>
  </cols>
  <sheetData>
    <row r="1" spans="2:3" ht="17" thickBot="1" x14ac:dyDescent="0.25"/>
    <row r="2" spans="2:3" ht="18" x14ac:dyDescent="0.2">
      <c r="B2" s="9" t="str">
        <f>+Admin!C12</f>
        <v>Date</v>
      </c>
      <c r="C2" s="34">
        <f>+Admin!D12</f>
        <v>45642</v>
      </c>
    </row>
    <row r="3" spans="2:3" ht="18" x14ac:dyDescent="0.2">
      <c r="B3" s="10" t="str">
        <f>+Admin!C13</f>
        <v>Student name</v>
      </c>
      <c r="C3" s="11" t="str">
        <f>+Admin!D13</f>
        <v>Gao Weijun</v>
      </c>
    </row>
    <row r="4" spans="2:3" ht="18" x14ac:dyDescent="0.2">
      <c r="B4" s="10" t="str">
        <f>+Admin!C14</f>
        <v>Neptun code</v>
      </c>
      <c r="C4" s="11" t="str">
        <f>+Admin!D14</f>
        <v>EVMNP2</v>
      </c>
    </row>
    <row r="5" spans="2:3" ht="18" x14ac:dyDescent="0.2">
      <c r="B5" s="10"/>
      <c r="C5" s="12"/>
    </row>
    <row r="6" spans="2:3" ht="18" x14ac:dyDescent="0.2">
      <c r="B6" s="10" t="str">
        <f>+Admin!C16</f>
        <v>Study program</v>
      </c>
      <c r="C6" s="12" t="str">
        <f>+Admin!D16</f>
        <v>Master in Finance</v>
      </c>
    </row>
    <row r="7" spans="2:3" ht="19" thickBot="1" x14ac:dyDescent="0.25">
      <c r="B7" s="13" t="str">
        <f>+Admin!C17</f>
        <v>Instructor</v>
      </c>
      <c r="C7" s="14" t="str">
        <f>+Admin!D17</f>
        <v>Péter Juhász, PhD, CFA</v>
      </c>
    </row>
    <row r="8" spans="2:3" ht="17" thickBot="1" x14ac:dyDescent="0.25"/>
    <row r="9" spans="2:3" ht="21" thickBot="1" x14ac:dyDescent="0.25">
      <c r="B9" s="15" t="s">
        <v>16</v>
      </c>
      <c r="C9" s="16"/>
    </row>
    <row r="20" spans="2:9" x14ac:dyDescent="0.2">
      <c r="B20" s="29" t="s">
        <v>83</v>
      </c>
      <c r="C20" s="1" t="s">
        <v>84</v>
      </c>
      <c r="D20" s="1" t="s">
        <v>85</v>
      </c>
      <c r="E20" s="1" t="s">
        <v>86</v>
      </c>
      <c r="F20" s="1" t="s">
        <v>87</v>
      </c>
      <c r="G20" s="1" t="s">
        <v>88</v>
      </c>
    </row>
    <row r="21" spans="2:9" x14ac:dyDescent="0.2">
      <c r="B21" s="2" t="s">
        <v>5</v>
      </c>
      <c r="C21" s="71">
        <f>C27+C32</f>
        <v>7.3000000000000009E-2</v>
      </c>
      <c r="D21" s="71">
        <f t="shared" ref="D21:G21" si="0">D27+D32</f>
        <v>7.85E-2</v>
      </c>
      <c r="E21" s="71">
        <f t="shared" si="0"/>
        <v>8.4000000000000005E-2</v>
      </c>
      <c r="F21" s="71">
        <f t="shared" si="0"/>
        <v>8.950000000000001E-2</v>
      </c>
      <c r="G21" s="71">
        <f t="shared" si="0"/>
        <v>9.0000000000000011E-2</v>
      </c>
    </row>
    <row r="22" spans="2:9" x14ac:dyDescent="0.2">
      <c r="B22" s="2" t="s">
        <v>48</v>
      </c>
      <c r="C22" s="46"/>
      <c r="D22" s="46"/>
      <c r="E22" s="46"/>
      <c r="F22" s="46"/>
      <c r="G22" s="46"/>
    </row>
    <row r="23" spans="2:9" x14ac:dyDescent="0.2">
      <c r="B23" s="2" t="s">
        <v>71</v>
      </c>
      <c r="C23" s="46"/>
      <c r="D23" s="46"/>
      <c r="E23" s="46"/>
      <c r="F23" s="46"/>
      <c r="G23" s="46"/>
    </row>
    <row r="24" spans="2:9" x14ac:dyDescent="0.2">
      <c r="B24" s="2" t="s">
        <v>69</v>
      </c>
      <c r="C24" s="46"/>
      <c r="D24" s="46"/>
      <c r="E24" s="46"/>
      <c r="F24" s="46"/>
      <c r="G24" s="46"/>
    </row>
    <row r="26" spans="2:9" x14ac:dyDescent="0.2">
      <c r="B26" s="1" t="s">
        <v>89</v>
      </c>
      <c r="C26" s="1" t="s">
        <v>84</v>
      </c>
      <c r="D26" s="1" t="s">
        <v>85</v>
      </c>
      <c r="E26" s="1" t="s">
        <v>86</v>
      </c>
      <c r="F26" s="1" t="s">
        <v>87</v>
      </c>
      <c r="G26" s="1" t="s">
        <v>88</v>
      </c>
      <c r="H26" s="1"/>
      <c r="I26" s="1"/>
    </row>
    <row r="27" spans="2:9" x14ac:dyDescent="0.2">
      <c r="B27" s="2" t="s">
        <v>90</v>
      </c>
      <c r="C27" s="3">
        <v>6.8000000000000005E-2</v>
      </c>
      <c r="D27" s="3">
        <v>6.8500000000000005E-2</v>
      </c>
      <c r="E27" s="3">
        <v>6.9000000000000006E-2</v>
      </c>
      <c r="F27" s="3">
        <v>6.9500000000000006E-2</v>
      </c>
      <c r="G27" s="3">
        <v>7.0000000000000007E-2</v>
      </c>
      <c r="H27" s="3"/>
      <c r="I27" s="30"/>
    </row>
    <row r="28" spans="2:9" x14ac:dyDescent="0.2">
      <c r="B28" s="2" t="s">
        <v>91</v>
      </c>
      <c r="C28" s="30">
        <v>0.12</v>
      </c>
      <c r="D28" s="30">
        <v>0.1205</v>
      </c>
      <c r="E28" s="30">
        <v>0.12100000000000001</v>
      </c>
      <c r="F28" s="30">
        <v>0.12150000000000001</v>
      </c>
      <c r="G28" s="30">
        <v>0.12200000000000001</v>
      </c>
      <c r="H28" s="3"/>
    </row>
    <row r="29" spans="2:9" x14ac:dyDescent="0.2">
      <c r="B29" s="2" t="s">
        <v>92</v>
      </c>
      <c r="C29" s="3">
        <v>0.2</v>
      </c>
      <c r="D29" s="3">
        <v>0.2</v>
      </c>
      <c r="E29" s="3">
        <v>0.2</v>
      </c>
      <c r="F29" s="3">
        <v>0.2</v>
      </c>
      <c r="G29" s="3">
        <v>0.2</v>
      </c>
      <c r="H29" s="3"/>
    </row>
    <row r="30" spans="2:9" x14ac:dyDescent="0.2">
      <c r="B30" s="2" t="s">
        <v>93</v>
      </c>
      <c r="C30" s="3">
        <v>0</v>
      </c>
      <c r="D30" s="3">
        <v>0.18</v>
      </c>
      <c r="E30" s="3">
        <v>0.21</v>
      </c>
      <c r="F30" s="3">
        <v>0.19</v>
      </c>
      <c r="G30" s="3">
        <v>0.2</v>
      </c>
      <c r="H30" s="3"/>
    </row>
    <row r="31" spans="2:9" x14ac:dyDescent="0.2">
      <c r="B31" s="2" t="s">
        <v>42</v>
      </c>
      <c r="C31" s="3">
        <v>0.1</v>
      </c>
      <c r="D31" s="3">
        <v>0.2</v>
      </c>
      <c r="E31" s="3">
        <v>0.3</v>
      </c>
      <c r="F31" s="3">
        <v>0.4</v>
      </c>
      <c r="G31" s="3">
        <v>0.4</v>
      </c>
      <c r="H31" s="40"/>
      <c r="I31" s="40"/>
    </row>
    <row r="32" spans="2:9" x14ac:dyDescent="0.2">
      <c r="B32" s="27" t="s">
        <v>94</v>
      </c>
      <c r="C32" s="30">
        <v>5.0000000000000001E-3</v>
      </c>
      <c r="D32" s="30">
        <v>0.01</v>
      </c>
      <c r="E32" s="30">
        <v>1.4999999999999999E-2</v>
      </c>
      <c r="F32" s="30">
        <v>0.02</v>
      </c>
      <c r="G32" s="30">
        <v>0.02</v>
      </c>
      <c r="H32" s="40"/>
      <c r="I32" s="40"/>
    </row>
    <row r="33" spans="2:12" x14ac:dyDescent="0.2">
      <c r="B33" s="47" t="s">
        <v>75</v>
      </c>
      <c r="C33" s="48">
        <f>+C28-C27</f>
        <v>5.1999999999999991E-2</v>
      </c>
      <c r="D33" s="48">
        <f>+D28-D27</f>
        <v>5.1999999999999991E-2</v>
      </c>
      <c r="E33" s="48">
        <f>+E28-E27</f>
        <v>5.2000000000000005E-2</v>
      </c>
      <c r="F33" s="48">
        <f>+F28-F27</f>
        <v>5.2000000000000005E-2</v>
      </c>
      <c r="G33" s="48">
        <f>+G28-G27</f>
        <v>5.2000000000000005E-2</v>
      </c>
      <c r="H33" s="40"/>
      <c r="I33" s="40"/>
    </row>
    <row r="34" spans="2:12" x14ac:dyDescent="0.2">
      <c r="B34" s="2"/>
      <c r="C34" s="3"/>
      <c r="D34" s="3"/>
      <c r="E34" s="3"/>
      <c r="F34" s="3"/>
      <c r="G34" s="3"/>
      <c r="H34" s="40"/>
      <c r="I34" s="40"/>
    </row>
    <row r="35" spans="2:12" x14ac:dyDescent="0.2">
      <c r="B35" s="29" t="s">
        <v>95</v>
      </c>
      <c r="C35" s="40"/>
      <c r="D35" s="40"/>
      <c r="E35" s="40"/>
      <c r="F35" s="40"/>
      <c r="G35" s="40"/>
      <c r="H35" s="40"/>
    </row>
    <row r="36" spans="2:12" x14ac:dyDescent="0.2">
      <c r="C36" s="5" t="s">
        <v>96</v>
      </c>
      <c r="D36" t="s">
        <v>31</v>
      </c>
      <c r="E36" s="49" t="s">
        <v>70</v>
      </c>
      <c r="F36" s="49" t="s">
        <v>97</v>
      </c>
      <c r="G36" s="5" t="s">
        <v>98</v>
      </c>
      <c r="H36" s="49" t="s">
        <v>47</v>
      </c>
      <c r="I36" s="49" t="s">
        <v>73</v>
      </c>
      <c r="J36" s="49" t="s">
        <v>74</v>
      </c>
      <c r="K36" s="49" t="s">
        <v>71</v>
      </c>
      <c r="L36" s="49" t="s">
        <v>5</v>
      </c>
    </row>
    <row r="37" spans="2:12" x14ac:dyDescent="0.2">
      <c r="B37" t="s">
        <v>99</v>
      </c>
      <c r="C37">
        <v>3800</v>
      </c>
      <c r="D37">
        <v>200</v>
      </c>
      <c r="E37" s="40"/>
      <c r="F37" s="50">
        <v>1100</v>
      </c>
      <c r="G37" s="30"/>
      <c r="H37" s="30"/>
      <c r="J37" s="40">
        <v>0.1</v>
      </c>
      <c r="K37" s="39">
        <v>0.13</v>
      </c>
      <c r="L37" s="30"/>
    </row>
    <row r="38" spans="2:12" x14ac:dyDescent="0.2">
      <c r="B38" t="s">
        <v>100</v>
      </c>
      <c r="G38" s="30"/>
      <c r="H38" s="30">
        <v>0.2</v>
      </c>
      <c r="I38" s="40">
        <v>1.1499999999999999</v>
      </c>
      <c r="J38" s="40">
        <v>0.15</v>
      </c>
      <c r="K38" s="40"/>
      <c r="L38" s="30"/>
    </row>
    <row r="39" spans="2:12" x14ac:dyDescent="0.2">
      <c r="B39" t="s">
        <v>101</v>
      </c>
      <c r="G39" s="30">
        <v>0.6</v>
      </c>
      <c r="H39" s="30"/>
      <c r="I39" s="40">
        <v>1.3</v>
      </c>
      <c r="J39" s="40"/>
      <c r="K39" s="40"/>
      <c r="L39" s="30">
        <v>0.08</v>
      </c>
    </row>
    <row r="40" spans="2:12" x14ac:dyDescent="0.2">
      <c r="B40" t="s">
        <v>102</v>
      </c>
      <c r="C40">
        <v>4000</v>
      </c>
      <c r="D40">
        <v>100</v>
      </c>
      <c r="E40" s="50">
        <v>4100</v>
      </c>
      <c r="F40" s="40"/>
      <c r="G40" s="30"/>
      <c r="H40" s="30"/>
      <c r="J40" s="40"/>
      <c r="K40" s="39">
        <v>0.12</v>
      </c>
      <c r="L40" s="30"/>
    </row>
    <row r="41" spans="2:12" x14ac:dyDescent="0.2">
      <c r="B41" s="2"/>
      <c r="E41" s="3"/>
      <c r="F41" s="3"/>
      <c r="G41" s="3"/>
      <c r="H41" s="3"/>
      <c r="I41" s="3"/>
      <c r="J41" s="40"/>
      <c r="K41" s="40"/>
    </row>
    <row r="42" spans="2:12" x14ac:dyDescent="0.2">
      <c r="B42" s="41"/>
      <c r="E42" s="42"/>
      <c r="F42" s="42"/>
      <c r="G42" s="42"/>
      <c r="H42" s="42"/>
      <c r="J42" s="42"/>
      <c r="L42" s="42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OpeningPage</vt:lpstr>
      <vt:lpstr>Admin</vt:lpstr>
      <vt:lpstr>Task 1</vt:lpstr>
      <vt:lpstr>Task 2</vt:lpstr>
      <vt:lpstr>Task 3</vt:lpstr>
      <vt:lpstr>Task 4</vt:lpstr>
      <vt:lpstr>Task 5</vt:lpstr>
      <vt:lpstr>Bonus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Gao Weijun</cp:lastModifiedBy>
  <dcterms:created xsi:type="dcterms:W3CDTF">2014-05-14T18:27:14Z</dcterms:created>
  <dcterms:modified xsi:type="dcterms:W3CDTF">2024-12-16T15:59:58Z</dcterms:modified>
</cp:coreProperties>
</file>