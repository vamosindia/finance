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Munka\!PUTanszek\!AppliedBusinessValuation\2024Fall\Week3\"/>
    </mc:Choice>
  </mc:AlternateContent>
  <xr:revisionPtr revIDLastSave="0" documentId="8_{A7F909F8-3D41-47D5-991E-0CC57EA507D3}" xr6:coauthVersionLast="47" xr6:coauthVersionMax="47" xr10:uidLastSave="{00000000-0000-0000-0000-000000000000}"/>
  <bookViews>
    <workbookView xWindow="-98" yWindow="-98" windowWidth="28996" windowHeight="15675" xr2:uid="{EE2224F1-1A86-480D-9DF9-DD5525925017}"/>
  </bookViews>
  <sheets>
    <sheet name="Model" sheetId="6"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6" i="6" l="1"/>
  <c r="E26" i="6" s="1"/>
  <c r="F26" i="6" s="1"/>
  <c r="G26" i="6" s="1"/>
  <c r="H26" i="6" s="1"/>
</calcChain>
</file>

<file path=xl/sharedStrings.xml><?xml version="1.0" encoding="utf-8"?>
<sst xmlns="http://schemas.openxmlformats.org/spreadsheetml/2006/main" count="11" uniqueCount="11">
  <si>
    <t>rD</t>
  </si>
  <si>
    <t>t</t>
  </si>
  <si>
    <t>IC boy</t>
  </si>
  <si>
    <t>ROIC</t>
  </si>
  <si>
    <t>RONIC</t>
  </si>
  <si>
    <t>K</t>
  </si>
  <si>
    <t>rA</t>
  </si>
  <si>
    <t>g</t>
  </si>
  <si>
    <t>Debt/V boy</t>
  </si>
  <si>
    <t>TV1</t>
  </si>
  <si>
    <t>TV2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</si>
</sst>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xf numFmtId="10" fontId="0" fillId="0" borderId="0" xfId="1" applyNumberFormat="1" applyFont="1" applyFill="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428625</xdr:colOff>
      <xdr:row>0</xdr:row>
      <xdr:rowOff>87085</xdr:rowOff>
    </xdr:from>
    <xdr:to>
      <xdr:col>10</xdr:col>
      <xdr:colOff>92527</xdr:colOff>
      <xdr:row>24</xdr:row>
      <xdr:rowOff>157163</xdr:rowOff>
    </xdr:to>
    <xdr:sp macro="" textlink="">
      <xdr:nvSpPr>
        <xdr:cNvPr id="2" name="Szövegdoboz 1">
          <a:extLst>
            <a:ext uri="{FF2B5EF4-FFF2-40B4-BE49-F238E27FC236}">
              <a16:creationId xmlns:a16="http://schemas.microsoft.com/office/drawing/2014/main" id="{E780D898-A982-4A49-A19B-CE837499D440}"/>
            </a:ext>
          </a:extLst>
        </xdr:cNvPr>
        <xdr:cNvSpPr txBox="1"/>
      </xdr:nvSpPr>
      <xdr:spPr>
        <a:xfrm>
          <a:off x="428625" y="87085"/>
          <a:ext cx="7331527" cy="4870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Financing Challenge</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was sitting puzzled in front of his computer. Just a week ago, he organised an opening party for the Kebab Shop, and he managed to move to a new location successfully. During that, he not only met Jean, a wonderful and clever girl, but Thomas, his best friend, also showed up. He wanted John’s advice on financing the garage he recently took over from his old “Maestro”, Mr. Sáros. Now, just a couple of days later, Tom has sent an email with all the details.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has decided to modernise the garage and move away from the overly conservative zero-leverage strategy of the old owner. As a well-established company with real estate of considerable value, Tom was confident of attracting foreign capital quickly. When he contacted a bank, they came up with two attractive proposals besides the classic debt.</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 </a:t>
          </a:r>
          <a:r>
            <a:rPr lang="en-GB" sz="1100">
              <a:solidFill>
                <a:schemeClr val="dk1"/>
              </a:solidFill>
              <a:effectLst/>
              <a:latin typeface="+mn-lt"/>
              <a:ea typeface="+mn-ea"/>
              <a:cs typeface="+mn-cs"/>
            </a:rPr>
            <a:t>The firm could issue a bond purchased by a dedicated government agency to support the growth of midsized firms nationwide. The agency offers to buy bonds at a total value of 8000 if a yearly interest of 8 percent would be paid on the face value. The bond would have a lifetime of 5 years and be repaid in four equal instalments during the last years.</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B. </a:t>
          </a:r>
          <a:r>
            <a:rPr lang="en-GB" sz="1100">
              <a:solidFill>
                <a:schemeClr val="dk1"/>
              </a:solidFill>
              <a:effectLst/>
              <a:latin typeface="+mn-lt"/>
              <a:ea typeface="+mn-ea"/>
              <a:cs typeface="+mn-cs"/>
            </a:rPr>
            <a:t>It would also be possible to profit from a particular EU-subsidised loan that supports companies in regions with a development level below the country average. The available amount would be 9200 for five years at a yearly rate of 5%. The principal should be repaid in two equal parts during the last two years. Here, the bank requires the garage to maintain a debt service reserve account (DSRA) of 6 months.</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Tom also investigated standard bank products and learned that the yearly fixed interest would be 7% for the next five years based on their risk and the current yield curve. Tom also attached his financial plan for the coming years and finished his email as follows. “One thing is sure: after five years, we will move over to the standard financing as none can benefit from these products twice or get both after each other. You studied finance at the university. Which option should I go for? I need your help, buddy.”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Calculate the firm's current value using all the DCF methods you know for both alternatives.</a:t>
          </a:r>
          <a:r>
            <a:rPr lang="hu-HU" sz="1100">
              <a:solidFill>
                <a:schemeClr val="dk1"/>
              </a:solidFill>
              <a:effectLst/>
              <a:latin typeface="+mn-lt"/>
              <a:ea typeface="+mn-ea"/>
              <a:cs typeface="+mn-cs"/>
            </a:rPr>
            <a:t> Assume new</a:t>
          </a:r>
          <a:r>
            <a:rPr lang="hu-HU" sz="1100" baseline="0">
              <a:solidFill>
                <a:schemeClr val="dk1"/>
              </a:solidFill>
              <a:effectLst/>
              <a:latin typeface="+mn-lt"/>
              <a:ea typeface="+mn-ea"/>
              <a:cs typeface="+mn-cs"/>
            </a:rPr>
            <a:t> projects generate no added value during the TV period.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your results change depending on whether the garage uses fair value accounting or the classic method?</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 </a:t>
          </a:r>
          <a:r>
            <a:rPr lang="en-GB" sz="1100">
              <a:solidFill>
                <a:schemeClr val="dk1"/>
              </a:solidFill>
              <a:effectLst/>
              <a:latin typeface="+mn-lt"/>
              <a:ea typeface="+mn-ea"/>
              <a:cs typeface="+mn-cs"/>
            </a:rPr>
            <a:t>Which of the offers is more advantageous for the garage?</a:t>
          </a:r>
          <a:endParaRPr lang="hu-H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4. </a:t>
          </a:r>
          <a:r>
            <a:rPr lang="en-GB" sz="1100">
              <a:solidFill>
                <a:schemeClr val="dk1"/>
              </a:solidFill>
              <a:effectLst/>
              <a:latin typeface="+mn-lt"/>
              <a:ea typeface="+mn-ea"/>
              <a:cs typeface="+mn-cs"/>
            </a:rPr>
            <a:t>How would your calculation change for the subsidised loan case if only 80% of the interest could be deducted from the tax base?</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2D25-4671-4428-B8B6-A287673909B6}">
  <dimension ref="B26:L36"/>
  <sheetViews>
    <sheetView tabSelected="1" workbookViewId="0">
      <selection activeCell="L23" sqref="L23"/>
    </sheetView>
  </sheetViews>
  <sheetFormatPr defaultRowHeight="15.75" x14ac:dyDescent="0.5"/>
  <cols>
    <col min="2" max="2" width="17.4375" bestFit="1" customWidth="1"/>
    <col min="3" max="6" width="8.6875" bestFit="1" customWidth="1"/>
    <col min="7" max="7" width="9.375" bestFit="1" customWidth="1"/>
    <col min="8" max="8" width="12.375" bestFit="1" customWidth="1"/>
    <col min="9" max="9" width="8.6875" bestFit="1" customWidth="1"/>
  </cols>
  <sheetData>
    <row r="26" spans="2:12" x14ac:dyDescent="0.5">
      <c r="C26" s="1">
        <v>2025</v>
      </c>
      <c r="D26" s="2">
        <f>+C26+1</f>
        <v>2026</v>
      </c>
      <c r="E26" s="2">
        <f t="shared" ref="E26:H26" si="0">+D26+1</f>
        <v>2027</v>
      </c>
      <c r="F26" s="2">
        <f t="shared" si="0"/>
        <v>2028</v>
      </c>
      <c r="G26" s="2">
        <f t="shared" si="0"/>
        <v>2029</v>
      </c>
      <c r="H26" s="2">
        <f t="shared" si="0"/>
        <v>2030</v>
      </c>
      <c r="I26" s="2" t="s">
        <v>9</v>
      </c>
      <c r="J26" s="2" t="s">
        <v>10</v>
      </c>
    </row>
    <row r="27" spans="2:12" x14ac:dyDescent="0.5">
      <c r="B27" t="s">
        <v>2</v>
      </c>
      <c r="C27" s="6">
        <v>20000</v>
      </c>
      <c r="D27" s="4"/>
      <c r="E27" s="4"/>
      <c r="F27" s="4"/>
      <c r="G27" s="4"/>
      <c r="H27" s="4"/>
      <c r="I27" s="4"/>
      <c r="J27" s="4"/>
      <c r="K27" s="4"/>
    </row>
    <row r="28" spans="2:12" x14ac:dyDescent="0.5">
      <c r="B28" t="s">
        <v>3</v>
      </c>
      <c r="C28" s="7">
        <v>0.15</v>
      </c>
      <c r="D28" s="3"/>
      <c r="E28" s="3"/>
      <c r="F28" s="3"/>
      <c r="G28" s="3"/>
      <c r="H28" s="3"/>
    </row>
    <row r="29" spans="2:12" x14ac:dyDescent="0.5">
      <c r="B29" t="s">
        <v>4</v>
      </c>
      <c r="C29" s="3"/>
      <c r="D29" s="7">
        <v>0.14000000000000001</v>
      </c>
      <c r="E29" s="7">
        <v>0.13</v>
      </c>
      <c r="F29" s="7">
        <v>0.12</v>
      </c>
      <c r="G29" s="7">
        <v>0.11</v>
      </c>
      <c r="H29" s="7">
        <v>0.1</v>
      </c>
      <c r="I29" s="3"/>
      <c r="J29" s="3"/>
      <c r="K29" s="3"/>
      <c r="L29" s="3"/>
    </row>
    <row r="30" spans="2:12" x14ac:dyDescent="0.5">
      <c r="B30" t="s">
        <v>5</v>
      </c>
      <c r="C30" s="7">
        <v>0.6</v>
      </c>
      <c r="D30" s="7">
        <v>0.6</v>
      </c>
      <c r="E30" s="7">
        <v>0.6</v>
      </c>
      <c r="F30" s="7">
        <v>0.6</v>
      </c>
      <c r="G30" s="7">
        <v>0.6</v>
      </c>
      <c r="H30" s="7">
        <v>0.6</v>
      </c>
      <c r="I30" s="3"/>
      <c r="J30" s="3"/>
      <c r="K30" s="3"/>
      <c r="L30" s="3"/>
    </row>
    <row r="31" spans="2:12" x14ac:dyDescent="0.5">
      <c r="B31" t="s">
        <v>7</v>
      </c>
      <c r="C31" s="3"/>
      <c r="D31" s="9"/>
      <c r="E31" s="9"/>
      <c r="F31" s="9"/>
      <c r="G31" s="9"/>
      <c r="H31" s="9"/>
      <c r="I31" s="9"/>
      <c r="J31" s="7">
        <v>0.06</v>
      </c>
      <c r="K31" s="7">
        <v>0.06</v>
      </c>
    </row>
    <row r="32" spans="2:12" x14ac:dyDescent="0.5">
      <c r="B32" t="s">
        <v>6</v>
      </c>
      <c r="C32" s="5">
        <v>0.1</v>
      </c>
      <c r="D32" s="5">
        <v>0.1</v>
      </c>
      <c r="E32" s="5">
        <v>0.1</v>
      </c>
      <c r="F32" s="5">
        <v>0.1</v>
      </c>
      <c r="G32" s="5">
        <v>0.1</v>
      </c>
      <c r="H32" s="5">
        <v>0.1</v>
      </c>
      <c r="I32" s="5">
        <v>0.1</v>
      </c>
      <c r="J32" s="5">
        <v>0.1</v>
      </c>
      <c r="K32" s="5">
        <v>0.1</v>
      </c>
    </row>
    <row r="33" spans="2:11" x14ac:dyDescent="0.5">
      <c r="B33" t="s">
        <v>1</v>
      </c>
      <c r="C33" s="5">
        <v>0.2</v>
      </c>
      <c r="D33" s="5">
        <v>0.2</v>
      </c>
      <c r="E33" s="5">
        <v>0.2</v>
      </c>
      <c r="F33" s="5">
        <v>0.2</v>
      </c>
      <c r="G33" s="5">
        <v>0.2</v>
      </c>
      <c r="H33" s="5">
        <v>0.2</v>
      </c>
      <c r="I33" s="5">
        <v>0.2</v>
      </c>
      <c r="J33" s="5">
        <v>0.2</v>
      </c>
      <c r="K33" s="5">
        <v>0.2</v>
      </c>
    </row>
    <row r="34" spans="2:11" x14ac:dyDescent="0.5">
      <c r="B34" t="s">
        <v>8</v>
      </c>
      <c r="H34" s="7">
        <v>0.4</v>
      </c>
      <c r="I34" s="7">
        <v>0.4</v>
      </c>
      <c r="J34" s="7">
        <v>0.4</v>
      </c>
      <c r="K34" s="7">
        <v>0.4</v>
      </c>
    </row>
    <row r="35" spans="2:11" x14ac:dyDescent="0.5">
      <c r="B35" t="s">
        <v>0</v>
      </c>
      <c r="H35" s="5">
        <v>0.06</v>
      </c>
      <c r="I35" s="5">
        <v>0.06</v>
      </c>
      <c r="J35" s="5">
        <v>0.06</v>
      </c>
      <c r="K35" s="5">
        <v>0.06</v>
      </c>
    </row>
    <row r="36" spans="2:11" x14ac:dyDescent="0.5">
      <c r="H36" s="8"/>
      <c r="I36" s="8"/>
      <c r="J36" s="8"/>
      <c r="K36" s="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1</vt:i4>
      </vt:variant>
    </vt:vector>
  </HeadingPairs>
  <TitlesOfParts>
    <vt:vector size="1" baseType="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Péter Juhász</cp:lastModifiedBy>
  <dcterms:created xsi:type="dcterms:W3CDTF">2023-11-05T11:18:39Z</dcterms:created>
  <dcterms:modified xsi:type="dcterms:W3CDTF">2024-11-16T20:41:24Z</dcterms:modified>
</cp:coreProperties>
</file>