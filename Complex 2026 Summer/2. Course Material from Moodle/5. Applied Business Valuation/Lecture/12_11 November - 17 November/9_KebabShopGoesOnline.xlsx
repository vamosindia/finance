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Munka\!PUTanszek\!AppliedBusinessValuation\2023Fall\Week2\"/>
    </mc:Choice>
  </mc:AlternateContent>
  <xr:revisionPtr revIDLastSave="0" documentId="13_ncr:1_{4E3DCBCE-5C0F-4C27-8F6F-FB3AAEE1B2EF}" xr6:coauthVersionLast="47" xr6:coauthVersionMax="47" xr10:uidLastSave="{00000000-0000-0000-0000-000000000000}"/>
  <bookViews>
    <workbookView xWindow="-103" yWindow="-103" windowWidth="33120" windowHeight="18000" xr2:uid="{EE2224F1-1A86-480D-9DF9-DD5525925017}"/>
  </bookViews>
  <sheets>
    <sheet name="Model"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6" i="3" l="1"/>
  <c r="S35" i="3"/>
  <c r="N34" i="3"/>
  <c r="N33" i="3"/>
  <c r="S34" i="3"/>
  <c r="R34" i="3"/>
  <c r="Q34" i="3"/>
  <c r="P34" i="3"/>
  <c r="O34" i="3"/>
  <c r="S33" i="3"/>
  <c r="R33" i="3"/>
  <c r="Q33" i="3"/>
  <c r="P33" i="3"/>
  <c r="O33" i="3"/>
  <c r="S32" i="3"/>
  <c r="R32" i="3"/>
  <c r="Q32" i="3"/>
  <c r="P32" i="3"/>
  <c r="O32" i="3"/>
  <c r="S31" i="3"/>
  <c r="R31" i="3"/>
  <c r="Q31" i="3"/>
  <c r="P31" i="3"/>
  <c r="O31" i="3"/>
  <c r="N31" i="3"/>
  <c r="N25" i="3"/>
  <c r="O25" i="3" s="1"/>
  <c r="P25" i="3" s="1"/>
  <c r="Q25" i="3" s="1"/>
  <c r="R25" i="3" s="1"/>
  <c r="S25" i="3" s="1"/>
  <c r="N26" i="3"/>
  <c r="D25" i="3"/>
  <c r="E25" i="3" s="1"/>
  <c r="F25" i="3" s="1"/>
  <c r="G25" i="3" s="1"/>
  <c r="H25" i="3" s="1"/>
</calcChain>
</file>

<file path=xl/sharedStrings.xml><?xml version="1.0" encoding="utf-8"?>
<sst xmlns="http://schemas.openxmlformats.org/spreadsheetml/2006/main" count="22" uniqueCount="11">
  <si>
    <t>rD</t>
  </si>
  <si>
    <t>t</t>
  </si>
  <si>
    <t>IC boy</t>
  </si>
  <si>
    <t>ROIC</t>
  </si>
  <si>
    <t>RONIC</t>
  </si>
  <si>
    <t>K</t>
  </si>
  <si>
    <t>dIC</t>
  </si>
  <si>
    <t>Debt/IC boy</t>
  </si>
  <si>
    <t>Moving costs/IC eoy</t>
  </si>
  <si>
    <t>rA</t>
  </si>
  <si>
    <t>Rental Right boy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</si>
</sst>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0" xfId="0" applyFont="1" applyFill="1" applyAlignment="1">
      <alignment horizontal="center"/>
    </xf>
    <xf numFmtId="0" fontId="2" fillId="0" borderId="0" xfId="0" applyFont="1" applyAlignment="1">
      <alignment horizontal="center"/>
    </xf>
    <xf numFmtId="10" fontId="0" fillId="0" borderId="0" xfId="1" applyNumberFormat="1" applyFont="1"/>
    <xf numFmtId="4" fontId="0" fillId="0" borderId="0" xfId="0" applyNumberFormat="1"/>
    <xf numFmtId="0" fontId="0" fillId="4" borderId="0" xfId="0" applyFill="1"/>
    <xf numFmtId="10" fontId="0" fillId="3" borderId="0" xfId="0" applyNumberFormat="1" applyFill="1"/>
    <xf numFmtId="4" fontId="0" fillId="3" borderId="0" xfId="0" applyNumberFormat="1" applyFill="1"/>
    <xf numFmtId="10" fontId="0" fillId="3" borderId="0" xfId="1" applyNumberFormat="1" applyFont="1" applyFill="1"/>
    <xf numFmtId="10" fontId="0" fillId="0" borderId="0" xfId="0" applyNumberFormat="1"/>
    <xf numFmtId="4" fontId="0" fillId="5" borderId="0" xfId="0" applyNumberFormat="1" applyFill="1"/>
    <xf numFmtId="10" fontId="0" fillId="5" borderId="0" xfId="1" applyNumberFormat="1" applyFont="1" applyFill="1"/>
    <xf numFmtId="4" fontId="0" fillId="0" borderId="0" xfId="0" applyNumberFormat="1" applyFill="1"/>
    <xf numFmtId="0" fontId="2" fillId="0" borderId="0" xfId="0" applyFont="1" applyFill="1" applyAlignment="1">
      <alignment horizontal="center"/>
    </xf>
  </cellXfs>
  <cellStyles count="2">
    <cellStyle name="Normál" xfId="0" builtinId="0"/>
    <cellStyle name="Százalék"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97970</xdr:colOff>
      <xdr:row>0</xdr:row>
      <xdr:rowOff>103415</xdr:rowOff>
    </xdr:from>
    <xdr:to>
      <xdr:col>10</xdr:col>
      <xdr:colOff>87084</xdr:colOff>
      <xdr:row>23</xdr:row>
      <xdr:rowOff>10886</xdr:rowOff>
    </xdr:to>
    <xdr:sp macro="" textlink="">
      <xdr:nvSpPr>
        <xdr:cNvPr id="2" name="Szövegdoboz 1">
          <a:extLst>
            <a:ext uri="{FF2B5EF4-FFF2-40B4-BE49-F238E27FC236}">
              <a16:creationId xmlns:a16="http://schemas.microsoft.com/office/drawing/2014/main" id="{C00D0995-3BB9-4A84-82D8-A74480B74F14}"/>
            </a:ext>
          </a:extLst>
        </xdr:cNvPr>
        <xdr:cNvSpPr txBox="1"/>
      </xdr:nvSpPr>
      <xdr:spPr>
        <a:xfrm>
          <a:off x="794656" y="103415"/>
          <a:ext cx="6662057" cy="45393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goes online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Recently, John’s became the CEO of The Kebab Shop, a small family-owned self-service restaurant selling Turkish and Arabic food. The business was founded by his grandfather was recently moved from the ground floor of his house just recently. John successfully bought the rental right of a municipality-owned real estate near the city centre for six years for 1200.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It was just at the celebration of the reopening when John met his former classmate, Jane, a blond girl with the world’s most beautiful smile, as he described her to his grandma. Jane became an IT professional who recommended The Kebab Shop to offer online sales and home delivery. Seeing that John is not very comfortable with online sales, she offered immediately to team up with the family and create the website and the direct invoicing connection to the bookkeeping and the tax authorities. She even offered to pay for the development in exchange for a modest stake in the restaurant. “We should not mix emotions with business” – Grandma said. “Calculate the value of her work and we will pay for it.”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created a plan both for the case with the online ordering and delivery and without it. Though, he was worried, that the family would not be able to pay for Jane’s contribution right on the spot as the renovation of the new venue burned quite a big part of their cash reserve. Thus, he decided to calculate what percentage of ownership could be offered in exchange for the job done instead of a cash payment. He was really hoping for the family to agree on such an alternative as this solution would also assure him of meeting Jane regularly.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For the calculations, assume that at the end of the rental period, the Kebab Shop will have to move out, which may lead to us losing 10 percent of the </a:t>
          </a:r>
          <a:r>
            <a:rPr lang="hu-HU" sz="1100">
              <a:solidFill>
                <a:schemeClr val="dk1"/>
              </a:solidFill>
              <a:effectLst/>
              <a:latin typeface="+mn-lt"/>
              <a:ea typeface="+mn-ea"/>
              <a:cs typeface="+mn-cs"/>
            </a:rPr>
            <a:t>end of year </a:t>
          </a:r>
          <a:r>
            <a:rPr lang="en-GB" sz="1100">
              <a:solidFill>
                <a:schemeClr val="dk1"/>
              </a:solidFill>
              <a:effectLst/>
              <a:latin typeface="+mn-lt"/>
              <a:ea typeface="+mn-ea"/>
              <a:cs typeface="+mn-cs"/>
            </a:rPr>
            <a:t>invested capital on moving costs (not included in the plan yet). At that time, debt needs to be repaid completely.</a:t>
          </a:r>
          <a:r>
            <a:rPr lang="hu-HU" sz="1100">
              <a:solidFill>
                <a:schemeClr val="dk1"/>
              </a:solidFill>
              <a:effectLst/>
              <a:latin typeface="+mn-lt"/>
              <a:ea typeface="+mn-ea"/>
              <a:cs typeface="+mn-cs"/>
            </a:rPr>
            <a:t> Fot the terminal value use</a:t>
          </a:r>
          <a:r>
            <a:rPr lang="hu-HU" sz="1100" baseline="0">
              <a:solidFill>
                <a:schemeClr val="dk1"/>
              </a:solidFill>
              <a:effectLst/>
              <a:latin typeface="+mn-lt"/>
              <a:ea typeface="+mn-ea"/>
              <a:cs typeface="+mn-cs"/>
            </a:rPr>
            <a:t> the liquidation value.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Based on the data provided, calculate the maximum amount that the family should pay for setting up the online sales and home delivery business.</a:t>
          </a:r>
          <a:r>
            <a:rPr lang="hu-HU" sz="1100">
              <a:solidFill>
                <a:schemeClr val="dk1"/>
              </a:solidFill>
              <a:effectLst/>
              <a:latin typeface="+mn-lt"/>
              <a:ea typeface="+mn-ea"/>
              <a:cs typeface="+mn-cs"/>
            </a:rPr>
            <a:t> Use all DCF methods</a:t>
          </a:r>
          <a:r>
            <a:rPr lang="hu-HU" sz="1100" baseline="0">
              <a:solidFill>
                <a:schemeClr val="dk1"/>
              </a:solidFill>
              <a:effectLst/>
              <a:latin typeface="+mn-lt"/>
              <a:ea typeface="+mn-ea"/>
              <a:cs typeface="+mn-cs"/>
            </a:rPr>
            <a:t> you know.</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What is the maximum percent of ownership that they may offer in exchange for Jane covering all the costs?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Which of the two solutions would be more advantageous?</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5979-18F8-4B7C-8FB7-14CB6920CF15}">
  <dimension ref="B25:T38"/>
  <sheetViews>
    <sheetView tabSelected="1" workbookViewId="0">
      <selection activeCell="K39" sqref="K39"/>
    </sheetView>
  </sheetViews>
  <sheetFormatPr defaultRowHeight="15.9" x14ac:dyDescent="0.45"/>
  <cols>
    <col min="2" max="2" width="17.42578125" bestFit="1" customWidth="1"/>
    <col min="3" max="9" width="8.7109375" bestFit="1" customWidth="1"/>
    <col min="13" max="13" width="21.5703125" bestFit="1" customWidth="1"/>
    <col min="14" max="20" width="8.7109375" bestFit="1" customWidth="1"/>
  </cols>
  <sheetData>
    <row r="25" spans="2:20" x14ac:dyDescent="0.45">
      <c r="C25" s="1">
        <v>2024</v>
      </c>
      <c r="D25" s="2">
        <f>+C25+1</f>
        <v>2025</v>
      </c>
      <c r="E25" s="2">
        <f t="shared" ref="E25:H25" si="0">+D25+1</f>
        <v>2026</v>
      </c>
      <c r="F25" s="2">
        <f t="shared" si="0"/>
        <v>2027</v>
      </c>
      <c r="G25" s="2">
        <f t="shared" si="0"/>
        <v>2028</v>
      </c>
      <c r="H25" s="2">
        <f t="shared" si="0"/>
        <v>2029</v>
      </c>
      <c r="N25" s="13">
        <f>+C25</f>
        <v>2024</v>
      </c>
      <c r="O25" s="2">
        <f>+N25+1</f>
        <v>2025</v>
      </c>
      <c r="P25" s="2">
        <f t="shared" ref="P25" si="1">+O25+1</f>
        <v>2026</v>
      </c>
      <c r="Q25" s="2">
        <f t="shared" ref="Q25" si="2">+P25+1</f>
        <v>2027</v>
      </c>
      <c r="R25" s="2">
        <f t="shared" ref="R25" si="3">+Q25+1</f>
        <v>2028</v>
      </c>
      <c r="S25" s="2">
        <f t="shared" ref="S25" si="4">+R25+1</f>
        <v>2029</v>
      </c>
    </row>
    <row r="26" spans="2:20" x14ac:dyDescent="0.45">
      <c r="B26" t="s">
        <v>2</v>
      </c>
      <c r="C26" s="7">
        <v>12000</v>
      </c>
      <c r="D26" s="4"/>
      <c r="E26" s="4"/>
      <c r="F26" s="4"/>
      <c r="G26" s="4"/>
      <c r="H26" s="4"/>
      <c r="I26" s="4"/>
      <c r="M26" t="s">
        <v>2</v>
      </c>
      <c r="N26" s="7">
        <f>+C26</f>
        <v>12000</v>
      </c>
      <c r="O26" s="4"/>
      <c r="P26" s="4"/>
      <c r="Q26" s="4"/>
      <c r="R26" s="4"/>
      <c r="S26" s="4"/>
      <c r="T26" s="4"/>
    </row>
    <row r="27" spans="2:20" x14ac:dyDescent="0.45">
      <c r="B27" t="s">
        <v>6</v>
      </c>
      <c r="C27" s="7">
        <v>1350</v>
      </c>
      <c r="D27" s="7">
        <v>1150</v>
      </c>
      <c r="E27" s="7">
        <v>1100</v>
      </c>
      <c r="F27" s="4"/>
      <c r="G27" s="4"/>
      <c r="H27" s="4"/>
      <c r="M27" t="s">
        <v>6</v>
      </c>
      <c r="N27" s="10">
        <v>1600</v>
      </c>
      <c r="O27" s="10">
        <v>1400</v>
      </c>
      <c r="P27" s="10">
        <v>1200</v>
      </c>
      <c r="Q27" s="4"/>
      <c r="R27" s="4"/>
      <c r="S27" s="4"/>
    </row>
    <row r="28" spans="2:20" x14ac:dyDescent="0.45">
      <c r="B28" t="s">
        <v>3</v>
      </c>
      <c r="C28" s="8">
        <v>0.15</v>
      </c>
      <c r="D28" s="3"/>
      <c r="E28" s="3"/>
      <c r="F28" s="3"/>
      <c r="G28" s="3"/>
      <c r="H28" s="3"/>
      <c r="M28" t="s">
        <v>3</v>
      </c>
      <c r="N28" s="11">
        <v>0.16</v>
      </c>
      <c r="O28" s="3"/>
      <c r="P28" s="3"/>
      <c r="Q28" s="3"/>
      <c r="R28" s="3"/>
      <c r="S28" s="3"/>
    </row>
    <row r="29" spans="2:20" x14ac:dyDescent="0.45">
      <c r="B29" t="s">
        <v>4</v>
      </c>
      <c r="C29" s="3"/>
      <c r="D29" s="8">
        <v>0.17</v>
      </c>
      <c r="E29" s="8">
        <v>0.16500000000000001</v>
      </c>
      <c r="F29" s="8">
        <v>0.16</v>
      </c>
      <c r="G29" s="8">
        <v>0.15</v>
      </c>
      <c r="H29" s="8">
        <v>0.15</v>
      </c>
      <c r="M29" t="s">
        <v>4</v>
      </c>
      <c r="N29" s="3"/>
      <c r="O29" s="11">
        <v>0.17499999999999999</v>
      </c>
      <c r="P29" s="11">
        <v>0.17</v>
      </c>
      <c r="Q29" s="11">
        <v>0.16500000000000001</v>
      </c>
      <c r="R29" s="11">
        <v>0.16</v>
      </c>
      <c r="S29" s="8">
        <v>0.15</v>
      </c>
    </row>
    <row r="30" spans="2:20" x14ac:dyDescent="0.45">
      <c r="B30" t="s">
        <v>5</v>
      </c>
      <c r="C30" s="3"/>
      <c r="D30" s="3"/>
      <c r="E30" s="3"/>
      <c r="F30" s="8">
        <v>0.33</v>
      </c>
      <c r="G30" s="8">
        <v>0.33</v>
      </c>
      <c r="H30" s="8">
        <v>0.33</v>
      </c>
      <c r="M30" t="s">
        <v>5</v>
      </c>
      <c r="N30" s="3"/>
      <c r="O30" s="3"/>
      <c r="P30" s="3"/>
      <c r="Q30" s="8">
        <v>0.33</v>
      </c>
      <c r="R30" s="8">
        <v>0.33</v>
      </c>
      <c r="S30" s="8">
        <v>0.33</v>
      </c>
    </row>
    <row r="31" spans="2:20" x14ac:dyDescent="0.45">
      <c r="B31" t="s">
        <v>7</v>
      </c>
      <c r="C31" s="8">
        <v>0</v>
      </c>
      <c r="D31" s="8">
        <v>0.05</v>
      </c>
      <c r="E31" s="8">
        <v>0.1</v>
      </c>
      <c r="F31" s="8">
        <v>0.15</v>
      </c>
      <c r="G31" s="8">
        <v>0.2</v>
      </c>
      <c r="H31" s="8">
        <v>0.2</v>
      </c>
      <c r="M31" t="s">
        <v>7</v>
      </c>
      <c r="N31" s="8">
        <f t="shared" ref="N31:S35" si="5">+C31</f>
        <v>0</v>
      </c>
      <c r="O31" s="8">
        <f t="shared" si="5"/>
        <v>0.05</v>
      </c>
      <c r="P31" s="8">
        <f t="shared" si="5"/>
        <v>0.1</v>
      </c>
      <c r="Q31" s="8">
        <f t="shared" si="5"/>
        <v>0.15</v>
      </c>
      <c r="R31" s="8">
        <f t="shared" si="5"/>
        <v>0.2</v>
      </c>
      <c r="S31" s="8">
        <f t="shared" si="5"/>
        <v>0.2</v>
      </c>
    </row>
    <row r="32" spans="2:20" x14ac:dyDescent="0.45">
      <c r="B32" t="s">
        <v>0</v>
      </c>
      <c r="C32" s="5"/>
      <c r="D32" s="6">
        <v>7.0000000000000007E-2</v>
      </c>
      <c r="E32" s="6">
        <v>7.0000000000000007E-2</v>
      </c>
      <c r="F32" s="6">
        <v>7.0000000000000007E-2</v>
      </c>
      <c r="G32" s="6">
        <v>7.0000000000000007E-2</v>
      </c>
      <c r="H32" s="6">
        <v>7.0000000000000007E-2</v>
      </c>
      <c r="M32" t="s">
        <v>0</v>
      </c>
      <c r="N32" s="5"/>
      <c r="O32" s="8">
        <f t="shared" ref="O32:S34" si="6">+D32</f>
        <v>7.0000000000000007E-2</v>
      </c>
      <c r="P32" s="8">
        <f t="shared" ref="P32:S34" si="7">+E32</f>
        <v>7.0000000000000007E-2</v>
      </c>
      <c r="Q32" s="8">
        <f t="shared" ref="Q32:S34" si="8">+F32</f>
        <v>7.0000000000000007E-2</v>
      </c>
      <c r="R32" s="8">
        <f t="shared" ref="R32:S34" si="9">+G32</f>
        <v>7.0000000000000007E-2</v>
      </c>
      <c r="S32" s="8">
        <f t="shared" ref="S32:S34" si="10">+H32</f>
        <v>7.0000000000000007E-2</v>
      </c>
    </row>
    <row r="33" spans="2:20" x14ac:dyDescent="0.45">
      <c r="B33" t="s">
        <v>9</v>
      </c>
      <c r="C33" s="6">
        <v>0.12</v>
      </c>
      <c r="D33" s="6">
        <v>0.12</v>
      </c>
      <c r="E33" s="6">
        <v>0.12</v>
      </c>
      <c r="F33" s="6">
        <v>0.12</v>
      </c>
      <c r="G33" s="6">
        <v>0.12</v>
      </c>
      <c r="H33" s="6">
        <v>0.12</v>
      </c>
      <c r="M33" t="s">
        <v>9</v>
      </c>
      <c r="N33" s="8">
        <f t="shared" si="5"/>
        <v>0.12</v>
      </c>
      <c r="O33" s="8">
        <f t="shared" si="6"/>
        <v>0.12</v>
      </c>
      <c r="P33" s="8">
        <f t="shared" si="7"/>
        <v>0.12</v>
      </c>
      <c r="Q33" s="8">
        <f t="shared" si="8"/>
        <v>0.12</v>
      </c>
      <c r="R33" s="8">
        <f t="shared" si="9"/>
        <v>0.12</v>
      </c>
      <c r="S33" s="8">
        <f t="shared" si="10"/>
        <v>0.12</v>
      </c>
    </row>
    <row r="34" spans="2:20" x14ac:dyDescent="0.45">
      <c r="B34" t="s">
        <v>1</v>
      </c>
      <c r="C34" s="6">
        <v>0.2</v>
      </c>
      <c r="D34" s="6">
        <v>0.2</v>
      </c>
      <c r="E34" s="6">
        <v>0.2</v>
      </c>
      <c r="F34" s="6">
        <v>0.2</v>
      </c>
      <c r="G34" s="6">
        <v>0.2</v>
      </c>
      <c r="H34" s="6">
        <v>0.2</v>
      </c>
      <c r="M34" t="s">
        <v>1</v>
      </c>
      <c r="N34" s="8">
        <f t="shared" si="5"/>
        <v>0.2</v>
      </c>
      <c r="O34" s="8">
        <f t="shared" si="6"/>
        <v>0.2</v>
      </c>
      <c r="P34" s="8">
        <f t="shared" si="7"/>
        <v>0.2</v>
      </c>
      <c r="Q34" s="8">
        <f t="shared" si="8"/>
        <v>0.2</v>
      </c>
      <c r="R34" s="8">
        <f t="shared" si="9"/>
        <v>0.2</v>
      </c>
      <c r="S34" s="8">
        <f t="shared" si="10"/>
        <v>0.2</v>
      </c>
    </row>
    <row r="35" spans="2:20" x14ac:dyDescent="0.45">
      <c r="B35" t="s">
        <v>8</v>
      </c>
      <c r="C35" s="9"/>
      <c r="D35" s="9"/>
      <c r="E35" s="9"/>
      <c r="F35" s="9"/>
      <c r="G35" s="9"/>
      <c r="H35" s="6">
        <v>0.1</v>
      </c>
      <c r="M35" t="s">
        <v>8</v>
      </c>
      <c r="N35" s="9"/>
      <c r="O35" s="9"/>
      <c r="P35" s="9"/>
      <c r="Q35" s="9"/>
      <c r="R35" s="9"/>
      <c r="S35" s="8">
        <f t="shared" si="5"/>
        <v>0.1</v>
      </c>
    </row>
    <row r="36" spans="2:20" x14ac:dyDescent="0.45">
      <c r="B36" t="s">
        <v>10</v>
      </c>
      <c r="C36" s="7">
        <v>1200</v>
      </c>
      <c r="D36" s="12"/>
      <c r="E36" s="12"/>
      <c r="F36" s="12"/>
      <c r="G36" s="12"/>
      <c r="H36" s="12"/>
      <c r="M36" t="s">
        <v>10</v>
      </c>
      <c r="N36" s="7">
        <f>+C36</f>
        <v>1200</v>
      </c>
    </row>
    <row r="37" spans="2:20" x14ac:dyDescent="0.45">
      <c r="C37" s="4"/>
      <c r="D37" s="4"/>
      <c r="E37" s="4"/>
      <c r="F37" s="4"/>
      <c r="G37" s="4"/>
      <c r="H37" s="4"/>
      <c r="I37" s="4"/>
      <c r="N37" s="4"/>
      <c r="O37" s="4"/>
      <c r="P37" s="4"/>
      <c r="Q37" s="4"/>
      <c r="R37" s="4"/>
      <c r="S37" s="4"/>
      <c r="T37" s="4"/>
    </row>
    <row r="38" spans="2:20" x14ac:dyDescent="0.45">
      <c r="C38" s="4"/>
      <c r="D38" s="4"/>
      <c r="E38" s="4"/>
      <c r="F38" s="4"/>
      <c r="G38" s="4"/>
      <c r="H38" s="4"/>
      <c r="I38" s="4"/>
      <c r="N38" s="4"/>
      <c r="O38" s="4"/>
      <c r="P38" s="4"/>
      <c r="Q38" s="4"/>
      <c r="R38" s="4"/>
      <c r="S38" s="4"/>
      <c r="T38"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Juhász</dc:creator>
  <cp:lastModifiedBy>Juhász Péter</cp:lastModifiedBy>
  <dcterms:created xsi:type="dcterms:W3CDTF">2023-11-05T11:18:39Z</dcterms:created>
  <dcterms:modified xsi:type="dcterms:W3CDTF">2023-11-12T17:05:21Z</dcterms:modified>
</cp:coreProperties>
</file>