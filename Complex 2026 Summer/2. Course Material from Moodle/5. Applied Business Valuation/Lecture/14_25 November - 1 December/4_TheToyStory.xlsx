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C:\Munka\!PUTanszek\!AppliedBusinessValuation\2024Fall\Week4\"/>
    </mc:Choice>
  </mc:AlternateContent>
  <xr:revisionPtr revIDLastSave="0" documentId="13_ncr:1_{6BDF6A0C-7F1D-4E95-9D97-A9EC86B3E96D}" xr6:coauthVersionLast="47" xr6:coauthVersionMax="47" xr10:uidLastSave="{00000000-0000-0000-0000-000000000000}"/>
  <bookViews>
    <workbookView xWindow="-98" yWindow="-98" windowWidth="28996" windowHeight="15675" xr2:uid="{6AC17DAA-F61F-4023-BF72-2DE764D11DFE}"/>
  </bookViews>
  <sheets>
    <sheet name="Munk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 i="1" l="1"/>
  <c r="D3" i="1"/>
  <c r="D12" i="1"/>
  <c r="E12" i="1"/>
  <c r="C12" i="1"/>
  <c r="D21" i="1"/>
  <c r="D20" i="1"/>
  <c r="F26" i="1"/>
  <c r="E26" i="1"/>
  <c r="D26" i="1"/>
  <c r="C26" i="1"/>
  <c r="B19" i="1" l="1"/>
</calcChain>
</file>

<file path=xl/sharedStrings.xml><?xml version="1.0" encoding="utf-8"?>
<sst xmlns="http://schemas.openxmlformats.org/spreadsheetml/2006/main" count="46" uniqueCount="40">
  <si>
    <t>Sales</t>
  </si>
  <si>
    <t>Profit before tax</t>
  </si>
  <si>
    <t>Profit after tax</t>
  </si>
  <si>
    <t>PP&amp;E</t>
  </si>
  <si>
    <t>Inventory</t>
  </si>
  <si>
    <t>Receivables</t>
  </si>
  <si>
    <t>Cash</t>
  </si>
  <si>
    <t>Payables</t>
  </si>
  <si>
    <t>Debt</t>
  </si>
  <si>
    <t>Equity</t>
  </si>
  <si>
    <t>Comparable transactions</t>
  </si>
  <si>
    <t>A</t>
  </si>
  <si>
    <t>B</t>
  </si>
  <si>
    <t>C</t>
  </si>
  <si>
    <t>D</t>
  </si>
  <si>
    <t>Year</t>
  </si>
  <si>
    <t>Price paid</t>
  </si>
  <si>
    <t>Stake</t>
  </si>
  <si>
    <t>EBIT</t>
  </si>
  <si>
    <t>EV/S</t>
  </si>
  <si>
    <t>Shops</t>
  </si>
  <si>
    <t>Web shop</t>
  </si>
  <si>
    <t>Split of activity</t>
  </si>
  <si>
    <t>Activity</t>
  </si>
  <si>
    <t>Country</t>
  </si>
  <si>
    <t>Online toy retail</t>
  </si>
  <si>
    <t>Poland</t>
  </si>
  <si>
    <t>Toy retail</t>
  </si>
  <si>
    <t>Germany</t>
  </si>
  <si>
    <t>Hungary</t>
  </si>
  <si>
    <t>Grocery</t>
  </si>
  <si>
    <t>Supermarket</t>
  </si>
  <si>
    <t>EV/EBITDA</t>
  </si>
  <si>
    <r>
      <t>Shop area (m</t>
    </r>
    <r>
      <rPr>
        <vertAlign val="superscript"/>
        <sz val="12"/>
        <color theme="1"/>
        <rFont val="Calibri"/>
        <family val="2"/>
        <charset val="238"/>
        <scheme val="minor"/>
      </rPr>
      <t>2</t>
    </r>
    <r>
      <rPr>
        <sz val="12"/>
        <color theme="1"/>
        <rFont val="Calibri"/>
        <family val="2"/>
        <charset val="238"/>
        <scheme val="minor"/>
      </rPr>
      <t>)</t>
    </r>
  </si>
  <si>
    <t>N</t>
  </si>
  <si>
    <t>CEE</t>
  </si>
  <si>
    <t>West EU</t>
  </si>
  <si>
    <t>Market multiples for retail</t>
  </si>
  <si>
    <t>EBITDA</t>
  </si>
  <si>
    <t>Transaction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</si>
</sst>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charset val="238"/>
      <scheme val="minor"/>
    </font>
    <font>
      <b/>
      <sz val="12"/>
      <color theme="1"/>
      <name val="Calibri"/>
      <family val="2"/>
      <charset val="238"/>
      <scheme val="minor"/>
    </font>
    <font>
      <vertAlign val="superscript"/>
      <sz val="12"/>
      <color theme="1"/>
      <name val="Calibri"/>
      <family val="2"/>
      <charset val="23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center"/>
    </xf>
    <xf numFmtId="9" fontId="0" fillId="0" borderId="0" xfId="0" applyNumberFormat="1"/>
    <xf numFmtId="4" fontId="0" fillId="0" borderId="0" xfId="0" applyNumberFormat="1"/>
    <xf numFmtId="0" fontId="1" fillId="0" borderId="0" xfId="0" applyFont="1" applyAlignment="1">
      <alignment horizontal="center"/>
    </xf>
  </cellXfs>
  <cellStyles count="1">
    <cellStyle name="Normá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9</xdr:col>
      <xdr:colOff>353786</xdr:colOff>
      <xdr:row>0</xdr:row>
      <xdr:rowOff>92529</xdr:rowOff>
    </xdr:from>
    <xdr:to>
      <xdr:col>18</xdr:col>
      <xdr:colOff>364671</xdr:colOff>
      <xdr:row>26</xdr:row>
      <xdr:rowOff>11663</xdr:rowOff>
    </xdr:to>
    <xdr:sp macro="" textlink="">
      <xdr:nvSpPr>
        <xdr:cNvPr id="2" name="Szövegdoboz 1">
          <a:extLst>
            <a:ext uri="{FF2B5EF4-FFF2-40B4-BE49-F238E27FC236}">
              <a16:creationId xmlns:a16="http://schemas.microsoft.com/office/drawing/2014/main" id="{CFE9E943-2A5A-FCDC-904C-07B5A1755530}"/>
            </a:ext>
          </a:extLst>
        </xdr:cNvPr>
        <xdr:cNvSpPr txBox="1"/>
      </xdr:nvSpPr>
      <xdr:spPr>
        <a:xfrm>
          <a:off x="8098194" y="92529"/>
          <a:ext cx="6752253" cy="520259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b="1">
              <a:solidFill>
                <a:schemeClr val="dk1"/>
              </a:solidFill>
              <a:effectLst/>
              <a:latin typeface="+mn-lt"/>
              <a:ea typeface="+mn-ea"/>
              <a:cs typeface="+mn-cs"/>
            </a:rPr>
            <a:t>The Toy Story</a:t>
          </a:r>
          <a:endParaRPr lang="hu-HU" sz="1100" b="1">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Albert teamed up with Julian some ten years ago. They opened a toy retail shop, Toy Story, that developed into a chain of 8 outlets over time, </a:t>
          </a:r>
          <a:r>
            <a:rPr lang="hu-HU" sz="1100">
              <a:solidFill>
                <a:schemeClr val="dk1"/>
              </a:solidFill>
              <a:effectLst/>
              <a:latin typeface="+mn-lt"/>
              <a:ea typeface="+mn-ea"/>
              <a:cs typeface="+mn-cs"/>
            </a:rPr>
            <a:t>contrated to be supplier of hipermarkets, </a:t>
          </a:r>
          <a:r>
            <a:rPr lang="en-GB" sz="1100">
              <a:solidFill>
                <a:schemeClr val="dk1"/>
              </a:solidFill>
              <a:effectLst/>
              <a:latin typeface="+mn-lt"/>
              <a:ea typeface="+mn-ea"/>
              <a:cs typeface="+mn-cs"/>
            </a:rPr>
            <a:t>plus they also launched a web shop five years ago. Julian provided half of the capital for the business and has so 50 percent of ownership. Still, based on the articles of association, he only receives 40 percent of the dividend, so Albert, who provided the rest of the capital and acted as a general manager, gets compensated for his additional efforts. He received the additional 10 percent of dividends next to his modest wage (40 percent below the market rates) to make him focus on shareholder value and optimise personal taxes.</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The firm faced a hard time recently. Due to the COVID crisis, many lost their jobs, and the boosting energy prices also made a lot of people cut back on their spending on toys. As the firm buys most of its goods from China, the devaluing local currency and the skyrocketing transportation prices pushed down margins radically. However, the current outlook is promising as real wages started to grow during the last month, while the cost of financing is predicted to drop from the next quarter, and FX rates also improved slightly during the last half year.</a:t>
          </a:r>
          <a:endParaRPr lang="hu-HU" sz="1100">
            <a:solidFill>
              <a:schemeClr val="dk1"/>
            </a:solidFill>
            <a:effectLst/>
            <a:latin typeface="+mn-lt"/>
            <a:ea typeface="+mn-ea"/>
            <a:cs typeface="+mn-cs"/>
          </a:endParaRPr>
        </a:p>
        <a:p>
          <a:r>
            <a:rPr lang="hu-HU" sz="1100" baseline="0">
              <a:solidFill>
                <a:schemeClr val="dk1"/>
              </a:solidFill>
              <a:effectLst/>
              <a:latin typeface="+mn-lt"/>
              <a:ea typeface="+mn-ea"/>
              <a:cs typeface="+mn-cs"/>
            </a:rPr>
            <a:t>   </a:t>
          </a:r>
          <a:r>
            <a:rPr lang="en-GB" sz="1100">
              <a:solidFill>
                <a:schemeClr val="dk1"/>
              </a:solidFill>
              <a:effectLst/>
              <a:latin typeface="+mn-lt"/>
              <a:ea typeface="+mn-ea"/>
              <a:cs typeface="+mn-cs"/>
            </a:rPr>
            <a:t>As his son, who married recently, just started to build his own house, and his daughter had her third child born last month, Julian decided to sell his stake and use the inflow to support his family members. Albert is interested in buying the stake in order to sell the 100% package later to a professional investor. The owners already received an offer five years ago, but at that time they had no intention to sell. Julian suspects Albert plans to contact the same investor now, but Albert does not discuss his plans. </a:t>
          </a:r>
          <a:endParaRPr lang="hu-HU" sz="1100">
            <a:solidFill>
              <a:schemeClr val="dk1"/>
            </a:solidFill>
            <a:effectLst/>
            <a:latin typeface="+mn-lt"/>
            <a:ea typeface="+mn-ea"/>
            <a:cs typeface="+mn-cs"/>
          </a:endParaRPr>
        </a:p>
        <a:p>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Julian wants to see what the fair value of his holding could be. However, he confirms that the performance of the last two years would underestimate the company's abilities. Still, he does not have a good overview of the management practices behind the numbers</a:t>
          </a:r>
          <a:r>
            <a:rPr lang="hu-HU" sz="1100">
              <a:solidFill>
                <a:schemeClr val="dk1"/>
              </a:solidFill>
              <a:effectLst/>
              <a:latin typeface="+mn-lt"/>
              <a:ea typeface="+mn-ea"/>
              <a:cs typeface="+mn-cs"/>
            </a:rPr>
            <a:t>, but is sure that the tax burden will increase</a:t>
          </a:r>
          <a:r>
            <a:rPr lang="en-GB" sz="1100">
              <a:solidFill>
                <a:schemeClr val="dk1"/>
              </a:solidFill>
              <a:effectLst/>
              <a:latin typeface="+mn-lt"/>
              <a:ea typeface="+mn-ea"/>
              <a:cs typeface="+mn-cs"/>
            </a:rPr>
            <a:t>. He would not want to use a DCF for valuing the company as the estimate for the future performance would come from Albert, who is the buyer himself.</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1. You found some recent similar transactions and also collected information</a:t>
          </a:r>
          <a:r>
            <a:rPr lang="hu-HU" sz="1100" baseline="0">
              <a:solidFill>
                <a:schemeClr val="dk1"/>
              </a:solidFill>
              <a:effectLst/>
              <a:latin typeface="+mn-lt"/>
              <a:ea typeface="+mn-ea"/>
              <a:cs typeface="+mn-cs"/>
            </a:rPr>
            <a:t> from the European stock markets. </a:t>
          </a:r>
          <a:r>
            <a:rPr lang="en-GB" sz="1100">
              <a:solidFill>
                <a:schemeClr val="dk1"/>
              </a:solidFill>
              <a:effectLst/>
              <a:latin typeface="+mn-lt"/>
              <a:ea typeface="+mn-ea"/>
              <a:cs typeface="+mn-cs"/>
            </a:rPr>
            <a:t>Based on the data provided, estimate the likely market price of the Toy Story.</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2. </a:t>
          </a:r>
          <a:r>
            <a:rPr lang="en-GB" sz="1100">
              <a:solidFill>
                <a:schemeClr val="dk1"/>
              </a:solidFill>
              <a:effectLst/>
              <a:latin typeface="+mn-lt"/>
              <a:ea typeface="+mn-ea"/>
              <a:cs typeface="+mn-cs"/>
            </a:rPr>
            <a:t>What would be the value of Julian’s stake?</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3. </a:t>
          </a:r>
          <a:r>
            <a:rPr lang="en-GB" sz="1100">
              <a:solidFill>
                <a:schemeClr val="dk1"/>
              </a:solidFill>
              <a:effectLst/>
              <a:latin typeface="+mn-lt"/>
              <a:ea typeface="+mn-ea"/>
              <a:cs typeface="+mn-cs"/>
            </a:rPr>
            <a:t>What are some of the challenges of the valuation performed?</a:t>
          </a:r>
          <a:endParaRPr lang="hu-HU" sz="1100">
            <a:solidFill>
              <a:schemeClr val="dk1"/>
            </a:solidFill>
            <a:effectLst/>
            <a:latin typeface="+mn-lt"/>
            <a:ea typeface="+mn-ea"/>
            <a:cs typeface="+mn-cs"/>
          </a:endParaRPr>
        </a:p>
        <a:p>
          <a:endParaRPr lang="hu-HU" sz="1100"/>
        </a:p>
      </xdr:txBody>
    </xdr:sp>
    <xdr:clientData/>
  </xdr:twoCellAnchor>
</xdr:wsDr>
</file>

<file path=xl/theme/theme1.xml><?xml version="1.0" encoding="utf-8"?>
<a:theme xmlns:a="http://schemas.openxmlformats.org/drawingml/2006/main" name="Office-téma">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1306B-C188-42B5-A11C-919B6AF15563}">
  <dimension ref="B3:F41"/>
  <sheetViews>
    <sheetView tabSelected="1" topLeftCell="A16" zoomScale="140" zoomScaleNormal="140" workbookViewId="0">
      <selection activeCell="C39" sqref="C39"/>
    </sheetView>
  </sheetViews>
  <sheetFormatPr defaultRowHeight="15.75" x14ac:dyDescent="0.5"/>
  <cols>
    <col min="2" max="2" width="21.1875" bestFit="1" customWidth="1"/>
    <col min="3" max="3" width="8.8125" bestFit="1" customWidth="1"/>
    <col min="4" max="4" width="11.4375" bestFit="1" customWidth="1"/>
    <col min="5" max="5" width="9.8125" bestFit="1" customWidth="1"/>
    <col min="6" max="6" width="13.875" bestFit="1" customWidth="1"/>
    <col min="12" max="12" width="10.1875" bestFit="1" customWidth="1"/>
    <col min="16" max="16" width="14.375" bestFit="1" customWidth="1"/>
  </cols>
  <sheetData>
    <row r="3" spans="2:5" x14ac:dyDescent="0.5">
      <c r="C3" s="1">
        <v>2023</v>
      </c>
      <c r="D3" s="1" t="str">
        <f>+C3+1&amp;"e"</f>
        <v>2024e</v>
      </c>
      <c r="E3" s="1" t="str">
        <f>+C3+2&amp;"f"</f>
        <v>2025f</v>
      </c>
    </row>
    <row r="4" spans="2:5" x14ac:dyDescent="0.5">
      <c r="B4" t="s">
        <v>0</v>
      </c>
      <c r="C4" s="3">
        <v>10000</v>
      </c>
      <c r="D4" s="3">
        <v>11000</v>
      </c>
      <c r="E4" s="3">
        <v>13000</v>
      </c>
    </row>
    <row r="5" spans="2:5" x14ac:dyDescent="0.5">
      <c r="B5" t="s">
        <v>38</v>
      </c>
      <c r="C5" s="3">
        <v>1600</v>
      </c>
      <c r="D5" s="3">
        <v>1900</v>
      </c>
      <c r="E5" s="3">
        <v>2400</v>
      </c>
    </row>
    <row r="6" spans="2:5" x14ac:dyDescent="0.5">
      <c r="B6" t="s">
        <v>1</v>
      </c>
      <c r="C6" s="3">
        <v>1300</v>
      </c>
      <c r="D6" s="3">
        <v>1400</v>
      </c>
      <c r="E6" s="3">
        <v>2100</v>
      </c>
    </row>
    <row r="7" spans="2:5" x14ac:dyDescent="0.5">
      <c r="B7" t="s">
        <v>2</v>
      </c>
      <c r="C7" s="3">
        <v>1200</v>
      </c>
      <c r="D7" s="3">
        <v>1250</v>
      </c>
      <c r="E7" s="3">
        <v>1800</v>
      </c>
    </row>
    <row r="8" spans="2:5" x14ac:dyDescent="0.5">
      <c r="C8" s="3"/>
      <c r="D8" s="3"/>
      <c r="E8" s="3"/>
    </row>
    <row r="9" spans="2:5" x14ac:dyDescent="0.5">
      <c r="B9" t="s">
        <v>3</v>
      </c>
      <c r="C9" s="3">
        <v>5000</v>
      </c>
      <c r="D9" s="3">
        <v>5200</v>
      </c>
      <c r="E9" s="3">
        <v>5400</v>
      </c>
    </row>
    <row r="10" spans="2:5" x14ac:dyDescent="0.5">
      <c r="B10" t="s">
        <v>4</v>
      </c>
      <c r="C10" s="3">
        <v>500</v>
      </c>
      <c r="D10" s="3">
        <v>700</v>
      </c>
      <c r="E10" s="3">
        <v>900</v>
      </c>
    </row>
    <row r="11" spans="2:5" x14ac:dyDescent="0.5">
      <c r="B11" t="s">
        <v>5</v>
      </c>
      <c r="C11" s="3">
        <v>2000</v>
      </c>
      <c r="D11" s="3">
        <v>2400</v>
      </c>
      <c r="E11" s="3">
        <v>2600</v>
      </c>
    </row>
    <row r="12" spans="2:5" x14ac:dyDescent="0.5">
      <c r="B12" t="s">
        <v>6</v>
      </c>
      <c r="C12" s="3">
        <f>+C14+C15+C16-C9-C10-C11</f>
        <v>200</v>
      </c>
      <c r="D12" s="3">
        <f t="shared" ref="D12:E12" si="0">+D14+D15+D16-D9-D10-D11</f>
        <v>400</v>
      </c>
      <c r="E12" s="3">
        <f t="shared" si="0"/>
        <v>500</v>
      </c>
    </row>
    <row r="13" spans="2:5" x14ac:dyDescent="0.5">
      <c r="C13" s="3"/>
      <c r="D13" s="3"/>
      <c r="E13" s="3"/>
    </row>
    <row r="14" spans="2:5" x14ac:dyDescent="0.5">
      <c r="B14" t="s">
        <v>7</v>
      </c>
      <c r="C14" s="3">
        <v>2000</v>
      </c>
      <c r="D14" s="3">
        <v>2700</v>
      </c>
      <c r="E14" s="3">
        <v>3400</v>
      </c>
    </row>
    <row r="15" spans="2:5" x14ac:dyDescent="0.5">
      <c r="B15" t="s">
        <v>8</v>
      </c>
      <c r="C15" s="3">
        <v>2700</v>
      </c>
      <c r="D15" s="3">
        <v>2800</v>
      </c>
      <c r="E15" s="3">
        <v>3000</v>
      </c>
    </row>
    <row r="16" spans="2:5" x14ac:dyDescent="0.5">
      <c r="B16" t="s">
        <v>9</v>
      </c>
      <c r="C16" s="3">
        <v>3000</v>
      </c>
      <c r="D16" s="3">
        <v>3200</v>
      </c>
      <c r="E16" s="3">
        <v>3000</v>
      </c>
    </row>
    <row r="18" spans="2:6" x14ac:dyDescent="0.5">
      <c r="B18" t="s">
        <v>22</v>
      </c>
    </row>
    <row r="19" spans="2:6" x14ac:dyDescent="0.5">
      <c r="B19" t="str">
        <f>+D3</f>
        <v>2024e</v>
      </c>
      <c r="C19" t="s">
        <v>20</v>
      </c>
      <c r="D19" t="s">
        <v>21</v>
      </c>
    </row>
    <row r="20" spans="2:6" x14ac:dyDescent="0.5">
      <c r="B20" t="s">
        <v>0</v>
      </c>
      <c r="C20" s="2">
        <v>0.5</v>
      </c>
      <c r="D20" s="2">
        <f>1-C20</f>
        <v>0.5</v>
      </c>
    </row>
    <row r="21" spans="2:6" x14ac:dyDescent="0.5">
      <c r="B21" t="s">
        <v>18</v>
      </c>
      <c r="C21" s="2">
        <v>0.6</v>
      </c>
      <c r="D21" s="2">
        <f t="shared" ref="D21" si="1">1-C21</f>
        <v>0.4</v>
      </c>
    </row>
    <row r="22" spans="2:6" ht="18" x14ac:dyDescent="0.5">
      <c r="B22" t="s">
        <v>33</v>
      </c>
      <c r="C22" s="3">
        <v>850</v>
      </c>
      <c r="D22" s="3">
        <v>0</v>
      </c>
    </row>
    <row r="24" spans="2:6" x14ac:dyDescent="0.5">
      <c r="B24" t="s">
        <v>10</v>
      </c>
    </row>
    <row r="25" spans="2:6" x14ac:dyDescent="0.5">
      <c r="B25" t="s">
        <v>39</v>
      </c>
      <c r="C25" s="4" t="s">
        <v>11</v>
      </c>
      <c r="D25" s="4" t="s">
        <v>12</v>
      </c>
      <c r="E25" s="4" t="s">
        <v>13</v>
      </c>
      <c r="F25" s="4" t="s">
        <v>14</v>
      </c>
    </row>
    <row r="26" spans="2:6" x14ac:dyDescent="0.5">
      <c r="B26" t="s">
        <v>15</v>
      </c>
      <c r="C26" s="1">
        <f>+C3-4</f>
        <v>2019</v>
      </c>
      <c r="D26" s="1">
        <f>+C3-3</f>
        <v>2020</v>
      </c>
      <c r="E26" s="1">
        <f>+C3-1</f>
        <v>2022</v>
      </c>
      <c r="F26" s="1">
        <f>+C3-1</f>
        <v>2022</v>
      </c>
    </row>
    <row r="27" spans="2:6" x14ac:dyDescent="0.5">
      <c r="B27" t="s">
        <v>23</v>
      </c>
      <c r="C27" t="s">
        <v>30</v>
      </c>
      <c r="D27" t="s">
        <v>31</v>
      </c>
      <c r="E27" t="s">
        <v>27</v>
      </c>
      <c r="F27" t="s">
        <v>25</v>
      </c>
    </row>
    <row r="28" spans="2:6" x14ac:dyDescent="0.5">
      <c r="B28" t="s">
        <v>24</v>
      </c>
      <c r="C28" t="s">
        <v>29</v>
      </c>
      <c r="D28" t="s">
        <v>29</v>
      </c>
      <c r="E28" t="s">
        <v>28</v>
      </c>
      <c r="F28" t="s">
        <v>26</v>
      </c>
    </row>
    <row r="29" spans="2:6" ht="18" x14ac:dyDescent="0.5">
      <c r="B29" t="s">
        <v>33</v>
      </c>
      <c r="C29" s="3">
        <v>700</v>
      </c>
      <c r="D29" s="3">
        <v>3600</v>
      </c>
      <c r="E29" s="3">
        <v>8000</v>
      </c>
      <c r="F29" s="3">
        <v>0</v>
      </c>
    </row>
    <row r="30" spans="2:6" x14ac:dyDescent="0.5">
      <c r="B30" t="s">
        <v>0</v>
      </c>
      <c r="C30" s="3">
        <v>10000</v>
      </c>
      <c r="D30" s="3">
        <v>40000</v>
      </c>
      <c r="E30" s="3">
        <v>120000</v>
      </c>
      <c r="F30" s="3">
        <v>60000</v>
      </c>
    </row>
    <row r="31" spans="2:6" x14ac:dyDescent="0.5">
      <c r="B31" t="s">
        <v>38</v>
      </c>
      <c r="C31" s="3">
        <v>2000</v>
      </c>
      <c r="D31" s="3">
        <v>6000</v>
      </c>
      <c r="E31" s="3">
        <v>28000</v>
      </c>
      <c r="F31" s="3">
        <v>8000</v>
      </c>
    </row>
    <row r="32" spans="2:6" x14ac:dyDescent="0.5">
      <c r="B32" t="s">
        <v>8</v>
      </c>
      <c r="C32" s="3">
        <v>0</v>
      </c>
      <c r="D32" s="3">
        <v>10000</v>
      </c>
      <c r="E32" s="3">
        <v>50000</v>
      </c>
      <c r="F32" s="3">
        <v>20000</v>
      </c>
    </row>
    <row r="33" spans="2:6" x14ac:dyDescent="0.5">
      <c r="B33" t="s">
        <v>17</v>
      </c>
      <c r="C33" s="2">
        <v>0.6</v>
      </c>
      <c r="D33" s="2">
        <v>0.8</v>
      </c>
      <c r="E33" s="2">
        <v>1</v>
      </c>
      <c r="F33" s="2">
        <v>0.4</v>
      </c>
    </row>
    <row r="34" spans="2:6" x14ac:dyDescent="0.5">
      <c r="B34" t="s">
        <v>16</v>
      </c>
      <c r="C34" s="3">
        <v>7000</v>
      </c>
      <c r="D34" s="3">
        <v>39000</v>
      </c>
      <c r="E34" s="3">
        <v>60000</v>
      </c>
      <c r="F34" s="3">
        <v>15000</v>
      </c>
    </row>
    <row r="35" spans="2:6" x14ac:dyDescent="0.5">
      <c r="C35" s="3"/>
    </row>
    <row r="37" spans="2:6" x14ac:dyDescent="0.5">
      <c r="B37" t="s">
        <v>37</v>
      </c>
    </row>
    <row r="38" spans="2:6" x14ac:dyDescent="0.5">
      <c r="C38" t="s">
        <v>35</v>
      </c>
      <c r="D38" t="s">
        <v>36</v>
      </c>
    </row>
    <row r="39" spans="2:6" x14ac:dyDescent="0.5">
      <c r="B39" t="s">
        <v>34</v>
      </c>
      <c r="C39">
        <v>6</v>
      </c>
      <c r="D39">
        <v>38</v>
      </c>
    </row>
    <row r="40" spans="2:6" x14ac:dyDescent="0.5">
      <c r="B40" t="s">
        <v>19</v>
      </c>
      <c r="C40" s="3">
        <v>0.87</v>
      </c>
      <c r="D40" s="3">
        <v>1.1000000000000001</v>
      </c>
    </row>
    <row r="41" spans="2:6" x14ac:dyDescent="0.5">
      <c r="B41" t="s">
        <v>32</v>
      </c>
      <c r="C41" s="3">
        <v>4.8</v>
      </c>
      <c r="D41" s="3">
        <v>5.2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Munkalapok</vt:lpstr>
      </vt:variant>
      <vt:variant>
        <vt:i4>1</vt:i4>
      </vt:variant>
    </vt:vector>
  </HeadingPairs>
  <TitlesOfParts>
    <vt:vector size="1" baseType="lpstr">
      <vt:lpstr>Munka1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Juhász Péter</dc:creator>
  <cp:lastModifiedBy>Péter Juhász</cp:lastModifiedBy>
  <dcterms:created xsi:type="dcterms:W3CDTF">2023-11-25T18:41:10Z</dcterms:created>
  <dcterms:modified xsi:type="dcterms:W3CDTF">2024-11-23T11:34:14Z</dcterms:modified>
</cp:coreProperties>
</file>