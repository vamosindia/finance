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defaultThemeVersion="124226"/>
  <mc:AlternateContent xmlns:mc="http://schemas.openxmlformats.org/markup-compatibility/2006">
    <mc:Choice Requires="x15">
      <x15ac:absPath xmlns:x15ac="http://schemas.microsoft.com/office/spreadsheetml/2010/11/ac" url="C:\Munka\!PUTanszek\!AppliedBusinessValuation\2022Fall\Week13\"/>
    </mc:Choice>
  </mc:AlternateContent>
  <xr:revisionPtr revIDLastSave="0" documentId="13_ncr:1_{B5F85F9E-8279-4CEF-BFFF-AA509FE71A84}" xr6:coauthVersionLast="47" xr6:coauthVersionMax="47" xr10:uidLastSave="{00000000-0000-0000-0000-000000000000}"/>
  <bookViews>
    <workbookView xWindow="-103" yWindow="-103" windowWidth="33120" windowHeight="18000" xr2:uid="{00000000-000D-0000-FFFF-FFFF00000000}"/>
  </bookViews>
  <sheets>
    <sheet name="OpeningPage" sheetId="5" r:id="rId1"/>
    <sheet name="Admin" sheetId="6" r:id="rId2"/>
    <sheet name="Task 1" sheetId="10" r:id="rId3"/>
    <sheet name="Task 2" sheetId="11" r:id="rId4"/>
    <sheet name="Task 3" sheetId="4" r:id="rId5"/>
    <sheet name="Task 4" sheetId="8" r:id="rId6"/>
    <sheet name="Task 5" sheetId="9" r:id="rId7"/>
    <sheet name="Sample theoretical questions" sheetId="12" r:id="rId8"/>
  </sheets>
  <externalReferences>
    <externalReference r:id="rId9"/>
  </externalReferences>
  <definedNames>
    <definedName name="lista">OFFSET([1]DinamicValidation!$B$4,0,0,COUNTA([1]DinamicValidation!$B$4:$B$1048576),1)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20" i="6" l="1"/>
  <c r="I33" i="11" l="1"/>
  <c r="H33" i="11"/>
  <c r="G33" i="11"/>
  <c r="F33" i="11"/>
  <c r="E33" i="11"/>
  <c r="D33" i="11"/>
  <c r="B7" i="11"/>
  <c r="C6" i="11"/>
  <c r="B6" i="11"/>
  <c r="C4" i="11"/>
  <c r="B4" i="11"/>
  <c r="C3" i="11"/>
  <c r="B3" i="11"/>
  <c r="C2" i="11"/>
  <c r="B2" i="11"/>
  <c r="B7" i="10"/>
  <c r="C6" i="10"/>
  <c r="B6" i="10"/>
  <c r="C4" i="10"/>
  <c r="B4" i="10"/>
  <c r="C3" i="10"/>
  <c r="B3" i="10"/>
  <c r="C2" i="10"/>
  <c r="B2" i="10"/>
  <c r="H27" i="8" l="1"/>
  <c r="I27" i="8"/>
  <c r="G27" i="8"/>
  <c r="F27" i="8"/>
  <c r="E27" i="8"/>
  <c r="D27" i="8"/>
  <c r="B7" i="9"/>
  <c r="C6" i="9"/>
  <c r="B6" i="9"/>
  <c r="C4" i="9"/>
  <c r="B4" i="9"/>
  <c r="C3" i="9"/>
  <c r="B3" i="9"/>
  <c r="C2" i="9"/>
  <c r="B2" i="9"/>
  <c r="B7" i="8"/>
  <c r="C6" i="8"/>
  <c r="B6" i="8"/>
  <c r="C4" i="8"/>
  <c r="B4" i="8"/>
  <c r="C3" i="8"/>
  <c r="B3" i="8"/>
  <c r="C2" i="8"/>
  <c r="B2" i="8"/>
  <c r="E44" i="4"/>
  <c r="E47" i="4" s="1"/>
  <c r="F44" i="4"/>
  <c r="F47" i="4" s="1"/>
  <c r="D44" i="4"/>
  <c r="D47" i="4" s="1"/>
  <c r="E39" i="4"/>
  <c r="E41" i="4" s="1"/>
  <c r="F39" i="4"/>
  <c r="F41" i="4" s="1"/>
  <c r="D39" i="4"/>
  <c r="D41" i="4" s="1"/>
  <c r="E28" i="4"/>
  <c r="E29" i="4" s="1"/>
  <c r="E31" i="4" s="1"/>
  <c r="E33" i="4" s="1"/>
  <c r="F28" i="4"/>
  <c r="F29" i="4" s="1"/>
  <c r="F31" i="4" s="1"/>
  <c r="F33" i="4" s="1"/>
  <c r="D28" i="4"/>
  <c r="E24" i="4"/>
  <c r="F24" i="4"/>
  <c r="D24" i="4"/>
  <c r="D29" i="4" s="1"/>
  <c r="D31" i="4" s="1"/>
  <c r="D33" i="4" s="1"/>
  <c r="B3" i="4" l="1"/>
  <c r="C3" i="4"/>
  <c r="B4" i="4"/>
  <c r="C4" i="4"/>
  <c r="B6" i="4"/>
  <c r="C6" i="4"/>
  <c r="B7" i="4"/>
  <c r="C2" i="4"/>
  <c r="B2" i="4"/>
  <c r="C7" i="4" l="1"/>
  <c r="C7" i="10"/>
  <c r="C7" i="11"/>
  <c r="C7" i="8"/>
  <c r="C7" i="9"/>
</calcChain>
</file>

<file path=xl/sharedStrings.xml><?xml version="1.0" encoding="utf-8"?>
<sst xmlns="http://schemas.openxmlformats.org/spreadsheetml/2006/main" count="89" uniqueCount="69">
  <si>
    <t>g</t>
  </si>
  <si>
    <t>TV</t>
  </si>
  <si>
    <t>RONIC</t>
  </si>
  <si>
    <t>K</t>
  </si>
  <si>
    <r>
      <t>r</t>
    </r>
    <r>
      <rPr>
        <vertAlign val="subscript"/>
        <sz val="12"/>
        <color rgb="FF000000"/>
        <rFont val="Times New Roman"/>
        <family val="1"/>
        <charset val="238"/>
      </rPr>
      <t>A</t>
    </r>
  </si>
  <si>
    <r>
      <t>r</t>
    </r>
    <r>
      <rPr>
        <vertAlign val="subscript"/>
        <sz val="12"/>
        <color rgb="FF000000"/>
        <rFont val="Times New Roman"/>
        <family val="1"/>
        <charset val="238"/>
      </rPr>
      <t>D</t>
    </r>
  </si>
  <si>
    <t>t</t>
  </si>
  <si>
    <t>ABCD1234</t>
  </si>
  <si>
    <t>rD</t>
  </si>
  <si>
    <t>ROIC</t>
  </si>
  <si>
    <t>dIC</t>
  </si>
  <si>
    <t>Master in Finance</t>
  </si>
  <si>
    <t>Master in Accounting</t>
  </si>
  <si>
    <t>Instructor</t>
  </si>
  <si>
    <t>Péter Juhász, PhD, CFA</t>
  </si>
  <si>
    <t>Date</t>
  </si>
  <si>
    <t>Business Valuation</t>
  </si>
  <si>
    <t>Sam Sample</t>
  </si>
  <si>
    <t>Total points achieved</t>
  </si>
  <si>
    <t>Neptun code</t>
  </si>
  <si>
    <t>Student name</t>
  </si>
  <si>
    <t>Study program</t>
  </si>
  <si>
    <t>Points achived:</t>
  </si>
  <si>
    <t>IC boy</t>
  </si>
  <si>
    <t>Sales</t>
  </si>
  <si>
    <t>EBIT/Sales</t>
  </si>
  <si>
    <t>Corporate tax rate</t>
  </si>
  <si>
    <t>Debt boy</t>
  </si>
  <si>
    <t>t (effective)</t>
  </si>
  <si>
    <t>g TV period</t>
  </si>
  <si>
    <t>Other income</t>
  </si>
  <si>
    <t>Material expenses</t>
  </si>
  <si>
    <t>Labour expenses</t>
  </si>
  <si>
    <t>D&amp;A</t>
  </si>
  <si>
    <t>EBIT</t>
  </si>
  <si>
    <t>Dividend received</t>
  </si>
  <si>
    <t>Interests received</t>
  </si>
  <si>
    <t>Interests paid</t>
  </si>
  <si>
    <t>Financial profit</t>
  </si>
  <si>
    <t>Profit before tax</t>
  </si>
  <si>
    <t>Corporate tax</t>
  </si>
  <si>
    <t>Profit after tax</t>
  </si>
  <si>
    <t>Dividend</t>
  </si>
  <si>
    <t>Retained earnings</t>
  </si>
  <si>
    <t>Cash</t>
  </si>
  <si>
    <t>Receivables</t>
  </si>
  <si>
    <t>Inventory</t>
  </si>
  <si>
    <t>Current assets</t>
  </si>
  <si>
    <t>Invested assets</t>
  </si>
  <si>
    <t>Total of Liabilities and Equity</t>
  </si>
  <si>
    <t>Equity</t>
  </si>
  <si>
    <t>Long term debt</t>
  </si>
  <si>
    <t>Short term liabilities</t>
  </si>
  <si>
    <t>Payables</t>
  </si>
  <si>
    <t>Short term loans</t>
  </si>
  <si>
    <t>Total of assests</t>
  </si>
  <si>
    <t>Sample theoretical questions. Not all possibilities are listed here.</t>
  </si>
  <si>
    <t xml:space="preserve">Present the possible methods of estimating the cost of debt. </t>
  </si>
  <si>
    <t>What are the most important requirements to consider when estimating the terminal value in a DCF model?</t>
  </si>
  <si>
    <t>Compare the accounting and the business cash flow statements.</t>
  </si>
  <si>
    <t>List and contrast the DCF models learned. When are those most appropriate to use?</t>
  </si>
  <si>
    <t>What are value drivers? List them and show the calculation formulas.</t>
  </si>
  <si>
    <t>D/IC boy</t>
  </si>
  <si>
    <t>D/V boy</t>
  </si>
  <si>
    <t>Marketable securities</t>
  </si>
  <si>
    <t>How do you have to select the peers for a multiple-based valuation?</t>
  </si>
  <si>
    <t>List any correction types you may need to use before analysing the historical statements of a firm.</t>
  </si>
  <si>
    <t>What kind of asset valuation methods do you know?</t>
  </si>
  <si>
    <t>Describe how the bargaining range for an M&amp;A transaction is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</si>
</sst>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numFmt numFmtId="166" formatCode="yyyy/\ mmmm"/>
  </numFmts>
  <fonts count="19" x14ac:knownFonts="1">
    <font>
      <sz val="12"/>
      <color theme="1"/>
      <name val="Times New Roman"/>
      <family val="2"/>
      <charset val="238"/>
    </font>
    <font>
      <sz val="12"/>
      <color theme="1"/>
      <name val="Times New Roman"/>
      <family val="2"/>
      <charset val="238"/>
    </font>
    <font>
      <sz val="10"/>
      <color theme="1"/>
      <name val="Calibri"/>
      <family val="2"/>
      <charset val="238"/>
    </font>
    <font>
      <b/>
      <sz val="12"/>
      <color rgb="FF000000"/>
      <name val="Times New Roman"/>
      <family val="1"/>
      <charset val="238"/>
    </font>
    <font>
      <sz val="12"/>
      <color rgb="FF000000"/>
      <name val="Times New Roman"/>
      <family val="1"/>
      <charset val="238"/>
    </font>
    <font>
      <b/>
      <sz val="12"/>
      <color theme="1"/>
      <name val="Times New Roman"/>
      <family val="1"/>
      <charset val="238"/>
    </font>
    <font>
      <vertAlign val="subscript"/>
      <sz val="12"/>
      <color rgb="FF000000"/>
      <name val="Times New Roman"/>
      <family val="1"/>
      <charset val="238"/>
    </font>
    <font>
      <sz val="18"/>
      <color theme="1"/>
      <name val="Times New Roman"/>
      <family val="2"/>
      <charset val="238"/>
    </font>
    <font>
      <b/>
      <sz val="18"/>
      <color theme="1"/>
      <name val="Times New Roman"/>
      <family val="1"/>
      <charset val="238"/>
    </font>
    <font>
      <sz val="8"/>
      <name val="Times New Roman"/>
      <family val="2"/>
      <charset val="238"/>
    </font>
    <font>
      <b/>
      <sz val="28"/>
      <color theme="1"/>
      <name val="Times New Roman"/>
      <family val="1"/>
      <charset val="238"/>
    </font>
    <font>
      <sz val="14"/>
      <color theme="1"/>
      <name val="Times New Roman"/>
      <family val="2"/>
      <charset val="238"/>
    </font>
    <font>
      <b/>
      <sz val="14"/>
      <color theme="1"/>
      <name val="Times New Roman"/>
      <family val="1"/>
      <charset val="238"/>
    </font>
    <font>
      <b/>
      <sz val="16"/>
      <color theme="1"/>
      <name val="Times New Roman"/>
      <family val="1"/>
      <charset val="238"/>
    </font>
    <font>
      <sz val="12"/>
      <color theme="1"/>
      <name val="Times New Roman"/>
      <family val="1"/>
      <charset val="238"/>
    </font>
    <font>
      <b/>
      <i/>
      <sz val="12"/>
      <color rgb="FF000000"/>
      <name val="Times New Roman"/>
      <family val="1"/>
      <charset val="238"/>
    </font>
    <font>
      <sz val="12"/>
      <color theme="0"/>
      <name val="Times New Roman"/>
      <family val="2"/>
      <charset val="238"/>
    </font>
    <font>
      <sz val="16"/>
      <color rgb="FF000000"/>
      <name val="Times New Roman"/>
      <family val="1"/>
      <charset val="238"/>
    </font>
    <font>
      <sz val="14"/>
      <color rgb="FF000000"/>
      <name val="Times New Roman"/>
      <family val="1"/>
      <charset val="238"/>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FF"/>
        <bgColor indexed="64"/>
      </patternFill>
    </fill>
    <fill>
      <patternFill patternType="solid">
        <fgColor theme="0" tint="-0.14999847407452621"/>
        <bgColor indexed="64"/>
      </patternFill>
    </fill>
    <fill>
      <patternFill patternType="solid">
        <fgColor theme="9" tint="0.39997558519241921"/>
        <bgColor indexed="64"/>
      </patternFill>
    </fill>
  </fills>
  <borders count="21">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50">
    <xf numFmtId="0" fontId="0" fillId="0" borderId="0" xfId="0"/>
    <xf numFmtId="10" fontId="0" fillId="0" borderId="0" xfId="1" applyNumberFormat="1" applyFont="1"/>
    <xf numFmtId="0" fontId="3" fillId="0" borderId="0" xfId="0" applyFont="1" applyAlignment="1">
      <alignment horizontal="center" vertical="center"/>
    </xf>
    <xf numFmtId="0" fontId="4" fillId="0" borderId="0" xfId="0" applyFont="1" applyAlignment="1">
      <alignment horizontal="left" vertical="center"/>
    </xf>
    <xf numFmtId="10" fontId="4" fillId="0" borderId="0" xfId="0" applyNumberFormat="1" applyFont="1" applyAlignment="1">
      <alignment horizontal="right" vertical="center"/>
    </xf>
    <xf numFmtId="0" fontId="7" fillId="0" borderId="0" xfId="0" applyFont="1"/>
    <xf numFmtId="0" fontId="0" fillId="0" borderId="0" xfId="0" applyAlignment="1">
      <alignment horizontal="center"/>
    </xf>
    <xf numFmtId="0" fontId="8" fillId="0" borderId="0" xfId="0" applyFont="1"/>
    <xf numFmtId="0" fontId="8" fillId="0" borderId="0" xfId="0" applyFont="1" applyProtection="1">
      <protection hidden="1"/>
    </xf>
    <xf numFmtId="0" fontId="8" fillId="2" borderId="5" xfId="0" applyFont="1" applyFill="1" applyBorder="1" applyProtection="1">
      <protection hidden="1"/>
    </xf>
    <xf numFmtId="0" fontId="11" fillId="5" borderId="6" xfId="0" applyFont="1" applyFill="1" applyBorder="1"/>
    <xf numFmtId="0" fontId="11" fillId="5" borderId="8" xfId="0" applyFont="1" applyFill="1" applyBorder="1"/>
    <xf numFmtId="164" fontId="12" fillId="5" borderId="9" xfId="0" applyNumberFormat="1" applyFont="1" applyFill="1" applyBorder="1" applyAlignment="1">
      <alignment horizontal="center"/>
    </xf>
    <xf numFmtId="0" fontId="11" fillId="5" borderId="9" xfId="0" applyFont="1" applyFill="1" applyBorder="1"/>
    <xf numFmtId="0" fontId="11" fillId="5" borderId="10" xfId="0" applyFont="1" applyFill="1" applyBorder="1"/>
    <xf numFmtId="0" fontId="11" fillId="5" borderId="4" xfId="0" applyFont="1" applyFill="1" applyBorder="1"/>
    <xf numFmtId="0" fontId="12" fillId="5" borderId="7" xfId="0" applyFont="1" applyFill="1" applyBorder="1" applyAlignment="1">
      <alignment horizontal="center"/>
    </xf>
    <xf numFmtId="0" fontId="13" fillId="2" borderId="11" xfId="0" applyFont="1" applyFill="1" applyBorder="1" applyAlignment="1">
      <alignment horizontal="center"/>
    </xf>
    <xf numFmtId="0" fontId="13" fillId="2" borderId="2" xfId="0" applyFont="1" applyFill="1" applyBorder="1" applyAlignment="1">
      <alignment horizontal="center"/>
    </xf>
    <xf numFmtId="0" fontId="14" fillId="0" borderId="1" xfId="0" applyFont="1" applyBorder="1" applyAlignment="1">
      <alignment horizontal="left" vertical="center"/>
    </xf>
    <xf numFmtId="0" fontId="3" fillId="4" borderId="2" xfId="0" applyFont="1" applyFill="1" applyBorder="1" applyAlignment="1">
      <alignment horizontal="center" vertical="center"/>
    </xf>
    <xf numFmtId="0" fontId="14" fillId="0" borderId="3" xfId="0" applyFont="1" applyBorder="1" applyAlignment="1">
      <alignment horizontal="left" vertical="center"/>
    </xf>
    <xf numFmtId="0" fontId="5" fillId="0" borderId="3" xfId="0" applyFont="1" applyBorder="1" applyAlignment="1">
      <alignment horizontal="left" vertical="center"/>
    </xf>
    <xf numFmtId="0" fontId="2" fillId="0" borderId="12" xfId="0" applyFont="1" applyBorder="1"/>
    <xf numFmtId="4" fontId="4" fillId="4" borderId="4" xfId="0" applyNumberFormat="1" applyFont="1" applyFill="1" applyBorder="1" applyAlignment="1">
      <alignment horizontal="right" vertical="center"/>
    </xf>
    <xf numFmtId="4" fontId="3" fillId="4" borderId="4" xfId="0" applyNumberFormat="1" applyFont="1" applyFill="1" applyBorder="1" applyAlignment="1">
      <alignment horizontal="right" vertical="center"/>
    </xf>
    <xf numFmtId="4" fontId="4" fillId="4" borderId="12" xfId="0" applyNumberFormat="1" applyFont="1" applyFill="1" applyBorder="1" applyAlignment="1">
      <alignment horizontal="left" vertical="center"/>
    </xf>
    <xf numFmtId="4" fontId="15" fillId="4" borderId="4" xfId="0" applyNumberFormat="1" applyFont="1" applyFill="1" applyBorder="1" applyAlignment="1">
      <alignment horizontal="right" vertical="center"/>
    </xf>
    <xf numFmtId="0" fontId="8" fillId="3" borderId="5" xfId="0" applyFont="1" applyFill="1" applyBorder="1" applyAlignment="1" applyProtection="1">
      <alignment horizontal="center"/>
      <protection locked="0"/>
    </xf>
    <xf numFmtId="0" fontId="14" fillId="0" borderId="0" xfId="0" applyFont="1"/>
    <xf numFmtId="4" fontId="14" fillId="0" borderId="0" xfId="0" applyNumberFormat="1" applyFont="1"/>
    <xf numFmtId="0" fontId="5" fillId="0" borderId="0" xfId="0" applyFont="1" applyAlignment="1">
      <alignment horizontal="center"/>
    </xf>
    <xf numFmtId="10" fontId="0" fillId="0" borderId="0" xfId="0" applyNumberFormat="1"/>
    <xf numFmtId="4" fontId="0" fillId="0" borderId="0" xfId="0" applyNumberFormat="1"/>
    <xf numFmtId="0" fontId="5" fillId="0" borderId="13" xfId="0" applyFont="1" applyBorder="1"/>
    <xf numFmtId="0" fontId="5" fillId="0" borderId="16" xfId="0" applyFont="1" applyBorder="1"/>
    <xf numFmtId="0" fontId="5" fillId="0" borderId="18" xfId="0" applyFont="1" applyBorder="1"/>
    <xf numFmtId="0" fontId="5" fillId="6" borderId="14" xfId="0" applyFont="1" applyFill="1" applyBorder="1"/>
    <xf numFmtId="0" fontId="5" fillId="6" borderId="15" xfId="0" applyFont="1" applyFill="1" applyBorder="1"/>
    <xf numFmtId="0" fontId="5" fillId="6" borderId="5" xfId="0" applyFont="1" applyFill="1" applyBorder="1"/>
    <xf numFmtId="0" fontId="5" fillId="6" borderId="17" xfId="0" applyFont="1" applyFill="1" applyBorder="1"/>
    <xf numFmtId="0" fontId="5" fillId="6" borderId="19" xfId="0" applyFont="1" applyFill="1" applyBorder="1"/>
    <xf numFmtId="0" fontId="5" fillId="6" borderId="20" xfId="0" applyFont="1" applyFill="1" applyBorder="1"/>
    <xf numFmtId="0" fontId="5" fillId="5" borderId="5" xfId="0" applyFont="1" applyFill="1" applyBorder="1"/>
    <xf numFmtId="0" fontId="16" fillId="0" borderId="0" xfId="0" applyFont="1"/>
    <xf numFmtId="0" fontId="17" fillId="0" borderId="0" xfId="0" applyFont="1"/>
    <xf numFmtId="0" fontId="13" fillId="0" borderId="0" xfId="0" applyFont="1"/>
    <xf numFmtId="0" fontId="18" fillId="0" borderId="0" xfId="0" applyFont="1"/>
    <xf numFmtId="0" fontId="10" fillId="0" borderId="0" xfId="0" applyFont="1" applyAlignment="1">
      <alignment horizontal="center"/>
    </xf>
    <xf numFmtId="166" fontId="8" fillId="0" borderId="0" xfId="0" applyNumberFormat="1" applyFont="1" applyAlignment="1">
      <alignment horizontal="center"/>
    </xf>
  </cellXfs>
  <cellStyles count="2">
    <cellStyle name="Normál" xfId="0" builtinId="0"/>
    <cellStyle name="Százalék"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542924</xdr:colOff>
      <xdr:row>28</xdr:row>
      <xdr:rowOff>9525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0" y="0"/>
          <a:ext cx="12887324" cy="5610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000"/>
        </a:p>
        <a:p>
          <a:pPr algn="ctr"/>
          <a:endParaRPr lang="hu-HU" sz="1000"/>
        </a:p>
        <a:p>
          <a:pPr algn="ctr"/>
          <a:endParaRPr lang="hu-HU" sz="1000"/>
        </a:p>
        <a:p>
          <a:pPr algn="ctr"/>
          <a:endParaRPr lang="hu-HU" sz="1000"/>
        </a:p>
        <a:p>
          <a:pPr algn="ctr"/>
          <a:endParaRPr lang="hu-HU" sz="1000"/>
        </a:p>
        <a:p>
          <a:pPr algn="ctr"/>
          <a:endParaRPr lang="hu-HU" sz="1000"/>
        </a:p>
        <a:p>
          <a:pPr algn="ctr"/>
          <a:endParaRPr lang="hu-HU" sz="1000"/>
        </a:p>
        <a:p>
          <a:pPr algn="ctr"/>
          <a:endParaRPr lang="hu-HU" sz="1000"/>
        </a:p>
        <a:p>
          <a:pPr algn="ctr"/>
          <a:endParaRPr lang="en-US" sz="1000"/>
        </a:p>
        <a:p>
          <a:pPr algn="ctr"/>
          <a:r>
            <a:rPr lang="hu-HU" sz="8000" b="1">
              <a:solidFill>
                <a:srgbClr val="7030A0"/>
              </a:solidFill>
            </a:rPr>
            <a:t>Applied Business Valuation</a:t>
          </a:r>
        </a:p>
        <a:p>
          <a:pPr algn="ctr"/>
          <a:r>
            <a:rPr lang="hu-HU" sz="5000"/>
            <a:t>Sample exam tasks</a:t>
          </a:r>
        </a:p>
        <a:p>
          <a:pPr algn="ctr"/>
          <a:endParaRPr lang="hu-HU" sz="5000"/>
        </a:p>
        <a:p>
          <a:pPr algn="ctr"/>
          <a:r>
            <a:rPr lang="hu-HU" sz="5000" baseline="0">
              <a:solidFill>
                <a:schemeClr val="dk1"/>
              </a:solidFill>
              <a:latin typeface="+mn-lt"/>
              <a:ea typeface="+mn-ea"/>
              <a:cs typeface="+mn-cs"/>
            </a:rPr>
            <a:t>Péter Juhász, PhD</a:t>
          </a:r>
          <a:r>
            <a:rPr lang="hu-HU" sz="5000" baseline="0"/>
            <a:t>, CFA</a:t>
          </a:r>
        </a:p>
        <a:p>
          <a:pPr algn="ctr"/>
          <a:r>
            <a:rPr lang="hu-HU" sz="3000" baseline="0"/>
            <a:t>peter.juhasz@uni-corvinus.com</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9524</xdr:colOff>
      <xdr:row>15</xdr:row>
      <xdr:rowOff>38100</xdr:rowOff>
    </xdr:from>
    <xdr:to>
      <xdr:col>7</xdr:col>
      <xdr:colOff>114300</xdr:colOff>
      <xdr:row>20</xdr:row>
      <xdr:rowOff>114300</xdr:rowOff>
    </xdr:to>
    <xdr:sp macro="" textlink="">
      <xdr:nvSpPr>
        <xdr:cNvPr id="2" name="Szövegdoboz 1">
          <a:extLst>
            <a:ext uri="{FF2B5EF4-FFF2-40B4-BE49-F238E27FC236}">
              <a16:creationId xmlns:a16="http://schemas.microsoft.com/office/drawing/2014/main" id="{00000000-0008-0000-0200-000002000000}"/>
            </a:ext>
          </a:extLst>
        </xdr:cNvPr>
        <xdr:cNvSpPr txBox="1"/>
      </xdr:nvSpPr>
      <xdr:spPr>
        <a:xfrm>
          <a:off x="695324" y="2362200"/>
          <a:ext cx="7200901"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1</a:t>
          </a:r>
        </a:p>
        <a:p>
          <a:pPr algn="l"/>
          <a:r>
            <a:rPr lang="hu-HU" sz="1400" b="0">
              <a:latin typeface="Times New Roman" panose="02020603050405020304" pitchFamily="18" charset="0"/>
              <a:cs typeface="Times New Roman" panose="02020603050405020304" pitchFamily="18" charset="0"/>
            </a:rPr>
            <a:t>Prepare the financial statements (Balance sheet, P/L, Business cash flow) of the firm using the data given and fill in</a:t>
          </a:r>
          <a:r>
            <a:rPr lang="hu-HU" sz="1400" b="0" baseline="0">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the numbers missing in the table.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xdr:col>
      <xdr:colOff>1</xdr:colOff>
      <xdr:row>10</xdr:row>
      <xdr:rowOff>9525</xdr:rowOff>
    </xdr:from>
    <xdr:to>
      <xdr:col>7</xdr:col>
      <xdr:colOff>142876</xdr:colOff>
      <xdr:row>14</xdr:row>
      <xdr:rowOff>152400</xdr:rowOff>
    </xdr:to>
    <xdr:sp macro="" textlink="">
      <xdr:nvSpPr>
        <xdr:cNvPr id="3" name="Szövegdoboz 2">
          <a:extLst>
            <a:ext uri="{FF2B5EF4-FFF2-40B4-BE49-F238E27FC236}">
              <a16:creationId xmlns:a16="http://schemas.microsoft.com/office/drawing/2014/main" id="{00000000-0008-0000-0200-000003000000}"/>
            </a:ext>
          </a:extLst>
        </xdr:cNvPr>
        <xdr:cNvSpPr txBox="1"/>
      </xdr:nvSpPr>
      <xdr:spPr>
        <a:xfrm>
          <a:off x="685801" y="2333625"/>
          <a:ext cx="7239000" cy="942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600">
              <a:latin typeface="Times New Roman" panose="02020603050405020304" pitchFamily="18" charset="0"/>
              <a:cs typeface="Times New Roman" panose="02020603050405020304" pitchFamily="18" charset="0"/>
            </a:rPr>
            <a:t>Notes of</a:t>
          </a:r>
          <a:r>
            <a:rPr lang="hu-HU" sz="1600" baseline="0">
              <a:latin typeface="Times New Roman" panose="02020603050405020304" pitchFamily="18" charset="0"/>
              <a:cs typeface="Times New Roman" panose="02020603050405020304" pitchFamily="18" charset="0"/>
            </a:rPr>
            <a:t> the reviewer.</a:t>
          </a:r>
          <a:endParaRPr lang="hu-HU" sz="1600">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9524</xdr:colOff>
      <xdr:row>15</xdr:row>
      <xdr:rowOff>38100</xdr:rowOff>
    </xdr:from>
    <xdr:to>
      <xdr:col>9</xdr:col>
      <xdr:colOff>304800</xdr:colOff>
      <xdr:row>22</xdr:row>
      <xdr:rowOff>47625</xdr:rowOff>
    </xdr:to>
    <xdr:sp macro="" textlink="">
      <xdr:nvSpPr>
        <xdr:cNvPr id="2" name="Szövegdoboz 1">
          <a:extLst>
            <a:ext uri="{FF2B5EF4-FFF2-40B4-BE49-F238E27FC236}">
              <a16:creationId xmlns:a16="http://schemas.microsoft.com/office/drawing/2014/main" id="{00000000-0008-0000-0300-000002000000}"/>
            </a:ext>
          </a:extLst>
        </xdr:cNvPr>
        <xdr:cNvSpPr txBox="1"/>
      </xdr:nvSpPr>
      <xdr:spPr>
        <a:xfrm>
          <a:off x="695324" y="3362325"/>
          <a:ext cx="7229476" cy="140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Taks 2</a:t>
          </a:r>
        </a:p>
        <a:p>
          <a:pPr algn="just"/>
          <a:r>
            <a:rPr lang="hu-HU" sz="1400" b="0">
              <a:latin typeface="Times New Roman" panose="02020603050405020304" pitchFamily="18" charset="0"/>
              <a:cs typeface="Times New Roman" panose="02020603050405020304" pitchFamily="18" charset="0"/>
            </a:rPr>
            <a:t>You find the key numbers of a financial plan below. Determine the value of the firm using at least three different DCF methods for the start of 2021 assuming that new projects will not</a:t>
          </a:r>
          <a:r>
            <a:rPr lang="hu-HU" sz="1400" b="0" baseline="0">
              <a:latin typeface="Times New Roman" panose="02020603050405020304" pitchFamily="18" charset="0"/>
              <a:cs typeface="Times New Roman" panose="02020603050405020304" pitchFamily="18" charset="0"/>
            </a:rPr>
            <a:t> create any added value during the terminal value period.</a:t>
          </a:r>
        </a:p>
        <a:p>
          <a:pPr algn="just"/>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xdr:col>
      <xdr:colOff>0</xdr:colOff>
      <xdr:row>10</xdr:row>
      <xdr:rowOff>0</xdr:rowOff>
    </xdr:from>
    <xdr:to>
      <xdr:col>9</xdr:col>
      <xdr:colOff>304800</xdr:colOff>
      <xdr:row>14</xdr:row>
      <xdr:rowOff>142875</xdr:rowOff>
    </xdr:to>
    <xdr:sp macro="" textlink="">
      <xdr:nvSpPr>
        <xdr:cNvPr id="3" name="Szövegdoboz 2">
          <a:extLst>
            <a:ext uri="{FF2B5EF4-FFF2-40B4-BE49-F238E27FC236}">
              <a16:creationId xmlns:a16="http://schemas.microsoft.com/office/drawing/2014/main" id="{00000000-0008-0000-0300-000003000000}"/>
            </a:ext>
          </a:extLst>
        </xdr:cNvPr>
        <xdr:cNvSpPr txBox="1"/>
      </xdr:nvSpPr>
      <xdr:spPr>
        <a:xfrm>
          <a:off x="685800" y="2324100"/>
          <a:ext cx="7239000" cy="942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400" b="0" baseline="0">
              <a:solidFill>
                <a:schemeClr val="dk1"/>
              </a:solidFill>
              <a:latin typeface="Times New Roman" panose="02020603050405020304" pitchFamily="18" charset="0"/>
              <a:ea typeface="+mn-ea"/>
              <a:cs typeface="Times New Roman" panose="02020603050405020304" pitchFamily="18" charset="0"/>
            </a:rPr>
            <a:t>Notes of the reviewer.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9524</xdr:colOff>
      <xdr:row>10</xdr:row>
      <xdr:rowOff>38100</xdr:rowOff>
    </xdr:from>
    <xdr:to>
      <xdr:col>7</xdr:col>
      <xdr:colOff>285750</xdr:colOff>
      <xdr:row>15</xdr:row>
      <xdr:rowOff>114300</xdr:rowOff>
    </xdr:to>
    <xdr:sp macro="" textlink="">
      <xdr:nvSpPr>
        <xdr:cNvPr id="2" name="Szövegdoboz 1">
          <a:extLst>
            <a:ext uri="{FF2B5EF4-FFF2-40B4-BE49-F238E27FC236}">
              <a16:creationId xmlns:a16="http://schemas.microsoft.com/office/drawing/2014/main" id="{00000000-0008-0000-0400-000002000000}"/>
            </a:ext>
          </a:extLst>
        </xdr:cNvPr>
        <xdr:cNvSpPr txBox="1"/>
      </xdr:nvSpPr>
      <xdr:spPr>
        <a:xfrm>
          <a:off x="695324" y="2362200"/>
          <a:ext cx="7372351"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Taks 3</a:t>
          </a:r>
        </a:p>
        <a:p>
          <a:r>
            <a:rPr lang="hu-HU" sz="1400" b="0">
              <a:latin typeface="Times New Roman" panose="02020603050405020304" pitchFamily="18" charset="0"/>
              <a:cs typeface="Times New Roman" panose="02020603050405020304" pitchFamily="18" charset="0"/>
            </a:rPr>
            <a:t>Prepare the business cash flow of the firm for 2018 and 2019 based on the data provided. </a:t>
          </a:r>
        </a:p>
        <a:p>
          <a:r>
            <a:rPr lang="hu-HU" sz="1400" b="0">
              <a:latin typeface="Times New Roman" panose="02020603050405020304" pitchFamily="18" charset="0"/>
              <a:cs typeface="Times New Roman" panose="02020603050405020304" pitchFamily="18" charset="0"/>
            </a:rPr>
            <a:t>Indicate any assumptions you made.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8</xdr:col>
      <xdr:colOff>9524</xdr:colOff>
      <xdr:row>17</xdr:row>
      <xdr:rowOff>19050</xdr:rowOff>
    </xdr:from>
    <xdr:to>
      <xdr:col>18</xdr:col>
      <xdr:colOff>523875</xdr:colOff>
      <xdr:row>35</xdr:row>
      <xdr:rowOff>47625</xdr:rowOff>
    </xdr:to>
    <xdr:sp macro="" textlink="">
      <xdr:nvSpPr>
        <xdr:cNvPr id="3" name="Szövegdoboz 2">
          <a:extLst>
            <a:ext uri="{FF2B5EF4-FFF2-40B4-BE49-F238E27FC236}">
              <a16:creationId xmlns:a16="http://schemas.microsoft.com/office/drawing/2014/main" id="{BFDAC5A9-4707-436A-B503-673577B23A49}"/>
            </a:ext>
          </a:extLst>
        </xdr:cNvPr>
        <xdr:cNvSpPr txBox="1"/>
      </xdr:nvSpPr>
      <xdr:spPr>
        <a:xfrm>
          <a:off x="8477249" y="3752850"/>
          <a:ext cx="7372351" cy="3800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List your assumptions here.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9524</xdr:colOff>
      <xdr:row>9</xdr:row>
      <xdr:rowOff>114300</xdr:rowOff>
    </xdr:from>
    <xdr:to>
      <xdr:col>9</xdr:col>
      <xdr:colOff>190500</xdr:colOff>
      <xdr:row>17</xdr:row>
      <xdr:rowOff>114299</xdr:rowOff>
    </xdr:to>
    <xdr:sp macro="" textlink="">
      <xdr:nvSpPr>
        <xdr:cNvPr id="2" name="Szövegdoboz 1">
          <a:extLst>
            <a:ext uri="{FF2B5EF4-FFF2-40B4-BE49-F238E27FC236}">
              <a16:creationId xmlns:a16="http://schemas.microsoft.com/office/drawing/2014/main" id="{00000000-0008-0000-0600-000002000000}"/>
            </a:ext>
          </a:extLst>
        </xdr:cNvPr>
        <xdr:cNvSpPr txBox="1"/>
      </xdr:nvSpPr>
      <xdr:spPr>
        <a:xfrm>
          <a:off x="695324" y="2238375"/>
          <a:ext cx="7115176" cy="16001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Task 4</a:t>
          </a:r>
        </a:p>
        <a:p>
          <a:pPr algn="just"/>
          <a:r>
            <a:rPr lang="hu-HU" sz="1400" b="0">
              <a:latin typeface="Times New Roman" panose="02020603050405020304" pitchFamily="18" charset="0"/>
              <a:cs typeface="Times New Roman" panose="02020603050405020304" pitchFamily="18" charset="0"/>
            </a:rPr>
            <a:t>Below you find the details of the financial plan</a:t>
          </a:r>
          <a:r>
            <a:rPr lang="hu-HU" sz="1400" b="0" baseline="0">
              <a:latin typeface="Times New Roman" panose="02020603050405020304" pitchFamily="18" charset="0"/>
              <a:cs typeface="Times New Roman" panose="02020603050405020304" pitchFamily="18" charset="0"/>
            </a:rPr>
            <a:t> of  a newly founded firm. What is the maximum you would pay for an allowance that is necessary to start the business on the top of the IC need indicated? The allowance is to be purchased at the beginning of 2021 (can be expensed in the same year) and is valid forever.</a:t>
          </a:r>
          <a:r>
            <a:rPr lang="hu-HU" sz="1400" b="0">
              <a:latin typeface="Times New Roman" panose="02020603050405020304" pitchFamily="18" charset="0"/>
              <a:cs typeface="Times New Roman" panose="02020603050405020304" pitchFamily="18" charset="0"/>
            </a:rPr>
            <a:t> Assume that</a:t>
          </a:r>
          <a:r>
            <a:rPr lang="hu-HU" sz="1400" b="0" baseline="0">
              <a:latin typeface="Times New Roman" panose="02020603050405020304" pitchFamily="18" charset="0"/>
              <a:cs typeface="Times New Roman" panose="02020603050405020304" pitchFamily="18" charset="0"/>
            </a:rPr>
            <a:t> new projects will not generate any added value during the TV period.</a:t>
          </a:r>
        </a:p>
        <a:p>
          <a:pPr algn="just"/>
          <a:r>
            <a:rPr lang="hu-HU" sz="1400" b="0" baseline="0">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(10 points)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9524</xdr:colOff>
      <xdr:row>10</xdr:row>
      <xdr:rowOff>38100</xdr:rowOff>
    </xdr:from>
    <xdr:to>
      <xdr:col>7</xdr:col>
      <xdr:colOff>285750</xdr:colOff>
      <xdr:row>15</xdr:row>
      <xdr:rowOff>114300</xdr:rowOff>
    </xdr:to>
    <xdr:sp macro="" textlink="">
      <xdr:nvSpPr>
        <xdr:cNvPr id="2" name="Szövegdoboz 1">
          <a:extLst>
            <a:ext uri="{FF2B5EF4-FFF2-40B4-BE49-F238E27FC236}">
              <a16:creationId xmlns:a16="http://schemas.microsoft.com/office/drawing/2014/main" id="{00000000-0008-0000-0700-000002000000}"/>
            </a:ext>
          </a:extLst>
        </xdr:cNvPr>
        <xdr:cNvSpPr txBox="1"/>
      </xdr:nvSpPr>
      <xdr:spPr>
        <a:xfrm>
          <a:off x="695324" y="2362200"/>
          <a:ext cx="7372351"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Task</a:t>
          </a:r>
          <a:r>
            <a:rPr lang="hu-HU" sz="1400" b="1" baseline="0">
              <a:latin typeface="Times New Roman" panose="02020603050405020304" pitchFamily="18" charset="0"/>
              <a:cs typeface="Times New Roman" panose="02020603050405020304" pitchFamily="18" charset="0"/>
            </a:rPr>
            <a:t> 5</a:t>
          </a:r>
          <a:endParaRPr lang="hu-HU" sz="1400" b="1">
            <a:latin typeface="Times New Roman" panose="02020603050405020304" pitchFamily="18" charset="0"/>
            <a:cs typeface="Times New Roman" panose="02020603050405020304" pitchFamily="18" charset="0"/>
          </a:endParaRPr>
        </a:p>
        <a:p>
          <a:r>
            <a:rPr lang="hu-HU" sz="1400" b="0" baseline="0">
              <a:latin typeface="Times New Roman" panose="02020603050405020304" pitchFamily="18" charset="0"/>
              <a:cs typeface="Times New Roman" panose="02020603050405020304" pitchFamily="18" charset="0"/>
            </a:rPr>
            <a:t>Present the possible methods of estimating the cost of debt.</a:t>
          </a:r>
          <a:r>
            <a:rPr lang="hu-HU" sz="1400" b="0">
              <a:latin typeface="Times New Roman" panose="02020603050405020304" pitchFamily="18" charset="0"/>
              <a:cs typeface="Times New Roman" panose="02020603050405020304" pitchFamily="18" charset="0"/>
            </a:rPr>
            <a:t> (10 points)</a:t>
          </a:r>
        </a:p>
      </xdr:txBody>
    </xdr:sp>
    <xdr:clientData/>
  </xdr:twoCellAnchor>
  <xdr:twoCellAnchor>
    <xdr:from>
      <xdr:col>1</xdr:col>
      <xdr:colOff>9525</xdr:colOff>
      <xdr:row>16</xdr:row>
      <xdr:rowOff>9524</xdr:rowOff>
    </xdr:from>
    <xdr:to>
      <xdr:col>7</xdr:col>
      <xdr:colOff>285751</xdr:colOff>
      <xdr:row>33</xdr:row>
      <xdr:rowOff>85724</xdr:rowOff>
    </xdr:to>
    <xdr:sp macro="" textlink="">
      <xdr:nvSpPr>
        <xdr:cNvPr id="4" name="Szövegdoboz 3">
          <a:extLst>
            <a:ext uri="{FF2B5EF4-FFF2-40B4-BE49-F238E27FC236}">
              <a16:creationId xmlns:a16="http://schemas.microsoft.com/office/drawing/2014/main" id="{B2457B3A-23F9-459B-B509-8C0E2E7D7599}"/>
            </a:ext>
          </a:extLst>
        </xdr:cNvPr>
        <xdr:cNvSpPr txBox="1"/>
      </xdr:nvSpPr>
      <xdr:spPr>
        <a:xfrm>
          <a:off x="695325" y="3533774"/>
          <a:ext cx="7372351" cy="3533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Type your answer here.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unka/!!ExcelTr&#233;ningLegfrissebb/MasterExcelTasks2019No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ening"/>
      <sheetName val="MovingAround"/>
      <sheetName val="SelectingRanges"/>
      <sheetName val="FormattingCells1"/>
      <sheetName val="FormattingCells2"/>
      <sheetName val="PasteSpecial"/>
      <sheetName val="ConditionalFormatting"/>
      <sheetName val="DataValidation"/>
      <sheetName val="FindSpecialCells"/>
      <sheetName val="FastInput"/>
      <sheetName val="Protecting&amp;Hiding sheets"/>
      <sheetName val="PricingShares"/>
      <sheetName val="Financial Planning"/>
      <sheetName val="Optimizing1FindingIRR"/>
      <sheetName val="Optimizing2GoalSeek"/>
      <sheetName val="Optimizing3Solver"/>
      <sheetName val="SensitivityAnalysis"/>
      <sheetName val="Sparklines"/>
      <sheetName val="Charts1Tornado"/>
      <sheetName val="Charts2Waterfall"/>
      <sheetName val="Charts3Combined"/>
      <sheetName val="Charts4Pictures"/>
      <sheetName val="Charts5FillingPicture"/>
      <sheetName val="Charts6PeopleChart"/>
      <sheetName val="Charts8ProportionalAppearance"/>
      <sheetName val="Charts7RadialBar"/>
      <sheetName val="Charts8Dashboard"/>
      <sheetName val="Shapes"/>
      <sheetName val="LinksAmongCells"/>
      <sheetName val="UsingNames"/>
      <sheetName val="DependentLists"/>
      <sheetName val="Trends"/>
      <sheetName val="Moving Average"/>
      <sheetName val="Seasonality"/>
      <sheetName val="DataAnalysis"/>
      <sheetName val="SubTotals&amp;Groups"/>
      <sheetName val="FunctionsDifferently"/>
      <sheetName val="Sorting"/>
      <sheetName val="AutoFilter"/>
      <sheetName val="AdvancedFiler"/>
      <sheetName val="DatabaseFunctions"/>
      <sheetName val="Tables"/>
      <sheetName val="DinamicValidation"/>
      <sheetName val="PivotTable"/>
      <sheetName val="PowerQuery"/>
      <sheetName val="ReferenceFunctions"/>
      <sheetName val="RandomSample"/>
      <sheetName val="MonteCarlo"/>
      <sheetName val="Objects1"/>
      <sheetName val="ScenarioswithObjects"/>
      <sheetName val="ChartwithObject"/>
      <sheetName val="IntroToMacros"/>
      <sheetName val="InsertCells"/>
      <sheetName val="VisualisingStatistic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ow r="4">
          <cell r="B4" t="str">
            <v>KSA</v>
          </cell>
        </row>
        <row r="5">
          <cell r="B5" t="str">
            <v>Kuvait</v>
          </cell>
        </row>
        <row r="6">
          <cell r="B6" t="str">
            <v>Bahrain</v>
          </cell>
        </row>
        <row r="7">
          <cell r="B7" t="str">
            <v>Qatar</v>
          </cell>
        </row>
        <row r="8">
          <cell r="B8" t="str">
            <v>UAE</v>
          </cell>
        </row>
      </sheetData>
      <sheetData sheetId="43"/>
      <sheetData sheetId="44"/>
      <sheetData sheetId="45"/>
      <sheetData sheetId="46"/>
      <sheetData sheetId="47"/>
      <sheetData sheetId="48"/>
      <sheetData sheetId="49"/>
      <sheetData sheetId="50"/>
      <sheetData sheetId="51"/>
      <sheetData sheetId="52"/>
      <sheetData sheetId="53"/>
    </sheetDataSet>
  </externalBook>
</externalLink>
</file>

<file path=xl/theme/theme1.xml><?xml version="1.0" encoding="utf-8"?>
<a:theme xmlns:a="http://schemas.openxmlformats.org/drawingml/2006/main" name="Office-té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37DBD-DECA-4097-9804-D82621A13861}">
  <sheetPr codeName="Munka2">
    <tabColor rgb="FF7030A0"/>
  </sheetPr>
  <dimension ref="A1"/>
  <sheetViews>
    <sheetView showGridLines="0" tabSelected="1" workbookViewId="0">
      <selection activeCell="T13" sqref="T13"/>
    </sheetView>
  </sheetViews>
  <sheetFormatPr defaultRowHeight="15.45" x14ac:dyDescent="0.4"/>
  <sheetData/>
  <sheetProtection sheet="1" objects="1" scenarios="1" selectLockedCells="1" selectUnlockedCell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C0D39-D3DB-4713-8991-75511A3E78C9}">
  <sheetPr codeName="Munka3"/>
  <dimension ref="C9:I20"/>
  <sheetViews>
    <sheetView showGridLines="0" workbookViewId="0">
      <selection activeCell="D13" sqref="D13"/>
    </sheetView>
  </sheetViews>
  <sheetFormatPr defaultRowHeight="15.45" x14ac:dyDescent="0.4"/>
  <cols>
    <col min="3" max="3" width="27.35546875" bestFit="1" customWidth="1"/>
    <col min="4" max="4" width="32.7109375" bestFit="1" customWidth="1"/>
    <col min="9" max="9" width="25.35546875" bestFit="1" customWidth="1"/>
    <col min="10" max="10" width="12.7109375" bestFit="1" customWidth="1"/>
  </cols>
  <sheetData>
    <row r="9" spans="3:9" ht="35.15" x14ac:dyDescent="0.8">
      <c r="C9" s="48" t="s">
        <v>16</v>
      </c>
      <c r="D9" s="48"/>
      <c r="E9" s="6"/>
      <c r="F9" s="6"/>
      <c r="G9" s="6"/>
    </row>
    <row r="10" spans="3:9" ht="35.15" x14ac:dyDescent="0.8">
      <c r="C10" s="48"/>
      <c r="D10" s="48"/>
      <c r="E10" s="6"/>
      <c r="F10" s="6"/>
      <c r="G10" s="6"/>
    </row>
    <row r="11" spans="3:9" ht="22.75" x14ac:dyDescent="0.55000000000000004">
      <c r="C11" s="5"/>
      <c r="D11" s="5"/>
      <c r="G11" s="8"/>
    </row>
    <row r="12" spans="3:9" ht="22.75" x14ac:dyDescent="0.55000000000000004">
      <c r="C12" s="5" t="s">
        <v>15</v>
      </c>
      <c r="D12" s="49">
        <v>44896</v>
      </c>
    </row>
    <row r="13" spans="3:9" ht="22.75" x14ac:dyDescent="0.55000000000000004">
      <c r="C13" s="5" t="s">
        <v>20</v>
      </c>
      <c r="D13" s="28" t="s">
        <v>17</v>
      </c>
      <c r="I13" s="44" t="s">
        <v>11</v>
      </c>
    </row>
    <row r="14" spans="3:9" ht="22.75" x14ac:dyDescent="0.55000000000000004">
      <c r="C14" s="5" t="s">
        <v>19</v>
      </c>
      <c r="D14" s="28" t="s">
        <v>7</v>
      </c>
      <c r="I14" s="44" t="s">
        <v>12</v>
      </c>
    </row>
    <row r="15" spans="3:9" ht="22.75" x14ac:dyDescent="0.55000000000000004">
      <c r="C15" s="5"/>
      <c r="D15" s="7"/>
      <c r="I15" s="44"/>
    </row>
    <row r="16" spans="3:9" ht="22.75" x14ac:dyDescent="0.55000000000000004">
      <c r="C16" s="5" t="s">
        <v>21</v>
      </c>
      <c r="D16" s="28" t="s">
        <v>12</v>
      </c>
    </row>
    <row r="17" spans="3:4" ht="22.75" x14ac:dyDescent="0.55000000000000004">
      <c r="C17" s="5" t="s">
        <v>13</v>
      </c>
      <c r="D17" s="8" t="s">
        <v>14</v>
      </c>
    </row>
    <row r="18" spans="3:4" ht="22.3" x14ac:dyDescent="0.5">
      <c r="D18" s="8"/>
    </row>
    <row r="19" spans="3:4" ht="22.3" x14ac:dyDescent="0.5">
      <c r="D19" s="8"/>
    </row>
    <row r="20" spans="3:4" ht="22.75" x14ac:dyDescent="0.55000000000000004">
      <c r="C20" s="5" t="s">
        <v>18</v>
      </c>
      <c r="D20" s="9">
        <f>+'Task 3'!C9+'Task 4'!C9+'Task 5'!C9+'Task 1'!C9+'Task 2'!C9</f>
        <v>0</v>
      </c>
    </row>
  </sheetData>
  <sheetProtection sheet="1" objects="1" scenarios="1" selectLockedCells="1"/>
  <mergeCells count="2">
    <mergeCell ref="C9:D9"/>
    <mergeCell ref="C10:D10"/>
  </mergeCells>
  <phoneticPr fontId="9" type="noConversion"/>
  <dataValidations count="1">
    <dataValidation type="list" allowBlank="1" showInputMessage="1" showErrorMessage="1" errorTitle="Ilyen csoport nincsen!" error="Kérem, a felsorolásból válasszon!" promptTitle="Válassza ki a csoportját!" sqref="D16" xr:uid="{E7C1251C-1580-42F2-91B9-E2C0C2F99FBF}">
      <formula1>$I$13:$I$14</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51001-DD57-4B42-9CDC-B6256E26F6D7}">
  <dimension ref="B1:J37"/>
  <sheetViews>
    <sheetView topLeftCell="A4" workbookViewId="0">
      <selection activeCell="D26" sqref="D26"/>
    </sheetView>
  </sheetViews>
  <sheetFormatPr defaultRowHeight="15.45" x14ac:dyDescent="0.4"/>
  <cols>
    <col min="2" max="2" width="19.85546875" bestFit="1" customWidth="1"/>
    <col min="3" max="3" width="37.2109375" bestFit="1" customWidth="1"/>
  </cols>
  <sheetData>
    <row r="1" spans="2:3" ht="15.9" thickBot="1" x14ac:dyDescent="0.45"/>
    <row r="2" spans="2:3" ht="18" x14ac:dyDescent="0.45">
      <c r="B2" s="10" t="str">
        <f>+Admin!C12</f>
        <v>Date</v>
      </c>
      <c r="C2" s="16">
        <f>+Admin!D12</f>
        <v>44896</v>
      </c>
    </row>
    <row r="3" spans="2:3" ht="18" x14ac:dyDescent="0.45">
      <c r="B3" s="11" t="str">
        <f>+Admin!C13</f>
        <v>Student name</v>
      </c>
      <c r="C3" s="12" t="str">
        <f>+Admin!D13</f>
        <v>Sam Sample</v>
      </c>
    </row>
    <row r="4" spans="2:3" ht="18" x14ac:dyDescent="0.45">
      <c r="B4" s="11" t="str">
        <f>+Admin!C14</f>
        <v>Neptun code</v>
      </c>
      <c r="C4" s="12" t="str">
        <f>+Admin!D14</f>
        <v>ABCD1234</v>
      </c>
    </row>
    <row r="5" spans="2:3" ht="18" x14ac:dyDescent="0.45">
      <c r="B5" s="11"/>
      <c r="C5" s="13"/>
    </row>
    <row r="6" spans="2:3" ht="18" x14ac:dyDescent="0.45">
      <c r="B6" s="11" t="str">
        <f>+Admin!C16</f>
        <v>Study program</v>
      </c>
      <c r="C6" s="13" t="str">
        <f>+Admin!D16</f>
        <v>Master in Accounting</v>
      </c>
    </row>
    <row r="7" spans="2:3" ht="18.45" thickBot="1" x14ac:dyDescent="0.5">
      <c r="B7" s="14" t="str">
        <f>+Admin!C17</f>
        <v>Instructor</v>
      </c>
      <c r="C7" s="15" t="str">
        <f>+Admin!D17</f>
        <v>Péter Juhász, PhD, CFA</v>
      </c>
    </row>
    <row r="8" spans="2:3" ht="15.9" thickBot="1" x14ac:dyDescent="0.45"/>
    <row r="9" spans="2:3" ht="20.149999999999999" thickBot="1" x14ac:dyDescent="0.5">
      <c r="B9" s="17" t="s">
        <v>22</v>
      </c>
      <c r="C9" s="18"/>
    </row>
    <row r="23" spans="3:10" x14ac:dyDescent="0.4">
      <c r="D23" s="31">
        <v>2020</v>
      </c>
      <c r="E23" s="31">
        <v>2021</v>
      </c>
      <c r="F23" s="31">
        <v>2022</v>
      </c>
      <c r="G23" s="31">
        <v>2023</v>
      </c>
      <c r="H23" s="31">
        <v>2024</v>
      </c>
      <c r="I23" s="31">
        <v>2025</v>
      </c>
      <c r="J23" s="31">
        <v>2026</v>
      </c>
    </row>
    <row r="24" spans="3:10" x14ac:dyDescent="0.4">
      <c r="C24" t="s">
        <v>23</v>
      </c>
      <c r="D24" s="33">
        <v>10000</v>
      </c>
      <c r="E24" s="33"/>
      <c r="F24" s="33"/>
      <c r="G24" s="33"/>
      <c r="H24" s="33"/>
      <c r="I24" s="33"/>
      <c r="J24" s="33"/>
    </row>
    <row r="25" spans="3:10" x14ac:dyDescent="0.4">
      <c r="C25" t="s">
        <v>10</v>
      </c>
      <c r="D25" s="33">
        <v>1500</v>
      </c>
      <c r="E25" s="33">
        <v>2000</v>
      </c>
      <c r="F25" s="33">
        <v>1600</v>
      </c>
      <c r="G25" s="33">
        <v>3500</v>
      </c>
      <c r="H25" s="33">
        <v>1200</v>
      </c>
      <c r="I25" s="33">
        <v>4000</v>
      </c>
      <c r="J25" s="33">
        <v>1500</v>
      </c>
    </row>
    <row r="26" spans="3:10" x14ac:dyDescent="0.4">
      <c r="C26" t="s">
        <v>24</v>
      </c>
      <c r="D26" s="33">
        <v>10000</v>
      </c>
      <c r="E26" s="33">
        <v>12000</v>
      </c>
      <c r="F26" s="33">
        <v>14000</v>
      </c>
      <c r="G26" s="33">
        <v>16000</v>
      </c>
      <c r="H26" s="33">
        <v>18000</v>
      </c>
      <c r="I26" s="33">
        <v>20000</v>
      </c>
      <c r="J26" s="33">
        <v>22000</v>
      </c>
    </row>
    <row r="27" spans="3:10" x14ac:dyDescent="0.4">
      <c r="C27" t="s">
        <v>25</v>
      </c>
      <c r="D27" s="1">
        <v>0.01</v>
      </c>
      <c r="E27" s="1">
        <v>0.05</v>
      </c>
      <c r="F27" s="1">
        <v>0.1</v>
      </c>
      <c r="G27" s="1">
        <v>0.03</v>
      </c>
      <c r="H27" s="1">
        <v>0.09</v>
      </c>
      <c r="I27" s="1">
        <v>0.1</v>
      </c>
      <c r="J27" s="1">
        <v>0.12</v>
      </c>
    </row>
    <row r="28" spans="3:10" x14ac:dyDescent="0.4">
      <c r="C28" t="s">
        <v>26</v>
      </c>
      <c r="D28" s="32">
        <v>0.1</v>
      </c>
      <c r="E28" s="32">
        <v>0.1</v>
      </c>
      <c r="F28" s="32">
        <v>0.1</v>
      </c>
      <c r="G28" s="32">
        <v>0.09</v>
      </c>
      <c r="H28" s="32">
        <v>0.09</v>
      </c>
      <c r="I28" s="32">
        <v>0.09</v>
      </c>
      <c r="J28" s="32">
        <v>0.09</v>
      </c>
    </row>
    <row r="29" spans="3:10" x14ac:dyDescent="0.4">
      <c r="C29" t="s">
        <v>8</v>
      </c>
      <c r="D29" s="32">
        <v>0.04</v>
      </c>
      <c r="E29" s="32">
        <v>0.04</v>
      </c>
      <c r="F29" s="32">
        <v>0.04</v>
      </c>
      <c r="G29" s="32">
        <v>0.05</v>
      </c>
      <c r="H29" s="32">
        <v>0.05</v>
      </c>
      <c r="I29" s="32">
        <v>0.05</v>
      </c>
      <c r="J29" s="32">
        <v>0.05</v>
      </c>
    </row>
    <row r="30" spans="3:10" x14ac:dyDescent="0.4">
      <c r="C30" t="s">
        <v>27</v>
      </c>
      <c r="D30" s="33">
        <v>5000</v>
      </c>
      <c r="E30" s="33">
        <v>4500</v>
      </c>
      <c r="F30" s="33">
        <v>4000</v>
      </c>
      <c r="G30" s="33">
        <v>7000</v>
      </c>
      <c r="H30" s="33">
        <v>6500</v>
      </c>
      <c r="I30" s="33">
        <v>6000</v>
      </c>
      <c r="J30" s="33">
        <v>7000</v>
      </c>
    </row>
    <row r="32" spans="3:10" ht="15.9" thickBot="1" x14ac:dyDescent="0.45"/>
    <row r="33" spans="3:10" x14ac:dyDescent="0.4">
      <c r="C33" s="34" t="s">
        <v>9</v>
      </c>
      <c r="D33" s="37"/>
      <c r="E33" s="37"/>
      <c r="F33" s="37"/>
      <c r="G33" s="37"/>
      <c r="H33" s="37"/>
      <c r="I33" s="37"/>
      <c r="J33" s="38"/>
    </row>
    <row r="34" spans="3:10" x14ac:dyDescent="0.4">
      <c r="C34" s="35" t="s">
        <v>2</v>
      </c>
      <c r="D34" s="43"/>
      <c r="E34" s="39"/>
      <c r="F34" s="39"/>
      <c r="G34" s="39"/>
      <c r="H34" s="39"/>
      <c r="I34" s="39"/>
      <c r="J34" s="40"/>
    </row>
    <row r="35" spans="3:10" x14ac:dyDescent="0.4">
      <c r="C35" s="35" t="s">
        <v>3</v>
      </c>
      <c r="D35" s="39"/>
      <c r="E35" s="39"/>
      <c r="F35" s="39"/>
      <c r="G35" s="39"/>
      <c r="H35" s="39"/>
      <c r="I35" s="39"/>
      <c r="J35" s="40"/>
    </row>
    <row r="36" spans="3:10" x14ac:dyDescent="0.4">
      <c r="C36" s="35" t="s">
        <v>0</v>
      </c>
      <c r="D36" s="43"/>
      <c r="E36" s="39"/>
      <c r="F36" s="39"/>
      <c r="G36" s="39"/>
      <c r="H36" s="39"/>
      <c r="I36" s="39"/>
      <c r="J36" s="40"/>
    </row>
    <row r="37" spans="3:10" ht="15.9" thickBot="1" x14ac:dyDescent="0.45">
      <c r="C37" s="36" t="s">
        <v>28</v>
      </c>
      <c r="D37" s="41"/>
      <c r="E37" s="41"/>
      <c r="F37" s="41"/>
      <c r="G37" s="41"/>
      <c r="H37" s="41"/>
      <c r="I37" s="41"/>
      <c r="J37" s="4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AA70D-9BBD-467B-9276-4356E1676819}">
  <dimension ref="B1:I36"/>
  <sheetViews>
    <sheetView workbookViewId="0">
      <selection activeCell="K20" sqref="K20"/>
    </sheetView>
  </sheetViews>
  <sheetFormatPr defaultRowHeight="15.45" x14ac:dyDescent="0.4"/>
  <cols>
    <col min="2" max="2" width="19.85546875" bestFit="1" customWidth="1"/>
    <col min="3" max="3" width="27.2109375" bestFit="1" customWidth="1"/>
    <col min="4" max="4" width="8.85546875" bestFit="1" customWidth="1"/>
    <col min="5" max="9" width="7" bestFit="1" customWidth="1"/>
  </cols>
  <sheetData>
    <row r="1" spans="2:3" ht="15.9" thickBot="1" x14ac:dyDescent="0.45"/>
    <row r="2" spans="2:3" ht="18" x14ac:dyDescent="0.45">
      <c r="B2" s="10" t="str">
        <f>+Admin!C12</f>
        <v>Date</v>
      </c>
      <c r="C2" s="16">
        <f>+Admin!D12</f>
        <v>44896</v>
      </c>
    </row>
    <row r="3" spans="2:3" ht="18" x14ac:dyDescent="0.45">
      <c r="B3" s="11" t="str">
        <f>+Admin!C13</f>
        <v>Student name</v>
      </c>
      <c r="C3" s="12" t="str">
        <f>+Admin!D13</f>
        <v>Sam Sample</v>
      </c>
    </row>
    <row r="4" spans="2:3" ht="18" x14ac:dyDescent="0.45">
      <c r="B4" s="11" t="str">
        <f>+Admin!C14</f>
        <v>Neptun code</v>
      </c>
      <c r="C4" s="12" t="str">
        <f>+Admin!D14</f>
        <v>ABCD1234</v>
      </c>
    </row>
    <row r="5" spans="2:3" ht="18" x14ac:dyDescent="0.45">
      <c r="B5" s="11"/>
      <c r="C5" s="13"/>
    </row>
    <row r="6" spans="2:3" ht="18" x14ac:dyDescent="0.45">
      <c r="B6" s="11" t="str">
        <f>+Admin!C16</f>
        <v>Study program</v>
      </c>
      <c r="C6" s="13" t="str">
        <f>+Admin!D16</f>
        <v>Master in Accounting</v>
      </c>
    </row>
    <row r="7" spans="2:3" ht="18.45" thickBot="1" x14ac:dyDescent="0.5">
      <c r="B7" s="14" t="str">
        <f>+Admin!C17</f>
        <v>Instructor</v>
      </c>
      <c r="C7" s="15" t="str">
        <f>+Admin!D17</f>
        <v>Péter Juhász, PhD, CFA</v>
      </c>
    </row>
    <row r="8" spans="2:3" ht="15.9" thickBot="1" x14ac:dyDescent="0.45"/>
    <row r="9" spans="2:3" ht="20.149999999999999" thickBot="1" x14ac:dyDescent="0.5">
      <c r="B9" s="17" t="s">
        <v>22</v>
      </c>
      <c r="C9" s="18"/>
    </row>
    <row r="24" spans="3:9" x14ac:dyDescent="0.4">
      <c r="C24" s="29"/>
      <c r="D24" s="2">
        <v>2021</v>
      </c>
      <c r="E24" s="2">
        <v>2022</v>
      </c>
      <c r="F24" s="2">
        <v>2023</v>
      </c>
      <c r="G24" s="2">
        <v>2024</v>
      </c>
      <c r="H24" s="2">
        <v>2025</v>
      </c>
      <c r="I24" s="2" t="s">
        <v>1</v>
      </c>
    </row>
    <row r="25" spans="3:9" x14ac:dyDescent="0.4">
      <c r="C25" s="3" t="s">
        <v>9</v>
      </c>
      <c r="D25" s="4">
        <v>0.11</v>
      </c>
      <c r="E25" s="4"/>
      <c r="F25" s="4"/>
      <c r="G25" s="4"/>
      <c r="H25" s="4"/>
      <c r="I25" s="4"/>
    </row>
    <row r="26" spans="3:9" x14ac:dyDescent="0.4">
      <c r="C26" s="3" t="s">
        <v>2</v>
      </c>
      <c r="D26" s="4"/>
      <c r="E26" s="4">
        <v>0.16</v>
      </c>
      <c r="F26" s="4">
        <v>0.18</v>
      </c>
      <c r="G26" s="4">
        <v>0.2</v>
      </c>
      <c r="H26" s="4">
        <v>0.22</v>
      </c>
      <c r="I26" s="4"/>
    </row>
    <row r="27" spans="3:9" x14ac:dyDescent="0.4">
      <c r="C27" s="3" t="s">
        <v>3</v>
      </c>
      <c r="D27" s="4">
        <v>0.6</v>
      </c>
      <c r="E27" s="4">
        <v>0.5</v>
      </c>
      <c r="F27" s="4">
        <v>0.4</v>
      </c>
      <c r="G27" s="4">
        <v>0.3</v>
      </c>
      <c r="H27" s="4">
        <v>0.25</v>
      </c>
      <c r="I27" s="4"/>
    </row>
    <row r="28" spans="3:9" ht="18" x14ac:dyDescent="0.4">
      <c r="C28" s="3" t="s">
        <v>4</v>
      </c>
      <c r="D28" s="4">
        <v>0.12</v>
      </c>
      <c r="E28" s="4">
        <v>0.12</v>
      </c>
      <c r="F28" s="4">
        <v>0.12</v>
      </c>
      <c r="G28" s="4">
        <v>0.12</v>
      </c>
      <c r="H28" s="4">
        <v>0.12</v>
      </c>
      <c r="I28" s="4">
        <v>0.12</v>
      </c>
    </row>
    <row r="29" spans="3:9" ht="18" x14ac:dyDescent="0.4">
      <c r="C29" s="3" t="s">
        <v>5</v>
      </c>
      <c r="D29" s="4">
        <v>0.06</v>
      </c>
      <c r="E29" s="4">
        <v>7.0000000000000007E-2</v>
      </c>
      <c r="F29" s="4">
        <v>7.1999999999999995E-2</v>
      </c>
      <c r="G29" s="4">
        <v>7.2999999999999995E-2</v>
      </c>
      <c r="H29" s="4">
        <v>7.2999999999999995E-2</v>
      </c>
      <c r="I29" s="4">
        <v>7.2999999999999995E-2</v>
      </c>
    </row>
    <row r="30" spans="3:9" x14ac:dyDescent="0.4">
      <c r="C30" s="3" t="s">
        <v>6</v>
      </c>
      <c r="D30" s="4">
        <v>0.1</v>
      </c>
      <c r="E30" s="4">
        <v>0.1</v>
      </c>
      <c r="F30" s="4">
        <v>0.1</v>
      </c>
      <c r="G30" s="4">
        <v>0.1</v>
      </c>
      <c r="H30" s="4">
        <v>0.1</v>
      </c>
      <c r="I30" s="4">
        <v>0.1</v>
      </c>
    </row>
    <row r="31" spans="3:9" x14ac:dyDescent="0.4">
      <c r="C31" s="3" t="s">
        <v>29</v>
      </c>
      <c r="D31" s="29"/>
      <c r="E31" s="29"/>
      <c r="F31" s="29"/>
      <c r="G31" s="4"/>
      <c r="H31" s="4"/>
      <c r="I31" s="4">
        <v>0.05</v>
      </c>
    </row>
    <row r="32" spans="3:9" x14ac:dyDescent="0.4">
      <c r="C32" s="29"/>
      <c r="D32" s="29"/>
      <c r="E32" s="29"/>
      <c r="F32" s="29"/>
      <c r="G32" s="29"/>
      <c r="H32" s="29"/>
      <c r="I32" s="29"/>
    </row>
    <row r="33" spans="3:9" x14ac:dyDescent="0.4">
      <c r="C33" s="3"/>
      <c r="D33" s="2">
        <f>+D24</f>
        <v>2021</v>
      </c>
      <c r="E33" s="2">
        <f t="shared" ref="E33:I33" si="0">+E24</f>
        <v>2022</v>
      </c>
      <c r="F33" s="2">
        <f t="shared" si="0"/>
        <v>2023</v>
      </c>
      <c r="G33" s="2">
        <f t="shared" si="0"/>
        <v>2024</v>
      </c>
      <c r="H33" s="2">
        <f t="shared" si="0"/>
        <v>2025</v>
      </c>
      <c r="I33" s="2" t="str">
        <f t="shared" si="0"/>
        <v>TV</v>
      </c>
    </row>
    <row r="34" spans="3:9" x14ac:dyDescent="0.4">
      <c r="C34" s="3" t="s">
        <v>63</v>
      </c>
      <c r="D34" s="4"/>
      <c r="E34" s="4"/>
      <c r="F34" s="4"/>
      <c r="G34" s="4"/>
      <c r="H34" s="4"/>
      <c r="I34" s="4">
        <v>0.5</v>
      </c>
    </row>
    <row r="35" spans="3:9" x14ac:dyDescent="0.4">
      <c r="C35" s="3" t="s">
        <v>62</v>
      </c>
      <c r="D35" s="4">
        <v>0</v>
      </c>
      <c r="E35" s="4">
        <v>0.2</v>
      </c>
      <c r="F35" s="4">
        <v>0.4</v>
      </c>
      <c r="G35" s="4">
        <v>0.5</v>
      </c>
      <c r="H35" s="4">
        <v>0.5</v>
      </c>
      <c r="I35" s="4"/>
    </row>
    <row r="36" spans="3:9" x14ac:dyDescent="0.4">
      <c r="C36" s="29" t="s">
        <v>23</v>
      </c>
      <c r="D36" s="30">
        <v>20000</v>
      </c>
      <c r="E36" s="30"/>
      <c r="F36" s="30"/>
      <c r="G36" s="30"/>
      <c r="H36" s="30"/>
      <c r="I36" s="30"/>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E24AA-CF15-465A-AA1F-31C1352C6464}">
  <sheetPr codeName="Munka4"/>
  <dimension ref="B1:F47"/>
  <sheetViews>
    <sheetView topLeftCell="A10" workbookViewId="0">
      <selection activeCell="C37" sqref="C37"/>
    </sheetView>
  </sheetViews>
  <sheetFormatPr defaultRowHeight="15.45" x14ac:dyDescent="0.4"/>
  <cols>
    <col min="2" max="2" width="19.85546875" bestFit="1" customWidth="1"/>
    <col min="3" max="3" width="37.2109375" bestFit="1" customWidth="1"/>
  </cols>
  <sheetData>
    <row r="1" spans="2:3" ht="15.9" thickBot="1" x14ac:dyDescent="0.45"/>
    <row r="2" spans="2:3" ht="18" x14ac:dyDescent="0.45">
      <c r="B2" s="10" t="str">
        <f>+Admin!C12</f>
        <v>Date</v>
      </c>
      <c r="C2" s="16">
        <f>+Admin!D12</f>
        <v>44896</v>
      </c>
    </row>
    <row r="3" spans="2:3" ht="18" x14ac:dyDescent="0.45">
      <c r="B3" s="11" t="str">
        <f>+Admin!C13</f>
        <v>Student name</v>
      </c>
      <c r="C3" s="12" t="str">
        <f>+Admin!D13</f>
        <v>Sam Sample</v>
      </c>
    </row>
    <row r="4" spans="2:3" ht="18" x14ac:dyDescent="0.45">
      <c r="B4" s="11" t="str">
        <f>+Admin!C14</f>
        <v>Neptun code</v>
      </c>
      <c r="C4" s="12" t="str">
        <f>+Admin!D14</f>
        <v>ABCD1234</v>
      </c>
    </row>
    <row r="5" spans="2:3" ht="18" x14ac:dyDescent="0.45">
      <c r="B5" s="11"/>
      <c r="C5" s="13"/>
    </row>
    <row r="6" spans="2:3" ht="18" x14ac:dyDescent="0.45">
      <c r="B6" s="11" t="str">
        <f>+Admin!C16</f>
        <v>Study program</v>
      </c>
      <c r="C6" s="13" t="str">
        <f>+Admin!D16</f>
        <v>Master in Accounting</v>
      </c>
    </row>
    <row r="7" spans="2:3" ht="18.45" thickBot="1" x14ac:dyDescent="0.5">
      <c r="B7" s="14" t="str">
        <f>+Admin!C17</f>
        <v>Instructor</v>
      </c>
      <c r="C7" s="15" t="str">
        <f>+Admin!D17</f>
        <v>Péter Juhász, PhD, CFA</v>
      </c>
    </row>
    <row r="8" spans="2:3" ht="15.9" thickBot="1" x14ac:dyDescent="0.45"/>
    <row r="9" spans="2:3" ht="20.149999999999999" thickBot="1" x14ac:dyDescent="0.5">
      <c r="B9" s="17" t="s">
        <v>22</v>
      </c>
      <c r="C9" s="18"/>
    </row>
    <row r="17" spans="3:6" ht="15.9" thickBot="1" x14ac:dyDescent="0.45"/>
    <row r="18" spans="3:6" ht="15.9" thickBot="1" x14ac:dyDescent="0.45">
      <c r="C18" s="19"/>
      <c r="D18" s="20">
        <v>2017</v>
      </c>
      <c r="E18" s="20">
        <v>2018</v>
      </c>
      <c r="F18" s="20">
        <v>2019</v>
      </c>
    </row>
    <row r="19" spans="3:6" ht="15.9" thickBot="1" x14ac:dyDescent="0.45">
      <c r="C19" s="21" t="s">
        <v>24</v>
      </c>
      <c r="D19" s="24">
        <v>12000</v>
      </c>
      <c r="E19" s="24">
        <v>13200</v>
      </c>
      <c r="F19" s="24">
        <v>14256</v>
      </c>
    </row>
    <row r="20" spans="3:6" ht="15.9" thickBot="1" x14ac:dyDescent="0.45">
      <c r="C20" s="21" t="s">
        <v>30</v>
      </c>
      <c r="D20" s="24">
        <v>0</v>
      </c>
      <c r="E20" s="24">
        <v>396</v>
      </c>
      <c r="F20" s="24">
        <v>712.8</v>
      </c>
    </row>
    <row r="21" spans="3:6" ht="15.9" thickBot="1" x14ac:dyDescent="0.45">
      <c r="C21" s="21" t="s">
        <v>31</v>
      </c>
      <c r="D21" s="24">
        <v>7680</v>
      </c>
      <c r="E21" s="24">
        <v>8580</v>
      </c>
      <c r="F21" s="24">
        <v>9408.9599999999991</v>
      </c>
    </row>
    <row r="22" spans="3:6" ht="15.9" thickBot="1" x14ac:dyDescent="0.45">
      <c r="C22" s="21" t="s">
        <v>32</v>
      </c>
      <c r="D22" s="24">
        <v>3840</v>
      </c>
      <c r="E22" s="24">
        <v>3960</v>
      </c>
      <c r="F22" s="24">
        <v>4419.3599999999997</v>
      </c>
    </row>
    <row r="23" spans="3:6" ht="15.9" thickBot="1" x14ac:dyDescent="0.45">
      <c r="C23" s="21" t="s">
        <v>33</v>
      </c>
      <c r="D23" s="24">
        <v>250</v>
      </c>
      <c r="E23" s="24">
        <v>150</v>
      </c>
      <c r="F23" s="24">
        <v>180</v>
      </c>
    </row>
    <row r="24" spans="3:6" ht="15.9" thickBot="1" x14ac:dyDescent="0.45">
      <c r="C24" s="22" t="s">
        <v>34</v>
      </c>
      <c r="D24" s="25">
        <f>+D19+D20-D21-D22-D23</f>
        <v>230</v>
      </c>
      <c r="E24" s="25">
        <f t="shared" ref="E24:F24" si="0">+E19+E20-E21-E22-E23</f>
        <v>906</v>
      </c>
      <c r="F24" s="25">
        <f t="shared" si="0"/>
        <v>960.48000000000047</v>
      </c>
    </row>
    <row r="25" spans="3:6" ht="15.9" thickBot="1" x14ac:dyDescent="0.45">
      <c r="C25" s="21" t="s">
        <v>35</v>
      </c>
      <c r="D25" s="24">
        <v>100</v>
      </c>
      <c r="E25" s="24">
        <v>0</v>
      </c>
      <c r="F25" s="24">
        <v>120</v>
      </c>
    </row>
    <row r="26" spans="3:6" ht="15.9" thickBot="1" x14ac:dyDescent="0.45">
      <c r="C26" s="21" t="s">
        <v>36</v>
      </c>
      <c r="D26" s="24">
        <v>10</v>
      </c>
      <c r="E26" s="24">
        <v>0</v>
      </c>
      <c r="F26" s="24">
        <v>50</v>
      </c>
    </row>
    <row r="27" spans="3:6" ht="15.9" thickBot="1" x14ac:dyDescent="0.45">
      <c r="C27" s="21" t="s">
        <v>37</v>
      </c>
      <c r="D27" s="24">
        <v>80</v>
      </c>
      <c r="E27" s="24">
        <v>85</v>
      </c>
      <c r="F27" s="24">
        <v>40</v>
      </c>
    </row>
    <row r="28" spans="3:6" ht="15.9" thickBot="1" x14ac:dyDescent="0.45">
      <c r="C28" s="22" t="s">
        <v>38</v>
      </c>
      <c r="D28" s="25">
        <f>+D25+D26-D27</f>
        <v>30</v>
      </c>
      <c r="E28" s="25">
        <f t="shared" ref="E28:F28" si="1">+E25+E26-E27</f>
        <v>-85</v>
      </c>
      <c r="F28" s="25">
        <f t="shared" si="1"/>
        <v>130</v>
      </c>
    </row>
    <row r="29" spans="3:6" ht="15.9" thickBot="1" x14ac:dyDescent="0.45">
      <c r="C29" s="21" t="s">
        <v>39</v>
      </c>
      <c r="D29" s="24">
        <f>+D28+D24</f>
        <v>260</v>
      </c>
      <c r="E29" s="24">
        <f t="shared" ref="E29:F29" si="2">+E28+E24</f>
        <v>821</v>
      </c>
      <c r="F29" s="24">
        <f t="shared" si="2"/>
        <v>1090.4800000000005</v>
      </c>
    </row>
    <row r="30" spans="3:6" ht="15.9" thickBot="1" x14ac:dyDescent="0.45">
      <c r="C30" s="21" t="s">
        <v>40</v>
      </c>
      <c r="D30" s="24">
        <v>23</v>
      </c>
      <c r="E30" s="24">
        <v>74</v>
      </c>
      <c r="F30" s="24">
        <v>98</v>
      </c>
    </row>
    <row r="31" spans="3:6" ht="15.9" thickBot="1" x14ac:dyDescent="0.45">
      <c r="C31" s="22" t="s">
        <v>41</v>
      </c>
      <c r="D31" s="25">
        <f>+D29-D30</f>
        <v>237</v>
      </c>
      <c r="E31" s="25">
        <f t="shared" ref="E31:F31" si="3">+E29-E30</f>
        <v>747</v>
      </c>
      <c r="F31" s="25">
        <f t="shared" si="3"/>
        <v>992.48000000000047</v>
      </c>
    </row>
    <row r="32" spans="3:6" ht="15.9" thickBot="1" x14ac:dyDescent="0.45">
      <c r="C32" s="21" t="s">
        <v>42</v>
      </c>
      <c r="D32" s="24">
        <v>30</v>
      </c>
      <c r="E32" s="24">
        <v>164.2</v>
      </c>
      <c r="F32" s="24">
        <v>297.70999999999998</v>
      </c>
    </row>
    <row r="33" spans="3:6" ht="15.9" thickBot="1" x14ac:dyDescent="0.45">
      <c r="C33" s="21" t="s">
        <v>43</v>
      </c>
      <c r="D33" s="24">
        <f>+D31-D32</f>
        <v>207</v>
      </c>
      <c r="E33" s="24">
        <f t="shared" ref="E33:F33" si="4">+E31-E32</f>
        <v>582.79999999999995</v>
      </c>
      <c r="F33" s="24">
        <f t="shared" si="4"/>
        <v>694.77000000000044</v>
      </c>
    </row>
    <row r="34" spans="3:6" ht="15.9" thickBot="1" x14ac:dyDescent="0.45">
      <c r="C34" s="23"/>
      <c r="D34" s="26"/>
      <c r="E34" s="26"/>
      <c r="F34" s="26"/>
    </row>
    <row r="35" spans="3:6" ht="15.9" thickBot="1" x14ac:dyDescent="0.45">
      <c r="C35" s="21" t="s">
        <v>44</v>
      </c>
      <c r="D35" s="24">
        <v>779.6</v>
      </c>
      <c r="E35" s="24">
        <v>254.77</v>
      </c>
      <c r="F35" s="24">
        <v>182.54</v>
      </c>
    </row>
    <row r="36" spans="3:6" ht="15.9" thickBot="1" x14ac:dyDescent="0.45">
      <c r="C36" s="21" t="s">
        <v>64</v>
      </c>
      <c r="D36" s="24">
        <v>48.4</v>
      </c>
      <c r="E36" s="24">
        <v>50</v>
      </c>
      <c r="F36" s="24">
        <v>0</v>
      </c>
    </row>
    <row r="37" spans="3:6" ht="15.9" thickBot="1" x14ac:dyDescent="0.45">
      <c r="C37" s="21" t="s">
        <v>45</v>
      </c>
      <c r="D37" s="24">
        <v>300</v>
      </c>
      <c r="E37" s="24">
        <v>733.33</v>
      </c>
      <c r="F37" s="24">
        <v>1108.8</v>
      </c>
    </row>
    <row r="38" spans="3:6" ht="15.9" thickBot="1" x14ac:dyDescent="0.45">
      <c r="C38" s="21" t="s">
        <v>46</v>
      </c>
      <c r="D38" s="24">
        <v>250</v>
      </c>
      <c r="E38" s="24">
        <v>870.83</v>
      </c>
      <c r="F38" s="24">
        <v>768.24</v>
      </c>
    </row>
    <row r="39" spans="3:6" ht="15.9" thickBot="1" x14ac:dyDescent="0.45">
      <c r="C39" s="22" t="s">
        <v>47</v>
      </c>
      <c r="D39" s="27">
        <f>SUM(D35:D38)</f>
        <v>1378</v>
      </c>
      <c r="E39" s="27">
        <f t="shared" ref="E39:F39" si="5">SUM(E35:E38)</f>
        <v>1908.9299999999998</v>
      </c>
      <c r="F39" s="27">
        <f t="shared" si="5"/>
        <v>2059.58</v>
      </c>
    </row>
    <row r="40" spans="3:6" ht="15.9" thickBot="1" x14ac:dyDescent="0.45">
      <c r="C40" s="21" t="s">
        <v>48</v>
      </c>
      <c r="D40" s="24">
        <v>1000</v>
      </c>
      <c r="E40" s="24">
        <v>1200</v>
      </c>
      <c r="F40" s="24">
        <v>1500</v>
      </c>
    </row>
    <row r="41" spans="3:6" ht="15.9" thickBot="1" x14ac:dyDescent="0.45">
      <c r="C41" s="22" t="s">
        <v>55</v>
      </c>
      <c r="D41" s="25">
        <f>+D40+D39</f>
        <v>2378</v>
      </c>
      <c r="E41" s="25">
        <f t="shared" ref="E41:F41" si="6">+E40+E39</f>
        <v>3108.93</v>
      </c>
      <c r="F41" s="25">
        <f t="shared" si="6"/>
        <v>3559.58</v>
      </c>
    </row>
    <row r="42" spans="3:6" ht="15.9" thickBot="1" x14ac:dyDescent="0.45">
      <c r="C42" s="21" t="s">
        <v>54</v>
      </c>
      <c r="D42" s="24">
        <v>300</v>
      </c>
      <c r="E42" s="24">
        <v>250</v>
      </c>
      <c r="F42" s="24">
        <v>100</v>
      </c>
    </row>
    <row r="43" spans="3:6" ht="15.9" thickBot="1" x14ac:dyDescent="0.45">
      <c r="C43" s="21" t="s">
        <v>53</v>
      </c>
      <c r="D43" s="24">
        <v>300</v>
      </c>
      <c r="E43" s="24">
        <v>238.33</v>
      </c>
      <c r="F43" s="24">
        <v>444.31</v>
      </c>
    </row>
    <row r="44" spans="3:6" ht="15.9" thickBot="1" x14ac:dyDescent="0.45">
      <c r="C44" s="22" t="s">
        <v>52</v>
      </c>
      <c r="D44" s="25">
        <f>+D42+D43</f>
        <v>600</v>
      </c>
      <c r="E44" s="25">
        <f t="shared" ref="E44:F44" si="7">+E42+E43</f>
        <v>488.33000000000004</v>
      </c>
      <c r="F44" s="25">
        <f t="shared" si="7"/>
        <v>544.30999999999995</v>
      </c>
    </row>
    <row r="45" spans="3:6" ht="15.9" thickBot="1" x14ac:dyDescent="0.45">
      <c r="C45" s="21" t="s">
        <v>51</v>
      </c>
      <c r="D45" s="24">
        <v>500</v>
      </c>
      <c r="E45" s="24">
        <v>600</v>
      </c>
      <c r="F45" s="24">
        <v>300</v>
      </c>
    </row>
    <row r="46" spans="3:6" ht="15.9" thickBot="1" x14ac:dyDescent="0.45">
      <c r="C46" s="21" t="s">
        <v>50</v>
      </c>
      <c r="D46" s="24">
        <v>1278</v>
      </c>
      <c r="E46" s="24">
        <v>2020.6</v>
      </c>
      <c r="F46" s="24">
        <v>2715.27</v>
      </c>
    </row>
    <row r="47" spans="3:6" ht="15.9" thickBot="1" x14ac:dyDescent="0.45">
      <c r="C47" s="22" t="s">
        <v>49</v>
      </c>
      <c r="D47" s="25">
        <f>+D44+D45+D46</f>
        <v>2378</v>
      </c>
      <c r="E47" s="25">
        <f t="shared" ref="E47:F47" si="8">+E44+E45+E46</f>
        <v>3108.93</v>
      </c>
      <c r="F47" s="25">
        <f t="shared" si="8"/>
        <v>3559.58</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C83F8-C1ED-4618-BEF3-F3B796AB9621}">
  <sheetPr codeName="Munka6"/>
  <dimension ref="B1:I30"/>
  <sheetViews>
    <sheetView topLeftCell="A2" workbookViewId="0">
      <selection activeCell="D41" sqref="D41"/>
    </sheetView>
  </sheetViews>
  <sheetFormatPr defaultRowHeight="15.45" x14ac:dyDescent="0.4"/>
  <cols>
    <col min="2" max="2" width="19.85546875" bestFit="1" customWidth="1"/>
    <col min="3" max="3" width="27.2109375" bestFit="1" customWidth="1"/>
    <col min="4" max="4" width="8.85546875" bestFit="1" customWidth="1"/>
    <col min="5" max="9" width="7" bestFit="1" customWidth="1"/>
  </cols>
  <sheetData>
    <row r="1" spans="2:3" ht="15.9" thickBot="1" x14ac:dyDescent="0.45"/>
    <row r="2" spans="2:3" ht="18" x14ac:dyDescent="0.45">
      <c r="B2" s="10" t="str">
        <f>+Admin!C12</f>
        <v>Date</v>
      </c>
      <c r="C2" s="16">
        <f>+Admin!D12</f>
        <v>44896</v>
      </c>
    </row>
    <row r="3" spans="2:3" ht="18" x14ac:dyDescent="0.45">
      <c r="B3" s="11" t="str">
        <f>+Admin!C13</f>
        <v>Student name</v>
      </c>
      <c r="C3" s="12" t="str">
        <f>+Admin!D13</f>
        <v>Sam Sample</v>
      </c>
    </row>
    <row r="4" spans="2:3" ht="18" x14ac:dyDescent="0.45">
      <c r="B4" s="11" t="str">
        <f>+Admin!C14</f>
        <v>Neptun code</v>
      </c>
      <c r="C4" s="12" t="str">
        <f>+Admin!D14</f>
        <v>ABCD1234</v>
      </c>
    </row>
    <row r="5" spans="2:3" ht="18" x14ac:dyDescent="0.45">
      <c r="B5" s="11"/>
      <c r="C5" s="13"/>
    </row>
    <row r="6" spans="2:3" ht="18" x14ac:dyDescent="0.45">
      <c r="B6" s="11" t="str">
        <f>+Admin!C16</f>
        <v>Study program</v>
      </c>
      <c r="C6" s="13" t="str">
        <f>+Admin!D16</f>
        <v>Master in Accounting</v>
      </c>
    </row>
    <row r="7" spans="2:3" ht="18.45" thickBot="1" x14ac:dyDescent="0.5">
      <c r="B7" s="14" t="str">
        <f>+Admin!C17</f>
        <v>Instructor</v>
      </c>
      <c r="C7" s="15" t="str">
        <f>+Admin!D17</f>
        <v>Péter Juhász, PhD, CFA</v>
      </c>
    </row>
    <row r="8" spans="2:3" ht="15.9" thickBot="1" x14ac:dyDescent="0.45"/>
    <row r="9" spans="2:3" ht="20.149999999999999" thickBot="1" x14ac:dyDescent="0.5">
      <c r="B9" s="17" t="s">
        <v>22</v>
      </c>
      <c r="C9" s="18"/>
    </row>
    <row r="19" spans="3:9" x14ac:dyDescent="0.4">
      <c r="C19" s="29"/>
      <c r="D19" s="2">
        <v>2021</v>
      </c>
      <c r="E19" s="2">
        <v>2022</v>
      </c>
      <c r="F19" s="2">
        <v>2023</v>
      </c>
      <c r="G19" s="2">
        <v>2024</v>
      </c>
      <c r="H19" s="2">
        <v>2025</v>
      </c>
      <c r="I19" s="2" t="s">
        <v>1</v>
      </c>
    </row>
    <row r="20" spans="3:9" x14ac:dyDescent="0.4">
      <c r="C20" s="3" t="s">
        <v>2</v>
      </c>
      <c r="D20" s="4">
        <v>0.15</v>
      </c>
      <c r="E20" s="4">
        <v>0.2</v>
      </c>
      <c r="F20" s="4">
        <v>0.22</v>
      </c>
      <c r="G20" s="4">
        <v>0.22</v>
      </c>
      <c r="H20" s="4">
        <v>0.22</v>
      </c>
      <c r="I20" s="4"/>
    </row>
    <row r="21" spans="3:9" x14ac:dyDescent="0.4">
      <c r="C21" s="3" t="s">
        <v>3</v>
      </c>
      <c r="D21" s="4">
        <v>0.5</v>
      </c>
      <c r="E21" s="4">
        <v>0.4</v>
      </c>
      <c r="F21" s="4">
        <v>0.3</v>
      </c>
      <c r="G21" s="4">
        <v>0.3</v>
      </c>
      <c r="H21" s="4">
        <v>0.25</v>
      </c>
      <c r="I21" s="4"/>
    </row>
    <row r="22" spans="3:9" ht="18" x14ac:dyDescent="0.4">
      <c r="C22" s="3" t="s">
        <v>4</v>
      </c>
      <c r="D22" s="4">
        <v>0.12</v>
      </c>
      <c r="E22" s="4">
        <v>0.12</v>
      </c>
      <c r="F22" s="4">
        <v>0.12</v>
      </c>
      <c r="G22" s="4">
        <v>0.12</v>
      </c>
      <c r="H22" s="4">
        <v>0.12</v>
      </c>
      <c r="I22" s="4">
        <v>0.12</v>
      </c>
    </row>
    <row r="23" spans="3:9" ht="18" x14ac:dyDescent="0.4">
      <c r="C23" s="3" t="s">
        <v>5</v>
      </c>
      <c r="D23" s="4">
        <v>0.06</v>
      </c>
      <c r="E23" s="4">
        <v>7.0000000000000007E-2</v>
      </c>
      <c r="F23" s="4">
        <v>7.1999999999999995E-2</v>
      </c>
      <c r="G23" s="4">
        <v>7.2999999999999995E-2</v>
      </c>
      <c r="H23" s="4">
        <v>7.2999999999999995E-2</v>
      </c>
      <c r="I23" s="4">
        <v>7.2999999999999995E-2</v>
      </c>
    </row>
    <row r="24" spans="3:9" x14ac:dyDescent="0.4">
      <c r="C24" s="3" t="s">
        <v>6</v>
      </c>
      <c r="D24" s="4">
        <v>0.1</v>
      </c>
      <c r="E24" s="4">
        <v>0.1</v>
      </c>
      <c r="F24" s="4">
        <v>0.1</v>
      </c>
      <c r="G24" s="4">
        <v>0.1</v>
      </c>
      <c r="H24" s="4">
        <v>0.1</v>
      </c>
      <c r="I24" s="4">
        <v>0.1</v>
      </c>
    </row>
    <row r="25" spans="3:9" x14ac:dyDescent="0.4">
      <c r="C25" s="3" t="s">
        <v>29</v>
      </c>
      <c r="D25" s="29"/>
      <c r="E25" s="29"/>
      <c r="F25" s="29"/>
      <c r="G25" s="4"/>
      <c r="H25" s="4"/>
      <c r="I25" s="4">
        <v>0.05</v>
      </c>
    </row>
    <row r="26" spans="3:9" x14ac:dyDescent="0.4">
      <c r="C26" s="29"/>
      <c r="D26" s="29"/>
      <c r="E26" s="29"/>
      <c r="F26" s="29"/>
      <c r="G26" s="29"/>
      <c r="H26" s="29"/>
      <c r="I26" s="29"/>
    </row>
    <row r="27" spans="3:9" x14ac:dyDescent="0.4">
      <c r="C27" s="3"/>
      <c r="D27" s="2">
        <f>+D19</f>
        <v>2021</v>
      </c>
      <c r="E27" s="2">
        <f t="shared" ref="E27:G27" si="0">+E19</f>
        <v>2022</v>
      </c>
      <c r="F27" s="2">
        <f t="shared" si="0"/>
        <v>2023</v>
      </c>
      <c r="G27" s="2">
        <f t="shared" si="0"/>
        <v>2024</v>
      </c>
      <c r="H27" s="2">
        <f t="shared" ref="H27:I27" si="1">+H19</f>
        <v>2025</v>
      </c>
      <c r="I27" s="2" t="str">
        <f t="shared" si="1"/>
        <v>TV</v>
      </c>
    </row>
    <row r="28" spans="3:9" x14ac:dyDescent="0.4">
      <c r="C28" s="3" t="s">
        <v>63</v>
      </c>
      <c r="D28" s="4"/>
      <c r="E28" s="4"/>
      <c r="F28" s="4"/>
      <c r="G28" s="4"/>
      <c r="H28" s="4"/>
      <c r="I28" s="4">
        <v>0.5</v>
      </c>
    </row>
    <row r="29" spans="3:9" x14ac:dyDescent="0.4">
      <c r="C29" s="3" t="s">
        <v>62</v>
      </c>
      <c r="D29" s="4">
        <v>0.3</v>
      </c>
      <c r="E29" s="4">
        <v>0.4</v>
      </c>
      <c r="F29" s="4">
        <v>0.45</v>
      </c>
      <c r="G29" s="4">
        <v>0.45</v>
      </c>
      <c r="H29" s="4">
        <v>0.45</v>
      </c>
      <c r="I29" s="4"/>
    </row>
    <row r="30" spans="3:9" x14ac:dyDescent="0.4">
      <c r="C30" s="29" t="s">
        <v>23</v>
      </c>
      <c r="D30" s="30">
        <v>10000</v>
      </c>
      <c r="E30" s="30"/>
      <c r="F30" s="30"/>
      <c r="G30" s="30"/>
      <c r="H30" s="30"/>
      <c r="I30" s="30"/>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F7B94-CD1F-4364-9903-53CFB2227E96}">
  <sheetPr codeName="Munka1"/>
  <dimension ref="B1:K21"/>
  <sheetViews>
    <sheetView workbookViewId="0">
      <selection activeCell="B9" sqref="B9"/>
    </sheetView>
  </sheetViews>
  <sheetFormatPr defaultRowHeight="15.45" x14ac:dyDescent="0.4"/>
  <cols>
    <col min="2" max="2" width="19.85546875" bestFit="1" customWidth="1"/>
    <col min="3" max="3" width="37.2109375" bestFit="1" customWidth="1"/>
  </cols>
  <sheetData>
    <row r="1" spans="2:3" ht="15.9" thickBot="1" x14ac:dyDescent="0.45"/>
    <row r="2" spans="2:3" ht="18" x14ac:dyDescent="0.45">
      <c r="B2" s="10" t="str">
        <f>+Admin!C12</f>
        <v>Date</v>
      </c>
      <c r="C2" s="16">
        <f>+Admin!D12</f>
        <v>44896</v>
      </c>
    </row>
    <row r="3" spans="2:3" ht="18" x14ac:dyDescent="0.45">
      <c r="B3" s="11" t="str">
        <f>+Admin!C13</f>
        <v>Student name</v>
      </c>
      <c r="C3" s="12" t="str">
        <f>+Admin!D13</f>
        <v>Sam Sample</v>
      </c>
    </row>
    <row r="4" spans="2:3" ht="18" x14ac:dyDescent="0.45">
      <c r="B4" s="11" t="str">
        <f>+Admin!C14</f>
        <v>Neptun code</v>
      </c>
      <c r="C4" s="12" t="str">
        <f>+Admin!D14</f>
        <v>ABCD1234</v>
      </c>
    </row>
    <row r="5" spans="2:3" ht="18" x14ac:dyDescent="0.45">
      <c r="B5" s="11"/>
      <c r="C5" s="13"/>
    </row>
    <row r="6" spans="2:3" ht="18" x14ac:dyDescent="0.45">
      <c r="B6" s="11" t="str">
        <f>+Admin!C16</f>
        <v>Study program</v>
      </c>
      <c r="C6" s="13" t="str">
        <f>+Admin!D16</f>
        <v>Master in Accounting</v>
      </c>
    </row>
    <row r="7" spans="2:3" ht="18.45" thickBot="1" x14ac:dyDescent="0.5">
      <c r="B7" s="14" t="str">
        <f>+Admin!C17</f>
        <v>Instructor</v>
      </c>
      <c r="C7" s="15" t="str">
        <f>+Admin!D17</f>
        <v>Péter Juhász, PhD, CFA</v>
      </c>
    </row>
    <row r="8" spans="2:3" ht="15.9" thickBot="1" x14ac:dyDescent="0.45"/>
    <row r="9" spans="2:3" ht="20.149999999999999" thickBot="1" x14ac:dyDescent="0.5">
      <c r="B9" s="17" t="s">
        <v>22</v>
      </c>
      <c r="C9" s="18"/>
    </row>
    <row r="21" spans="11:11" ht="20.149999999999999" x14ac:dyDescent="0.5">
      <c r="K21" s="45"/>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274A2-7EBC-431C-B148-53B7D2873245}">
  <dimension ref="B3:B13"/>
  <sheetViews>
    <sheetView workbookViewId="0">
      <selection activeCell="C17" sqref="C17"/>
    </sheetView>
  </sheetViews>
  <sheetFormatPr defaultRowHeight="15.45" x14ac:dyDescent="0.4"/>
  <sheetData>
    <row r="3" spans="2:2" ht="19.75" x14ac:dyDescent="0.45">
      <c r="B3" s="46" t="s">
        <v>56</v>
      </c>
    </row>
    <row r="5" spans="2:2" ht="18" x14ac:dyDescent="0.45">
      <c r="B5" s="47" t="s">
        <v>59</v>
      </c>
    </row>
    <row r="6" spans="2:2" ht="18" x14ac:dyDescent="0.45">
      <c r="B6" s="47" t="s">
        <v>66</v>
      </c>
    </row>
    <row r="7" spans="2:2" ht="18" x14ac:dyDescent="0.45">
      <c r="B7" s="47" t="s">
        <v>60</v>
      </c>
    </row>
    <row r="8" spans="2:2" ht="18" x14ac:dyDescent="0.45">
      <c r="B8" s="47" t="s">
        <v>58</v>
      </c>
    </row>
    <row r="9" spans="2:2" ht="18" x14ac:dyDescent="0.45">
      <c r="B9" s="47" t="s">
        <v>57</v>
      </c>
    </row>
    <row r="10" spans="2:2" ht="18" x14ac:dyDescent="0.45">
      <c r="B10" s="47" t="s">
        <v>61</v>
      </c>
    </row>
    <row r="11" spans="2:2" ht="18" x14ac:dyDescent="0.45">
      <c r="B11" s="47" t="s">
        <v>65</v>
      </c>
    </row>
    <row r="12" spans="2:2" ht="18" x14ac:dyDescent="0.45">
      <c r="B12" s="47" t="s">
        <v>67</v>
      </c>
    </row>
    <row r="13" spans="2:2" ht="18" x14ac:dyDescent="0.45">
      <c r="B13" s="47"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8</vt:i4>
      </vt:variant>
    </vt:vector>
  </HeadingPairs>
  <TitlesOfParts>
    <vt:vector size="8" baseType="lpstr">
      <vt:lpstr>OpeningPage</vt:lpstr>
      <vt:lpstr>Admin</vt:lpstr>
      <vt:lpstr>Task 1</vt:lpstr>
      <vt:lpstr>Task 2</vt:lpstr>
      <vt:lpstr>Task 3</vt:lpstr>
      <vt:lpstr>Task 4</vt:lpstr>
      <vt:lpstr>Task 5</vt:lpstr>
      <vt:lpstr>Sample theoretical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dc:creator>
  <cp:lastModifiedBy>Juhász Péter</cp:lastModifiedBy>
  <dcterms:created xsi:type="dcterms:W3CDTF">2014-05-14T18:27:14Z</dcterms:created>
  <dcterms:modified xsi:type="dcterms:W3CDTF">2022-12-03T10:40:15Z</dcterms:modified>
</cp:coreProperties>
</file>