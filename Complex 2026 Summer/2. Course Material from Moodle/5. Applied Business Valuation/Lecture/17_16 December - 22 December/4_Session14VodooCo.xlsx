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Munka\!PUTanszek\!AppliedBusinessValuation\2024Fall\Week7\"/>
    </mc:Choice>
  </mc:AlternateContent>
  <xr:revisionPtr revIDLastSave="0" documentId="13_ncr:1_{6965EFD8-DDA3-4C42-B2D0-743CF6FAC08E}" xr6:coauthVersionLast="47" xr6:coauthVersionMax="47" xr10:uidLastSave="{00000000-0000-0000-0000-000000000000}"/>
  <bookViews>
    <workbookView xWindow="-98" yWindow="-98" windowWidth="28996" windowHeight="15675" xr2:uid="{B6E8B4E9-C4C1-49AF-B952-4EDF87B25996}"/>
  </bookViews>
  <sheets>
    <sheet name="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1" l="1"/>
  <c r="E3" i="1" s="1"/>
  <c r="F3" i="1" s="1"/>
  <c r="E11" i="1"/>
  <c r="F11" i="1"/>
  <c r="D11" i="1"/>
  <c r="E9" i="1"/>
  <c r="F9" i="1"/>
  <c r="D9" i="1"/>
  <c r="D20" i="1"/>
  <c r="E20" i="1"/>
  <c r="F20" i="1"/>
  <c r="C20" i="1"/>
  <c r="C3" i="1" l="1"/>
</calcChain>
</file>

<file path=xl/sharedStrings.xml><?xml version="1.0" encoding="utf-8"?>
<sst xmlns="http://schemas.openxmlformats.org/spreadsheetml/2006/main" count="33" uniqueCount="33">
  <si>
    <t>M HUF</t>
  </si>
  <si>
    <t>Sales</t>
  </si>
  <si>
    <t>COGS</t>
  </si>
  <si>
    <t>D&amp;A</t>
  </si>
  <si>
    <t>Operational profit</t>
  </si>
  <si>
    <t>Interest payment</t>
  </si>
  <si>
    <t>Profit before tax</t>
  </si>
  <si>
    <t>Profit after tax</t>
  </si>
  <si>
    <t>Retained earnings</t>
  </si>
  <si>
    <t>PP&amp;E</t>
  </si>
  <si>
    <t>Inventory</t>
  </si>
  <si>
    <t>Receivables</t>
  </si>
  <si>
    <t>Cash</t>
  </si>
  <si>
    <t>Payables</t>
  </si>
  <si>
    <t>Debt</t>
  </si>
  <si>
    <t>Equity</t>
  </si>
  <si>
    <t>Growth of sales</t>
  </si>
  <si>
    <t>K</t>
  </si>
  <si>
    <t>Tax rate</t>
  </si>
  <si>
    <t>D/V</t>
  </si>
  <si>
    <t>COGS/Sales</t>
  </si>
  <si>
    <t>E/S</t>
  </si>
  <si>
    <t>P/E</t>
  </si>
  <si>
    <t>V/employee</t>
  </si>
  <si>
    <t>Average</t>
  </si>
  <si>
    <t>Industry average</t>
  </si>
  <si>
    <t>Voodoo data</t>
  </si>
  <si>
    <t>Value</t>
  </si>
  <si>
    <t>Table 1</t>
  </si>
  <si>
    <t>Table 3</t>
  </si>
  <si>
    <t>Table 2</t>
  </si>
  <si>
    <r>
      <t>r</t>
    </r>
    <r>
      <rPr>
        <vertAlign val="subscript"/>
        <sz val="12"/>
        <color rgb="FF000000"/>
        <rFont val="Calibri"/>
        <family val="2"/>
        <charset val="238"/>
        <scheme val="minor"/>
      </rPr>
      <t>D</t>
    </r>
  </si>
  <si>
    <r>
      <t>r</t>
    </r>
    <r>
      <rPr>
        <vertAlign val="subscript"/>
        <sz val="12"/>
        <color rgb="FF000000"/>
        <rFont val="Calibri"/>
        <family val="2"/>
        <charset val="238"/>
        <scheme val="minor"/>
      </rPr>
      <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</si>
</sst>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charset val="238"/>
      <scheme val="minor"/>
    </font>
    <font>
      <b/>
      <sz val="12"/>
      <color theme="1"/>
      <name val="Calibri"/>
      <family val="2"/>
      <charset val="238"/>
      <scheme val="minor"/>
    </font>
    <font>
      <sz val="10"/>
      <color theme="1"/>
      <name val="Calibri"/>
      <family val="2"/>
      <charset val="238"/>
      <scheme val="minor"/>
    </font>
    <font>
      <sz val="12"/>
      <color rgb="FF000000"/>
      <name val="Calibri"/>
      <family val="2"/>
      <charset val="238"/>
      <scheme val="minor"/>
    </font>
    <font>
      <b/>
      <sz val="12"/>
      <color rgb="FF000000"/>
      <name val="Calibri"/>
      <family val="2"/>
      <charset val="238"/>
      <scheme val="minor"/>
    </font>
    <font>
      <vertAlign val="subscript"/>
      <sz val="12"/>
      <color rgb="FF000000"/>
      <name val="Calibri"/>
      <family val="2"/>
      <charset val="238"/>
      <scheme val="minor"/>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5">
    <xf numFmtId="0" fontId="0" fillId="0" borderId="0" xfId="0"/>
    <xf numFmtId="0" fontId="2" fillId="0" borderId="3" xfId="0" applyFont="1" applyBorder="1"/>
    <xf numFmtId="0" fontId="2" fillId="0" borderId="4" xfId="0" applyFont="1" applyBorder="1"/>
    <xf numFmtId="4" fontId="2" fillId="0" borderId="4" xfId="0" applyNumberFormat="1" applyFont="1" applyBorder="1"/>
    <xf numFmtId="0" fontId="2" fillId="0" borderId="1" xfId="0" applyFont="1" applyBorder="1"/>
    <xf numFmtId="0" fontId="1" fillId="0" borderId="0" xfId="0" applyFont="1"/>
    <xf numFmtId="0" fontId="0" fillId="0" borderId="0" xfId="0" applyFont="1"/>
    <xf numFmtId="0" fontId="3" fillId="0" borderId="1" xfId="0" applyFont="1" applyBorder="1" applyAlignment="1">
      <alignment horizontal="left" vertical="center"/>
    </xf>
    <xf numFmtId="0" fontId="4" fillId="0" borderId="2" xfId="0" applyFont="1" applyBorder="1" applyAlignment="1">
      <alignment horizontal="center" vertical="center"/>
    </xf>
    <xf numFmtId="0" fontId="3" fillId="0" borderId="3" xfId="0" applyFont="1" applyBorder="1" applyAlignment="1">
      <alignment horizontal="left" vertical="center"/>
    </xf>
    <xf numFmtId="4" fontId="3" fillId="0" borderId="4" xfId="0" applyNumberFormat="1" applyFont="1" applyBorder="1" applyAlignment="1">
      <alignment horizontal="right" vertical="center"/>
    </xf>
    <xf numFmtId="10" fontId="3" fillId="0" borderId="2" xfId="0" applyNumberFormat="1" applyFont="1" applyBorder="1" applyAlignment="1">
      <alignment horizontal="right" vertical="center"/>
    </xf>
    <xf numFmtId="10" fontId="3" fillId="0" borderId="4" xfId="0" applyNumberFormat="1" applyFont="1" applyBorder="1" applyAlignment="1">
      <alignment horizontal="right" vertical="center"/>
    </xf>
    <xf numFmtId="0" fontId="3" fillId="0" borderId="4" xfId="0" applyFont="1" applyBorder="1" applyAlignment="1">
      <alignment horizontal="right" vertical="center"/>
    </xf>
    <xf numFmtId="4" fontId="4" fillId="0" borderId="4" xfId="0" applyNumberFormat="1" applyFont="1" applyBorder="1" applyAlignment="1">
      <alignment horizontal="right" vertical="center"/>
    </xf>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10</xdr:col>
      <xdr:colOff>59871</xdr:colOff>
      <xdr:row>1</xdr:row>
      <xdr:rowOff>76200</xdr:rowOff>
    </xdr:from>
    <xdr:to>
      <xdr:col>19</xdr:col>
      <xdr:colOff>402772</xdr:colOff>
      <xdr:row>25</xdr:row>
      <xdr:rowOff>59871</xdr:rowOff>
    </xdr:to>
    <xdr:sp macro="" textlink="">
      <xdr:nvSpPr>
        <xdr:cNvPr id="2" name="Szövegdoboz 1">
          <a:extLst>
            <a:ext uri="{FF2B5EF4-FFF2-40B4-BE49-F238E27FC236}">
              <a16:creationId xmlns:a16="http://schemas.microsoft.com/office/drawing/2014/main" id="{FD6C08AE-ED8C-3EB9-7639-258906346A9E}"/>
            </a:ext>
          </a:extLst>
        </xdr:cNvPr>
        <xdr:cNvSpPr txBox="1"/>
      </xdr:nvSpPr>
      <xdr:spPr>
        <a:xfrm>
          <a:off x="7336971" y="277586"/>
          <a:ext cx="6613072" cy="49421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Voodoo Co.</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It is January 202</a:t>
          </a:r>
          <a:r>
            <a:rPr lang="hu-HU" sz="1100">
              <a:solidFill>
                <a:schemeClr val="dk1"/>
              </a:solidFill>
              <a:effectLst/>
              <a:latin typeface="+mn-lt"/>
              <a:ea typeface="+mn-ea"/>
              <a:cs typeface="+mn-cs"/>
            </a:rPr>
            <a:t>5</a:t>
          </a:r>
          <a:r>
            <a:rPr lang="en-GB" sz="1100">
              <a:solidFill>
                <a:schemeClr val="dk1"/>
              </a:solidFill>
              <a:effectLst/>
              <a:latin typeface="+mn-lt"/>
              <a:ea typeface="+mn-ea"/>
              <a:cs typeface="+mn-cs"/>
            </a:rPr>
            <a:t>. After the successful closure of your semester, you enjoy your well-deserved holiday. Out of nowhere, you receive a message on Facebook from a university mate whom you always considered very attractive but did not have the chance to ask her (him) out. (S)He writes that (s)he recalls you being so great at valuation and (s)he needs your help badly.</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After exchanging some messages, you learn that (s)he recently started a job as an analyst at a small management consulting firm. Her (his) boss threw her (him) in a deep end by asking to prepare the complete valuation of the Voodoo Co. and come up with proposals for the management to enhance the current strategy.</a:t>
          </a:r>
          <a:endParaRPr lang="hu-HU" sz="1100">
            <a:solidFill>
              <a:schemeClr val="dk1"/>
            </a:solidFill>
            <a:effectLst/>
            <a:latin typeface="+mn-lt"/>
            <a:ea typeface="+mn-ea"/>
            <a:cs typeface="+mn-cs"/>
          </a:endParaRPr>
        </a:p>
        <a:p>
          <a:pPr algn="just"/>
          <a:r>
            <a:rPr lang="en-GB" sz="1100">
              <a:solidFill>
                <a:schemeClr val="dk1"/>
              </a:solidFill>
              <a:effectLst/>
              <a:latin typeface="+mn-lt"/>
              <a:ea typeface="+mn-ea"/>
              <a:cs typeface="+mn-cs"/>
            </a:rPr>
            <a:t>(S)He states that the multiple-based part was an easy win for her (him), but she got stuck with the DCF methods. (Those methods never get the same result.) As you liked valuation and your mate has beautiful eyes (you feel like castaway) you offer her (him) to have a look at the problem and the half-ready model. You learn the following from the notes received in an email attachment.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Voodoo Co. has 15 employees and is a wholesaler for mystical and esoteric books, cards, pendants, orbs, gifts and gems. Most of the “original African” or “traditional Central-American” products are imported from China being paid for in dollars. The majority of the buyers are small retailers in Hungary and Eastern-Europe. </a:t>
          </a:r>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During the explicit period, the yearly cost of debt amounts to 10%, the required rate on equity would be 20%.</a:t>
          </a:r>
          <a:endParaRPr lang="hu-HU" sz="1100">
            <a:solidFill>
              <a:schemeClr val="dk1"/>
            </a:solidFill>
            <a:effectLst/>
            <a:latin typeface="+mn-lt"/>
            <a:ea typeface="+mn-ea"/>
            <a:cs typeface="+mn-cs"/>
          </a:endParaRPr>
        </a:p>
        <a:p>
          <a:pPr lvl="0"/>
          <a:r>
            <a:rPr lang="en-GB" sz="1100">
              <a:solidFill>
                <a:schemeClr val="dk1"/>
              </a:solidFill>
              <a:effectLst/>
              <a:latin typeface="+mn-lt"/>
              <a:ea typeface="+mn-ea"/>
              <a:cs typeface="+mn-cs"/>
            </a:rPr>
            <a:t>The D&amp;A rate is 10%.</a:t>
          </a:r>
          <a:r>
            <a:rPr lang="hu-HU" sz="1100">
              <a:solidFill>
                <a:schemeClr val="dk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endParaRPr lang="hu-HU" sz="1100">
            <a:solidFill>
              <a:schemeClr val="dk1"/>
            </a:solidFill>
            <a:effectLst/>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plan predicts the</a:t>
          </a:r>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results</a:t>
          </a:r>
          <a:r>
            <a:rPr lang="hu-HU" sz="1100">
              <a:solidFill>
                <a:schemeClr val="dk1"/>
              </a:solidFill>
              <a:effectLst/>
              <a:latin typeface="+mn-lt"/>
              <a:ea typeface="+mn-ea"/>
              <a:cs typeface="+mn-cs"/>
            </a:rPr>
            <a:t> in the table 1</a:t>
          </a:r>
          <a:r>
            <a:rPr lang="en-GB" sz="1100">
              <a:solidFill>
                <a:schemeClr val="dk1"/>
              </a:solidFill>
              <a:effectLst/>
              <a:latin typeface="+mn-lt"/>
              <a:ea typeface="+mn-ea"/>
              <a:cs typeface="+mn-cs"/>
            </a:rPr>
            <a:t>.</a:t>
          </a:r>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Your friend with a magical smile assumed for the TV period</a:t>
          </a:r>
          <a:r>
            <a:rPr lang="hu-HU" sz="1100">
              <a:solidFill>
                <a:schemeClr val="dk1"/>
              </a:solidFill>
              <a:effectLst/>
              <a:latin typeface="+mn-lt"/>
              <a:ea typeface="+mn-ea"/>
              <a:cs typeface="+mn-cs"/>
            </a:rPr>
            <a:t> data shown in Table 2</a:t>
          </a:r>
          <a:r>
            <a:rPr lang="en-GB" sz="1100">
              <a:solidFill>
                <a:schemeClr val="dk1"/>
              </a:solidFill>
              <a:effectLst/>
              <a:latin typeface="+mn-lt"/>
              <a:ea typeface="+mn-ea"/>
              <a:cs typeface="+mn-cs"/>
            </a:rPr>
            <a:t>.</a:t>
          </a:r>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Due to the lack of local data, </a:t>
          </a:r>
          <a:r>
            <a:rPr lang="hu-HU" sz="1100">
              <a:solidFill>
                <a:schemeClr val="dk1"/>
              </a:solidFill>
              <a:effectLst/>
              <a:latin typeface="+mn-lt"/>
              <a:ea typeface="+mn-ea"/>
              <a:cs typeface="+mn-cs"/>
            </a:rPr>
            <a:t>(</a:t>
          </a:r>
          <a:r>
            <a:rPr lang="en-GB" sz="1100">
              <a:solidFill>
                <a:schemeClr val="dk1"/>
              </a:solidFill>
              <a:effectLst/>
              <a:latin typeface="+mn-lt"/>
              <a:ea typeface="+mn-ea"/>
              <a:cs typeface="+mn-cs"/>
            </a:rPr>
            <a:t>s</a:t>
          </a:r>
          <a:r>
            <a:rPr lang="hu-HU" sz="1100">
              <a:solidFill>
                <a:schemeClr val="dk1"/>
              </a:solidFill>
              <a:effectLst/>
              <a:latin typeface="+mn-lt"/>
              <a:ea typeface="+mn-ea"/>
              <a:cs typeface="+mn-cs"/>
            </a:rPr>
            <a:t>)</a:t>
          </a:r>
          <a:r>
            <a:rPr lang="en-GB" sz="1100">
              <a:solidFill>
                <a:schemeClr val="dk1"/>
              </a:solidFill>
              <a:effectLst/>
              <a:latin typeface="+mn-lt"/>
              <a:ea typeface="+mn-ea"/>
              <a:cs typeface="+mn-cs"/>
            </a:rPr>
            <a:t>he used multiples from Western-EU listed firms to get to the estimate </a:t>
          </a:r>
          <a:r>
            <a:rPr lang="hu-HU" sz="1100">
              <a:solidFill>
                <a:schemeClr val="dk1"/>
              </a:solidFill>
              <a:effectLst/>
              <a:latin typeface="+mn-lt"/>
              <a:ea typeface="+mn-ea"/>
              <a:cs typeface="+mn-cs"/>
            </a:rPr>
            <a:t>in</a:t>
          </a:r>
          <a:r>
            <a:rPr lang="hu-HU" sz="1100" baseline="0">
              <a:solidFill>
                <a:schemeClr val="dk1"/>
              </a:solidFill>
              <a:effectLst/>
              <a:latin typeface="+mn-lt"/>
              <a:ea typeface="+mn-ea"/>
              <a:cs typeface="+mn-cs"/>
            </a:rPr>
            <a:t> Table 3</a:t>
          </a:r>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1. Prepare a DCF valuation on Voodoo Co.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2. What corrective steps would you recommend in the valuation?</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3. What further information would you need?</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4. What would you recommend to the owners and top management of Voodoo Co.?</a:t>
          </a:r>
          <a:endParaRPr lang="hu-HU" sz="1100">
            <a:solidFill>
              <a:schemeClr val="dk1"/>
            </a:solidFill>
            <a:effectLst/>
            <a:latin typeface="+mn-lt"/>
            <a:ea typeface="+mn-ea"/>
            <a:cs typeface="+mn-cs"/>
          </a:endParaRPr>
        </a:p>
        <a:p>
          <a:endParaRPr lang="hu-HU" sz="1100"/>
        </a:p>
      </xdr:txBody>
    </xdr:sp>
    <xdr:clientData/>
  </xdr:twoCellAnchor>
</xdr:wsDr>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7F704-7A39-4C56-8A34-8C2678B1549A}">
  <dimension ref="A2:F35"/>
  <sheetViews>
    <sheetView tabSelected="1" workbookViewId="0">
      <selection activeCell="F27" sqref="F27"/>
    </sheetView>
  </sheetViews>
  <sheetFormatPr defaultRowHeight="15.75" x14ac:dyDescent="0.5"/>
  <cols>
    <col min="1" max="1" width="9" style="6"/>
    <col min="2" max="2" width="15.125" style="6" bestFit="1" customWidth="1"/>
    <col min="3" max="3" width="8.4375" style="6" bestFit="1" customWidth="1"/>
    <col min="4" max="4" width="7.8125" style="6" bestFit="1" customWidth="1"/>
    <col min="5" max="5" width="10.625" style="6" bestFit="1" customWidth="1"/>
    <col min="6" max="6" width="7.8125" style="6" bestFit="1" customWidth="1"/>
    <col min="7" max="16384" width="9" style="6"/>
  </cols>
  <sheetData>
    <row r="2" spans="1:6" ht="16.149999999999999" thickBot="1" x14ac:dyDescent="0.55000000000000004">
      <c r="A2" s="5" t="s">
        <v>28</v>
      </c>
    </row>
    <row r="3" spans="1:6" ht="16.149999999999999" thickBot="1" x14ac:dyDescent="0.55000000000000004">
      <c r="B3" s="7" t="s">
        <v>0</v>
      </c>
      <c r="C3" s="8" t="str">
        <f ca="1">+D3-1 &amp; " fact"</f>
        <v>2024 fact</v>
      </c>
      <c r="D3" s="8">
        <f ca="1">+YEAR(TODAY())+1</f>
        <v>2025</v>
      </c>
      <c r="E3" s="8">
        <f ca="1">+D3+1</f>
        <v>2026</v>
      </c>
      <c r="F3" s="8">
        <f ca="1">+E3+1</f>
        <v>2027</v>
      </c>
    </row>
    <row r="4" spans="1:6" ht="16.149999999999999" thickBot="1" x14ac:dyDescent="0.55000000000000004">
      <c r="B4" s="9" t="s">
        <v>1</v>
      </c>
      <c r="C4" s="10">
        <v>800</v>
      </c>
      <c r="D4" s="10">
        <v>1000</v>
      </c>
      <c r="E4" s="10">
        <v>1500</v>
      </c>
      <c r="F4" s="10">
        <v>1800</v>
      </c>
    </row>
    <row r="5" spans="1:6" ht="16.149999999999999" thickBot="1" x14ac:dyDescent="0.55000000000000004">
      <c r="B5" s="9" t="s">
        <v>2</v>
      </c>
      <c r="C5" s="10">
        <v>520</v>
      </c>
      <c r="D5" s="10">
        <v>630</v>
      </c>
      <c r="E5" s="10">
        <v>915</v>
      </c>
      <c r="F5" s="10">
        <v>1062</v>
      </c>
    </row>
    <row r="6" spans="1:6" ht="16.149999999999999" thickBot="1" x14ac:dyDescent="0.55000000000000004">
      <c r="B6" s="9" t="s">
        <v>3</v>
      </c>
      <c r="C6" s="10">
        <v>100</v>
      </c>
      <c r="D6" s="10">
        <v>120</v>
      </c>
      <c r="E6" s="10">
        <v>145</v>
      </c>
      <c r="F6" s="10">
        <v>210</v>
      </c>
    </row>
    <row r="7" spans="1:6" ht="16.149999999999999" thickBot="1" x14ac:dyDescent="0.55000000000000004">
      <c r="B7" s="9" t="s">
        <v>4</v>
      </c>
      <c r="C7" s="10">
        <v>180</v>
      </c>
      <c r="D7" s="10">
        <v>250</v>
      </c>
      <c r="E7" s="10">
        <v>440</v>
      </c>
      <c r="F7" s="10">
        <v>528</v>
      </c>
    </row>
    <row r="8" spans="1:6" ht="16.149999999999999" thickBot="1" x14ac:dyDescent="0.55000000000000004">
      <c r="B8" s="9" t="s">
        <v>5</v>
      </c>
      <c r="C8" s="10">
        <v>50</v>
      </c>
      <c r="D8" s="10">
        <v>29</v>
      </c>
      <c r="E8" s="10">
        <v>50</v>
      </c>
      <c r="F8" s="10">
        <v>110</v>
      </c>
    </row>
    <row r="9" spans="1:6" ht="16.149999999999999" thickBot="1" x14ac:dyDescent="0.55000000000000004">
      <c r="B9" s="9" t="s">
        <v>6</v>
      </c>
      <c r="C9" s="10">
        <v>130</v>
      </c>
      <c r="D9" s="10">
        <f>+D7-D8</f>
        <v>221</v>
      </c>
      <c r="E9" s="10">
        <f t="shared" ref="E9:F9" si="0">+E7-E8</f>
        <v>390</v>
      </c>
      <c r="F9" s="10">
        <f t="shared" si="0"/>
        <v>418</v>
      </c>
    </row>
    <row r="10" spans="1:6" ht="16.149999999999999" thickBot="1" x14ac:dyDescent="0.55000000000000004">
      <c r="B10" s="9" t="s">
        <v>7</v>
      </c>
      <c r="C10" s="10">
        <v>117</v>
      </c>
      <c r="D10" s="10">
        <v>200</v>
      </c>
      <c r="E10" s="10">
        <v>350</v>
      </c>
      <c r="F10" s="10">
        <v>380</v>
      </c>
    </row>
    <row r="11" spans="1:6" ht="16.149999999999999" thickBot="1" x14ac:dyDescent="0.55000000000000004">
      <c r="B11" s="9" t="s">
        <v>8</v>
      </c>
      <c r="C11" s="10">
        <v>58.5</v>
      </c>
      <c r="D11" s="10">
        <f>+D9-D10</f>
        <v>21</v>
      </c>
      <c r="E11" s="10">
        <f t="shared" ref="E11:F11" si="1">+E9-E10</f>
        <v>40</v>
      </c>
      <c r="F11" s="10">
        <f t="shared" si="1"/>
        <v>38</v>
      </c>
    </row>
    <row r="12" spans="1:6" ht="16.149999999999999" thickBot="1" x14ac:dyDescent="0.55000000000000004">
      <c r="B12" s="1"/>
      <c r="C12" s="3"/>
      <c r="D12" s="3"/>
      <c r="E12" s="3"/>
      <c r="F12" s="3"/>
    </row>
    <row r="13" spans="1:6" ht="16.149999999999999" thickBot="1" x14ac:dyDescent="0.55000000000000004">
      <c r="B13" s="9" t="s">
        <v>9</v>
      </c>
      <c r="C13" s="10">
        <v>1200</v>
      </c>
      <c r="D13" s="10">
        <v>1450</v>
      </c>
      <c r="E13" s="10">
        <v>2100</v>
      </c>
      <c r="F13" s="10">
        <v>2430</v>
      </c>
    </row>
    <row r="14" spans="1:6" ht="16.149999999999999" thickBot="1" x14ac:dyDescent="0.55000000000000004">
      <c r="B14" s="9" t="s">
        <v>10</v>
      </c>
      <c r="C14" s="10">
        <v>22</v>
      </c>
      <c r="D14" s="10">
        <v>30</v>
      </c>
      <c r="E14" s="10">
        <v>40</v>
      </c>
      <c r="F14" s="10">
        <v>50</v>
      </c>
    </row>
    <row r="15" spans="1:6" ht="16.149999999999999" thickBot="1" x14ac:dyDescent="0.55000000000000004">
      <c r="B15" s="9" t="s">
        <v>11</v>
      </c>
      <c r="C15" s="10">
        <v>123</v>
      </c>
      <c r="D15" s="10">
        <v>140</v>
      </c>
      <c r="E15" s="10">
        <v>190</v>
      </c>
      <c r="F15" s="10">
        <v>200</v>
      </c>
    </row>
    <row r="16" spans="1:6" ht="16.149999999999999" thickBot="1" x14ac:dyDescent="0.55000000000000004">
      <c r="B16" s="9" t="s">
        <v>12</v>
      </c>
      <c r="C16" s="10">
        <v>120</v>
      </c>
      <c r="D16" s="10">
        <v>150</v>
      </c>
      <c r="E16" s="10">
        <v>225</v>
      </c>
      <c r="F16" s="10">
        <v>270</v>
      </c>
    </row>
    <row r="17" spans="1:6" ht="16.149999999999999" thickBot="1" x14ac:dyDescent="0.55000000000000004">
      <c r="B17" s="1"/>
      <c r="C17" s="3"/>
      <c r="D17" s="3"/>
      <c r="E17" s="3"/>
      <c r="F17" s="3"/>
    </row>
    <row r="18" spans="1:6" ht="16.149999999999999" thickBot="1" x14ac:dyDescent="0.55000000000000004">
      <c r="B18" s="9" t="s">
        <v>13</v>
      </c>
      <c r="C18" s="10">
        <v>15</v>
      </c>
      <c r="D18" s="10">
        <v>20</v>
      </c>
      <c r="E18" s="10">
        <v>40</v>
      </c>
      <c r="F18" s="10">
        <v>60</v>
      </c>
    </row>
    <row r="19" spans="1:6" ht="16.149999999999999" thickBot="1" x14ac:dyDescent="0.55000000000000004">
      <c r="B19" s="9" t="s">
        <v>14</v>
      </c>
      <c r="C19" s="10">
        <v>290</v>
      </c>
      <c r="D19" s="10">
        <v>500</v>
      </c>
      <c r="E19" s="10">
        <v>1100</v>
      </c>
      <c r="F19" s="10">
        <v>1300</v>
      </c>
    </row>
    <row r="20" spans="1:6" ht="16.149999999999999" thickBot="1" x14ac:dyDescent="0.55000000000000004">
      <c r="B20" s="9" t="s">
        <v>15</v>
      </c>
      <c r="C20" s="10">
        <f>+C13+C14+C15+C16-C18-C19</f>
        <v>1160</v>
      </c>
      <c r="D20" s="10">
        <f t="shared" ref="D20:F20" si="2">+D13+D14+D15+D16-D18-D19</f>
        <v>1250</v>
      </c>
      <c r="E20" s="10">
        <f t="shared" si="2"/>
        <v>1415</v>
      </c>
      <c r="F20" s="10">
        <f t="shared" si="2"/>
        <v>1590</v>
      </c>
    </row>
    <row r="22" spans="1:6" ht="16.149999999999999" thickBot="1" x14ac:dyDescent="0.55000000000000004">
      <c r="A22" s="5" t="s">
        <v>30</v>
      </c>
    </row>
    <row r="23" spans="1:6" ht="16.149999999999999" thickBot="1" x14ac:dyDescent="0.55000000000000004">
      <c r="B23" s="7" t="s">
        <v>16</v>
      </c>
      <c r="C23" s="11">
        <v>0.08</v>
      </c>
    </row>
    <row r="24" spans="1:6" ht="16.149999999999999" thickBot="1" x14ac:dyDescent="0.55000000000000004">
      <c r="B24" s="9" t="s">
        <v>17</v>
      </c>
      <c r="C24" s="12">
        <v>0.3</v>
      </c>
    </row>
    <row r="25" spans="1:6" ht="16.149999999999999" thickBot="1" x14ac:dyDescent="0.55000000000000004">
      <c r="B25" s="9" t="s">
        <v>18</v>
      </c>
      <c r="C25" s="12">
        <v>0.1</v>
      </c>
    </row>
    <row r="26" spans="1:6" ht="18.399999999999999" thickBot="1" x14ac:dyDescent="0.55000000000000004">
      <c r="B26" s="9" t="s">
        <v>31</v>
      </c>
      <c r="C26" s="12">
        <v>0.05</v>
      </c>
    </row>
    <row r="27" spans="1:6" ht="18.399999999999999" thickBot="1" x14ac:dyDescent="0.55000000000000004">
      <c r="B27" s="9" t="s">
        <v>32</v>
      </c>
      <c r="C27" s="12">
        <v>0.15</v>
      </c>
    </row>
    <row r="28" spans="1:6" ht="16.149999999999999" thickBot="1" x14ac:dyDescent="0.55000000000000004">
      <c r="B28" s="9" t="s">
        <v>19</v>
      </c>
      <c r="C28" s="12">
        <v>0.2</v>
      </c>
    </row>
    <row r="29" spans="1:6" ht="16.149999999999999" thickBot="1" x14ac:dyDescent="0.55000000000000004">
      <c r="B29" s="9" t="s">
        <v>20</v>
      </c>
      <c r="C29" s="12">
        <v>0.56999999999999995</v>
      </c>
    </row>
    <row r="31" spans="1:6" ht="16.149999999999999" thickBot="1" x14ac:dyDescent="0.55000000000000004">
      <c r="A31" s="5" t="s">
        <v>29</v>
      </c>
    </row>
    <row r="32" spans="1:6" ht="16.149999999999999" thickBot="1" x14ac:dyDescent="0.55000000000000004">
      <c r="B32" s="4"/>
      <c r="C32" s="8" t="s">
        <v>21</v>
      </c>
      <c r="D32" s="8" t="s">
        <v>22</v>
      </c>
      <c r="E32" s="8" t="s">
        <v>23</v>
      </c>
      <c r="F32" s="8" t="s">
        <v>24</v>
      </c>
    </row>
    <row r="33" spans="2:6" ht="16.149999999999999" thickBot="1" x14ac:dyDescent="0.55000000000000004">
      <c r="B33" s="9" t="s">
        <v>25</v>
      </c>
      <c r="C33" s="13">
        <v>2.1</v>
      </c>
      <c r="D33" s="13">
        <v>12</v>
      </c>
      <c r="E33" s="13">
        <v>329</v>
      </c>
      <c r="F33" s="2"/>
    </row>
    <row r="34" spans="2:6" ht="16.149999999999999" thickBot="1" x14ac:dyDescent="0.55000000000000004">
      <c r="B34" s="9" t="s">
        <v>26</v>
      </c>
      <c r="C34" s="10">
        <v>1000</v>
      </c>
      <c r="D34" s="13">
        <v>117</v>
      </c>
      <c r="E34" s="13">
        <v>15</v>
      </c>
      <c r="F34" s="2"/>
    </row>
    <row r="35" spans="2:6" ht="16.149999999999999" thickBot="1" x14ac:dyDescent="0.55000000000000004">
      <c r="B35" s="9" t="s">
        <v>27</v>
      </c>
      <c r="C35" s="10">
        <v>2100</v>
      </c>
      <c r="D35" s="10">
        <v>1404</v>
      </c>
      <c r="E35" s="10">
        <v>4935</v>
      </c>
      <c r="F35" s="14">
        <v>2813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Juhász Péter</dc:creator>
  <cp:lastModifiedBy>Péter Juhász</cp:lastModifiedBy>
  <dcterms:created xsi:type="dcterms:W3CDTF">2022-11-26T10:56:49Z</dcterms:created>
  <dcterms:modified xsi:type="dcterms:W3CDTF">2024-12-14T08:56:28Z</dcterms:modified>
</cp:coreProperties>
</file>