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drawings/drawing19.xml" ContentType="application/vnd.openxmlformats-officedocument.drawing+xml"/>
  <Override PartName="/xl/comments5.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bangani/Library/CloudStorage/OneDrive-CorvinusUniversityofBudapest/MSc Finance/Sem 3/ABV/Exam material/"/>
    </mc:Choice>
  </mc:AlternateContent>
  <xr:revisionPtr revIDLastSave="0" documentId="13_ncr:1_{EDC6761B-1F6D-4B4C-A364-5C20AFAB4E04}" xr6:coauthVersionLast="47" xr6:coauthVersionMax="47" xr10:uidLastSave="{00000000-0000-0000-0000-000000000000}"/>
  <bookViews>
    <workbookView xWindow="0" yWindow="500" windowWidth="28800" windowHeight="16100" firstSheet="12" activeTab="15" xr2:uid="{EE2224F1-1A86-480D-9DF9-DD5525925017}"/>
  </bookViews>
  <sheets>
    <sheet name="Menu" sheetId="18" r:id="rId1"/>
    <sheet name="S2_KebabShop" sheetId="19" r:id="rId2"/>
    <sheet name="S3_Moving_Q1" sheetId="1" r:id="rId3"/>
    <sheet name="S3_Moving_Q2" sheetId="2" r:id="rId4"/>
    <sheet name="S3_Moving_Q3" sheetId="4" r:id="rId5"/>
    <sheet name="S4_Online" sheetId="5" r:id="rId6"/>
    <sheet name="S5_MustGo_Q1_Q2" sheetId="6" r:id="rId7"/>
    <sheet name="S5_MustGo_Q3" sheetId="7" r:id="rId8"/>
    <sheet name="S5_MustGo_Q4" sheetId="8" r:id="rId9"/>
    <sheet name="S6_Financing Challenge-Q1" sheetId="9" r:id="rId10"/>
    <sheet name="S6_Financing Challenge-Q2" sheetId="11" r:id="rId11"/>
    <sheet name="S6_Financing Challenge-Q3" sheetId="10" r:id="rId12"/>
    <sheet name="S6_Financing Challenge-Q4" sheetId="12" r:id="rId13"/>
    <sheet name="S7_ToyStory" sheetId="13" r:id="rId14"/>
    <sheet name="S8_AssetBased" sheetId="14" r:id="rId15"/>
    <sheet name="S9_Premiums" sheetId="15" r:id="rId16"/>
    <sheet name="S10_Together_P1" sheetId="16" r:id="rId17"/>
    <sheet name="S10_Together_P2" sheetId="17" r:id="rId18"/>
    <sheet name="S11_ Private_Equity_Q1_Q2" sheetId="20" r:id="rId19"/>
    <sheet name="S11_ Private_Equity_Q3" sheetId="21" r:id="rId20"/>
  </sheets>
  <definedNames>
    <definedName name="solver_adj" localSheetId="3" hidden="1">S3_Moving_Q2!$C$16</definedName>
    <definedName name="solver_adj" localSheetId="4" hidden="1">S3_Moving_Q3!$C$24</definedName>
    <definedName name="solver_cvg" localSheetId="3" hidden="1">0.0001</definedName>
    <definedName name="solver_cvg" localSheetId="4" hidden="1">0.0001</definedName>
    <definedName name="solver_drv" localSheetId="3" hidden="1">1</definedName>
    <definedName name="solver_drv" localSheetId="4" hidden="1">2</definedName>
    <definedName name="solver_eng" localSheetId="3" hidden="1">1</definedName>
    <definedName name="solver_eng" localSheetId="4" hidden="1">1</definedName>
    <definedName name="solver_est" localSheetId="3" hidden="1">1</definedName>
    <definedName name="solver_est" localSheetId="4" hidden="1">1</definedName>
    <definedName name="solver_itr" localSheetId="3" hidden="1">2147483647</definedName>
    <definedName name="solver_itr" localSheetId="4" hidden="1">2147483647</definedName>
    <definedName name="solver_mip" localSheetId="3" hidden="1">2147483647</definedName>
    <definedName name="solver_mip" localSheetId="4" hidden="1">2147483647</definedName>
    <definedName name="solver_mni" localSheetId="3" hidden="1">30</definedName>
    <definedName name="solver_mni" localSheetId="4" hidden="1">30</definedName>
    <definedName name="solver_mrt" localSheetId="3" hidden="1">0.075</definedName>
    <definedName name="solver_mrt" localSheetId="4" hidden="1">0.075</definedName>
    <definedName name="solver_msl" localSheetId="3" hidden="1">2</definedName>
    <definedName name="solver_msl" localSheetId="4" hidden="1">2</definedName>
    <definedName name="solver_neg" localSheetId="3" hidden="1">1</definedName>
    <definedName name="solver_neg" localSheetId="4" hidden="1">1</definedName>
    <definedName name="solver_nod" localSheetId="3" hidden="1">2147483647</definedName>
    <definedName name="solver_nod" localSheetId="4" hidden="1">2147483647</definedName>
    <definedName name="solver_num" localSheetId="3" hidden="1">0</definedName>
    <definedName name="solver_num" localSheetId="4" hidden="1">0</definedName>
    <definedName name="solver_nwt" localSheetId="3" hidden="1">1</definedName>
    <definedName name="solver_nwt" localSheetId="4" hidden="1">1</definedName>
    <definedName name="solver_opt" localSheetId="3" hidden="1">S3_Moving_Q2!$C$39</definedName>
    <definedName name="solver_opt" localSheetId="4" hidden="1">S3_Moving_Q3!$C$39</definedName>
    <definedName name="solver_pre" localSheetId="3" hidden="1">0.000001</definedName>
    <definedName name="solver_pre" localSheetId="4" hidden="1">0.000001</definedName>
    <definedName name="solver_rbv" localSheetId="3" hidden="1">1</definedName>
    <definedName name="solver_rbv" localSheetId="4" hidden="1">2</definedName>
    <definedName name="solver_rlx" localSheetId="3" hidden="1">2</definedName>
    <definedName name="solver_rlx" localSheetId="4" hidden="1">2</definedName>
    <definedName name="solver_rsd" localSheetId="3" hidden="1">0</definedName>
    <definedName name="solver_rsd" localSheetId="4" hidden="1">0</definedName>
    <definedName name="solver_scl" localSheetId="3" hidden="1">1</definedName>
    <definedName name="solver_scl" localSheetId="4" hidden="1">2</definedName>
    <definedName name="solver_sho" localSheetId="3" hidden="1">2</definedName>
    <definedName name="solver_sho" localSheetId="4" hidden="1">2</definedName>
    <definedName name="solver_ssz" localSheetId="3" hidden="1">100</definedName>
    <definedName name="solver_ssz" localSheetId="4" hidden="1">100</definedName>
    <definedName name="solver_tim" localSheetId="3" hidden="1">2147483647</definedName>
    <definedName name="solver_tim" localSheetId="4" hidden="1">2147483647</definedName>
    <definedName name="solver_tol" localSheetId="3" hidden="1">0.01</definedName>
    <definedName name="solver_tol" localSheetId="4" hidden="1">0.01</definedName>
    <definedName name="solver_typ" localSheetId="3" hidden="1">3</definedName>
    <definedName name="solver_typ" localSheetId="4" hidden="1">3</definedName>
    <definedName name="solver_val" localSheetId="3" hidden="1">0</definedName>
    <definedName name="solver_val" localSheetId="4" hidden="1">0</definedName>
    <definedName name="solver_ver" localSheetId="3" hidden="1">3</definedName>
    <definedName name="solver_ver" localSheetId="4"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20" l="1"/>
  <c r="C56" i="20"/>
  <c r="C47" i="20"/>
  <c r="C49" i="20"/>
  <c r="G54" i="20"/>
  <c r="G52" i="20"/>
  <c r="G50" i="20"/>
  <c r="G48" i="20"/>
  <c r="C64" i="20"/>
  <c r="C62" i="20"/>
  <c r="K63" i="20"/>
  <c r="L63" i="20"/>
  <c r="L62" i="20"/>
  <c r="K61" i="20"/>
  <c r="K62" i="20"/>
  <c r="G62" i="20"/>
  <c r="C30" i="20"/>
  <c r="C53" i="20"/>
  <c r="G63" i="20" s="1"/>
  <c r="G61" i="20"/>
  <c r="C43" i="20"/>
  <c r="N44" i="20"/>
  <c r="N43" i="20"/>
  <c r="N42" i="20"/>
  <c r="C63" i="20"/>
  <c r="K48" i="20"/>
  <c r="L23" i="20"/>
  <c r="L24" i="20" s="1"/>
  <c r="G31" i="21"/>
  <c r="G32" i="21" s="1"/>
  <c r="L31" i="21" s="1"/>
  <c r="C35" i="21" s="1"/>
  <c r="C37" i="21" s="1"/>
  <c r="G20" i="21" s="1"/>
  <c r="C31" i="21"/>
  <c r="C25" i="21"/>
  <c r="L24" i="21"/>
  <c r="G31" i="20"/>
  <c r="G32" i="20" s="1"/>
  <c r="L31" i="20" s="1"/>
  <c r="C35" i="20" s="1"/>
  <c r="C37" i="20" s="1"/>
  <c r="C31" i="20"/>
  <c r="C25" i="20"/>
  <c r="G20" i="20" l="1"/>
  <c r="G25" i="20" s="1"/>
  <c r="G25" i="21"/>
  <c r="G23" i="21"/>
  <c r="C26" i="21" s="1"/>
  <c r="L30" i="21"/>
  <c r="L32" i="21" s="1"/>
  <c r="L30" i="20"/>
  <c r="L32" i="20" s="1"/>
  <c r="G23" i="20" l="1"/>
  <c r="C26" i="20" s="1"/>
  <c r="C29" i="20" s="1"/>
  <c r="C29" i="21"/>
  <c r="C30" i="21" s="1"/>
  <c r="C23" i="21"/>
  <c r="L26" i="21"/>
  <c r="G26" i="21"/>
  <c r="L26" i="20"/>
  <c r="G26" i="20"/>
  <c r="C23" i="20" l="1"/>
  <c r="G27" i="21"/>
  <c r="L27" i="21" s="1"/>
  <c r="G28" i="21"/>
  <c r="L28" i="21" s="1"/>
  <c r="L34" i="21" s="1"/>
  <c r="L35" i="21" s="1"/>
  <c r="G27" i="20"/>
  <c r="L27" i="20" s="1"/>
  <c r="G28" i="20"/>
  <c r="L28" i="20" s="1"/>
  <c r="L34" i="20" s="1"/>
  <c r="G51" i="20" l="1"/>
  <c r="G46" i="20"/>
  <c r="L35" i="20"/>
  <c r="E30" i="5"/>
  <c r="D30" i="5"/>
  <c r="D43" i="5"/>
  <c r="D44" i="5"/>
  <c r="C44" i="5"/>
  <c r="C48" i="5"/>
  <c r="K50" i="20" l="1"/>
  <c r="G53" i="20"/>
  <c r="K52" i="20" s="1"/>
  <c r="K54" i="20" s="1"/>
  <c r="C62" i="6"/>
  <c r="C59" i="6"/>
  <c r="J36" i="6"/>
  <c r="I36" i="6"/>
  <c r="C57" i="6"/>
  <c r="J56" i="6"/>
  <c r="C55" i="6"/>
  <c r="G47" i="6"/>
  <c r="I51" i="6"/>
  <c r="J51" i="6"/>
  <c r="C54" i="6"/>
  <c r="H47" i="6"/>
  <c r="I47" i="6"/>
  <c r="J47" i="6"/>
  <c r="J42" i="7"/>
  <c r="C38" i="7"/>
  <c r="J36" i="7"/>
  <c r="I36" i="7"/>
  <c r="C36" i="7"/>
  <c r="D36" i="7"/>
  <c r="D20" i="7"/>
  <c r="D31" i="7"/>
  <c r="D37" i="7"/>
  <c r="C37" i="7"/>
  <c r="D36" i="6"/>
  <c r="C29" i="6"/>
  <c r="C37" i="6"/>
  <c r="C36" i="6"/>
  <c r="D45" i="6"/>
  <c r="D50" i="6"/>
  <c r="K28" i="6"/>
  <c r="K22" i="6" s="1"/>
  <c r="K55" i="20" l="1"/>
  <c r="K51" i="20"/>
  <c r="C63" i="6"/>
  <c r="F129" i="19" l="1"/>
  <c r="E129" i="19"/>
  <c r="E135" i="19" s="1"/>
  <c r="H128" i="19"/>
  <c r="G129" i="19" s="1"/>
  <c r="G128" i="19"/>
  <c r="F128" i="19"/>
  <c r="E128" i="19"/>
  <c r="D129" i="19" s="1"/>
  <c r="D128" i="19"/>
  <c r="B123" i="19"/>
  <c r="G121" i="19"/>
  <c r="F121" i="19"/>
  <c r="E121" i="19"/>
  <c r="D121" i="19"/>
  <c r="F120" i="19"/>
  <c r="E120" i="19"/>
  <c r="G119" i="19"/>
  <c r="G120" i="19" s="1"/>
  <c r="F119" i="19"/>
  <c r="E119" i="19"/>
  <c r="D119" i="19"/>
  <c r="D120" i="19" s="1"/>
  <c r="B119" i="19"/>
  <c r="G116" i="19"/>
  <c r="G115" i="19"/>
  <c r="F115" i="19"/>
  <c r="E115" i="19"/>
  <c r="E117" i="19" s="1"/>
  <c r="D115" i="19"/>
  <c r="D117" i="19" s="1"/>
  <c r="G113" i="19"/>
  <c r="F113" i="19"/>
  <c r="E113" i="19"/>
  <c r="D113" i="19"/>
  <c r="G112" i="19"/>
  <c r="F112" i="19"/>
  <c r="E112" i="19"/>
  <c r="D112" i="19"/>
  <c r="G111" i="19"/>
  <c r="F111" i="19"/>
  <c r="E111" i="19"/>
  <c r="D111" i="19"/>
  <c r="G110" i="19"/>
  <c r="F110" i="19"/>
  <c r="E110" i="19"/>
  <c r="D110" i="19"/>
  <c r="G108" i="19"/>
  <c r="F108" i="19"/>
  <c r="F116" i="19" s="1"/>
  <c r="E108" i="19"/>
  <c r="E116" i="19" s="1"/>
  <c r="D108" i="19"/>
  <c r="D116" i="19" s="1"/>
  <c r="E107" i="19"/>
  <c r="E130" i="19" s="1"/>
  <c r="D107" i="19"/>
  <c r="D132" i="19" s="1"/>
  <c r="G106" i="19"/>
  <c r="G107" i="19" s="1"/>
  <c r="F106" i="19"/>
  <c r="F107" i="19" s="1"/>
  <c r="E106" i="19"/>
  <c r="D106" i="19"/>
  <c r="B106" i="19"/>
  <c r="B81" i="19"/>
  <c r="G78" i="19"/>
  <c r="F78" i="19"/>
  <c r="E78" i="19"/>
  <c r="D78" i="19"/>
  <c r="E77" i="19"/>
  <c r="G76" i="19"/>
  <c r="G77" i="19" s="1"/>
  <c r="F76" i="19"/>
  <c r="E76" i="19"/>
  <c r="D76" i="19"/>
  <c r="B76" i="19"/>
  <c r="E72" i="19"/>
  <c r="G69" i="19"/>
  <c r="F69" i="19"/>
  <c r="E69" i="19"/>
  <c r="D69" i="19"/>
  <c r="E68" i="19"/>
  <c r="G64" i="19"/>
  <c r="F64" i="19"/>
  <c r="E64" i="19"/>
  <c r="D64" i="19"/>
  <c r="G63" i="19"/>
  <c r="F63" i="19"/>
  <c r="E63" i="19"/>
  <c r="D63" i="19"/>
  <c r="H62" i="19"/>
  <c r="G62" i="19"/>
  <c r="F62" i="19"/>
  <c r="E62" i="19"/>
  <c r="D62" i="19"/>
  <c r="G61" i="19"/>
  <c r="F61" i="19"/>
  <c r="E61" i="19"/>
  <c r="D61" i="19"/>
  <c r="G59" i="19"/>
  <c r="G68" i="19" s="1"/>
  <c r="G72" i="19" s="1"/>
  <c r="F59" i="19"/>
  <c r="F68" i="19" s="1"/>
  <c r="F72" i="19" s="1"/>
  <c r="E59" i="19"/>
  <c r="D59" i="19"/>
  <c r="D68" i="19" s="1"/>
  <c r="D72" i="19" s="1"/>
  <c r="C59" i="19"/>
  <c r="B59" i="19"/>
  <c r="E57" i="19"/>
  <c r="G56" i="19"/>
  <c r="F56" i="19"/>
  <c r="F58" i="19" s="1"/>
  <c r="F60" i="19" s="1"/>
  <c r="F65" i="19" s="1"/>
  <c r="F74" i="19" s="1"/>
  <c r="E56" i="19"/>
  <c r="E58" i="19" s="1"/>
  <c r="E60" i="19" s="1"/>
  <c r="E65" i="19" s="1"/>
  <c r="D56" i="19"/>
  <c r="C56" i="19"/>
  <c r="B56" i="19"/>
  <c r="G54" i="19"/>
  <c r="F54" i="19"/>
  <c r="F57" i="19" s="1"/>
  <c r="E54" i="19"/>
  <c r="D54" i="19"/>
  <c r="D57" i="19" s="1"/>
  <c r="C54" i="19"/>
  <c r="G44" i="19"/>
  <c r="F44" i="19"/>
  <c r="E44" i="19"/>
  <c r="D44" i="19"/>
  <c r="C44" i="19"/>
  <c r="G34" i="19"/>
  <c r="F34" i="19"/>
  <c r="E34" i="19"/>
  <c r="D34" i="19"/>
  <c r="G32" i="19"/>
  <c r="F32" i="19"/>
  <c r="E32" i="19"/>
  <c r="D32" i="19"/>
  <c r="G31" i="19"/>
  <c r="F31" i="19"/>
  <c r="E31" i="19"/>
  <c r="D31" i="19"/>
  <c r="G30" i="19"/>
  <c r="F30" i="19"/>
  <c r="E30" i="19"/>
  <c r="D30" i="19"/>
  <c r="H24" i="19"/>
  <c r="H23" i="19"/>
  <c r="H21" i="19"/>
  <c r="G18" i="19"/>
  <c r="F18" i="19"/>
  <c r="E18" i="19"/>
  <c r="D18" i="19"/>
  <c r="D16" i="19" s="1"/>
  <c r="F16" i="19"/>
  <c r="E16" i="19"/>
  <c r="E15" i="19" s="1"/>
  <c r="E53" i="19" s="1"/>
  <c r="H11" i="19"/>
  <c r="H9" i="19"/>
  <c r="H108" i="19" s="1"/>
  <c r="H116" i="19" s="1"/>
  <c r="I8" i="19"/>
  <c r="H8" i="19"/>
  <c r="H7" i="19"/>
  <c r="H10" i="19" s="1"/>
  <c r="J6" i="19"/>
  <c r="I21" i="19" s="1"/>
  <c r="I6" i="19"/>
  <c r="H6" i="19"/>
  <c r="I5" i="19"/>
  <c r="J5" i="19" s="1"/>
  <c r="K5" i="19" s="1"/>
  <c r="L5" i="19" s="1"/>
  <c r="M5" i="19" s="1"/>
  <c r="G5" i="19"/>
  <c r="F5" i="19"/>
  <c r="E5" i="19" s="1"/>
  <c r="D5" i="19" s="1"/>
  <c r="C5" i="19" s="1"/>
  <c r="H106" i="19" l="1"/>
  <c r="H107" i="19" s="1"/>
  <c r="H12" i="19"/>
  <c r="H56" i="19"/>
  <c r="D58" i="19"/>
  <c r="D60" i="19" s="1"/>
  <c r="D65" i="19" s="1"/>
  <c r="D74" i="19" s="1"/>
  <c r="D82" i="19"/>
  <c r="D124" i="19"/>
  <c r="D15" i="19"/>
  <c r="D19" i="19"/>
  <c r="H22" i="19"/>
  <c r="D77" i="19"/>
  <c r="J7" i="19"/>
  <c r="F82" i="19"/>
  <c r="F124" i="19"/>
  <c r="H69" i="19"/>
  <c r="I115" i="19"/>
  <c r="H115" i="19"/>
  <c r="H117" i="19" s="1"/>
  <c r="I69" i="19"/>
  <c r="I9" i="19"/>
  <c r="H26" i="19"/>
  <c r="J8" i="19"/>
  <c r="J9" i="19"/>
  <c r="H119" i="19"/>
  <c r="H120" i="19" s="1"/>
  <c r="H76" i="19"/>
  <c r="I112" i="19"/>
  <c r="H112" i="19"/>
  <c r="I63" i="19"/>
  <c r="E74" i="19"/>
  <c r="E80" i="19" s="1"/>
  <c r="F77" i="19"/>
  <c r="F80" i="19" s="1"/>
  <c r="I24" i="19"/>
  <c r="I23" i="19"/>
  <c r="I7" i="19"/>
  <c r="J10" i="19"/>
  <c r="F15" i="19"/>
  <c r="I62" i="19"/>
  <c r="I111" i="19"/>
  <c r="H111" i="19"/>
  <c r="J24" i="19"/>
  <c r="H63" i="19"/>
  <c r="E118" i="19"/>
  <c r="E123" i="19"/>
  <c r="E81" i="19"/>
  <c r="J23" i="19"/>
  <c r="D135" i="19"/>
  <c r="K6" i="19"/>
  <c r="F19" i="19"/>
  <c r="H59" i="19"/>
  <c r="H68" i="19" s="1"/>
  <c r="H72" i="19" s="1"/>
  <c r="E132" i="19"/>
  <c r="F130" i="19"/>
  <c r="F109" i="19"/>
  <c r="F114" i="19" s="1"/>
  <c r="D109" i="19"/>
  <c r="D114" i="19" s="1"/>
  <c r="D118" i="19" s="1"/>
  <c r="F117" i="19"/>
  <c r="F135" i="19"/>
  <c r="G16" i="19"/>
  <c r="G57" i="19"/>
  <c r="G58" i="19" s="1"/>
  <c r="G60" i="19" s="1"/>
  <c r="G65" i="19" s="1"/>
  <c r="G74" i="19" s="1"/>
  <c r="G80" i="19" s="1"/>
  <c r="G130" i="19"/>
  <c r="G109" i="19"/>
  <c r="G114" i="19" s="1"/>
  <c r="F132" i="19"/>
  <c r="E134" i="19"/>
  <c r="E133" i="19"/>
  <c r="E109" i="19"/>
  <c r="E114" i="19" s="1"/>
  <c r="G117" i="19"/>
  <c r="G118" i="19" s="1"/>
  <c r="G135" i="19"/>
  <c r="D130" i="19"/>
  <c r="D133" i="19" s="1"/>
  <c r="E124" i="19"/>
  <c r="E82" i="19"/>
  <c r="E19" i="19"/>
  <c r="D122" i="19" l="1"/>
  <c r="D125" i="19" s="1"/>
  <c r="D131" i="19"/>
  <c r="J106" i="19"/>
  <c r="J107" i="19" s="1"/>
  <c r="J56" i="19"/>
  <c r="I108" i="19"/>
  <c r="I116" i="19" s="1"/>
  <c r="I59" i="19"/>
  <c r="I68" i="19" s="1"/>
  <c r="I72" i="19" s="1"/>
  <c r="I117" i="19"/>
  <c r="J26" i="19"/>
  <c r="J22" i="19"/>
  <c r="H13" i="19"/>
  <c r="H54" i="19" s="1"/>
  <c r="H77" i="19" s="1"/>
  <c r="G131" i="19"/>
  <c r="G122" i="19"/>
  <c r="G124" i="19"/>
  <c r="G15" i="19"/>
  <c r="G82" i="19"/>
  <c r="E131" i="19"/>
  <c r="E122" i="19"/>
  <c r="E125" i="19" s="1"/>
  <c r="I22" i="19"/>
  <c r="I26" i="19"/>
  <c r="I10" i="19"/>
  <c r="J108" i="19"/>
  <c r="J116" i="19" s="1"/>
  <c r="J59" i="19"/>
  <c r="J68" i="19" s="1"/>
  <c r="D81" i="19"/>
  <c r="D123" i="19"/>
  <c r="D53" i="19"/>
  <c r="D80" i="19"/>
  <c r="D84" i="19" s="1"/>
  <c r="G132" i="19"/>
  <c r="H130" i="19"/>
  <c r="H109" i="19"/>
  <c r="F133" i="19"/>
  <c r="F134" i="19"/>
  <c r="K23" i="19"/>
  <c r="K24" i="19"/>
  <c r="K8" i="19"/>
  <c r="L6" i="19"/>
  <c r="J21" i="19"/>
  <c r="K7" i="19"/>
  <c r="K62" i="19"/>
  <c r="J111" i="19"/>
  <c r="J62" i="19"/>
  <c r="G134" i="19"/>
  <c r="G133" i="19"/>
  <c r="F118" i="19"/>
  <c r="G19" i="19"/>
  <c r="K112" i="19"/>
  <c r="F81" i="19"/>
  <c r="F84" i="19" s="1"/>
  <c r="F53" i="19"/>
  <c r="F123" i="19"/>
  <c r="J112" i="19"/>
  <c r="J63" i="19"/>
  <c r="E84" i="19"/>
  <c r="H113" i="19"/>
  <c r="H64" i="19"/>
  <c r="H44" i="19"/>
  <c r="H110" i="19"/>
  <c r="I61" i="19"/>
  <c r="H61" i="19"/>
  <c r="F131" i="19" l="1"/>
  <c r="F122" i="19"/>
  <c r="F125" i="19" s="1"/>
  <c r="K26" i="19"/>
  <c r="K22" i="19"/>
  <c r="K10" i="19"/>
  <c r="J72" i="19"/>
  <c r="J110" i="19"/>
  <c r="J61" i="19"/>
  <c r="I44" i="19"/>
  <c r="G123" i="19"/>
  <c r="G81" i="19"/>
  <c r="G84" i="19" s="1"/>
  <c r="G53" i="19"/>
  <c r="H57" i="19"/>
  <c r="H58" i="19" s="1"/>
  <c r="H60" i="19" s="1"/>
  <c r="H65" i="19" s="1"/>
  <c r="H74" i="19" s="1"/>
  <c r="K115" i="19"/>
  <c r="K69" i="19"/>
  <c r="J44" i="19"/>
  <c r="K9" i="19"/>
  <c r="J69" i="19"/>
  <c r="J115" i="19"/>
  <c r="J117" i="19" s="1"/>
  <c r="H114" i="19"/>
  <c r="H118" i="19" s="1"/>
  <c r="H14" i="19"/>
  <c r="J130" i="19"/>
  <c r="J109" i="19"/>
  <c r="I110" i="19"/>
  <c r="K63" i="19"/>
  <c r="K21" i="19"/>
  <c r="L24" i="19"/>
  <c r="L8" i="19"/>
  <c r="L7" i="19"/>
  <c r="M6" i="19"/>
  <c r="L23" i="19"/>
  <c r="H133" i="19"/>
  <c r="H134" i="19"/>
  <c r="I106" i="19"/>
  <c r="I107" i="19" s="1"/>
  <c r="I56" i="19"/>
  <c r="G125" i="19"/>
  <c r="K61" i="19"/>
  <c r="H27" i="19"/>
  <c r="K111" i="19"/>
  <c r="I113" i="19"/>
  <c r="I64" i="19"/>
  <c r="J113" i="19"/>
  <c r="J64" i="19"/>
  <c r="H121" i="19" l="1"/>
  <c r="H122" i="19" s="1"/>
  <c r="H78" i="19"/>
  <c r="I11" i="19"/>
  <c r="H28" i="19"/>
  <c r="M24" i="19"/>
  <c r="M112" i="19" s="1"/>
  <c r="M23" i="19"/>
  <c r="M111" i="19" s="1"/>
  <c r="M7" i="19"/>
  <c r="M8" i="19"/>
  <c r="L21" i="19"/>
  <c r="N6" i="19"/>
  <c r="M21" i="19" s="1"/>
  <c r="M63" i="19"/>
  <c r="J114" i="19"/>
  <c r="J118" i="19" s="1"/>
  <c r="H131" i="19"/>
  <c r="I27" i="19"/>
  <c r="K106" i="19"/>
  <c r="K107" i="19" s="1"/>
  <c r="K56" i="19"/>
  <c r="L62" i="19"/>
  <c r="L26" i="19"/>
  <c r="L22" i="19"/>
  <c r="L69" i="19"/>
  <c r="K44" i="19"/>
  <c r="L9" i="19"/>
  <c r="L63" i="19"/>
  <c r="K108" i="19"/>
  <c r="K116" i="19" s="1"/>
  <c r="K117" i="19" s="1"/>
  <c r="K59" i="19"/>
  <c r="K68" i="19" s="1"/>
  <c r="K72" i="19" s="1"/>
  <c r="H80" i="19"/>
  <c r="L61" i="19"/>
  <c r="K110" i="19"/>
  <c r="I130" i="19"/>
  <c r="I109" i="19"/>
  <c r="I114" i="19" s="1"/>
  <c r="I118" i="19" s="1"/>
  <c r="H132" i="19"/>
  <c r="L111" i="19"/>
  <c r="I132" i="19"/>
  <c r="L112" i="19"/>
  <c r="J27" i="19"/>
  <c r="K113" i="19"/>
  <c r="K64" i="19"/>
  <c r="K118" i="19" l="1"/>
  <c r="J131" i="19"/>
  <c r="K128" i="19"/>
  <c r="J121" i="19"/>
  <c r="K11" i="19"/>
  <c r="J78" i="19"/>
  <c r="I78" i="19"/>
  <c r="I121" i="19"/>
  <c r="J11" i="19"/>
  <c r="M44" i="19"/>
  <c r="H18" i="19"/>
  <c r="M62" i="19"/>
  <c r="J28" i="19"/>
  <c r="L108" i="19"/>
  <c r="L116" i="19" s="1"/>
  <c r="L59" i="19"/>
  <c r="L68" i="19" s="1"/>
  <c r="L72" i="19" s="1"/>
  <c r="L10" i="19"/>
  <c r="M61" i="19"/>
  <c r="L44" i="19"/>
  <c r="M115" i="19"/>
  <c r="M9" i="19"/>
  <c r="M69" i="19"/>
  <c r="I128" i="19"/>
  <c r="H129" i="19" s="1"/>
  <c r="H135" i="19" s="1"/>
  <c r="I131" i="19"/>
  <c r="I122" i="19"/>
  <c r="L110" i="19"/>
  <c r="K27" i="19"/>
  <c r="L113" i="19"/>
  <c r="L64" i="19"/>
  <c r="K130" i="19"/>
  <c r="K109" i="19"/>
  <c r="K114" i="19" s="1"/>
  <c r="J132" i="19"/>
  <c r="I76" i="19"/>
  <c r="I119" i="19"/>
  <c r="I120" i="19" s="1"/>
  <c r="I12" i="19"/>
  <c r="I134" i="19"/>
  <c r="I133" i="19"/>
  <c r="L115" i="19"/>
  <c r="L117" i="19" s="1"/>
  <c r="I28" i="19"/>
  <c r="M22" i="19"/>
  <c r="M110" i="19" s="1"/>
  <c r="M26" i="19"/>
  <c r="I18" i="19" l="1"/>
  <c r="L106" i="19"/>
  <c r="L107" i="19" s="1"/>
  <c r="L56" i="19"/>
  <c r="M27" i="19"/>
  <c r="K131" i="19"/>
  <c r="K122" i="19"/>
  <c r="M108" i="19"/>
  <c r="M116" i="19" s="1"/>
  <c r="M59" i="19"/>
  <c r="M68" i="19" s="1"/>
  <c r="M72" i="19" s="1"/>
  <c r="H16" i="19"/>
  <c r="J119" i="19"/>
  <c r="J76" i="19"/>
  <c r="J12" i="19"/>
  <c r="M10" i="19"/>
  <c r="M64" i="19"/>
  <c r="M113" i="19"/>
  <c r="I13" i="19"/>
  <c r="I54" i="19" s="1"/>
  <c r="I57" i="19" s="1"/>
  <c r="I58" i="19" s="1"/>
  <c r="I60" i="19" s="1"/>
  <c r="I65" i="19" s="1"/>
  <c r="I74" i="19" s="1"/>
  <c r="K78" i="19"/>
  <c r="L128" i="19"/>
  <c r="K129" i="19" s="1"/>
  <c r="K135" i="19" s="1"/>
  <c r="K121" i="19"/>
  <c r="L11" i="19"/>
  <c r="L12" i="19" s="1"/>
  <c r="M117" i="19"/>
  <c r="K76" i="19"/>
  <c r="K119" i="19"/>
  <c r="K120" i="19" s="1"/>
  <c r="K12" i="19"/>
  <c r="K133" i="19"/>
  <c r="K28" i="19"/>
  <c r="L28" i="19"/>
  <c r="L27" i="19"/>
  <c r="J18" i="19"/>
  <c r="J128" i="19"/>
  <c r="L13" i="19" l="1"/>
  <c r="L54" i="19" s="1"/>
  <c r="K77" i="19"/>
  <c r="M78" i="19"/>
  <c r="M121" i="19"/>
  <c r="I77" i="19"/>
  <c r="I129" i="19"/>
  <c r="J133" i="19"/>
  <c r="M128" i="19"/>
  <c r="L121" i="19"/>
  <c r="M11" i="19"/>
  <c r="L78" i="19"/>
  <c r="J120" i="19"/>
  <c r="J122" i="19"/>
  <c r="L18" i="19"/>
  <c r="K13" i="19"/>
  <c r="K54" i="19" s="1"/>
  <c r="K57" i="19" s="1"/>
  <c r="K58" i="19" s="1"/>
  <c r="K60" i="19" s="1"/>
  <c r="K65" i="19" s="1"/>
  <c r="K74" i="19" s="1"/>
  <c r="K14" i="19"/>
  <c r="L119" i="19"/>
  <c r="L120" i="19" s="1"/>
  <c r="L76" i="19"/>
  <c r="L77" i="19" s="1"/>
  <c r="I80" i="19"/>
  <c r="M106" i="19"/>
  <c r="M107" i="19" s="1"/>
  <c r="M56" i="19"/>
  <c r="H15" i="19"/>
  <c r="H124" i="19"/>
  <c r="H82" i="19"/>
  <c r="J129" i="19"/>
  <c r="L57" i="19"/>
  <c r="L58" i="19"/>
  <c r="L60" i="19" s="1"/>
  <c r="L65" i="19" s="1"/>
  <c r="L74" i="19" s="1"/>
  <c r="L80" i="19" s="1"/>
  <c r="K18" i="19"/>
  <c r="I14" i="19"/>
  <c r="J13" i="19"/>
  <c r="J54" i="19" s="1"/>
  <c r="J57" i="19" s="1"/>
  <c r="J58" i="19" s="1"/>
  <c r="J60" i="19" s="1"/>
  <c r="J65" i="19" s="1"/>
  <c r="J74" i="19" s="1"/>
  <c r="J14" i="19"/>
  <c r="H19" i="19"/>
  <c r="M28" i="19"/>
  <c r="K132" i="19"/>
  <c r="L130" i="19"/>
  <c r="L109" i="19"/>
  <c r="L114" i="19" s="1"/>
  <c r="L118" i="19" s="1"/>
  <c r="M18" i="19" l="1"/>
  <c r="M130" i="19"/>
  <c r="L132" i="19"/>
  <c r="M109" i="19"/>
  <c r="M114" i="19" s="1"/>
  <c r="M118" i="19" s="1"/>
  <c r="K80" i="19"/>
  <c r="K16" i="19"/>
  <c r="M129" i="19"/>
  <c r="M135" i="19" s="1"/>
  <c r="L129" i="19"/>
  <c r="L135" i="19" s="1"/>
  <c r="J16" i="19"/>
  <c r="J135" i="19"/>
  <c r="K134" i="19"/>
  <c r="M76" i="19"/>
  <c r="M119" i="19"/>
  <c r="M120" i="19" s="1"/>
  <c r="I135" i="19"/>
  <c r="J134" i="19"/>
  <c r="I16" i="19"/>
  <c r="L122" i="19"/>
  <c r="L131" i="19"/>
  <c r="H81" i="19"/>
  <c r="H84" i="19" s="1"/>
  <c r="H123" i="19"/>
  <c r="H125" i="19" s="1"/>
  <c r="H53" i="19"/>
  <c r="L133" i="19"/>
  <c r="L134" i="19"/>
  <c r="J80" i="19"/>
  <c r="M12" i="19"/>
  <c r="J77" i="19"/>
  <c r="L14" i="19"/>
  <c r="L16" i="19" l="1"/>
  <c r="K124" i="19"/>
  <c r="K82" i="19"/>
  <c r="I124" i="19"/>
  <c r="I82" i="19"/>
  <c r="I19" i="19"/>
  <c r="J124" i="19"/>
  <c r="J82" i="19"/>
  <c r="J19" i="19"/>
  <c r="J15" i="19"/>
  <c r="K15" i="19"/>
  <c r="M131" i="19"/>
  <c r="M122" i="19"/>
  <c r="M134" i="19"/>
  <c r="M133" i="19"/>
  <c r="M13" i="19"/>
  <c r="M54" i="19" s="1"/>
  <c r="M57" i="19" s="1"/>
  <c r="M58" i="19" s="1"/>
  <c r="M60" i="19" s="1"/>
  <c r="M65" i="19" s="1"/>
  <c r="M74" i="19" s="1"/>
  <c r="K19" i="19"/>
  <c r="I15" i="19"/>
  <c r="L124" i="19" l="1"/>
  <c r="L82" i="19"/>
  <c r="L19" i="19"/>
  <c r="M14" i="19"/>
  <c r="M77" i="19"/>
  <c r="M80" i="19" s="1"/>
  <c r="K123" i="19"/>
  <c r="K125" i="19" s="1"/>
  <c r="K81" i="19"/>
  <c r="K84" i="19" s="1"/>
  <c r="K53" i="19"/>
  <c r="I123" i="19"/>
  <c r="I125" i="19" s="1"/>
  <c r="I81" i="19"/>
  <c r="I84" i="19" s="1"/>
  <c r="I53" i="19"/>
  <c r="J123" i="19"/>
  <c r="J125" i="19" s="1"/>
  <c r="J53" i="19"/>
  <c r="J81" i="19"/>
  <c r="J84" i="19" s="1"/>
  <c r="L15" i="19"/>
  <c r="M16" i="19" l="1"/>
  <c r="M15" i="19" s="1"/>
  <c r="L81" i="19"/>
  <c r="L84" i="19" s="1"/>
  <c r="L123" i="19"/>
  <c r="L125" i="19" s="1"/>
  <c r="L53" i="19"/>
  <c r="M123" i="19" l="1"/>
  <c r="M81" i="19"/>
  <c r="M84" i="19" s="1"/>
  <c r="M53" i="19"/>
  <c r="M124" i="19"/>
  <c r="M82" i="19"/>
  <c r="M19" i="19"/>
  <c r="M125" i="19" l="1"/>
  <c r="D20" i="6"/>
  <c r="N90" i="17" l="1"/>
  <c r="M90" i="17"/>
  <c r="P85" i="17"/>
  <c r="O90" i="17" s="1"/>
  <c r="O85" i="17"/>
  <c r="O67" i="17" s="1"/>
  <c r="N72" i="17" s="1"/>
  <c r="M82" i="17"/>
  <c r="P80" i="17"/>
  <c r="N80" i="17"/>
  <c r="M72" i="17"/>
  <c r="P70" i="17"/>
  <c r="R68" i="17"/>
  <c r="N68" i="17"/>
  <c r="P67" i="17"/>
  <c r="O72" i="17" s="1"/>
  <c r="M65" i="17"/>
  <c r="M64" i="17"/>
  <c r="M74" i="17" s="1"/>
  <c r="P62" i="17"/>
  <c r="N62" i="17"/>
  <c r="M56" i="17"/>
  <c r="M54" i="17"/>
  <c r="S52" i="17"/>
  <c r="S88" i="17" s="1"/>
  <c r="P52" i="17"/>
  <c r="P88" i="17" s="1"/>
  <c r="M52" i="17"/>
  <c r="M88" i="17" s="1"/>
  <c r="S51" i="17"/>
  <c r="Q51" i="17"/>
  <c r="R50" i="17"/>
  <c r="R86" i="17" s="1"/>
  <c r="P50" i="17"/>
  <c r="P86" i="17" s="1"/>
  <c r="N50" i="17"/>
  <c r="N86" i="17" s="1"/>
  <c r="O49" i="17"/>
  <c r="M47" i="17"/>
  <c r="E47" i="17"/>
  <c r="M46" i="17"/>
  <c r="E46" i="17"/>
  <c r="P44" i="17"/>
  <c r="N44" i="17"/>
  <c r="D42" i="17"/>
  <c r="C42" i="17"/>
  <c r="D35" i="17"/>
  <c r="M33" i="17"/>
  <c r="I33" i="17"/>
  <c r="H33" i="17"/>
  <c r="G33" i="17"/>
  <c r="F33" i="17"/>
  <c r="E33" i="17"/>
  <c r="D33" i="17"/>
  <c r="S31" i="17"/>
  <c r="S70" i="17" s="1"/>
  <c r="R31" i="17"/>
  <c r="R70" i="17" s="1"/>
  <c r="Q31" i="17"/>
  <c r="Q70" i="17" s="1"/>
  <c r="P31" i="17"/>
  <c r="O31" i="17"/>
  <c r="O70" i="17" s="1"/>
  <c r="N31" i="17"/>
  <c r="N70" i="17" s="1"/>
  <c r="M31" i="17"/>
  <c r="M70" i="17" s="1"/>
  <c r="S30" i="17"/>
  <c r="R30" i="17"/>
  <c r="Q30" i="17"/>
  <c r="S29" i="17"/>
  <c r="R29" i="17"/>
  <c r="Q29" i="17"/>
  <c r="P29" i="17"/>
  <c r="P68" i="17" s="1"/>
  <c r="O29" i="17"/>
  <c r="N29" i="17"/>
  <c r="M29" i="17"/>
  <c r="D26" i="17"/>
  <c r="M83" i="17" s="1"/>
  <c r="M25" i="17"/>
  <c r="M35" i="17" s="1"/>
  <c r="P23" i="17"/>
  <c r="N23" i="17"/>
  <c r="G23" i="17"/>
  <c r="E23" i="17"/>
  <c r="D18" i="17"/>
  <c r="C18" i="17"/>
  <c r="D15" i="17"/>
  <c r="D16" i="17" s="1"/>
  <c r="D17" i="17" s="1"/>
  <c r="D19" i="17" s="1"/>
  <c r="D46" i="17" s="1"/>
  <c r="D14" i="17"/>
  <c r="D12" i="17"/>
  <c r="D3" i="17"/>
  <c r="N90" i="16"/>
  <c r="M90" i="16"/>
  <c r="P85" i="16"/>
  <c r="O90" i="16" s="1"/>
  <c r="O85" i="16"/>
  <c r="O67" i="16" s="1"/>
  <c r="N72" i="16" s="1"/>
  <c r="M82" i="16"/>
  <c r="P80" i="16"/>
  <c r="N80" i="16"/>
  <c r="M72" i="16"/>
  <c r="P70" i="16"/>
  <c r="O70" i="16"/>
  <c r="R68" i="16"/>
  <c r="N68" i="16"/>
  <c r="M68" i="16"/>
  <c r="P67" i="16"/>
  <c r="M65" i="16"/>
  <c r="M64" i="16"/>
  <c r="M74" i="16" s="1"/>
  <c r="P62" i="16"/>
  <c r="N62" i="16"/>
  <c r="M57" i="16"/>
  <c r="M56" i="16"/>
  <c r="M54" i="16"/>
  <c r="S52" i="16"/>
  <c r="S88" i="16" s="1"/>
  <c r="P52" i="16"/>
  <c r="P88" i="16" s="1"/>
  <c r="S51" i="16"/>
  <c r="R50" i="16"/>
  <c r="R86" i="16" s="1"/>
  <c r="N50" i="16"/>
  <c r="N86" i="16" s="1"/>
  <c r="M47" i="16"/>
  <c r="E47" i="16"/>
  <c r="M46" i="16"/>
  <c r="E46" i="16"/>
  <c r="P44" i="16"/>
  <c r="N44" i="16"/>
  <c r="D42" i="16"/>
  <c r="C42" i="16"/>
  <c r="D35" i="16"/>
  <c r="M33" i="16"/>
  <c r="I33" i="16"/>
  <c r="H33" i="16"/>
  <c r="G33" i="16"/>
  <c r="F33" i="16"/>
  <c r="E33" i="16"/>
  <c r="D33" i="16"/>
  <c r="S31" i="16"/>
  <c r="S70" i="16" s="1"/>
  <c r="R31" i="16"/>
  <c r="Q31" i="16"/>
  <c r="Q70" i="16" s="1"/>
  <c r="P31" i="16"/>
  <c r="O31" i="16"/>
  <c r="O52" i="16" s="1"/>
  <c r="O88" i="16" s="1"/>
  <c r="N31" i="16"/>
  <c r="M31" i="16"/>
  <c r="M70" i="16" s="1"/>
  <c r="S30" i="16"/>
  <c r="R30" i="16"/>
  <c r="Q30" i="16"/>
  <c r="Q51" i="16" s="1"/>
  <c r="S29" i="16"/>
  <c r="R29" i="16"/>
  <c r="Q29" i="16"/>
  <c r="Q50" i="16" s="1"/>
  <c r="Q86" i="16" s="1"/>
  <c r="P29" i="16"/>
  <c r="P68" i="16" s="1"/>
  <c r="O29" i="16"/>
  <c r="N29" i="16"/>
  <c r="M29" i="16"/>
  <c r="M50" i="16" s="1"/>
  <c r="M86" i="16" s="1"/>
  <c r="M26" i="16"/>
  <c r="D26" i="16"/>
  <c r="M83" i="16" s="1"/>
  <c r="M25" i="16"/>
  <c r="M35" i="16" s="1"/>
  <c r="P23" i="16"/>
  <c r="N23" i="16"/>
  <c r="G23" i="16"/>
  <c r="E23" i="16"/>
  <c r="D18" i="16"/>
  <c r="C18" i="16"/>
  <c r="D15" i="16"/>
  <c r="D16" i="16" s="1"/>
  <c r="D17" i="16" s="1"/>
  <c r="D19" i="16" s="1"/>
  <c r="D46" i="16" s="1"/>
  <c r="D14" i="16"/>
  <c r="D12" i="16"/>
  <c r="D3" i="16"/>
  <c r="F46" i="17" l="1"/>
  <c r="R51" i="17"/>
  <c r="O52" i="17"/>
  <c r="O88" i="17" s="1"/>
  <c r="M84" i="17"/>
  <c r="M92" i="17" s="1"/>
  <c r="M57" i="17"/>
  <c r="M58" i="17" s="1"/>
  <c r="M26" i="17"/>
  <c r="Q69" i="17"/>
  <c r="M75" i="17"/>
  <c r="N74" i="17"/>
  <c r="M76" i="17"/>
  <c r="M36" i="17"/>
  <c r="N35" i="17" s="1"/>
  <c r="D37" i="17"/>
  <c r="O28" i="17"/>
  <c r="N33" i="17" s="1"/>
  <c r="N54" i="17"/>
  <c r="M68" i="17"/>
  <c r="M50" i="17"/>
  <c r="M86" i="17" s="1"/>
  <c r="Q68" i="17"/>
  <c r="Q50" i="17"/>
  <c r="Q86" i="17" s="1"/>
  <c r="O50" i="17"/>
  <c r="O86" i="17" s="1"/>
  <c r="O68" i="17"/>
  <c r="S50" i="17"/>
  <c r="S86" i="17" s="1"/>
  <c r="S68" i="17"/>
  <c r="S69" i="17"/>
  <c r="Q52" i="17"/>
  <c r="Q88" i="17" s="1"/>
  <c r="D36" i="17"/>
  <c r="E35" i="17" s="1"/>
  <c r="P49" i="17"/>
  <c r="N52" i="17"/>
  <c r="N88" i="17" s="1"/>
  <c r="R52" i="17"/>
  <c r="R88" i="17" s="1"/>
  <c r="Q85" i="17"/>
  <c r="F46" i="16"/>
  <c r="Q69" i="16"/>
  <c r="O50" i="16"/>
  <c r="O86" i="16" s="1"/>
  <c r="O68" i="16"/>
  <c r="S50" i="16"/>
  <c r="S86" i="16" s="1"/>
  <c r="S68" i="16"/>
  <c r="S69" i="16"/>
  <c r="Q52" i="16"/>
  <c r="Q88" i="16" s="1"/>
  <c r="N70" i="16"/>
  <c r="N52" i="16"/>
  <c r="N88" i="16" s="1"/>
  <c r="R70" i="16"/>
  <c r="R52" i="16"/>
  <c r="R88" i="16" s="1"/>
  <c r="D37" i="16"/>
  <c r="O49" i="16"/>
  <c r="P50" i="16"/>
  <c r="P86" i="16" s="1"/>
  <c r="M52" i="16"/>
  <c r="M88" i="16" s="1"/>
  <c r="M75" i="16"/>
  <c r="N74" i="16" s="1"/>
  <c r="M76" i="16"/>
  <c r="R51" i="16"/>
  <c r="M58" i="16"/>
  <c r="N56" i="16"/>
  <c r="Q68" i="16"/>
  <c r="M36" i="16"/>
  <c r="N35" i="16" s="1"/>
  <c r="O72" i="16"/>
  <c r="P49" i="16"/>
  <c r="M84" i="16"/>
  <c r="M92" i="16" s="1"/>
  <c r="D36" i="16"/>
  <c r="E35" i="16" s="1"/>
  <c r="Q85" i="16"/>
  <c r="M93" i="17" l="1"/>
  <c r="M94" i="17" s="1"/>
  <c r="N92" i="17"/>
  <c r="O35" i="17"/>
  <c r="N36" i="17"/>
  <c r="N37" i="17" s="1"/>
  <c r="S87" i="17"/>
  <c r="O74" i="17"/>
  <c r="N75" i="17"/>
  <c r="N76" i="17" s="1"/>
  <c r="E36" i="17"/>
  <c r="E37" i="17" s="1"/>
  <c r="N56" i="17"/>
  <c r="P28" i="17"/>
  <c r="O33" i="17" s="1"/>
  <c r="O54" i="17"/>
  <c r="Q67" i="17"/>
  <c r="Q49" i="17" s="1"/>
  <c r="R85" i="17"/>
  <c r="M37" i="17"/>
  <c r="Q87" i="17"/>
  <c r="P90" i="17" s="1"/>
  <c r="P72" i="17"/>
  <c r="R69" i="17"/>
  <c r="N75" i="16"/>
  <c r="N76" i="16" s="1"/>
  <c r="M93" i="16"/>
  <c r="M94" i="16" s="1"/>
  <c r="N92" i="16"/>
  <c r="N36" i="16"/>
  <c r="O35" i="16" s="1"/>
  <c r="N37" i="16"/>
  <c r="N54" i="16"/>
  <c r="N57" i="16" s="1"/>
  <c r="O28" i="16"/>
  <c r="N33" i="16" s="1"/>
  <c r="S87" i="16"/>
  <c r="O54" i="16"/>
  <c r="P28" i="16"/>
  <c r="O33" i="16" s="1"/>
  <c r="M37" i="16"/>
  <c r="Q87" i="16"/>
  <c r="P90" i="16" s="1"/>
  <c r="Q67" i="16"/>
  <c r="Q49" i="16" s="1"/>
  <c r="R85" i="16"/>
  <c r="R69" i="16"/>
  <c r="F35" i="16"/>
  <c r="E37" i="16"/>
  <c r="E36" i="16"/>
  <c r="O75" i="17" l="1"/>
  <c r="O76" i="17" s="1"/>
  <c r="P74" i="17"/>
  <c r="O37" i="17"/>
  <c r="O36" i="17"/>
  <c r="P35" i="17"/>
  <c r="F35" i="17"/>
  <c r="N93" i="17"/>
  <c r="O92" i="17"/>
  <c r="N94" i="17"/>
  <c r="Q72" i="17"/>
  <c r="R87" i="17"/>
  <c r="Q90" i="17" s="1"/>
  <c r="S85" i="17"/>
  <c r="S67" i="17" s="1"/>
  <c r="R67" i="17"/>
  <c r="R49" i="17" s="1"/>
  <c r="N57" i="17"/>
  <c r="N58" i="17" s="1"/>
  <c r="Q28" i="17"/>
  <c r="P33" i="17" s="1"/>
  <c r="P54" i="17"/>
  <c r="O56" i="16"/>
  <c r="N58" i="16"/>
  <c r="O36" i="16"/>
  <c r="P35" i="16" s="1"/>
  <c r="S85" i="16"/>
  <c r="S67" i="16" s="1"/>
  <c r="R67" i="16"/>
  <c r="R49" i="16" s="1"/>
  <c r="N93" i="16"/>
  <c r="O92" i="16"/>
  <c r="N94" i="16"/>
  <c r="F37" i="16"/>
  <c r="F36" i="16"/>
  <c r="G35" i="16"/>
  <c r="Q28" i="16"/>
  <c r="P33" i="16" s="1"/>
  <c r="P54" i="16"/>
  <c r="O74" i="16"/>
  <c r="P72" i="16"/>
  <c r="R87" i="16"/>
  <c r="Q90" i="16" s="1"/>
  <c r="R28" i="17" l="1"/>
  <c r="Q33" i="17" s="1"/>
  <c r="Q54" i="17"/>
  <c r="P75" i="17"/>
  <c r="Q74" i="17"/>
  <c r="P76" i="17"/>
  <c r="S49" i="17"/>
  <c r="R72" i="17"/>
  <c r="O93" i="17"/>
  <c r="O94" i="17" s="1"/>
  <c r="P92" i="17"/>
  <c r="P36" i="17"/>
  <c r="Q35" i="17" s="1"/>
  <c r="P37" i="17"/>
  <c r="F36" i="17"/>
  <c r="F37" i="17" s="1"/>
  <c r="G35" i="17"/>
  <c r="O56" i="17"/>
  <c r="R90" i="17"/>
  <c r="Q35" i="16"/>
  <c r="P37" i="16"/>
  <c r="P36" i="16"/>
  <c r="R28" i="16"/>
  <c r="Q33" i="16" s="1"/>
  <c r="Q54" i="16"/>
  <c r="S49" i="16"/>
  <c r="R72" i="16"/>
  <c r="O37" i="16"/>
  <c r="O57" i="16"/>
  <c r="O58" i="16" s="1"/>
  <c r="Q72" i="16"/>
  <c r="O75" i="16"/>
  <c r="O76" i="16" s="1"/>
  <c r="P74" i="16"/>
  <c r="G36" i="16"/>
  <c r="H35" i="16" s="1"/>
  <c r="O93" i="16"/>
  <c r="P92" i="16" s="1"/>
  <c r="R90" i="16"/>
  <c r="Q36" i="17" l="1"/>
  <c r="R35" i="17" s="1"/>
  <c r="Q92" i="17"/>
  <c r="P94" i="17"/>
  <c r="P93" i="17"/>
  <c r="G36" i="17"/>
  <c r="G37" i="17" s="1"/>
  <c r="Q75" i="17"/>
  <c r="R74" i="17"/>
  <c r="Q76" i="17"/>
  <c r="O57" i="17"/>
  <c r="O58" i="17" s="1"/>
  <c r="S28" i="17"/>
  <c r="R33" i="17" s="1"/>
  <c r="R54" i="17"/>
  <c r="H37" i="16"/>
  <c r="H36" i="16"/>
  <c r="I35" i="16"/>
  <c r="P93" i="16"/>
  <c r="Q92" i="16" s="1"/>
  <c r="P75" i="16"/>
  <c r="Q74" i="16" s="1"/>
  <c r="P56" i="16"/>
  <c r="S28" i="16"/>
  <c r="R33" i="16" s="1"/>
  <c r="R54" i="16"/>
  <c r="Q37" i="16"/>
  <c r="Q36" i="16"/>
  <c r="R35" i="16" s="1"/>
  <c r="O94" i="16"/>
  <c r="G37" i="16"/>
  <c r="R36" i="17" l="1"/>
  <c r="R37" i="17" s="1"/>
  <c r="R38" i="17" s="1"/>
  <c r="R75" i="17"/>
  <c r="R76" i="17" s="1"/>
  <c r="R77" i="17" s="1"/>
  <c r="Q77" i="17" s="1"/>
  <c r="P77" i="17" s="1"/>
  <c r="O77" i="17" s="1"/>
  <c r="N77" i="17" s="1"/>
  <c r="M77" i="17" s="1"/>
  <c r="H35" i="17"/>
  <c r="Q93" i="17"/>
  <c r="Q94" i="17" s="1"/>
  <c r="R92" i="17"/>
  <c r="Q37" i="17"/>
  <c r="P56" i="17"/>
  <c r="Q75" i="16"/>
  <c r="Q76" i="16" s="1"/>
  <c r="Q93" i="16"/>
  <c r="R92" i="16" s="1"/>
  <c r="R36" i="16"/>
  <c r="R37" i="16" s="1"/>
  <c r="R38" i="16" s="1"/>
  <c r="Q38" i="16" s="1"/>
  <c r="P38" i="16" s="1"/>
  <c r="O38" i="16" s="1"/>
  <c r="N38" i="16" s="1"/>
  <c r="M38" i="16" s="1"/>
  <c r="I36" i="16"/>
  <c r="I37" i="16"/>
  <c r="I38" i="16" s="1"/>
  <c r="H38" i="16" s="1"/>
  <c r="G38" i="16" s="1"/>
  <c r="F38" i="16" s="1"/>
  <c r="E38" i="16" s="1"/>
  <c r="D38" i="16" s="1"/>
  <c r="P76" i="16"/>
  <c r="P94" i="16"/>
  <c r="P57" i="16"/>
  <c r="Q56" i="16" s="1"/>
  <c r="P58" i="16"/>
  <c r="R93" i="17" l="1"/>
  <c r="R94" i="17"/>
  <c r="R95" i="17" s="1"/>
  <c r="Q95" i="17" s="1"/>
  <c r="P95" i="17" s="1"/>
  <c r="O95" i="17" s="1"/>
  <c r="N95" i="17" s="1"/>
  <c r="M95" i="17" s="1"/>
  <c r="P57" i="17"/>
  <c r="Q56" i="17" s="1"/>
  <c r="P58" i="17"/>
  <c r="Q38" i="17"/>
  <c r="P38" i="17" s="1"/>
  <c r="O38" i="17" s="1"/>
  <c r="N38" i="17" s="1"/>
  <c r="M38" i="17" s="1"/>
  <c r="H37" i="17"/>
  <c r="H36" i="17"/>
  <c r="I35" i="17"/>
  <c r="Q58" i="16"/>
  <c r="Q57" i="16"/>
  <c r="R56" i="16" s="1"/>
  <c r="M40" i="16"/>
  <c r="D43" i="16"/>
  <c r="D41" i="16"/>
  <c r="R93" i="16"/>
  <c r="R94" i="16"/>
  <c r="R95" i="16" s="1"/>
  <c r="D39" i="16"/>
  <c r="Q94" i="16"/>
  <c r="R74" i="16"/>
  <c r="Q57" i="17" l="1"/>
  <c r="Q58" i="17" s="1"/>
  <c r="M40" i="17"/>
  <c r="I36" i="17"/>
  <c r="I37" i="17" s="1"/>
  <c r="I38" i="17" s="1"/>
  <c r="H38" i="17" s="1"/>
  <c r="G38" i="17" s="1"/>
  <c r="F38" i="17" s="1"/>
  <c r="E38" i="17" s="1"/>
  <c r="D38" i="17" s="1"/>
  <c r="R57" i="16"/>
  <c r="R58" i="16"/>
  <c r="R59" i="16" s="1"/>
  <c r="R75" i="16"/>
  <c r="R76" i="16"/>
  <c r="R77" i="16" s="1"/>
  <c r="Q77" i="16" s="1"/>
  <c r="P77" i="16" s="1"/>
  <c r="O77" i="16" s="1"/>
  <c r="N77" i="16" s="1"/>
  <c r="M77" i="16" s="1"/>
  <c r="M78" i="16" s="1"/>
  <c r="Q95" i="16"/>
  <c r="P95" i="16" s="1"/>
  <c r="O95" i="16" s="1"/>
  <c r="N95" i="16" s="1"/>
  <c r="M95" i="16" s="1"/>
  <c r="M96" i="16" s="1"/>
  <c r="M41" i="16"/>
  <c r="M42" i="16" s="1"/>
  <c r="D52" i="16"/>
  <c r="D47" i="16"/>
  <c r="F47" i="16" s="1"/>
  <c r="Q59" i="16"/>
  <c r="P59" i="16" s="1"/>
  <c r="O59" i="16" s="1"/>
  <c r="N59" i="16" s="1"/>
  <c r="M59" i="16" s="1"/>
  <c r="M60" i="16" s="1"/>
  <c r="M39" i="16" s="1"/>
  <c r="D39" i="17" l="1"/>
  <c r="M78" i="17"/>
  <c r="D43" i="17"/>
  <c r="D41" i="17"/>
  <c r="M96" i="17"/>
  <c r="M41" i="17"/>
  <c r="R56" i="17"/>
  <c r="D54" i="16"/>
  <c r="D58" i="16" s="1"/>
  <c r="D52" i="17" l="1"/>
  <c r="M42" i="17"/>
  <c r="D47" i="17"/>
  <c r="F47" i="17" s="1"/>
  <c r="R57" i="17"/>
  <c r="R58" i="17" s="1"/>
  <c r="R59" i="17" s="1"/>
  <c r="Q59" i="17" s="1"/>
  <c r="P59" i="17" s="1"/>
  <c r="O59" i="17" s="1"/>
  <c r="N59" i="17" s="1"/>
  <c r="M59" i="17" s="1"/>
  <c r="M60" i="17" s="1"/>
  <c r="M39" i="17" s="1"/>
  <c r="D55" i="16"/>
  <c r="D56" i="16" s="1"/>
  <c r="D54" i="17" l="1"/>
  <c r="D58" i="17" s="1"/>
  <c r="D55" i="17"/>
  <c r="D56" i="17" s="1"/>
  <c r="D59" i="16"/>
  <c r="D60" i="16"/>
  <c r="D59" i="17" l="1"/>
  <c r="D60" i="17"/>
  <c r="D61" i="17"/>
  <c r="D61" i="16"/>
  <c r="G66" i="15" l="1"/>
  <c r="G65" i="15"/>
  <c r="C63" i="15"/>
  <c r="C64" i="15" s="1"/>
  <c r="G64" i="15" s="1"/>
  <c r="C60" i="15"/>
  <c r="G53" i="15" s="1"/>
  <c r="B60" i="15"/>
  <c r="G51" i="15"/>
  <c r="C43" i="15"/>
  <c r="B43" i="15"/>
  <c r="G40" i="15"/>
  <c r="G42" i="15" s="1"/>
  <c r="G35" i="15"/>
  <c r="G36" i="15" s="1"/>
  <c r="G37" i="15" s="1"/>
  <c r="C75" i="15" s="1"/>
  <c r="C30" i="15"/>
  <c r="B30" i="15"/>
  <c r="G28" i="15"/>
  <c r="C74" i="15" s="1"/>
  <c r="G21" i="15"/>
  <c r="G22" i="15" s="1"/>
  <c r="G46" i="15" l="1"/>
  <c r="G43" i="15"/>
  <c r="G44" i="15" s="1"/>
  <c r="G45" i="15" s="1"/>
  <c r="G63" i="15"/>
  <c r="G67" i="15" s="1"/>
  <c r="G69" i="15" s="1"/>
  <c r="G71" i="15" s="1"/>
  <c r="C65" i="15"/>
  <c r="C52" i="14"/>
  <c r="C51" i="14"/>
  <c r="C50" i="14"/>
  <c r="H42" i="14"/>
  <c r="H43" i="14" s="1"/>
  <c r="D40" i="14"/>
  <c r="H40" i="14" s="1"/>
  <c r="H45" i="14" s="1"/>
  <c r="H46" i="14" s="1"/>
  <c r="D52" i="14" s="1"/>
  <c r="H36" i="14"/>
  <c r="H35" i="14"/>
  <c r="H34" i="14"/>
  <c r="J27" i="14"/>
  <c r="H27" i="14"/>
  <c r="J26" i="14"/>
  <c r="H26" i="14"/>
  <c r="K26" i="14" s="1"/>
  <c r="K25" i="14"/>
  <c r="K28" i="14" s="1"/>
  <c r="K29" i="14" s="1"/>
  <c r="D51" i="14" s="1"/>
  <c r="J25" i="14"/>
  <c r="H25" i="14"/>
  <c r="H28" i="14" s="1"/>
  <c r="H29" i="14" s="1"/>
  <c r="K27" i="14" s="1"/>
  <c r="K17" i="14"/>
  <c r="K18" i="14" s="1"/>
  <c r="H17" i="14"/>
  <c r="H10" i="14"/>
  <c r="H9" i="14"/>
  <c r="H11" i="14" s="1"/>
  <c r="H12" i="14" s="1"/>
  <c r="D49" i="14" s="1"/>
  <c r="H4" i="14"/>
  <c r="H5" i="14" s="1"/>
  <c r="H6" i="14" s="1"/>
  <c r="G72" i="15" l="1"/>
  <c r="C76" i="15"/>
  <c r="C77" i="15" s="1"/>
  <c r="C79" i="15" s="1"/>
  <c r="K19" i="14"/>
  <c r="H19" i="14" s="1"/>
  <c r="D50" i="14" s="1"/>
  <c r="D48" i="14"/>
  <c r="J5" i="14"/>
  <c r="K20" i="14" l="1"/>
  <c r="E66" i="13"/>
  <c r="D66" i="13"/>
  <c r="F66" i="13" s="1"/>
  <c r="C66" i="13"/>
  <c r="E65" i="13"/>
  <c r="D65" i="13"/>
  <c r="F65" i="13" s="1"/>
  <c r="K63" i="13" s="1"/>
  <c r="M63" i="13" s="1"/>
  <c r="O63" i="13" s="1"/>
  <c r="Q63" i="13" s="1"/>
  <c r="C65" i="13"/>
  <c r="B64" i="13"/>
  <c r="N63" i="13"/>
  <c r="N62" i="13"/>
  <c r="F62" i="13"/>
  <c r="K62" i="13" s="1"/>
  <c r="M62" i="13" s="1"/>
  <c r="O62" i="13" s="1"/>
  <c r="Q62" i="13" s="1"/>
  <c r="E62" i="13"/>
  <c r="D62" i="13"/>
  <c r="C62" i="13"/>
  <c r="F61" i="13"/>
  <c r="E61" i="13"/>
  <c r="D61" i="13"/>
  <c r="C61" i="13"/>
  <c r="B60" i="13"/>
  <c r="C51" i="13"/>
  <c r="C60" i="13" s="1"/>
  <c r="C64" i="13" s="1"/>
  <c r="N48" i="13"/>
  <c r="N47" i="13"/>
  <c r="F46" i="13"/>
  <c r="F48" i="13" s="1"/>
  <c r="E46" i="13"/>
  <c r="E49" i="13" s="1"/>
  <c r="D46" i="13"/>
  <c r="D49" i="13" s="1"/>
  <c r="C46" i="13"/>
  <c r="C49" i="13" s="1"/>
  <c r="G49" i="13" s="1"/>
  <c r="D54" i="13" s="1"/>
  <c r="F26" i="13"/>
  <c r="E26" i="13"/>
  <c r="D26" i="13"/>
  <c r="C26" i="13"/>
  <c r="D21" i="13"/>
  <c r="D20" i="13"/>
  <c r="E12" i="13"/>
  <c r="D12" i="13"/>
  <c r="C12" i="13"/>
  <c r="E3" i="13"/>
  <c r="E51" i="13" s="1"/>
  <c r="E60" i="13" s="1"/>
  <c r="E64" i="13" s="1"/>
  <c r="D3" i="13"/>
  <c r="D51" i="13" s="1"/>
  <c r="D60" i="13" s="1"/>
  <c r="D64" i="13" s="1"/>
  <c r="S62" i="13" l="1"/>
  <c r="R62" i="13"/>
  <c r="R63" i="13"/>
  <c r="S63" i="13"/>
  <c r="B19" i="13"/>
  <c r="D47" i="13"/>
  <c r="D48" i="13"/>
  <c r="E47" i="13"/>
  <c r="E48" i="13"/>
  <c r="F47" i="13"/>
  <c r="C47" i="13"/>
  <c r="C48" i="13"/>
  <c r="G48" i="13" l="1"/>
  <c r="G47" i="13"/>
  <c r="B111" i="12"/>
  <c r="B109" i="12"/>
  <c r="G96" i="12"/>
  <c r="B96" i="12"/>
  <c r="B91" i="12"/>
  <c r="B87" i="12"/>
  <c r="B82" i="12"/>
  <c r="J80" i="12"/>
  <c r="I80" i="12"/>
  <c r="H80" i="12"/>
  <c r="B79" i="12"/>
  <c r="J71" i="12"/>
  <c r="I71" i="12"/>
  <c r="B70" i="12"/>
  <c r="B66" i="12"/>
  <c r="I64" i="12"/>
  <c r="H64" i="12"/>
  <c r="G61" i="12"/>
  <c r="C58" i="12"/>
  <c r="C52" i="12"/>
  <c r="C85" i="12" s="1"/>
  <c r="B52" i="12"/>
  <c r="I51" i="12"/>
  <c r="H51" i="12"/>
  <c r="H45" i="12" s="1"/>
  <c r="G51" i="12"/>
  <c r="G64" i="12" s="1"/>
  <c r="F51" i="12"/>
  <c r="F64" i="12" s="1"/>
  <c r="G48" i="12"/>
  <c r="G62" i="12" s="1"/>
  <c r="C48" i="12"/>
  <c r="C62" i="12" s="1"/>
  <c r="G44" i="12"/>
  <c r="G45" i="12" s="1"/>
  <c r="F44" i="12"/>
  <c r="G43" i="12"/>
  <c r="C43" i="12"/>
  <c r="G42" i="12"/>
  <c r="F42" i="12"/>
  <c r="F61" i="12" s="1"/>
  <c r="F96" i="12" s="1"/>
  <c r="E42" i="12"/>
  <c r="D42" i="12"/>
  <c r="C42" i="12"/>
  <c r="C61" i="12" s="1"/>
  <c r="C96" i="12" s="1"/>
  <c r="G41" i="12"/>
  <c r="F41" i="12"/>
  <c r="F43" i="12" s="1"/>
  <c r="K36" i="12"/>
  <c r="K29" i="12" s="1"/>
  <c r="J30" i="12" s="1"/>
  <c r="J36" i="12"/>
  <c r="I36" i="12"/>
  <c r="I29" i="12" s="1"/>
  <c r="H36" i="12"/>
  <c r="H71" i="12" s="1"/>
  <c r="J29" i="12"/>
  <c r="I30" i="12" s="1"/>
  <c r="D26" i="12"/>
  <c r="E26" i="12" s="1"/>
  <c r="F26" i="12" s="1"/>
  <c r="G26" i="12" s="1"/>
  <c r="H26" i="12" s="1"/>
  <c r="B109" i="10"/>
  <c r="B107" i="10"/>
  <c r="B94" i="10"/>
  <c r="B89" i="10"/>
  <c r="C85" i="10"/>
  <c r="B85" i="10"/>
  <c r="B80" i="10"/>
  <c r="J78" i="10"/>
  <c r="I78" i="10"/>
  <c r="H78" i="10"/>
  <c r="B77" i="10"/>
  <c r="B68" i="10"/>
  <c r="B64" i="10"/>
  <c r="E60" i="10"/>
  <c r="E59" i="10"/>
  <c r="E94" i="10" s="1"/>
  <c r="D59" i="10"/>
  <c r="D94" i="10" s="1"/>
  <c r="C56" i="10"/>
  <c r="C50" i="10"/>
  <c r="C83" i="10" s="1"/>
  <c r="C89" i="10" s="1"/>
  <c r="B50" i="10"/>
  <c r="I49" i="10"/>
  <c r="I62" i="10" s="1"/>
  <c r="H49" i="10"/>
  <c r="H45" i="10"/>
  <c r="E43" i="10"/>
  <c r="E49" i="10" s="1"/>
  <c r="G42" i="10"/>
  <c r="G59" i="10" s="1"/>
  <c r="F42" i="10"/>
  <c r="E42" i="10"/>
  <c r="D42" i="10"/>
  <c r="D43" i="10" s="1"/>
  <c r="D49" i="10" s="1"/>
  <c r="D62" i="10" s="1"/>
  <c r="C42" i="10"/>
  <c r="C59" i="10" s="1"/>
  <c r="G38" i="10"/>
  <c r="F41" i="10" s="1"/>
  <c r="F43" i="10" s="1"/>
  <c r="K36" i="10"/>
  <c r="J36" i="10"/>
  <c r="J69" i="10" s="1"/>
  <c r="I36" i="10"/>
  <c r="I69" i="10" s="1"/>
  <c r="H36" i="10"/>
  <c r="H69" i="10" s="1"/>
  <c r="K29" i="10"/>
  <c r="J30" i="10" s="1"/>
  <c r="I29" i="10"/>
  <c r="E26" i="10"/>
  <c r="F26" i="10" s="1"/>
  <c r="G26" i="10" s="1"/>
  <c r="H26" i="10" s="1"/>
  <c r="D26" i="10"/>
  <c r="B109" i="11"/>
  <c r="B107" i="11"/>
  <c r="I101" i="11"/>
  <c r="H101" i="11"/>
  <c r="G101" i="11"/>
  <c r="F101" i="11"/>
  <c r="E101" i="11"/>
  <c r="D101" i="11"/>
  <c r="C101" i="11"/>
  <c r="B94" i="11"/>
  <c r="B89" i="11"/>
  <c r="C85" i="11"/>
  <c r="B85" i="11"/>
  <c r="B80" i="11"/>
  <c r="J78" i="11"/>
  <c r="I78" i="11"/>
  <c r="H78" i="11"/>
  <c r="B77" i="11"/>
  <c r="J69" i="11"/>
  <c r="I69" i="11"/>
  <c r="B68" i="11"/>
  <c r="B62" i="11"/>
  <c r="D60" i="11"/>
  <c r="E59" i="11"/>
  <c r="E58" i="11"/>
  <c r="E94" i="11" s="1"/>
  <c r="D58" i="11"/>
  <c r="D59" i="11" s="1"/>
  <c r="C55" i="11"/>
  <c r="C93" i="11" s="1"/>
  <c r="G50" i="11"/>
  <c r="F50" i="11"/>
  <c r="E50" i="11"/>
  <c r="E109" i="11" s="1"/>
  <c r="D50" i="11"/>
  <c r="C50" i="11"/>
  <c r="C49" i="11"/>
  <c r="C83" i="11" s="1"/>
  <c r="B49" i="11"/>
  <c r="F43" i="11"/>
  <c r="F44" i="11" s="1"/>
  <c r="E44" i="11" s="1"/>
  <c r="D44" i="11" s="1"/>
  <c r="E43" i="11"/>
  <c r="G42" i="11"/>
  <c r="F42" i="11"/>
  <c r="E42" i="11"/>
  <c r="D42" i="11"/>
  <c r="C42" i="11"/>
  <c r="G41" i="11"/>
  <c r="G43" i="11" s="1"/>
  <c r="G44" i="11" s="1"/>
  <c r="F41" i="11"/>
  <c r="E41" i="11"/>
  <c r="D41" i="11"/>
  <c r="D43" i="11" s="1"/>
  <c r="K36" i="11"/>
  <c r="K29" i="11" s="1"/>
  <c r="J30" i="11" s="1"/>
  <c r="J36" i="11"/>
  <c r="I36" i="11"/>
  <c r="I29" i="11" s="1"/>
  <c r="H36" i="11"/>
  <c r="H69" i="11" s="1"/>
  <c r="E35" i="11"/>
  <c r="D35" i="11"/>
  <c r="J29" i="11"/>
  <c r="I30" i="11" s="1"/>
  <c r="D26" i="11"/>
  <c r="E26" i="11" s="1"/>
  <c r="F26" i="11" s="1"/>
  <c r="G26" i="11" s="1"/>
  <c r="H26" i="11" s="1"/>
  <c r="B109" i="9"/>
  <c r="B107" i="9"/>
  <c r="F103" i="9"/>
  <c r="G103" i="9" s="1"/>
  <c r="H103" i="9" s="1"/>
  <c r="E103" i="9"/>
  <c r="D103" i="9"/>
  <c r="I101" i="9"/>
  <c r="H101" i="9"/>
  <c r="G101" i="9"/>
  <c r="F101" i="9"/>
  <c r="E101" i="9"/>
  <c r="D101" i="9"/>
  <c r="C101" i="9"/>
  <c r="B94" i="9"/>
  <c r="B89" i="9"/>
  <c r="B85" i="9"/>
  <c r="D84" i="9"/>
  <c r="E84" i="9" s="1"/>
  <c r="F84" i="9" s="1"/>
  <c r="G84" i="9" s="1"/>
  <c r="H84" i="9" s="1"/>
  <c r="B80" i="9"/>
  <c r="J78" i="9"/>
  <c r="I78" i="9"/>
  <c r="H78" i="9"/>
  <c r="B77" i="9"/>
  <c r="B68" i="9"/>
  <c r="B62" i="9"/>
  <c r="D59" i="9"/>
  <c r="G58" i="9"/>
  <c r="C55" i="9"/>
  <c r="C49" i="9"/>
  <c r="C83" i="9" s="1"/>
  <c r="B49" i="9"/>
  <c r="D43" i="9"/>
  <c r="G42" i="9"/>
  <c r="F42" i="9"/>
  <c r="E42" i="9"/>
  <c r="D42" i="9"/>
  <c r="D58" i="9" s="1"/>
  <c r="D94" i="9" s="1"/>
  <c r="C42" i="9"/>
  <c r="C43" i="9" s="1"/>
  <c r="G41" i="9"/>
  <c r="G43" i="9" s="1"/>
  <c r="G44" i="9" s="1"/>
  <c r="G50" i="9" s="1"/>
  <c r="F41" i="9"/>
  <c r="E41" i="9"/>
  <c r="D41" i="9"/>
  <c r="K36" i="9"/>
  <c r="K29" i="9" s="1"/>
  <c r="J30" i="9" s="1"/>
  <c r="J36" i="9"/>
  <c r="J69" i="9" s="1"/>
  <c r="I36" i="9"/>
  <c r="I69" i="9" s="1"/>
  <c r="H36" i="9"/>
  <c r="H69" i="9" s="1"/>
  <c r="J29" i="9"/>
  <c r="I30" i="9" s="1"/>
  <c r="I29" i="9"/>
  <c r="E26" i="9"/>
  <c r="F26" i="9" s="1"/>
  <c r="G26" i="9" s="1"/>
  <c r="H26" i="9" s="1"/>
  <c r="D26" i="9"/>
  <c r="E53" i="13" l="1"/>
  <c r="D53" i="13"/>
  <c r="C53" i="13"/>
  <c r="D52" i="13"/>
  <c r="D55" i="13" s="1"/>
  <c r="K48" i="13" s="1"/>
  <c r="M48" i="13" s="1"/>
  <c r="O48" i="13" s="1"/>
  <c r="Q48" i="13" s="1"/>
  <c r="C52" i="13"/>
  <c r="C55" i="13" s="1"/>
  <c r="K47" i="13" s="1"/>
  <c r="M47" i="13" s="1"/>
  <c r="O47" i="13" s="1"/>
  <c r="Q47" i="13" s="1"/>
  <c r="E52" i="13"/>
  <c r="F45" i="12"/>
  <c r="F53" i="12"/>
  <c r="C91" i="12"/>
  <c r="D61" i="12"/>
  <c r="D96" i="12" s="1"/>
  <c r="D48" i="12"/>
  <c r="D62" i="12" s="1"/>
  <c r="D43" i="12"/>
  <c r="C51" i="12"/>
  <c r="E48" i="12"/>
  <c r="E62" i="12" s="1"/>
  <c r="E43" i="12"/>
  <c r="G111" i="12"/>
  <c r="G35" i="12"/>
  <c r="C95" i="12"/>
  <c r="C97" i="12" s="1"/>
  <c r="C87" i="12"/>
  <c r="C59" i="12"/>
  <c r="D27" i="12" s="1"/>
  <c r="D58" i="12"/>
  <c r="G82" i="12"/>
  <c r="G53" i="12"/>
  <c r="F63" i="12" s="1"/>
  <c r="E61" i="12"/>
  <c r="E96" i="12" s="1"/>
  <c r="F48" i="12"/>
  <c r="F62" i="12" s="1"/>
  <c r="F49" i="10"/>
  <c r="G94" i="10"/>
  <c r="G60" i="10"/>
  <c r="C43" i="10"/>
  <c r="C58" i="10"/>
  <c r="C57" i="10"/>
  <c r="D27" i="10" s="1"/>
  <c r="C93" i="10"/>
  <c r="D56" i="10"/>
  <c r="J29" i="10"/>
  <c r="I30" i="10" s="1"/>
  <c r="G41" i="10"/>
  <c r="G43" i="10" s="1"/>
  <c r="F59" i="10"/>
  <c r="D60" i="10"/>
  <c r="H62" i="10"/>
  <c r="C94" i="10"/>
  <c r="C60" i="10"/>
  <c r="C89" i="11"/>
  <c r="C109" i="11"/>
  <c r="C80" i="11"/>
  <c r="F60" i="11"/>
  <c r="G80" i="11"/>
  <c r="F58" i="11"/>
  <c r="F35" i="11"/>
  <c r="C51" i="11"/>
  <c r="C107" i="11" s="1"/>
  <c r="F53" i="11"/>
  <c r="C58" i="11"/>
  <c r="C35" i="11"/>
  <c r="C43" i="11"/>
  <c r="C44" i="11" s="1"/>
  <c r="C53" i="11" s="1"/>
  <c r="G58" i="11"/>
  <c r="G35" i="11"/>
  <c r="G53" i="11"/>
  <c r="F109" i="11"/>
  <c r="F80" i="11"/>
  <c r="E60" i="11"/>
  <c r="G109" i="11"/>
  <c r="D109" i="11"/>
  <c r="C60" i="11"/>
  <c r="D53" i="11"/>
  <c r="D80" i="11"/>
  <c r="D94" i="11"/>
  <c r="E53" i="11"/>
  <c r="E80" i="11"/>
  <c r="C56" i="11"/>
  <c r="C57" i="11"/>
  <c r="G80" i="9"/>
  <c r="G35" i="9"/>
  <c r="G109" i="9"/>
  <c r="C89" i="9"/>
  <c r="F58" i="9"/>
  <c r="G94" i="9"/>
  <c r="G59" i="9"/>
  <c r="F43" i="9"/>
  <c r="F44" i="9" s="1"/>
  <c r="F50" i="9" s="1"/>
  <c r="E58" i="9"/>
  <c r="E43" i="9"/>
  <c r="C85" i="9"/>
  <c r="C56" i="9"/>
  <c r="C93" i="9"/>
  <c r="C58" i="9"/>
  <c r="S47" i="13" l="1"/>
  <c r="R47" i="13"/>
  <c r="S48" i="13"/>
  <c r="R48" i="13"/>
  <c r="E55" i="13"/>
  <c r="E51" i="12"/>
  <c r="E64" i="12" s="1"/>
  <c r="E44" i="12"/>
  <c r="D52" i="12"/>
  <c r="E27" i="12"/>
  <c r="D51" i="12"/>
  <c r="D64" i="12" s="1"/>
  <c r="D44" i="12"/>
  <c r="D87" i="12"/>
  <c r="D95" i="12"/>
  <c r="D97" i="12" s="1"/>
  <c r="D60" i="12"/>
  <c r="D31" i="12"/>
  <c r="D59" i="12"/>
  <c r="E58" i="12" s="1"/>
  <c r="C64" i="12"/>
  <c r="C60" i="12"/>
  <c r="C98" i="12"/>
  <c r="C99" i="12"/>
  <c r="F82" i="12"/>
  <c r="F111" i="12"/>
  <c r="F35" i="12"/>
  <c r="C73" i="10"/>
  <c r="C68" i="10"/>
  <c r="C49" i="10"/>
  <c r="C62" i="10" s="1"/>
  <c r="F94" i="10"/>
  <c r="F60" i="10"/>
  <c r="D93" i="10"/>
  <c r="D95" i="10" s="1"/>
  <c r="E56" i="10"/>
  <c r="D85" i="10"/>
  <c r="D57" i="10"/>
  <c r="D31" i="10"/>
  <c r="D58" i="10"/>
  <c r="F62" i="10"/>
  <c r="G44" i="10"/>
  <c r="G49" i="10"/>
  <c r="G62" i="10" s="1"/>
  <c r="C95" i="10"/>
  <c r="E62" i="10"/>
  <c r="D50" i="10"/>
  <c r="E27" i="10"/>
  <c r="G59" i="11"/>
  <c r="G94" i="11"/>
  <c r="C61" i="11"/>
  <c r="C68" i="11"/>
  <c r="D55" i="11"/>
  <c r="D27" i="11"/>
  <c r="C59" i="11"/>
  <c r="C73" i="11" s="1"/>
  <c r="C94" i="11"/>
  <c r="C95" i="11" s="1"/>
  <c r="F94" i="11"/>
  <c r="F59" i="11"/>
  <c r="F109" i="9"/>
  <c r="F80" i="9"/>
  <c r="E44" i="9"/>
  <c r="F94" i="9"/>
  <c r="F59" i="9"/>
  <c r="C94" i="9"/>
  <c r="C95" i="9" s="1"/>
  <c r="C59" i="9"/>
  <c r="D27" i="9"/>
  <c r="C57" i="9"/>
  <c r="D55" i="9"/>
  <c r="E59" i="9"/>
  <c r="E94" i="9"/>
  <c r="F35" i="9"/>
  <c r="F60" i="9"/>
  <c r="E87" i="12" l="1"/>
  <c r="E95" i="12"/>
  <c r="E97" i="12" s="1"/>
  <c r="E60" i="12"/>
  <c r="E31" i="12"/>
  <c r="E59" i="12"/>
  <c r="F58" i="12" s="1"/>
  <c r="D45" i="12"/>
  <c r="D53" i="12"/>
  <c r="C44" i="12"/>
  <c r="E53" i="12"/>
  <c r="E45" i="12"/>
  <c r="C70" i="12"/>
  <c r="C75" i="12"/>
  <c r="D75" i="12"/>
  <c r="D70" i="12"/>
  <c r="E52" i="12"/>
  <c r="F27" i="12"/>
  <c r="D98" i="12"/>
  <c r="D99" i="12" s="1"/>
  <c r="D85" i="12"/>
  <c r="D54" i="12"/>
  <c r="C96" i="10"/>
  <c r="C97" i="10" s="1"/>
  <c r="D73" i="10"/>
  <c r="D68" i="10"/>
  <c r="E85" i="10"/>
  <c r="E93" i="10"/>
  <c r="E95" i="10" s="1"/>
  <c r="E57" i="10"/>
  <c r="E31" i="10"/>
  <c r="E58" i="10"/>
  <c r="F56" i="10"/>
  <c r="F27" i="10"/>
  <c r="E50" i="10"/>
  <c r="D96" i="10"/>
  <c r="D97" i="10" s="1"/>
  <c r="D83" i="10"/>
  <c r="G45" i="10"/>
  <c r="G51" i="10"/>
  <c r="F44" i="10"/>
  <c r="D49" i="11"/>
  <c r="D85" i="11"/>
  <c r="D57" i="11"/>
  <c r="D93" i="11"/>
  <c r="D95" i="11" s="1"/>
  <c r="D56" i="11"/>
  <c r="E27" i="11" s="1"/>
  <c r="D31" i="11"/>
  <c r="E55" i="11"/>
  <c r="C96" i="11"/>
  <c r="C97" i="11" s="1"/>
  <c r="C77" i="11"/>
  <c r="C96" i="9"/>
  <c r="C97" i="9" s="1"/>
  <c r="D93" i="9"/>
  <c r="D95" i="9" s="1"/>
  <c r="D85" i="9"/>
  <c r="D56" i="9"/>
  <c r="D57" i="9" s="1"/>
  <c r="D31" i="9"/>
  <c r="E50" i="9"/>
  <c r="D44" i="9"/>
  <c r="C73" i="9"/>
  <c r="C68" i="9"/>
  <c r="D49" i="9"/>
  <c r="F59" i="12" l="1"/>
  <c r="G27" i="12" s="1"/>
  <c r="F95" i="12"/>
  <c r="F97" i="12" s="1"/>
  <c r="F87" i="12"/>
  <c r="F31" i="12"/>
  <c r="G58" i="12"/>
  <c r="E98" i="12"/>
  <c r="E99" i="12" s="1"/>
  <c r="C45" i="12"/>
  <c r="C53" i="12"/>
  <c r="C54" i="12" s="1"/>
  <c r="C109" i="12" s="1"/>
  <c r="E75" i="12"/>
  <c r="E70" i="12"/>
  <c r="C103" i="12"/>
  <c r="D109" i="12"/>
  <c r="F52" i="12"/>
  <c r="E111" i="12"/>
  <c r="E82" i="12"/>
  <c r="E35" i="12"/>
  <c r="D111" i="12"/>
  <c r="D82" i="12"/>
  <c r="D35" i="12"/>
  <c r="D91" i="12"/>
  <c r="E85" i="12"/>
  <c r="E54" i="12"/>
  <c r="D63" i="12"/>
  <c r="D65" i="12" s="1"/>
  <c r="E63" i="12"/>
  <c r="E65" i="12" s="1"/>
  <c r="E96" i="10"/>
  <c r="E97" i="10"/>
  <c r="E73" i="10"/>
  <c r="E68" i="10"/>
  <c r="E83" i="10"/>
  <c r="F85" i="10"/>
  <c r="F57" i="10"/>
  <c r="G56" i="10" s="1"/>
  <c r="F93" i="10"/>
  <c r="F95" i="10" s="1"/>
  <c r="F31" i="10"/>
  <c r="G80" i="10"/>
  <c r="G109" i="10"/>
  <c r="G35" i="10"/>
  <c r="F45" i="10"/>
  <c r="F51" i="10"/>
  <c r="E44" i="10"/>
  <c r="D89" i="10"/>
  <c r="G27" i="10"/>
  <c r="F50" i="10"/>
  <c r="E49" i="11"/>
  <c r="F27" i="11"/>
  <c r="C99" i="11"/>
  <c r="C102" i="11" s="1"/>
  <c r="C98" i="11"/>
  <c r="C62" i="11" s="1"/>
  <c r="D97" i="11"/>
  <c r="D96" i="11"/>
  <c r="D51" i="11"/>
  <c r="D83" i="11"/>
  <c r="E85" i="11"/>
  <c r="E93" i="11"/>
  <c r="E95" i="11" s="1"/>
  <c r="E56" i="11"/>
  <c r="F55" i="11" s="1"/>
  <c r="E57" i="11"/>
  <c r="E31" i="11"/>
  <c r="D73" i="11"/>
  <c r="D68" i="11"/>
  <c r="D61" i="11"/>
  <c r="C99" i="9"/>
  <c r="C102" i="9" s="1"/>
  <c r="D73" i="9"/>
  <c r="D68" i="9"/>
  <c r="D83" i="9"/>
  <c r="D50" i="9"/>
  <c r="C44" i="9"/>
  <c r="C50" i="9" s="1"/>
  <c r="E109" i="9"/>
  <c r="E80" i="9"/>
  <c r="E35" i="9"/>
  <c r="E60" i="9"/>
  <c r="E55" i="9"/>
  <c r="E27" i="9"/>
  <c r="D96" i="9"/>
  <c r="D97" i="9" s="1"/>
  <c r="G52" i="12" l="1"/>
  <c r="E79" i="12"/>
  <c r="F98" i="12"/>
  <c r="F99" i="12" s="1"/>
  <c r="E109" i="12"/>
  <c r="D103" i="12"/>
  <c r="C101" i="12"/>
  <c r="G95" i="12"/>
  <c r="G97" i="12" s="1"/>
  <c r="G87" i="12"/>
  <c r="G31" i="12"/>
  <c r="G59" i="12"/>
  <c r="H58" i="12" s="1"/>
  <c r="E91" i="12"/>
  <c r="F85" i="12"/>
  <c r="F54" i="12"/>
  <c r="C63" i="12"/>
  <c r="C65" i="12" s="1"/>
  <c r="F60" i="12"/>
  <c r="D79" i="12"/>
  <c r="C35" i="12"/>
  <c r="C111" i="12"/>
  <c r="C82" i="12"/>
  <c r="G58" i="10"/>
  <c r="G57" i="10"/>
  <c r="G93" i="10"/>
  <c r="G95" i="10" s="1"/>
  <c r="G85" i="10"/>
  <c r="H56" i="10"/>
  <c r="G31" i="10"/>
  <c r="E51" i="10"/>
  <c r="E45" i="10"/>
  <c r="D44" i="10"/>
  <c r="F83" i="10"/>
  <c r="F52" i="10"/>
  <c r="F96" i="10"/>
  <c r="F97" i="10" s="1"/>
  <c r="G50" i="10"/>
  <c r="H27" i="10"/>
  <c r="E61" i="10"/>
  <c r="E63" i="10" s="1"/>
  <c r="F109" i="10"/>
  <c r="F80" i="10"/>
  <c r="F35" i="10"/>
  <c r="F58" i="10"/>
  <c r="F61" i="10"/>
  <c r="E89" i="10"/>
  <c r="F56" i="11"/>
  <c r="G55" i="11" s="1"/>
  <c r="F85" i="11"/>
  <c r="F31" i="11"/>
  <c r="F93" i="11"/>
  <c r="F95" i="11" s="1"/>
  <c r="E73" i="11"/>
  <c r="E68" i="11"/>
  <c r="E61" i="11"/>
  <c r="D98" i="11"/>
  <c r="D62" i="11" s="1"/>
  <c r="D99" i="11"/>
  <c r="D102" i="11" s="1"/>
  <c r="G27" i="11"/>
  <c r="F49" i="11"/>
  <c r="D89" i="11"/>
  <c r="E83" i="11"/>
  <c r="E51" i="11"/>
  <c r="E96" i="11"/>
  <c r="E97" i="11" s="1"/>
  <c r="C63" i="11"/>
  <c r="C64" i="11" s="1"/>
  <c r="D107" i="11"/>
  <c r="D77" i="11"/>
  <c r="D99" i="9"/>
  <c r="D102" i="9" s="1"/>
  <c r="D98" i="9"/>
  <c r="D62" i="9" s="1"/>
  <c r="C80" i="9"/>
  <c r="C109" i="9"/>
  <c r="C35" i="9"/>
  <c r="C51" i="9"/>
  <c r="C107" i="9" s="1"/>
  <c r="D109" i="9"/>
  <c r="D80" i="9"/>
  <c r="C60" i="9"/>
  <c r="C61" i="9" s="1"/>
  <c r="D35" i="9"/>
  <c r="C98" i="9"/>
  <c r="C62" i="9" s="1"/>
  <c r="F27" i="9"/>
  <c r="E49" i="9"/>
  <c r="D60" i="9"/>
  <c r="D61" i="9" s="1"/>
  <c r="D51" i="9"/>
  <c r="E56" i="9"/>
  <c r="E57" i="9" s="1"/>
  <c r="F55" i="9"/>
  <c r="E31" i="9"/>
  <c r="E93" i="9"/>
  <c r="E95" i="9" s="1"/>
  <c r="E85" i="9"/>
  <c r="D89" i="9"/>
  <c r="H95" i="12" l="1"/>
  <c r="H87" i="12"/>
  <c r="H59" i="12"/>
  <c r="I58" i="12"/>
  <c r="H60" i="12"/>
  <c r="H31" i="12"/>
  <c r="C79" i="12"/>
  <c r="D101" i="12"/>
  <c r="G85" i="12"/>
  <c r="G54" i="12"/>
  <c r="C100" i="12"/>
  <c r="C66" i="12" s="1"/>
  <c r="C68" i="12" s="1"/>
  <c r="C67" i="12"/>
  <c r="H27" i="12"/>
  <c r="E103" i="12"/>
  <c r="F109" i="12"/>
  <c r="G60" i="12"/>
  <c r="C104" i="12"/>
  <c r="F75" i="12"/>
  <c r="F70" i="12"/>
  <c r="F65" i="12"/>
  <c r="F91" i="12"/>
  <c r="G98" i="12"/>
  <c r="G99" i="12"/>
  <c r="H50" i="10"/>
  <c r="E52" i="10"/>
  <c r="G96" i="10"/>
  <c r="G97" i="10" s="1"/>
  <c r="E77" i="10"/>
  <c r="E109" i="10"/>
  <c r="E80" i="10"/>
  <c r="E35" i="10"/>
  <c r="G83" i="10"/>
  <c r="G52" i="10"/>
  <c r="F107" i="10"/>
  <c r="E101" i="10"/>
  <c r="F73" i="10"/>
  <c r="F68" i="10"/>
  <c r="F63" i="10"/>
  <c r="F89" i="10"/>
  <c r="D51" i="10"/>
  <c r="D45" i="10"/>
  <c r="C44" i="10"/>
  <c r="H93" i="10"/>
  <c r="H85" i="10"/>
  <c r="I56" i="10"/>
  <c r="H57" i="10"/>
  <c r="I27" i="10" s="1"/>
  <c r="H58" i="10"/>
  <c r="H31" i="10"/>
  <c r="G68" i="10"/>
  <c r="G73" i="10"/>
  <c r="G93" i="11"/>
  <c r="G95" i="11" s="1"/>
  <c r="G56" i="11"/>
  <c r="G57" i="11" s="1"/>
  <c r="G85" i="11"/>
  <c r="G31" i="11"/>
  <c r="E99" i="11"/>
  <c r="E102" i="11" s="1"/>
  <c r="H27" i="11"/>
  <c r="G49" i="11"/>
  <c r="E77" i="11"/>
  <c r="F96" i="11"/>
  <c r="F97" i="11" s="1"/>
  <c r="E107" i="11"/>
  <c r="D63" i="11"/>
  <c r="D64" i="11" s="1"/>
  <c r="E89" i="11"/>
  <c r="F83" i="11"/>
  <c r="F51" i="11"/>
  <c r="F57" i="11"/>
  <c r="E61" i="9"/>
  <c r="E68" i="9"/>
  <c r="E73" i="9"/>
  <c r="F85" i="9"/>
  <c r="F31" i="9"/>
  <c r="F93" i="9"/>
  <c r="F95" i="9" s="1"/>
  <c r="F57" i="9"/>
  <c r="F56" i="9"/>
  <c r="G55" i="9" s="1"/>
  <c r="D107" i="9"/>
  <c r="C63" i="9"/>
  <c r="C64" i="9" s="1"/>
  <c r="G27" i="9"/>
  <c r="F49" i="9"/>
  <c r="D77" i="9"/>
  <c r="C77" i="9"/>
  <c r="E96" i="9"/>
  <c r="E97" i="9" s="1"/>
  <c r="E51" i="9"/>
  <c r="E83" i="9"/>
  <c r="F79" i="12" l="1"/>
  <c r="D100" i="12"/>
  <c r="D66" i="12" s="1"/>
  <c r="D67" i="12"/>
  <c r="H70" i="12"/>
  <c r="E101" i="12"/>
  <c r="G70" i="12"/>
  <c r="G75" i="12"/>
  <c r="H52" i="12"/>
  <c r="I27" i="12"/>
  <c r="D104" i="12"/>
  <c r="I87" i="12"/>
  <c r="J58" i="12"/>
  <c r="I95" i="12"/>
  <c r="I59" i="12"/>
  <c r="I60" i="12" s="1"/>
  <c r="I31" i="12"/>
  <c r="G109" i="12"/>
  <c r="F103" i="12"/>
  <c r="G91" i="12"/>
  <c r="I50" i="10"/>
  <c r="I85" i="10"/>
  <c r="I58" i="10"/>
  <c r="I57" i="10"/>
  <c r="J27" i="10" s="1"/>
  <c r="I93" i="10"/>
  <c r="I31" i="10"/>
  <c r="E102" i="10"/>
  <c r="E99" i="10"/>
  <c r="E98" i="10" s="1"/>
  <c r="E64" i="10" s="1"/>
  <c r="D52" i="10"/>
  <c r="D61" i="10"/>
  <c r="D63" i="10" s="1"/>
  <c r="F77" i="10"/>
  <c r="E107" i="10"/>
  <c r="D101" i="10"/>
  <c r="H68" i="10"/>
  <c r="F101" i="10"/>
  <c r="G107" i="10"/>
  <c r="D109" i="10"/>
  <c r="D80" i="10"/>
  <c r="D35" i="10"/>
  <c r="C45" i="10"/>
  <c r="C51" i="10"/>
  <c r="C52" i="10" s="1"/>
  <c r="C107" i="10" s="1"/>
  <c r="E65" i="10"/>
  <c r="G89" i="10"/>
  <c r="H83" i="10"/>
  <c r="G68" i="11"/>
  <c r="G73" i="11"/>
  <c r="F99" i="11"/>
  <c r="F102" i="11" s="1"/>
  <c r="F89" i="11"/>
  <c r="G51" i="11"/>
  <c r="G83" i="11"/>
  <c r="H49" i="11"/>
  <c r="E98" i="11"/>
  <c r="E62" i="11" s="1"/>
  <c r="E64" i="11" s="1"/>
  <c r="H55" i="11"/>
  <c r="F73" i="11"/>
  <c r="F68" i="11"/>
  <c r="F61" i="11"/>
  <c r="F107" i="11"/>
  <c r="E63" i="11"/>
  <c r="G96" i="11"/>
  <c r="G97" i="11" s="1"/>
  <c r="E99" i="9"/>
  <c r="E102" i="9" s="1"/>
  <c r="G93" i="9"/>
  <c r="G95" i="9" s="1"/>
  <c r="G85" i="9"/>
  <c r="G31" i="9"/>
  <c r="G56" i="9"/>
  <c r="G57" i="9" s="1"/>
  <c r="E89" i="9"/>
  <c r="F96" i="9"/>
  <c r="F97" i="9" s="1"/>
  <c r="E107" i="9"/>
  <c r="D63" i="9"/>
  <c r="D64" i="9" s="1"/>
  <c r="F51" i="9"/>
  <c r="F83" i="9"/>
  <c r="G49" i="9"/>
  <c r="F73" i="9"/>
  <c r="F68" i="9"/>
  <c r="F61" i="9"/>
  <c r="E77" i="9"/>
  <c r="I70" i="12" l="1"/>
  <c r="I72" i="12" s="1"/>
  <c r="I53" i="12" s="1"/>
  <c r="J60" i="12"/>
  <c r="J59" i="12"/>
  <c r="J87" i="12"/>
  <c r="J95" i="12"/>
  <c r="H85" i="12"/>
  <c r="H72" i="12"/>
  <c r="H53" i="12" s="1"/>
  <c r="F104" i="12"/>
  <c r="F101" i="12"/>
  <c r="E100" i="12"/>
  <c r="E66" i="12" s="1"/>
  <c r="E67" i="12"/>
  <c r="I52" i="12"/>
  <c r="J27" i="12"/>
  <c r="E104" i="12"/>
  <c r="D68" i="12"/>
  <c r="J50" i="10"/>
  <c r="I68" i="10"/>
  <c r="I70" i="10" s="1"/>
  <c r="I51" i="10" s="1"/>
  <c r="D102" i="10"/>
  <c r="D99" i="10"/>
  <c r="D107" i="10"/>
  <c r="C101" i="10"/>
  <c r="J56" i="10"/>
  <c r="C80" i="10"/>
  <c r="C109" i="10"/>
  <c r="C35" i="10"/>
  <c r="H89" i="10"/>
  <c r="H86" i="10"/>
  <c r="H87" i="10" s="1"/>
  <c r="F99" i="10"/>
  <c r="D77" i="10"/>
  <c r="C61" i="10"/>
  <c r="C63" i="10" s="1"/>
  <c r="I83" i="10"/>
  <c r="E66" i="10"/>
  <c r="G99" i="11"/>
  <c r="G102" i="11" s="1"/>
  <c r="F77" i="11"/>
  <c r="G89" i="11"/>
  <c r="G107" i="11"/>
  <c r="F63" i="11"/>
  <c r="F98" i="11"/>
  <c r="F62" i="11" s="1"/>
  <c r="F64" i="11" s="1"/>
  <c r="H93" i="11"/>
  <c r="H57" i="11"/>
  <c r="H85" i="11"/>
  <c r="H31" i="11"/>
  <c r="H56" i="11"/>
  <c r="I27" i="11" s="1"/>
  <c r="H83" i="11"/>
  <c r="F99" i="9"/>
  <c r="F102" i="9" s="1"/>
  <c r="G68" i="9"/>
  <c r="G73" i="9"/>
  <c r="H55" i="9"/>
  <c r="G83" i="9"/>
  <c r="G51" i="9"/>
  <c r="E98" i="9"/>
  <c r="E62" i="9" s="1"/>
  <c r="H27" i="9"/>
  <c r="E63" i="9"/>
  <c r="F107" i="9"/>
  <c r="G96" i="9"/>
  <c r="G97" i="9" s="1"/>
  <c r="F77" i="9"/>
  <c r="F89" i="9"/>
  <c r="K27" i="12" l="1"/>
  <c r="J52" i="12"/>
  <c r="H91" i="12"/>
  <c r="H88" i="12"/>
  <c r="H89" i="12" s="1"/>
  <c r="J70" i="12"/>
  <c r="J72" i="12" s="1"/>
  <c r="J53" i="12" s="1"/>
  <c r="E68" i="12"/>
  <c r="H111" i="12"/>
  <c r="H61" i="12"/>
  <c r="G63" i="12"/>
  <c r="G65" i="12" s="1"/>
  <c r="H82" i="12"/>
  <c r="I54" i="12"/>
  <c r="I85" i="12"/>
  <c r="F100" i="12"/>
  <c r="F66" i="12" s="1"/>
  <c r="F67" i="12"/>
  <c r="H54" i="12"/>
  <c r="H63" i="12"/>
  <c r="I111" i="12"/>
  <c r="I82" i="12"/>
  <c r="I61" i="12"/>
  <c r="I109" i="10"/>
  <c r="I59" i="10"/>
  <c r="I80" i="10"/>
  <c r="H70" i="10"/>
  <c r="C77" i="10"/>
  <c r="F98" i="10"/>
  <c r="F64" i="10" s="1"/>
  <c r="F65" i="10"/>
  <c r="J85" i="10"/>
  <c r="J58" i="10"/>
  <c r="J57" i="10"/>
  <c r="K27" i="10" s="1"/>
  <c r="J93" i="10"/>
  <c r="J83" i="10"/>
  <c r="I52" i="10"/>
  <c r="I86" i="10"/>
  <c r="I87" i="10" s="1"/>
  <c r="I89" i="10"/>
  <c r="F102" i="10"/>
  <c r="C99" i="10"/>
  <c r="C102" i="10" s="1"/>
  <c r="D98" i="10"/>
  <c r="D64" i="10" s="1"/>
  <c r="D65" i="10"/>
  <c r="I55" i="11"/>
  <c r="H68" i="11"/>
  <c r="I49" i="11"/>
  <c r="H89" i="11"/>
  <c r="H86" i="11"/>
  <c r="H87" i="11" s="1"/>
  <c r="G98" i="11"/>
  <c r="G62" i="11" s="1"/>
  <c r="G99" i="9"/>
  <c r="G102" i="9" s="1"/>
  <c r="H49" i="9"/>
  <c r="F63" i="9"/>
  <c r="G107" i="9"/>
  <c r="H93" i="9"/>
  <c r="I55" i="9"/>
  <c r="H85" i="9"/>
  <c r="H56" i="9"/>
  <c r="I27" i="9" s="1"/>
  <c r="H57" i="9"/>
  <c r="H31" i="9"/>
  <c r="E64" i="9"/>
  <c r="F98" i="9"/>
  <c r="F62" i="9" s="1"/>
  <c r="F64" i="9" s="1"/>
  <c r="G89" i="9"/>
  <c r="I109" i="12" l="1"/>
  <c r="H103" i="12"/>
  <c r="I106" i="12"/>
  <c r="H96" i="12"/>
  <c r="H97" i="12" s="1"/>
  <c r="H62" i="12"/>
  <c r="H75" i="12" s="1"/>
  <c r="H76" i="12" s="1"/>
  <c r="G76" i="12" s="1"/>
  <c r="H65" i="12"/>
  <c r="F68" i="12"/>
  <c r="J82" i="12"/>
  <c r="J63" i="12"/>
  <c r="J61" i="12"/>
  <c r="J111" i="12"/>
  <c r="I63" i="12"/>
  <c r="J85" i="12"/>
  <c r="J54" i="12"/>
  <c r="I96" i="12"/>
  <c r="I97" i="12" s="1"/>
  <c r="I62" i="12"/>
  <c r="I75" i="12" s="1"/>
  <c r="I76" i="12" s="1"/>
  <c r="I65" i="12"/>
  <c r="H109" i="12"/>
  <c r="G103" i="12"/>
  <c r="H106" i="12"/>
  <c r="I88" i="12"/>
  <c r="I89" i="12" s="1"/>
  <c r="I91" i="12"/>
  <c r="G79" i="12"/>
  <c r="J68" i="10"/>
  <c r="J70" i="10" s="1"/>
  <c r="J51" i="10" s="1"/>
  <c r="I107" i="10"/>
  <c r="I104" i="10"/>
  <c r="J86" i="10"/>
  <c r="J87" i="10" s="1"/>
  <c r="K88" i="10" s="1"/>
  <c r="J89" i="10"/>
  <c r="C98" i="10"/>
  <c r="C64" i="10" s="1"/>
  <c r="C66" i="10" s="1"/>
  <c r="C65" i="10"/>
  <c r="I60" i="10"/>
  <c r="I73" i="10" s="1"/>
  <c r="I74" i="10" s="1"/>
  <c r="I94" i="10"/>
  <c r="I95" i="10" s="1"/>
  <c r="D66" i="10"/>
  <c r="F66" i="10"/>
  <c r="H51" i="10"/>
  <c r="I83" i="11"/>
  <c r="I85" i="11"/>
  <c r="I93" i="11"/>
  <c r="I56" i="11"/>
  <c r="J27" i="11" s="1"/>
  <c r="J55" i="11"/>
  <c r="I31" i="11"/>
  <c r="I49" i="9"/>
  <c r="H83" i="9"/>
  <c r="I56" i="9"/>
  <c r="J27" i="9" s="1"/>
  <c r="I85" i="9"/>
  <c r="I31" i="9"/>
  <c r="I93" i="9"/>
  <c r="H68" i="9"/>
  <c r="G98" i="9"/>
  <c r="G62" i="9" s="1"/>
  <c r="I103" i="12" l="1"/>
  <c r="J109" i="12"/>
  <c r="J106" i="12"/>
  <c r="I99" i="12"/>
  <c r="I98" i="12"/>
  <c r="J96" i="12"/>
  <c r="J97" i="12" s="1"/>
  <c r="J62" i="12"/>
  <c r="J75" i="12" s="1"/>
  <c r="J76" i="12" s="1"/>
  <c r="J65" i="12"/>
  <c r="J79" i="12" s="1"/>
  <c r="J81" i="12" s="1"/>
  <c r="I79" i="12"/>
  <c r="I81" i="12" s="1"/>
  <c r="I83" i="12" s="1"/>
  <c r="J91" i="12"/>
  <c r="J88" i="12"/>
  <c r="J89" i="12" s="1"/>
  <c r="K90" i="12" s="1"/>
  <c r="G34" i="12"/>
  <c r="F76" i="12"/>
  <c r="H79" i="12"/>
  <c r="H81" i="12" s="1"/>
  <c r="H83" i="12" s="1"/>
  <c r="G101" i="12"/>
  <c r="H98" i="12"/>
  <c r="H99" i="12" s="1"/>
  <c r="I96" i="10"/>
  <c r="I97" i="10" s="1"/>
  <c r="J109" i="10"/>
  <c r="J80" i="10"/>
  <c r="J61" i="10"/>
  <c r="J59" i="10"/>
  <c r="I61" i="10"/>
  <c r="J52" i="10"/>
  <c r="G61" i="10"/>
  <c r="G63" i="10" s="1"/>
  <c r="H109" i="10"/>
  <c r="H80" i="10"/>
  <c r="H59" i="10"/>
  <c r="H52" i="10"/>
  <c r="H61" i="10"/>
  <c r="I63" i="10"/>
  <c r="J85" i="11"/>
  <c r="J93" i="11"/>
  <c r="J56" i="11"/>
  <c r="J57" i="11"/>
  <c r="I86" i="11"/>
  <c r="I89" i="11"/>
  <c r="K27" i="11"/>
  <c r="J49" i="11"/>
  <c r="I57" i="11"/>
  <c r="I87" i="11"/>
  <c r="J49" i="9"/>
  <c r="J55" i="9"/>
  <c r="I57" i="9"/>
  <c r="I83" i="9"/>
  <c r="H89" i="9"/>
  <c r="H86" i="9"/>
  <c r="H87" i="9" s="1"/>
  <c r="H107" i="12" l="1"/>
  <c r="H101" i="12"/>
  <c r="G80" i="12"/>
  <c r="G106" i="12" s="1"/>
  <c r="G107" i="12" s="1"/>
  <c r="G36" i="12"/>
  <c r="G71" i="12" s="1"/>
  <c r="G100" i="12"/>
  <c r="G66" i="12" s="1"/>
  <c r="G67" i="12"/>
  <c r="I107" i="12"/>
  <c r="I101" i="12"/>
  <c r="I67" i="12" s="1"/>
  <c r="I104" i="12"/>
  <c r="J108" i="12"/>
  <c r="J110" i="12" s="1"/>
  <c r="J112" i="12" s="1"/>
  <c r="J83" i="12"/>
  <c r="J90" i="12" s="1"/>
  <c r="G104" i="12"/>
  <c r="G81" i="12"/>
  <c r="F34" i="12"/>
  <c r="E76" i="12"/>
  <c r="J99" i="12"/>
  <c r="J107" i="12" s="1"/>
  <c r="J98" i="12"/>
  <c r="I105" i="10"/>
  <c r="I77" i="10"/>
  <c r="I79" i="10" s="1"/>
  <c r="I81" i="10" s="1"/>
  <c r="H94" i="10"/>
  <c r="H95" i="10" s="1"/>
  <c r="H60" i="10"/>
  <c r="H73" i="10" s="1"/>
  <c r="H74" i="10" s="1"/>
  <c r="G74" i="10" s="1"/>
  <c r="J94" i="10"/>
  <c r="J95" i="10" s="1"/>
  <c r="J60" i="10"/>
  <c r="J73" i="10" s="1"/>
  <c r="J74" i="10" s="1"/>
  <c r="J63" i="10"/>
  <c r="J77" i="10" s="1"/>
  <c r="J79" i="10" s="1"/>
  <c r="J107" i="10"/>
  <c r="I101" i="10"/>
  <c r="I99" i="10" s="1"/>
  <c r="J104" i="10"/>
  <c r="H104" i="10"/>
  <c r="G101" i="10"/>
  <c r="H107" i="10"/>
  <c r="H101" i="10"/>
  <c r="G77" i="10"/>
  <c r="J68" i="11"/>
  <c r="J70" i="11" s="1"/>
  <c r="J50" i="11" s="1"/>
  <c r="J51" i="11" s="1"/>
  <c r="I68" i="11"/>
  <c r="I70" i="11" s="1"/>
  <c r="J83" i="11"/>
  <c r="I68" i="9"/>
  <c r="I70" i="9" s="1"/>
  <c r="I86" i="9"/>
  <c r="I87" i="9" s="1"/>
  <c r="I89" i="9"/>
  <c r="J85" i="9"/>
  <c r="J56" i="9"/>
  <c r="K27" i="9" s="1"/>
  <c r="J93" i="9"/>
  <c r="J83" i="9"/>
  <c r="G83" i="12" l="1"/>
  <c r="F81" i="12"/>
  <c r="I108" i="12"/>
  <c r="I110" i="12" s="1"/>
  <c r="I112" i="12" s="1"/>
  <c r="G108" i="12"/>
  <c r="G110" i="12" s="1"/>
  <c r="G112" i="12" s="1"/>
  <c r="H67" i="12"/>
  <c r="H104" i="12"/>
  <c r="E34" i="12"/>
  <c r="D76" i="12"/>
  <c r="I100" i="12"/>
  <c r="I66" i="12" s="1"/>
  <c r="I68" i="12" s="1"/>
  <c r="G68" i="12"/>
  <c r="H108" i="12"/>
  <c r="H110" i="12" s="1"/>
  <c r="H112" i="12" s="1"/>
  <c r="F36" i="12"/>
  <c r="F71" i="12" s="1"/>
  <c r="F88" i="12" s="1"/>
  <c r="F89" i="12" s="1"/>
  <c r="F80" i="12"/>
  <c r="F106" i="12" s="1"/>
  <c r="F107" i="12" s="1"/>
  <c r="J92" i="12"/>
  <c r="I90" i="12"/>
  <c r="G88" i="12"/>
  <c r="G89" i="12" s="1"/>
  <c r="G72" i="12"/>
  <c r="H100" i="12"/>
  <c r="H66" i="12" s="1"/>
  <c r="H68" i="12" s="1"/>
  <c r="I98" i="10"/>
  <c r="I64" i="10" s="1"/>
  <c r="I66" i="10" s="1"/>
  <c r="I65" i="10"/>
  <c r="H63" i="10"/>
  <c r="J106" i="10"/>
  <c r="J108" i="10" s="1"/>
  <c r="J110" i="10" s="1"/>
  <c r="J81" i="10"/>
  <c r="J88" i="10" s="1"/>
  <c r="G34" i="10"/>
  <c r="F74" i="10"/>
  <c r="I106" i="10"/>
  <c r="I108" i="10" s="1"/>
  <c r="I110" i="10" s="1"/>
  <c r="G99" i="10"/>
  <c r="G102" i="10" s="1"/>
  <c r="H96" i="10"/>
  <c r="H97" i="10" s="1"/>
  <c r="I102" i="10"/>
  <c r="J96" i="10"/>
  <c r="J97" i="10" s="1"/>
  <c r="J105" i="10" s="1"/>
  <c r="J107" i="11"/>
  <c r="J104" i="11"/>
  <c r="J109" i="11"/>
  <c r="J80" i="11"/>
  <c r="J60" i="11"/>
  <c r="J58" i="11"/>
  <c r="I60" i="11"/>
  <c r="J89" i="11"/>
  <c r="J86" i="11"/>
  <c r="J87" i="11" s="1"/>
  <c r="K88" i="11" s="1"/>
  <c r="I50" i="11"/>
  <c r="H70" i="11"/>
  <c r="J86" i="9"/>
  <c r="J89" i="9"/>
  <c r="J87" i="9"/>
  <c r="K88" i="9" s="1"/>
  <c r="I50" i="9"/>
  <c r="H70" i="9"/>
  <c r="J57" i="9"/>
  <c r="I92" i="12" l="1"/>
  <c r="H90" i="12"/>
  <c r="H92" i="12" s="1"/>
  <c r="E36" i="12"/>
  <c r="E71" i="12" s="1"/>
  <c r="E88" i="12" s="1"/>
  <c r="E89" i="12" s="1"/>
  <c r="E80" i="12"/>
  <c r="E106" i="12" s="1"/>
  <c r="E107" i="12" s="1"/>
  <c r="F83" i="12"/>
  <c r="E81" i="12"/>
  <c r="D34" i="12"/>
  <c r="C76" i="12"/>
  <c r="C34" i="12" s="1"/>
  <c r="F72" i="12"/>
  <c r="E72" i="12" s="1"/>
  <c r="F108" i="12"/>
  <c r="F110" i="12" s="1"/>
  <c r="F112" i="12" s="1"/>
  <c r="H99" i="10"/>
  <c r="H105" i="10"/>
  <c r="H106" i="10" s="1"/>
  <c r="H108" i="10" s="1"/>
  <c r="H110" i="10" s="1"/>
  <c r="H98" i="10"/>
  <c r="H64" i="10" s="1"/>
  <c r="G78" i="10"/>
  <c r="G104" i="10" s="1"/>
  <c r="G105" i="10" s="1"/>
  <c r="G106" i="10" s="1"/>
  <c r="G108" i="10" s="1"/>
  <c r="G110" i="10" s="1"/>
  <c r="G36" i="10"/>
  <c r="G69" i="10" s="1"/>
  <c r="H77" i="10"/>
  <c r="H79" i="10" s="1"/>
  <c r="J90" i="10"/>
  <c r="I88" i="10"/>
  <c r="G98" i="10"/>
  <c r="G64" i="10" s="1"/>
  <c r="G65" i="10"/>
  <c r="E74" i="10"/>
  <c r="F34" i="10"/>
  <c r="J94" i="11"/>
  <c r="J95" i="11" s="1"/>
  <c r="J59" i="11"/>
  <c r="J73" i="11" s="1"/>
  <c r="J74" i="11" s="1"/>
  <c r="J61" i="11"/>
  <c r="J77" i="11" s="1"/>
  <c r="J79" i="11" s="1"/>
  <c r="H50" i="11"/>
  <c r="I109" i="11"/>
  <c r="I80" i="11"/>
  <c r="I58" i="11"/>
  <c r="H60" i="11"/>
  <c r="I51" i="11"/>
  <c r="J68" i="9"/>
  <c r="J70" i="9" s="1"/>
  <c r="J50" i="9" s="1"/>
  <c r="H50" i="9"/>
  <c r="I58" i="9"/>
  <c r="I109" i="9"/>
  <c r="I80" i="9"/>
  <c r="I51" i="9"/>
  <c r="D72" i="12" l="1"/>
  <c r="E83" i="12"/>
  <c r="C80" i="12"/>
  <c r="C106" i="12" s="1"/>
  <c r="C107" i="12" s="1"/>
  <c r="C36" i="12"/>
  <c r="C71" i="12" s="1"/>
  <c r="C88" i="12" s="1"/>
  <c r="C89" i="12" s="1"/>
  <c r="D36" i="12"/>
  <c r="D71" i="12" s="1"/>
  <c r="D88" i="12" s="1"/>
  <c r="D89" i="12" s="1"/>
  <c r="D80" i="12"/>
  <c r="D106" i="12" s="1"/>
  <c r="D107" i="12" s="1"/>
  <c r="D108" i="12" s="1"/>
  <c r="D110" i="12" s="1"/>
  <c r="D112" i="12" s="1"/>
  <c r="E108" i="12"/>
  <c r="E110" i="12" s="1"/>
  <c r="E112" i="12" s="1"/>
  <c r="G90" i="12"/>
  <c r="D74" i="10"/>
  <c r="E34" i="10"/>
  <c r="G66" i="10"/>
  <c r="H81" i="10"/>
  <c r="G79" i="10"/>
  <c r="F78" i="10"/>
  <c r="F104" i="10" s="1"/>
  <c r="F105" i="10" s="1"/>
  <c r="F106" i="10" s="1"/>
  <c r="F108" i="10" s="1"/>
  <c r="F110" i="10" s="1"/>
  <c r="F36" i="10"/>
  <c r="F69" i="10" s="1"/>
  <c r="F86" i="10" s="1"/>
  <c r="F87" i="10" s="1"/>
  <c r="I90" i="10"/>
  <c r="H88" i="10"/>
  <c r="H90" i="10" s="1"/>
  <c r="G86" i="10"/>
  <c r="G87" i="10" s="1"/>
  <c r="G70" i="10"/>
  <c r="F70" i="10" s="1"/>
  <c r="H65" i="10"/>
  <c r="H66" i="10" s="1"/>
  <c r="H102" i="10"/>
  <c r="J106" i="11"/>
  <c r="J108" i="11" s="1"/>
  <c r="J110" i="11" s="1"/>
  <c r="J81" i="11"/>
  <c r="J88" i="11" s="1"/>
  <c r="I107" i="11"/>
  <c r="I104" i="11"/>
  <c r="I59" i="11"/>
  <c r="I73" i="11" s="1"/>
  <c r="I74" i="11" s="1"/>
  <c r="I94" i="11"/>
  <c r="I95" i="11" s="1"/>
  <c r="I61" i="11"/>
  <c r="H109" i="11"/>
  <c r="G60" i="11"/>
  <c r="G61" i="11" s="1"/>
  <c r="H80" i="11"/>
  <c r="H58" i="11"/>
  <c r="H51" i="11"/>
  <c r="J96" i="11"/>
  <c r="J97" i="11" s="1"/>
  <c r="J105" i="11" s="1"/>
  <c r="I107" i="9"/>
  <c r="I104" i="9"/>
  <c r="I59" i="9"/>
  <c r="I73" i="9" s="1"/>
  <c r="I74" i="9" s="1"/>
  <c r="I94" i="9"/>
  <c r="I95" i="9" s="1"/>
  <c r="J109" i="9"/>
  <c r="I60" i="9"/>
  <c r="J60" i="9"/>
  <c r="J58" i="9"/>
  <c r="J80" i="9"/>
  <c r="J51" i="9"/>
  <c r="H109" i="9"/>
  <c r="H80" i="9"/>
  <c r="H58" i="9"/>
  <c r="G60" i="9"/>
  <c r="G61" i="9" s="1"/>
  <c r="H51" i="9"/>
  <c r="H60" i="9"/>
  <c r="D81" i="12" l="1"/>
  <c r="G92" i="12"/>
  <c r="F90" i="12"/>
  <c r="C72" i="12"/>
  <c r="C108" i="12"/>
  <c r="C110" i="12" s="1"/>
  <c r="C112" i="12" s="1"/>
  <c r="E70" i="10"/>
  <c r="G88" i="10"/>
  <c r="G90" i="10" s="1"/>
  <c r="E36" i="10"/>
  <c r="E69" i="10" s="1"/>
  <c r="E86" i="10" s="1"/>
  <c r="E87" i="10" s="1"/>
  <c r="E78" i="10"/>
  <c r="E104" i="10" s="1"/>
  <c r="E105" i="10" s="1"/>
  <c r="E106" i="10" s="1"/>
  <c r="E108" i="10" s="1"/>
  <c r="E110" i="10" s="1"/>
  <c r="G81" i="10"/>
  <c r="F79" i="10"/>
  <c r="C74" i="10"/>
  <c r="C34" i="10" s="1"/>
  <c r="D34" i="10"/>
  <c r="I97" i="11"/>
  <c r="I96" i="11"/>
  <c r="G77" i="11"/>
  <c r="G64" i="11"/>
  <c r="G63" i="11"/>
  <c r="H107" i="11"/>
  <c r="H104" i="11"/>
  <c r="J90" i="11"/>
  <c r="I88" i="11"/>
  <c r="H94" i="11"/>
  <c r="H95" i="11" s="1"/>
  <c r="H59" i="11"/>
  <c r="H73" i="11" s="1"/>
  <c r="H74" i="11" s="1"/>
  <c r="G74" i="11" s="1"/>
  <c r="H61" i="11"/>
  <c r="I77" i="11"/>
  <c r="I79" i="11" s="1"/>
  <c r="I81" i="11" s="1"/>
  <c r="G77" i="9"/>
  <c r="H94" i="9"/>
  <c r="H95" i="9" s="1"/>
  <c r="H59" i="9"/>
  <c r="H73" i="9" s="1"/>
  <c r="H74" i="9" s="1"/>
  <c r="G74" i="9" s="1"/>
  <c r="H61" i="9"/>
  <c r="J94" i="9"/>
  <c r="J95" i="9" s="1"/>
  <c r="J59" i="9"/>
  <c r="J73" i="9" s="1"/>
  <c r="J74" i="9" s="1"/>
  <c r="J61" i="9"/>
  <c r="J77" i="9" s="1"/>
  <c r="J79" i="9" s="1"/>
  <c r="I61" i="9"/>
  <c r="J107" i="9"/>
  <c r="J104" i="9"/>
  <c r="H107" i="9"/>
  <c r="G63" i="9"/>
  <c r="G64" i="9" s="1"/>
  <c r="H104" i="9"/>
  <c r="I96" i="9"/>
  <c r="I97" i="9" s="1"/>
  <c r="F92" i="12" l="1"/>
  <c r="E90" i="12"/>
  <c r="D83" i="12"/>
  <c r="C81" i="12"/>
  <c r="C83" i="12" s="1"/>
  <c r="C78" i="10"/>
  <c r="C104" i="10" s="1"/>
  <c r="C105" i="10" s="1"/>
  <c r="C106" i="10" s="1"/>
  <c r="C108" i="10" s="1"/>
  <c r="C110" i="10" s="1"/>
  <c r="C36" i="10"/>
  <c r="C69" i="10" s="1"/>
  <c r="C86" i="10" s="1"/>
  <c r="C87" i="10" s="1"/>
  <c r="F81" i="10"/>
  <c r="E79" i="10"/>
  <c r="D78" i="10"/>
  <c r="D104" i="10" s="1"/>
  <c r="D105" i="10" s="1"/>
  <c r="D106" i="10" s="1"/>
  <c r="D108" i="10" s="1"/>
  <c r="D110" i="10" s="1"/>
  <c r="D36" i="10"/>
  <c r="D69" i="10" s="1"/>
  <c r="D86" i="10" s="1"/>
  <c r="D87" i="10" s="1"/>
  <c r="F88" i="10"/>
  <c r="F90" i="10" s="1"/>
  <c r="D70" i="10"/>
  <c r="C70" i="10" s="1"/>
  <c r="G34" i="11"/>
  <c r="F74" i="11"/>
  <c r="H96" i="11"/>
  <c r="H97" i="11" s="1"/>
  <c r="I90" i="11"/>
  <c r="H88" i="11"/>
  <c r="H90" i="11" s="1"/>
  <c r="H77" i="11"/>
  <c r="H79" i="11" s="1"/>
  <c r="H81" i="11" s="1"/>
  <c r="I99" i="11"/>
  <c r="I105" i="11"/>
  <c r="I106" i="11" s="1"/>
  <c r="I108" i="11" s="1"/>
  <c r="I110" i="11" s="1"/>
  <c r="I98" i="11"/>
  <c r="I62" i="11" s="1"/>
  <c r="I105" i="9"/>
  <c r="I99" i="9"/>
  <c r="J106" i="9"/>
  <c r="J108" i="9" s="1"/>
  <c r="J110" i="9" s="1"/>
  <c r="J81" i="9"/>
  <c r="J88" i="9" s="1"/>
  <c r="H96" i="9"/>
  <c r="H97" i="9"/>
  <c r="G34" i="9"/>
  <c r="F74" i="9"/>
  <c r="J96" i="9"/>
  <c r="J97" i="9" s="1"/>
  <c r="J105" i="9" s="1"/>
  <c r="I77" i="9"/>
  <c r="I79" i="9" s="1"/>
  <c r="I81" i="9" s="1"/>
  <c r="H77" i="9"/>
  <c r="H79" i="9" s="1"/>
  <c r="H81" i="9" s="1"/>
  <c r="E92" i="12" l="1"/>
  <c r="D90" i="12"/>
  <c r="E81" i="10"/>
  <c r="D79" i="10"/>
  <c r="E88" i="10"/>
  <c r="E90" i="10" s="1"/>
  <c r="H105" i="11"/>
  <c r="H106" i="11" s="1"/>
  <c r="H108" i="11" s="1"/>
  <c r="H110" i="11" s="1"/>
  <c r="H99" i="11"/>
  <c r="I102" i="11"/>
  <c r="I63" i="11"/>
  <c r="I64" i="11" s="1"/>
  <c r="G79" i="11"/>
  <c r="F34" i="11"/>
  <c r="E74" i="11"/>
  <c r="G78" i="11"/>
  <c r="G104" i="11" s="1"/>
  <c r="G105" i="11" s="1"/>
  <c r="G36" i="11"/>
  <c r="G69" i="11" s="1"/>
  <c r="I102" i="9"/>
  <c r="I63" i="9"/>
  <c r="H99" i="9"/>
  <c r="H98" i="9" s="1"/>
  <c r="H62" i="9" s="1"/>
  <c r="H105" i="9"/>
  <c r="F34" i="9"/>
  <c r="E74" i="9"/>
  <c r="I98" i="9"/>
  <c r="I62" i="9" s="1"/>
  <c r="I64" i="9" s="1"/>
  <c r="G78" i="9"/>
  <c r="G104" i="9" s="1"/>
  <c r="G105" i="9" s="1"/>
  <c r="G36" i="9"/>
  <c r="G69" i="9" s="1"/>
  <c r="J90" i="9"/>
  <c r="I88" i="9"/>
  <c r="I106" i="9"/>
  <c r="I108" i="9" s="1"/>
  <c r="I110" i="9" s="1"/>
  <c r="D92" i="12" l="1"/>
  <c r="C90" i="12"/>
  <c r="C92" i="12" s="1"/>
  <c r="D88" i="10"/>
  <c r="D81" i="10"/>
  <c r="C79" i="10"/>
  <c r="C81" i="10" s="1"/>
  <c r="E34" i="11"/>
  <c r="D74" i="11"/>
  <c r="F36" i="11"/>
  <c r="F69" i="11" s="1"/>
  <c r="F86" i="11" s="1"/>
  <c r="F87" i="11" s="1"/>
  <c r="F78" i="11"/>
  <c r="F104" i="11" s="1"/>
  <c r="F105" i="11" s="1"/>
  <c r="G86" i="11"/>
  <c r="G87" i="11" s="1"/>
  <c r="G88" i="11" s="1"/>
  <c r="G90" i="11" s="1"/>
  <c r="G70" i="11"/>
  <c r="G81" i="11"/>
  <c r="F79" i="11"/>
  <c r="H102" i="11"/>
  <c r="H63" i="11"/>
  <c r="G106" i="11"/>
  <c r="G108" i="11" s="1"/>
  <c r="G110" i="11" s="1"/>
  <c r="H98" i="11"/>
  <c r="H62" i="11" s="1"/>
  <c r="H64" i="11" s="1"/>
  <c r="E34" i="9"/>
  <c r="D74" i="9"/>
  <c r="F78" i="9"/>
  <c r="F104" i="9" s="1"/>
  <c r="F105" i="9" s="1"/>
  <c r="F36" i="9"/>
  <c r="F69" i="9" s="1"/>
  <c r="F86" i="9" s="1"/>
  <c r="F87" i="9" s="1"/>
  <c r="G86" i="9"/>
  <c r="G87" i="9" s="1"/>
  <c r="G70" i="9"/>
  <c r="F70" i="9" s="1"/>
  <c r="G106" i="9"/>
  <c r="G108" i="9" s="1"/>
  <c r="G110" i="9" s="1"/>
  <c r="G79" i="9"/>
  <c r="H102" i="9"/>
  <c r="H63" i="9"/>
  <c r="H64" i="9" s="1"/>
  <c r="I90" i="9"/>
  <c r="H88" i="9"/>
  <c r="H90" i="9" s="1"/>
  <c r="H106" i="9"/>
  <c r="H108" i="9" s="1"/>
  <c r="H110" i="9" s="1"/>
  <c r="D90" i="10" l="1"/>
  <c r="C88" i="10"/>
  <c r="C90" i="10" s="1"/>
  <c r="F81" i="11"/>
  <c r="F106" i="11"/>
  <c r="F108" i="11" s="1"/>
  <c r="F110" i="11" s="1"/>
  <c r="F88" i="11"/>
  <c r="F90" i="11" s="1"/>
  <c r="F70" i="11"/>
  <c r="D34" i="11"/>
  <c r="C74" i="11"/>
  <c r="C34" i="11" s="1"/>
  <c r="E78" i="11"/>
  <c r="E104" i="11" s="1"/>
  <c r="E105" i="11" s="1"/>
  <c r="E106" i="11" s="1"/>
  <c r="E108" i="11" s="1"/>
  <c r="E110" i="11" s="1"/>
  <c r="E36" i="11"/>
  <c r="E69" i="11" s="1"/>
  <c r="E86" i="11" s="1"/>
  <c r="E87" i="11" s="1"/>
  <c r="E88" i="11" s="1"/>
  <c r="E90" i="11" s="1"/>
  <c r="F106" i="9"/>
  <c r="F108" i="9" s="1"/>
  <c r="F110" i="9" s="1"/>
  <c r="G88" i="9"/>
  <c r="G90" i="9" s="1"/>
  <c r="E78" i="9"/>
  <c r="E104" i="9" s="1"/>
  <c r="E105" i="9" s="1"/>
  <c r="E106" i="9" s="1"/>
  <c r="E108" i="9" s="1"/>
  <c r="E110" i="9" s="1"/>
  <c r="E36" i="9"/>
  <c r="E69" i="9" s="1"/>
  <c r="E86" i="9" s="1"/>
  <c r="E87" i="9" s="1"/>
  <c r="C74" i="9"/>
  <c r="C34" i="9" s="1"/>
  <c r="D34" i="9"/>
  <c r="G81" i="9"/>
  <c r="F79" i="9"/>
  <c r="C78" i="11" l="1"/>
  <c r="C104" i="11" s="1"/>
  <c r="C105" i="11" s="1"/>
  <c r="C36" i="11"/>
  <c r="C69" i="11" s="1"/>
  <c r="C86" i="11" s="1"/>
  <c r="C87" i="11" s="1"/>
  <c r="E70" i="11"/>
  <c r="D70" i="11" s="1"/>
  <c r="C70" i="11" s="1"/>
  <c r="D78" i="11"/>
  <c r="D104" i="11" s="1"/>
  <c r="D105" i="11" s="1"/>
  <c r="D106" i="11" s="1"/>
  <c r="D108" i="11" s="1"/>
  <c r="D110" i="11" s="1"/>
  <c r="D36" i="11"/>
  <c r="D69" i="11" s="1"/>
  <c r="D86" i="11" s="1"/>
  <c r="D87" i="11" s="1"/>
  <c r="D88" i="11" s="1"/>
  <c r="D90" i="11" s="1"/>
  <c r="E79" i="11"/>
  <c r="F88" i="9"/>
  <c r="F90" i="9" s="1"/>
  <c r="C78" i="9"/>
  <c r="C104" i="9" s="1"/>
  <c r="C105" i="9" s="1"/>
  <c r="C106" i="9" s="1"/>
  <c r="C108" i="9" s="1"/>
  <c r="C110" i="9" s="1"/>
  <c r="C36" i="9"/>
  <c r="C69" i="9" s="1"/>
  <c r="C86" i="9" s="1"/>
  <c r="C87" i="9" s="1"/>
  <c r="C88" i="9" s="1"/>
  <c r="C90" i="9" s="1"/>
  <c r="E70" i="9"/>
  <c r="D78" i="9"/>
  <c r="D104" i="9" s="1"/>
  <c r="D105" i="9" s="1"/>
  <c r="D106" i="9" s="1"/>
  <c r="D108" i="9" s="1"/>
  <c r="D110" i="9" s="1"/>
  <c r="D36" i="9"/>
  <c r="D69" i="9" s="1"/>
  <c r="D86" i="9" s="1"/>
  <c r="D87" i="9" s="1"/>
  <c r="D88" i="9" s="1"/>
  <c r="D90" i="9" s="1"/>
  <c r="F81" i="9"/>
  <c r="E79" i="9"/>
  <c r="E88" i="9"/>
  <c r="E90" i="9" s="1"/>
  <c r="E81" i="11" l="1"/>
  <c r="D79" i="11"/>
  <c r="C88" i="11"/>
  <c r="C90" i="11" s="1"/>
  <c r="C106" i="11"/>
  <c r="C108" i="11" s="1"/>
  <c r="C110" i="11" s="1"/>
  <c r="E81" i="9"/>
  <c r="D79" i="9"/>
  <c r="D70" i="9"/>
  <c r="C70" i="9" s="1"/>
  <c r="D81" i="11" l="1"/>
  <c r="C79" i="11"/>
  <c r="C81" i="11" s="1"/>
  <c r="D81" i="9"/>
  <c r="C79" i="9"/>
  <c r="C81" i="9" s="1"/>
  <c r="C65" i="8" l="1"/>
  <c r="P61" i="8"/>
  <c r="P59" i="8"/>
  <c r="W55" i="8"/>
  <c r="V55" i="8"/>
  <c r="U55" i="8"/>
  <c r="T55" i="8"/>
  <c r="S55" i="8"/>
  <c r="R55" i="8"/>
  <c r="Q55" i="8"/>
  <c r="P55" i="8"/>
  <c r="J55" i="8"/>
  <c r="I55" i="8"/>
  <c r="H55" i="8"/>
  <c r="G55" i="8"/>
  <c r="F55" i="8"/>
  <c r="E55" i="8"/>
  <c r="D55" i="8"/>
  <c r="C55" i="8"/>
  <c r="V46" i="8"/>
  <c r="U46" i="8"/>
  <c r="Q46" i="8"/>
  <c r="O46" i="8"/>
  <c r="J46" i="8"/>
  <c r="I46" i="8"/>
  <c r="F46" i="8"/>
  <c r="E46" i="8"/>
  <c r="B46" i="8"/>
  <c r="Q44" i="8"/>
  <c r="R44" i="8" s="1"/>
  <c r="S44" i="8" s="1"/>
  <c r="T44" i="8" s="1"/>
  <c r="U44" i="8" s="1"/>
  <c r="F44" i="8"/>
  <c r="G44" i="8" s="1"/>
  <c r="H44" i="8" s="1"/>
  <c r="E44" i="8"/>
  <c r="D44" i="8"/>
  <c r="P36" i="8"/>
  <c r="C36" i="8"/>
  <c r="C61" i="8" s="1"/>
  <c r="P31" i="8"/>
  <c r="C31" i="8"/>
  <c r="C59" i="8" s="1"/>
  <c r="T29" i="8"/>
  <c r="S29" i="8"/>
  <c r="R29" i="8"/>
  <c r="Q29" i="8"/>
  <c r="P29" i="8"/>
  <c r="I29" i="8"/>
  <c r="H29" i="8"/>
  <c r="G29" i="8"/>
  <c r="F29" i="8"/>
  <c r="E29" i="8"/>
  <c r="D29" i="8"/>
  <c r="C29" i="8"/>
  <c r="X28" i="8"/>
  <c r="X22" i="8" s="1"/>
  <c r="W29" i="8" s="1"/>
  <c r="W28" i="8"/>
  <c r="V28" i="8"/>
  <c r="U28" i="8"/>
  <c r="T28" i="8"/>
  <c r="T46" i="8" s="1"/>
  <c r="S28" i="8"/>
  <c r="S46" i="8" s="1"/>
  <c r="R28" i="8"/>
  <c r="R46" i="8" s="1"/>
  <c r="Q28" i="8"/>
  <c r="P28" i="8"/>
  <c r="P46" i="8" s="1"/>
  <c r="K28" i="8"/>
  <c r="K22" i="8" s="1"/>
  <c r="J28" i="8"/>
  <c r="I28" i="8"/>
  <c r="H28" i="8"/>
  <c r="H46" i="8" s="1"/>
  <c r="G28" i="8"/>
  <c r="G46" i="8" s="1"/>
  <c r="F28" i="8"/>
  <c r="E28" i="8"/>
  <c r="D28" i="8"/>
  <c r="D46" i="8" s="1"/>
  <c r="C28" i="8"/>
  <c r="C46" i="8" s="1"/>
  <c r="V22" i="8"/>
  <c r="U29" i="8" s="1"/>
  <c r="J22" i="8"/>
  <c r="J21" i="8" s="1"/>
  <c r="I22" i="8"/>
  <c r="I21" i="8"/>
  <c r="R19" i="8"/>
  <c r="S19" i="8" s="1"/>
  <c r="T19" i="8" s="1"/>
  <c r="U19" i="8" s="1"/>
  <c r="Q19" i="8"/>
  <c r="D19" i="8"/>
  <c r="E19" i="8" s="1"/>
  <c r="F19" i="8" s="1"/>
  <c r="G19" i="8" s="1"/>
  <c r="H19" i="8" s="1"/>
  <c r="W55" i="7"/>
  <c r="V55" i="7"/>
  <c r="U55" i="7"/>
  <c r="T55" i="7"/>
  <c r="S55" i="7"/>
  <c r="R55" i="7"/>
  <c r="Q55" i="7"/>
  <c r="P55" i="7"/>
  <c r="J55" i="7"/>
  <c r="I55" i="7"/>
  <c r="H55" i="7"/>
  <c r="G55" i="7"/>
  <c r="F55" i="7"/>
  <c r="E55" i="7"/>
  <c r="D55" i="7"/>
  <c r="C55" i="7"/>
  <c r="W46" i="7"/>
  <c r="S46" i="7"/>
  <c r="R46" i="7"/>
  <c r="O46" i="7"/>
  <c r="C46" i="7"/>
  <c r="B46" i="7"/>
  <c r="R44" i="7"/>
  <c r="S44" i="7" s="1"/>
  <c r="T44" i="7" s="1"/>
  <c r="U44" i="7" s="1"/>
  <c r="Q44" i="7"/>
  <c r="F44" i="7"/>
  <c r="G44" i="7" s="1"/>
  <c r="H44" i="7" s="1"/>
  <c r="D44" i="7"/>
  <c r="E44" i="7" s="1"/>
  <c r="P36" i="7"/>
  <c r="P61" i="7" s="1"/>
  <c r="P31" i="7"/>
  <c r="P59" i="7" s="1"/>
  <c r="C31" i="7"/>
  <c r="C59" i="7" s="1"/>
  <c r="W29" i="7"/>
  <c r="T29" i="7"/>
  <c r="S29" i="7"/>
  <c r="R29" i="7"/>
  <c r="Q29" i="7"/>
  <c r="P29" i="7"/>
  <c r="J29" i="7"/>
  <c r="I29" i="7"/>
  <c r="H29" i="7"/>
  <c r="G29" i="7"/>
  <c r="F29" i="7"/>
  <c r="E29" i="7"/>
  <c r="D29" i="7"/>
  <c r="C29" i="7"/>
  <c r="X28" i="7"/>
  <c r="X22" i="7" s="1"/>
  <c r="W28" i="7"/>
  <c r="V28" i="7"/>
  <c r="V46" i="7" s="1"/>
  <c r="U28" i="7"/>
  <c r="U46" i="7" s="1"/>
  <c r="T28" i="7"/>
  <c r="T46" i="7" s="1"/>
  <c r="S28" i="7"/>
  <c r="R28" i="7"/>
  <c r="Q28" i="7"/>
  <c r="Q46" i="7" s="1"/>
  <c r="P28" i="7"/>
  <c r="P46" i="7" s="1"/>
  <c r="K28" i="7"/>
  <c r="J28" i="7"/>
  <c r="J46" i="7" s="1"/>
  <c r="I28" i="7"/>
  <c r="I46" i="7" s="1"/>
  <c r="H28" i="7"/>
  <c r="H46" i="7" s="1"/>
  <c r="G28" i="7"/>
  <c r="G46" i="7" s="1"/>
  <c r="F28" i="7"/>
  <c r="F46" i="7" s="1"/>
  <c r="E28" i="7"/>
  <c r="E46" i="7" s="1"/>
  <c r="D28" i="7"/>
  <c r="D46" i="7" s="1"/>
  <c r="C28" i="7"/>
  <c r="W22" i="7"/>
  <c r="V29" i="7" s="1"/>
  <c r="V22" i="7"/>
  <c r="U29" i="7" s="1"/>
  <c r="S19" i="7"/>
  <c r="T19" i="7" s="1"/>
  <c r="U19" i="7" s="1"/>
  <c r="R19" i="7"/>
  <c r="Q19" i="7"/>
  <c r="D19" i="7"/>
  <c r="E19" i="7" s="1"/>
  <c r="F19" i="7" s="1"/>
  <c r="G19" i="7" s="1"/>
  <c r="H19" i="7" s="1"/>
  <c r="P61" i="6"/>
  <c r="P59" i="6"/>
  <c r="P62" i="6" s="1"/>
  <c r="W55" i="6"/>
  <c r="V55" i="6"/>
  <c r="U55" i="6"/>
  <c r="T55" i="6"/>
  <c r="S55" i="6"/>
  <c r="R55" i="6"/>
  <c r="Q55" i="6"/>
  <c r="P55" i="6"/>
  <c r="J55" i="6"/>
  <c r="I55" i="6"/>
  <c r="H55" i="6"/>
  <c r="G55" i="6"/>
  <c r="F55" i="6"/>
  <c r="E55" i="6"/>
  <c r="D55" i="6"/>
  <c r="U46" i="6"/>
  <c r="T46" i="6"/>
  <c r="O46" i="6"/>
  <c r="I46" i="6"/>
  <c r="B46" i="6"/>
  <c r="Q44" i="6"/>
  <c r="R44" i="6" s="1"/>
  <c r="S44" i="6" s="1"/>
  <c r="T44" i="6" s="1"/>
  <c r="U44" i="6" s="1"/>
  <c r="D44" i="6"/>
  <c r="E44" i="6" s="1"/>
  <c r="F44" i="6" s="1"/>
  <c r="G44" i="6" s="1"/>
  <c r="H44" i="6" s="1"/>
  <c r="P36" i="6"/>
  <c r="P31" i="6"/>
  <c r="C31" i="6"/>
  <c r="T29" i="6"/>
  <c r="S29" i="6"/>
  <c r="R29" i="6"/>
  <c r="Q29" i="6"/>
  <c r="P29" i="6"/>
  <c r="I29" i="6"/>
  <c r="G29" i="6"/>
  <c r="F29" i="6"/>
  <c r="E29" i="6"/>
  <c r="D29" i="6"/>
  <c r="X28" i="6"/>
  <c r="X22" i="6" s="1"/>
  <c r="W29" i="6" s="1"/>
  <c r="W28" i="6"/>
  <c r="W46" i="6" s="1"/>
  <c r="V28" i="6"/>
  <c r="V46" i="6" s="1"/>
  <c r="U28" i="6"/>
  <c r="T28" i="6"/>
  <c r="S28" i="6"/>
  <c r="S46" i="6" s="1"/>
  <c r="R28" i="6"/>
  <c r="R46" i="6" s="1"/>
  <c r="Q28" i="6"/>
  <c r="Q46" i="6" s="1"/>
  <c r="P28" i="6"/>
  <c r="P46" i="6" s="1"/>
  <c r="J28" i="6"/>
  <c r="J46" i="6" s="1"/>
  <c r="I28" i="6"/>
  <c r="H28" i="6"/>
  <c r="H46" i="6" s="1"/>
  <c r="G28" i="6"/>
  <c r="G46" i="6" s="1"/>
  <c r="F28" i="6"/>
  <c r="F46" i="6" s="1"/>
  <c r="E28" i="6"/>
  <c r="E46" i="6" s="1"/>
  <c r="D28" i="6"/>
  <c r="D46" i="6" s="1"/>
  <c r="C28" i="6"/>
  <c r="C46" i="6" s="1"/>
  <c r="V22" i="6"/>
  <c r="U29" i="6" s="1"/>
  <c r="J29" i="6"/>
  <c r="J22" i="6"/>
  <c r="I22" i="6"/>
  <c r="H29" i="6" s="1"/>
  <c r="Q19" i="6"/>
  <c r="R19" i="6" s="1"/>
  <c r="S19" i="6" s="1"/>
  <c r="T19" i="6" s="1"/>
  <c r="U19" i="6" s="1"/>
  <c r="D19" i="6"/>
  <c r="E19" i="6" s="1"/>
  <c r="F19" i="6" s="1"/>
  <c r="G19" i="6" s="1"/>
  <c r="H19" i="6" s="1"/>
  <c r="K21" i="8" l="1"/>
  <c r="J29" i="8"/>
  <c r="W22" i="8"/>
  <c r="V29" i="8" s="1"/>
  <c r="W46" i="8"/>
  <c r="P65" i="8"/>
  <c r="P62" i="8"/>
  <c r="P63" i="8"/>
  <c r="C69" i="8"/>
  <c r="P69" i="8"/>
  <c r="C62" i="8"/>
  <c r="C63" i="8" s="1"/>
  <c r="C37" i="8"/>
  <c r="P37" i="8"/>
  <c r="C62" i="7"/>
  <c r="C65" i="7"/>
  <c r="P62" i="7"/>
  <c r="P63" i="7" s="1"/>
  <c r="P65" i="7"/>
  <c r="C61" i="7"/>
  <c r="P69" i="7"/>
  <c r="Q36" i="7"/>
  <c r="P37" i="7"/>
  <c r="Q20" i="7" s="1"/>
  <c r="C65" i="6"/>
  <c r="P63" i="6"/>
  <c r="P65" i="6"/>
  <c r="P69" i="6"/>
  <c r="W22" i="6"/>
  <c r="V29" i="6" s="1"/>
  <c r="P37" i="6"/>
  <c r="Q20" i="6" s="1"/>
  <c r="C61" i="6"/>
  <c r="Q20" i="8" l="1"/>
  <c r="Q36" i="8"/>
  <c r="D36" i="8"/>
  <c r="D20" i="8"/>
  <c r="C38" i="8"/>
  <c r="P38" i="8"/>
  <c r="R36" i="7"/>
  <c r="Q61" i="7"/>
  <c r="Q37" i="7"/>
  <c r="Q38" i="7" s="1"/>
  <c r="R20" i="7"/>
  <c r="Q31" i="7"/>
  <c r="P38" i="7"/>
  <c r="C63" i="7"/>
  <c r="C69" i="7"/>
  <c r="Q31" i="6"/>
  <c r="C69" i="6"/>
  <c r="D31" i="6"/>
  <c r="Q36" i="6"/>
  <c r="P38" i="6"/>
  <c r="C38" i="6"/>
  <c r="C45" i="8" l="1"/>
  <c r="Q61" i="8"/>
  <c r="R36" i="8"/>
  <c r="Q37" i="8"/>
  <c r="Q38" i="8" s="1"/>
  <c r="D31" i="8"/>
  <c r="E20" i="8"/>
  <c r="Q31" i="8"/>
  <c r="P45" i="8"/>
  <c r="D61" i="8"/>
  <c r="D37" i="8"/>
  <c r="D38" i="8" s="1"/>
  <c r="E36" i="8"/>
  <c r="Q45" i="7"/>
  <c r="Q59" i="7"/>
  <c r="Q69" i="7"/>
  <c r="R31" i="7"/>
  <c r="S20" i="7"/>
  <c r="R61" i="7"/>
  <c r="R37" i="7"/>
  <c r="R38" i="7" s="1"/>
  <c r="S36" i="7"/>
  <c r="P45" i="7"/>
  <c r="D59" i="7"/>
  <c r="C45" i="7"/>
  <c r="E20" i="7"/>
  <c r="D61" i="7"/>
  <c r="D61" i="6"/>
  <c r="D37" i="6"/>
  <c r="E20" i="6" s="1"/>
  <c r="C45" i="6"/>
  <c r="D59" i="6"/>
  <c r="Q59" i="6"/>
  <c r="P45" i="6"/>
  <c r="Q61" i="6"/>
  <c r="Q37" i="6"/>
  <c r="R20" i="6" s="1"/>
  <c r="Q45" i="8" l="1"/>
  <c r="D45" i="8"/>
  <c r="E37" i="8"/>
  <c r="E38" i="8" s="1"/>
  <c r="F36" i="8"/>
  <c r="E61" i="8"/>
  <c r="F20" i="8"/>
  <c r="E31" i="8"/>
  <c r="R61" i="8"/>
  <c r="R37" i="8"/>
  <c r="S36" i="8" s="1"/>
  <c r="D59" i="8"/>
  <c r="Q69" i="8"/>
  <c r="Q59" i="8"/>
  <c r="D69" i="8"/>
  <c r="R20" i="8"/>
  <c r="R45" i="7"/>
  <c r="R69" i="7"/>
  <c r="D38" i="7"/>
  <c r="D65" i="7"/>
  <c r="D62" i="7"/>
  <c r="S61" i="7"/>
  <c r="T36" i="7"/>
  <c r="S38" i="7"/>
  <c r="S37" i="7"/>
  <c r="T20" i="7"/>
  <c r="S31" i="7"/>
  <c r="E36" i="7"/>
  <c r="R59" i="7"/>
  <c r="D69" i="7"/>
  <c r="D63" i="7"/>
  <c r="Q65" i="7"/>
  <c r="Q62" i="7"/>
  <c r="Q63" i="7" s="1"/>
  <c r="E31" i="7"/>
  <c r="E31" i="6"/>
  <c r="Q38" i="6"/>
  <c r="D38" i="6"/>
  <c r="Q63" i="6"/>
  <c r="Q69" i="6"/>
  <c r="Q62" i="6"/>
  <c r="Q65" i="6"/>
  <c r="D69" i="6"/>
  <c r="R31" i="6"/>
  <c r="D62" i="6"/>
  <c r="D63" i="6" s="1"/>
  <c r="D65" i="6"/>
  <c r="R36" i="6"/>
  <c r="E36" i="6"/>
  <c r="E45" i="8" l="1"/>
  <c r="S61" i="8"/>
  <c r="T36" i="8"/>
  <c r="S37" i="8"/>
  <c r="S38" i="8" s="1"/>
  <c r="E59" i="8"/>
  <c r="E69" i="8"/>
  <c r="R31" i="8"/>
  <c r="S20" i="8"/>
  <c r="R38" i="8"/>
  <c r="F31" i="8"/>
  <c r="F61" i="8"/>
  <c r="F37" i="8"/>
  <c r="G36" i="8" s="1"/>
  <c r="F38" i="8"/>
  <c r="Q62" i="8"/>
  <c r="Q63" i="8" s="1"/>
  <c r="Q65" i="8"/>
  <c r="D62" i="8"/>
  <c r="D63" i="8" s="1"/>
  <c r="D65" i="8"/>
  <c r="R69" i="8"/>
  <c r="E61" i="7"/>
  <c r="E37" i="7"/>
  <c r="F20" i="7" s="1"/>
  <c r="F36" i="7"/>
  <c r="S45" i="7"/>
  <c r="E59" i="7"/>
  <c r="S59" i="7"/>
  <c r="T61" i="7"/>
  <c r="T38" i="7"/>
  <c r="T37" i="7"/>
  <c r="U36" i="7" s="1"/>
  <c r="D45" i="7"/>
  <c r="U20" i="7"/>
  <c r="T31" i="7"/>
  <c r="S69" i="7"/>
  <c r="R65" i="7"/>
  <c r="R62" i="7"/>
  <c r="R63" i="7" s="1"/>
  <c r="E61" i="6"/>
  <c r="F36" i="6"/>
  <c r="E38" i="6"/>
  <c r="E37" i="6"/>
  <c r="F20" i="6" s="1"/>
  <c r="R61" i="6"/>
  <c r="S36" i="6"/>
  <c r="R38" i="6"/>
  <c r="R37" i="6"/>
  <c r="S20" i="6" s="1"/>
  <c r="R59" i="6"/>
  <c r="E59" i="6"/>
  <c r="Q45" i="6"/>
  <c r="G37" i="8" l="1"/>
  <c r="G38" i="8" s="1"/>
  <c r="G61" i="8"/>
  <c r="H36" i="8"/>
  <c r="S45" i="8"/>
  <c r="F45" i="8"/>
  <c r="F59" i="8"/>
  <c r="R59" i="8"/>
  <c r="T37" i="8"/>
  <c r="U36" i="8" s="1"/>
  <c r="T61" i="8"/>
  <c r="G20" i="8"/>
  <c r="S69" i="8"/>
  <c r="F69" i="8"/>
  <c r="R45" i="8"/>
  <c r="T20" i="8"/>
  <c r="S31" i="8"/>
  <c r="E65" i="8"/>
  <c r="E62" i="8"/>
  <c r="E63" i="8" s="1"/>
  <c r="U61" i="7"/>
  <c r="V36" i="7"/>
  <c r="U37" i="7"/>
  <c r="U38" i="7" s="1"/>
  <c r="F61" i="7"/>
  <c r="F37" i="7"/>
  <c r="F38" i="7" s="1"/>
  <c r="G36" i="7"/>
  <c r="E65" i="7"/>
  <c r="E62" i="7"/>
  <c r="G20" i="7"/>
  <c r="F31" i="7"/>
  <c r="T69" i="7"/>
  <c r="T59" i="7"/>
  <c r="S62" i="7"/>
  <c r="S63" i="7" s="1"/>
  <c r="S65" i="7"/>
  <c r="E38" i="7"/>
  <c r="U31" i="7"/>
  <c r="V20" i="7"/>
  <c r="T45" i="7"/>
  <c r="E69" i="7"/>
  <c r="E63" i="7"/>
  <c r="S61" i="6"/>
  <c r="S37" i="6"/>
  <c r="T20" i="6" s="1"/>
  <c r="F61" i="6"/>
  <c r="F37" i="6"/>
  <c r="F38" i="6" s="1"/>
  <c r="G36" i="6"/>
  <c r="R69" i="6"/>
  <c r="E69" i="6"/>
  <c r="R45" i="6"/>
  <c r="E45" i="6"/>
  <c r="R65" i="6"/>
  <c r="R62" i="6"/>
  <c r="R63" i="6" s="1"/>
  <c r="E65" i="6"/>
  <c r="E62" i="6"/>
  <c r="E63" i="6" s="1"/>
  <c r="S31" i="6"/>
  <c r="F31" i="6"/>
  <c r="G20" i="6"/>
  <c r="U61" i="8" l="1"/>
  <c r="U37" i="8"/>
  <c r="U38" i="8" s="1"/>
  <c r="V36" i="8"/>
  <c r="G45" i="8"/>
  <c r="T31" i="8"/>
  <c r="U20" i="8"/>
  <c r="F65" i="8"/>
  <c r="F62" i="8"/>
  <c r="F63" i="8" s="1"/>
  <c r="H61" i="8"/>
  <c r="H37" i="8"/>
  <c r="H38" i="8" s="1"/>
  <c r="G31" i="8"/>
  <c r="H20" i="8"/>
  <c r="T38" i="8"/>
  <c r="G69" i="8"/>
  <c r="R65" i="8"/>
  <c r="R62" i="8"/>
  <c r="R63" i="8" s="1"/>
  <c r="S59" i="8"/>
  <c r="T69" i="8"/>
  <c r="U45" i="7"/>
  <c r="F45" i="7"/>
  <c r="V31" i="7"/>
  <c r="U69" i="7"/>
  <c r="U59" i="7"/>
  <c r="G31" i="7"/>
  <c r="E45" i="7"/>
  <c r="T62" i="7"/>
  <c r="T63" i="7" s="1"/>
  <c r="T65" i="7"/>
  <c r="F69" i="7"/>
  <c r="F59" i="7"/>
  <c r="G61" i="7"/>
  <c r="G37" i="7"/>
  <c r="H36" i="7" s="1"/>
  <c r="V61" i="7"/>
  <c r="V37" i="7"/>
  <c r="W20" i="7" s="1"/>
  <c r="F45" i="6"/>
  <c r="T31" i="6"/>
  <c r="G61" i="6"/>
  <c r="G37" i="6"/>
  <c r="G38" i="6" s="1"/>
  <c r="T36" i="6"/>
  <c r="G31" i="6"/>
  <c r="F59" i="6"/>
  <c r="S38" i="6"/>
  <c r="S59" i="6"/>
  <c r="F69" i="6"/>
  <c r="S69" i="6"/>
  <c r="H36" i="6" l="1"/>
  <c r="H45" i="8"/>
  <c r="U45" i="8"/>
  <c r="G59" i="8"/>
  <c r="H69" i="8"/>
  <c r="V20" i="8"/>
  <c r="U31" i="8"/>
  <c r="V37" i="8"/>
  <c r="W36" i="8" s="1"/>
  <c r="V61" i="8"/>
  <c r="V38" i="8"/>
  <c r="T59" i="8"/>
  <c r="T45" i="8"/>
  <c r="S65" i="8"/>
  <c r="S62" i="8"/>
  <c r="S63" i="8" s="1"/>
  <c r="H31" i="8"/>
  <c r="I20" i="8"/>
  <c r="U69" i="8"/>
  <c r="W31" i="7"/>
  <c r="H61" i="7"/>
  <c r="H37" i="7"/>
  <c r="H38" i="7" s="1"/>
  <c r="V69" i="7"/>
  <c r="F62" i="7"/>
  <c r="F63" i="7" s="1"/>
  <c r="F65" i="7"/>
  <c r="V59" i="7"/>
  <c r="V38" i="7"/>
  <c r="G38" i="7"/>
  <c r="H20" i="7"/>
  <c r="G69" i="7"/>
  <c r="W36" i="7"/>
  <c r="G59" i="7"/>
  <c r="U65" i="7"/>
  <c r="U62" i="7"/>
  <c r="U63" i="7" s="1"/>
  <c r="G45" i="6"/>
  <c r="G59" i="6"/>
  <c r="S45" i="6"/>
  <c r="T61" i="6"/>
  <c r="T37" i="6"/>
  <c r="U20" i="6" s="1"/>
  <c r="G69" i="6"/>
  <c r="F65" i="6"/>
  <c r="F62" i="6"/>
  <c r="F63" i="6" s="1"/>
  <c r="H61" i="6"/>
  <c r="H37" i="6"/>
  <c r="T59" i="6"/>
  <c r="S65" i="6"/>
  <c r="S62" i="6"/>
  <c r="S63" i="6" s="1"/>
  <c r="H20" i="6"/>
  <c r="W61" i="8" l="1"/>
  <c r="W37" i="8"/>
  <c r="W38" i="8" s="1"/>
  <c r="I31" i="8"/>
  <c r="I36" i="8"/>
  <c r="T65" i="8"/>
  <c r="T62" i="8"/>
  <c r="T63" i="8" s="1"/>
  <c r="V45" i="8"/>
  <c r="U59" i="8"/>
  <c r="G65" i="8"/>
  <c r="G62" i="8"/>
  <c r="G63" i="8" s="1"/>
  <c r="H59" i="8"/>
  <c r="V69" i="8"/>
  <c r="W20" i="8"/>
  <c r="V31" i="8"/>
  <c r="H45" i="7"/>
  <c r="W61" i="7"/>
  <c r="W38" i="7"/>
  <c r="W37" i="7"/>
  <c r="X20" i="7" s="1"/>
  <c r="H31" i="7"/>
  <c r="I20" i="7"/>
  <c r="H69" i="7"/>
  <c r="I61" i="7"/>
  <c r="I38" i="7"/>
  <c r="I37" i="7"/>
  <c r="V45" i="7"/>
  <c r="G62" i="7"/>
  <c r="G63" i="7" s="1"/>
  <c r="G65" i="7"/>
  <c r="W59" i="7"/>
  <c r="G45" i="7"/>
  <c r="V65" i="7"/>
  <c r="V62" i="7"/>
  <c r="V63" i="7" s="1"/>
  <c r="I61" i="6"/>
  <c r="I37" i="6"/>
  <c r="I38" i="6" s="1"/>
  <c r="J37" i="6"/>
  <c r="H31" i="6"/>
  <c r="I20" i="6"/>
  <c r="H38" i="6"/>
  <c r="U31" i="6"/>
  <c r="G65" i="6"/>
  <c r="G62" i="6"/>
  <c r="G63" i="6" s="1"/>
  <c r="T69" i="6"/>
  <c r="T63" i="6"/>
  <c r="T65" i="6"/>
  <c r="T62" i="6"/>
  <c r="H69" i="6"/>
  <c r="T38" i="6"/>
  <c r="U36" i="6"/>
  <c r="W45" i="8" l="1"/>
  <c r="I59" i="8"/>
  <c r="U62" i="8"/>
  <c r="U63" i="8" s="1"/>
  <c r="U65" i="8"/>
  <c r="V59" i="8"/>
  <c r="X20" i="8"/>
  <c r="W31" i="8"/>
  <c r="H62" i="8"/>
  <c r="H63" i="8" s="1"/>
  <c r="H65" i="8"/>
  <c r="V47" i="8"/>
  <c r="I61" i="8"/>
  <c r="I37" i="8"/>
  <c r="J20" i="8" s="1"/>
  <c r="W69" i="8"/>
  <c r="J61" i="7"/>
  <c r="J37" i="7"/>
  <c r="J38" i="7" s="1"/>
  <c r="I45" i="7"/>
  <c r="W62" i="7"/>
  <c r="W65" i="7"/>
  <c r="I69" i="7"/>
  <c r="I31" i="7"/>
  <c r="J20" i="7"/>
  <c r="W63" i="7"/>
  <c r="X64" i="7" s="1"/>
  <c r="W69" i="7"/>
  <c r="V47" i="7"/>
  <c r="H59" i="7"/>
  <c r="W45" i="7"/>
  <c r="I45" i="6"/>
  <c r="H45" i="6"/>
  <c r="J61" i="6"/>
  <c r="J38" i="6"/>
  <c r="I31" i="6"/>
  <c r="J20" i="6"/>
  <c r="U61" i="6"/>
  <c r="U37" i="6"/>
  <c r="V20" i="6" s="1"/>
  <c r="V36" i="6"/>
  <c r="U59" i="6"/>
  <c r="T45" i="6"/>
  <c r="H59" i="6"/>
  <c r="I69" i="6"/>
  <c r="J31" i="8" l="1"/>
  <c r="I62" i="8"/>
  <c r="I65" i="8"/>
  <c r="I38" i="8"/>
  <c r="I63" i="8"/>
  <c r="I69" i="8"/>
  <c r="J36" i="8"/>
  <c r="V32" i="8"/>
  <c r="U47" i="8"/>
  <c r="W59" i="8"/>
  <c r="V65" i="8"/>
  <c r="V62" i="8"/>
  <c r="V63" i="8" s="1"/>
  <c r="W47" i="8"/>
  <c r="W32" i="8" s="1"/>
  <c r="J45" i="7"/>
  <c r="V32" i="7"/>
  <c r="U47" i="7"/>
  <c r="K20" i="7"/>
  <c r="J31" i="7"/>
  <c r="I59" i="7"/>
  <c r="W47" i="7"/>
  <c r="W32" i="7" s="1"/>
  <c r="H65" i="7"/>
  <c r="H62" i="7"/>
  <c r="H63" i="7" s="1"/>
  <c r="I47" i="7"/>
  <c r="J69" i="7"/>
  <c r="V61" i="6"/>
  <c r="V37" i="6"/>
  <c r="V38" i="6" s="1"/>
  <c r="W36" i="6"/>
  <c r="V31" i="6"/>
  <c r="I59" i="6"/>
  <c r="J69" i="6"/>
  <c r="J45" i="6"/>
  <c r="H62" i="6"/>
  <c r="H63" i="6" s="1"/>
  <c r="H65" i="6"/>
  <c r="U38" i="6"/>
  <c r="I32" i="6"/>
  <c r="I33" i="6" s="1"/>
  <c r="J31" i="6"/>
  <c r="K20" i="6"/>
  <c r="U62" i="6"/>
  <c r="U63" i="6" s="1"/>
  <c r="U65" i="6"/>
  <c r="U69" i="6"/>
  <c r="V80" i="8" l="1"/>
  <c r="V39" i="8"/>
  <c r="V33" i="8"/>
  <c r="W80" i="8"/>
  <c r="W41" i="8"/>
  <c r="W39" i="8"/>
  <c r="V41" i="8"/>
  <c r="W65" i="8"/>
  <c r="W62" i="8"/>
  <c r="W63" i="8" s="1"/>
  <c r="X64" i="8" s="1"/>
  <c r="J38" i="8"/>
  <c r="J37" i="8"/>
  <c r="K20" i="8" s="1"/>
  <c r="J61" i="8"/>
  <c r="W33" i="8"/>
  <c r="J59" i="8"/>
  <c r="U32" i="8"/>
  <c r="T47" i="8"/>
  <c r="I45" i="8"/>
  <c r="I32" i="7"/>
  <c r="H47" i="7"/>
  <c r="I65" i="7"/>
  <c r="I62" i="7"/>
  <c r="I63" i="7" s="1"/>
  <c r="U32" i="7"/>
  <c r="T47" i="7"/>
  <c r="V80" i="7"/>
  <c r="U41" i="7"/>
  <c r="V39" i="7"/>
  <c r="V33" i="7"/>
  <c r="W80" i="7"/>
  <c r="V41" i="7"/>
  <c r="W41" i="7"/>
  <c r="W39" i="7"/>
  <c r="W33" i="7"/>
  <c r="J59" i="7"/>
  <c r="J47" i="7"/>
  <c r="J32" i="7" s="1"/>
  <c r="J33" i="7" s="1"/>
  <c r="V45" i="6"/>
  <c r="J59" i="6"/>
  <c r="H32" i="6"/>
  <c r="I62" i="6"/>
  <c r="I63" i="6" s="1"/>
  <c r="I65" i="6"/>
  <c r="I78" i="6"/>
  <c r="I75" i="6"/>
  <c r="I80" i="6"/>
  <c r="I39" i="6"/>
  <c r="H41" i="6"/>
  <c r="W20" i="6"/>
  <c r="J32" i="6"/>
  <c r="W61" i="6"/>
  <c r="W38" i="6"/>
  <c r="W37" i="6"/>
  <c r="U45" i="6"/>
  <c r="V59" i="6"/>
  <c r="V69" i="6"/>
  <c r="T32" i="8" l="1"/>
  <c r="S47" i="8"/>
  <c r="J65" i="8"/>
  <c r="J62" i="8"/>
  <c r="J45" i="8"/>
  <c r="W70" i="8"/>
  <c r="W71" i="8" s="1"/>
  <c r="W40" i="8"/>
  <c r="W50" i="8" s="1"/>
  <c r="W51" i="8" s="1"/>
  <c r="W52" i="8" s="1"/>
  <c r="V78" i="8"/>
  <c r="V75" i="8"/>
  <c r="T41" i="8"/>
  <c r="U80" i="8"/>
  <c r="U39" i="8"/>
  <c r="U33" i="8"/>
  <c r="W78" i="8"/>
  <c r="W75" i="8"/>
  <c r="V70" i="8"/>
  <c r="V71" i="8" s="1"/>
  <c r="V40" i="8"/>
  <c r="V50" i="8" s="1"/>
  <c r="V51" i="8" s="1"/>
  <c r="V52" i="8" s="1"/>
  <c r="V42" i="8"/>
  <c r="V54" i="8" s="1"/>
  <c r="V56" i="8" s="1"/>
  <c r="V57" i="8" s="1"/>
  <c r="V58" i="8" s="1"/>
  <c r="I47" i="8"/>
  <c r="J69" i="8"/>
  <c r="J63" i="8"/>
  <c r="K64" i="8" s="1"/>
  <c r="U41" i="8"/>
  <c r="J78" i="7"/>
  <c r="J75" i="7"/>
  <c r="W78" i="7"/>
  <c r="W75" i="7"/>
  <c r="W70" i="7"/>
  <c r="W71" i="7" s="1"/>
  <c r="W40" i="7"/>
  <c r="W50" i="7" s="1"/>
  <c r="W51" i="7" s="1"/>
  <c r="W52" i="7" s="1"/>
  <c r="V78" i="7"/>
  <c r="V75" i="7"/>
  <c r="T32" i="7"/>
  <c r="S47" i="7"/>
  <c r="H32" i="7"/>
  <c r="G47" i="7"/>
  <c r="J80" i="7"/>
  <c r="I41" i="7"/>
  <c r="J39" i="7"/>
  <c r="J41" i="7"/>
  <c r="J62" i="7"/>
  <c r="J63" i="7" s="1"/>
  <c r="K64" i="7" s="1"/>
  <c r="J65" i="7"/>
  <c r="V70" i="7"/>
  <c r="V71" i="7" s="1"/>
  <c r="V40" i="7"/>
  <c r="V50" i="7" s="1"/>
  <c r="V51" i="7" s="1"/>
  <c r="V52" i="7" s="1"/>
  <c r="V42" i="7"/>
  <c r="V54" i="7" s="1"/>
  <c r="V56" i="7" s="1"/>
  <c r="V57" i="7" s="1"/>
  <c r="V58" i="7" s="1"/>
  <c r="U80" i="7"/>
  <c r="U39" i="7"/>
  <c r="U33" i="7"/>
  <c r="I80" i="7"/>
  <c r="H41" i="7"/>
  <c r="I39" i="7"/>
  <c r="I33" i="7"/>
  <c r="J80" i="6"/>
  <c r="J41" i="6"/>
  <c r="I41" i="6"/>
  <c r="J39" i="6"/>
  <c r="G32" i="6"/>
  <c r="F47" i="6"/>
  <c r="J65" i="6"/>
  <c r="J62" i="6"/>
  <c r="J63" i="6" s="1"/>
  <c r="K64" i="6" s="1"/>
  <c r="V62" i="6"/>
  <c r="V63" i="6" s="1"/>
  <c r="V65" i="6"/>
  <c r="I40" i="6"/>
  <c r="I50" i="6" s="1"/>
  <c r="I52" i="6" s="1"/>
  <c r="I70" i="6"/>
  <c r="I71" i="6" s="1"/>
  <c r="H80" i="6"/>
  <c r="H39" i="6"/>
  <c r="G41" i="6"/>
  <c r="H33" i="6"/>
  <c r="V47" i="6"/>
  <c r="V32" i="6" s="1"/>
  <c r="W69" i="6"/>
  <c r="W45" i="6"/>
  <c r="W31" i="6"/>
  <c r="X20" i="6"/>
  <c r="J33" i="6"/>
  <c r="I42" i="6" l="1"/>
  <c r="I54" i="6" s="1"/>
  <c r="I56" i="6" s="1"/>
  <c r="I57" i="6" s="1"/>
  <c r="I58" i="6" s="1"/>
  <c r="U78" i="8"/>
  <c r="U75" i="8"/>
  <c r="W72" i="8"/>
  <c r="W73" i="8" s="1"/>
  <c r="W76" i="8" s="1"/>
  <c r="I32" i="8"/>
  <c r="H47" i="8"/>
  <c r="V72" i="8"/>
  <c r="V73" i="8" s="1"/>
  <c r="V76" i="8" s="1"/>
  <c r="U40" i="8"/>
  <c r="U50" i="8" s="1"/>
  <c r="U51" i="8" s="1"/>
  <c r="U52" i="8" s="1"/>
  <c r="U70" i="8"/>
  <c r="U71" i="8" s="1"/>
  <c r="S32" i="8"/>
  <c r="R47" i="8"/>
  <c r="W42" i="8"/>
  <c r="W54" i="8" s="1"/>
  <c r="W56" i="8" s="1"/>
  <c r="J47" i="8"/>
  <c r="J32" i="8" s="1"/>
  <c r="T39" i="8"/>
  <c r="T80" i="8"/>
  <c r="T33" i="8"/>
  <c r="S32" i="7"/>
  <c r="R47" i="7"/>
  <c r="W42" i="7"/>
  <c r="W54" i="7" s="1"/>
  <c r="W56" i="7" s="1"/>
  <c r="I78" i="7"/>
  <c r="I75" i="7"/>
  <c r="U78" i="7"/>
  <c r="U75" i="7"/>
  <c r="T80" i="7"/>
  <c r="S41" i="7"/>
  <c r="T39" i="7"/>
  <c r="T33" i="7"/>
  <c r="I70" i="7"/>
  <c r="I71" i="7" s="1"/>
  <c r="I40" i="7"/>
  <c r="I50" i="7" s="1"/>
  <c r="I51" i="7" s="1"/>
  <c r="I52" i="7" s="1"/>
  <c r="I42" i="7"/>
  <c r="I54" i="7" s="1"/>
  <c r="I56" i="7" s="1"/>
  <c r="I57" i="7" s="1"/>
  <c r="I58" i="7" s="1"/>
  <c r="T41" i="7"/>
  <c r="G32" i="7"/>
  <c r="G41" i="7" s="1"/>
  <c r="F47" i="7"/>
  <c r="W73" i="7"/>
  <c r="W76" i="7" s="1"/>
  <c r="W72" i="7"/>
  <c r="U70" i="7"/>
  <c r="U71" i="7" s="1"/>
  <c r="U40" i="7"/>
  <c r="U50" i="7" s="1"/>
  <c r="U51" i="7" s="1"/>
  <c r="U52" i="7" s="1"/>
  <c r="U42" i="7"/>
  <c r="U54" i="7" s="1"/>
  <c r="U56" i="7" s="1"/>
  <c r="U57" i="7" s="1"/>
  <c r="U58" i="7" s="1"/>
  <c r="V72" i="7"/>
  <c r="V73" i="7" s="1"/>
  <c r="V76" i="7" s="1"/>
  <c r="J70" i="7"/>
  <c r="J71" i="7" s="1"/>
  <c r="J40" i="7"/>
  <c r="J50" i="7" s="1"/>
  <c r="J51" i="7" s="1"/>
  <c r="J52" i="7" s="1"/>
  <c r="H80" i="7"/>
  <c r="H39" i="7"/>
  <c r="H33" i="7"/>
  <c r="J70" i="6"/>
  <c r="J71" i="6" s="1"/>
  <c r="J40" i="6"/>
  <c r="J50" i="6" s="1"/>
  <c r="J52" i="6" s="1"/>
  <c r="J78" i="6"/>
  <c r="J75" i="6"/>
  <c r="W47" i="6"/>
  <c r="W32" i="6" s="1"/>
  <c r="F32" i="6"/>
  <c r="E47" i="6"/>
  <c r="W59" i="6"/>
  <c r="H78" i="6"/>
  <c r="H75" i="6"/>
  <c r="I72" i="6"/>
  <c r="I73" i="6" s="1"/>
  <c r="I76" i="6" s="1"/>
  <c r="V80" i="6"/>
  <c r="V39" i="6"/>
  <c r="V33" i="6"/>
  <c r="H70" i="6"/>
  <c r="H71" i="6" s="1"/>
  <c r="H40" i="6"/>
  <c r="H50" i="6" s="1"/>
  <c r="H51" i="6" s="1"/>
  <c r="H52" i="6" s="1"/>
  <c r="U47" i="6"/>
  <c r="F41" i="6"/>
  <c r="G80" i="6"/>
  <c r="G39" i="6"/>
  <c r="G33" i="6"/>
  <c r="H42" i="6" l="1"/>
  <c r="H54" i="6" s="1"/>
  <c r="H56" i="6" s="1"/>
  <c r="H57" i="6" s="1"/>
  <c r="H58" i="6" s="1"/>
  <c r="J42" i="6"/>
  <c r="J54" i="6" s="1"/>
  <c r="T40" i="8"/>
  <c r="T50" i="8" s="1"/>
  <c r="T51" i="8" s="1"/>
  <c r="T52" i="8" s="1"/>
  <c r="T70" i="8"/>
  <c r="T71" i="8" s="1"/>
  <c r="T42" i="8"/>
  <c r="T54" i="8" s="1"/>
  <c r="T56" i="8" s="1"/>
  <c r="T57" i="8" s="1"/>
  <c r="T58" i="8" s="1"/>
  <c r="R32" i="8"/>
  <c r="Q47" i="8"/>
  <c r="U72" i="8"/>
  <c r="U73" i="8"/>
  <c r="U76" i="8" s="1"/>
  <c r="H32" i="8"/>
  <c r="G47" i="8"/>
  <c r="T78" i="8"/>
  <c r="T75" i="8"/>
  <c r="J80" i="8"/>
  <c r="J41" i="8"/>
  <c r="J39" i="8"/>
  <c r="I41" i="8"/>
  <c r="J33" i="8"/>
  <c r="S80" i="8"/>
  <c r="S39" i="8"/>
  <c r="R41" i="8"/>
  <c r="S33" i="8"/>
  <c r="I39" i="8"/>
  <c r="I80" i="8"/>
  <c r="H41" i="8"/>
  <c r="I33" i="8"/>
  <c r="S41" i="8"/>
  <c r="W77" i="8"/>
  <c r="W79" i="8" s="1"/>
  <c r="W81" i="8" s="1"/>
  <c r="W57" i="8"/>
  <c r="U42" i="8"/>
  <c r="U54" i="8" s="1"/>
  <c r="U56" i="8" s="1"/>
  <c r="U57" i="8" s="1"/>
  <c r="U58" i="8" s="1"/>
  <c r="H78" i="7"/>
  <c r="H75" i="7"/>
  <c r="J54" i="7"/>
  <c r="J56" i="7" s="1"/>
  <c r="T78" i="7"/>
  <c r="T75" i="7"/>
  <c r="W77" i="7"/>
  <c r="W79" i="7" s="1"/>
  <c r="W81" i="7" s="1"/>
  <c r="W57" i="7"/>
  <c r="H70" i="7"/>
  <c r="H71" i="7" s="1"/>
  <c r="H40" i="7"/>
  <c r="H50" i="7" s="1"/>
  <c r="H51" i="7" s="1"/>
  <c r="H52" i="7" s="1"/>
  <c r="H42" i="7"/>
  <c r="H54" i="7" s="1"/>
  <c r="H56" i="7" s="1"/>
  <c r="H57" i="7" s="1"/>
  <c r="H58" i="7" s="1"/>
  <c r="J72" i="7"/>
  <c r="J73" i="7" s="1"/>
  <c r="J76" i="7" s="1"/>
  <c r="F32" i="7"/>
  <c r="E47" i="7"/>
  <c r="T70" i="7"/>
  <c r="T71" i="7" s="1"/>
  <c r="T40" i="7"/>
  <c r="T50" i="7" s="1"/>
  <c r="T51" i="7" s="1"/>
  <c r="T52" i="7" s="1"/>
  <c r="T42" i="7"/>
  <c r="T54" i="7" s="1"/>
  <c r="T56" i="7" s="1"/>
  <c r="T57" i="7" s="1"/>
  <c r="T58" i="7" s="1"/>
  <c r="R32" i="7"/>
  <c r="Q47" i="7"/>
  <c r="U72" i="7"/>
  <c r="U73" i="7" s="1"/>
  <c r="U76" i="7" s="1"/>
  <c r="G80" i="7"/>
  <c r="F41" i="7"/>
  <c r="G39" i="7"/>
  <c r="G33" i="7"/>
  <c r="I72" i="7"/>
  <c r="I73" i="7" s="1"/>
  <c r="I76" i="7" s="1"/>
  <c r="S39" i="7"/>
  <c r="S80" i="7"/>
  <c r="R41" i="7"/>
  <c r="S33" i="7"/>
  <c r="W80" i="6"/>
  <c r="W41" i="6"/>
  <c r="V41" i="6"/>
  <c r="V42" i="6" s="1"/>
  <c r="V54" i="6" s="1"/>
  <c r="V56" i="6" s="1"/>
  <c r="V57" i="6" s="1"/>
  <c r="V58" i="6" s="1"/>
  <c r="W39" i="6"/>
  <c r="V70" i="6"/>
  <c r="V71" i="6" s="1"/>
  <c r="V40" i="6"/>
  <c r="V50" i="6" s="1"/>
  <c r="V51" i="6" s="1"/>
  <c r="V52" i="6" s="1"/>
  <c r="W65" i="6"/>
  <c r="W62" i="6"/>
  <c r="W63" i="6" s="1"/>
  <c r="X64" i="6" s="1"/>
  <c r="G70" i="6"/>
  <c r="G71" i="6" s="1"/>
  <c r="G40" i="6"/>
  <c r="G50" i="6" s="1"/>
  <c r="G51" i="6" s="1"/>
  <c r="G52" i="6" s="1"/>
  <c r="J77" i="6"/>
  <c r="I77" i="6" s="1"/>
  <c r="I79" i="6" s="1"/>
  <c r="I81" i="6" s="1"/>
  <c r="J57" i="6"/>
  <c r="H72" i="6"/>
  <c r="H73" i="6" s="1"/>
  <c r="H76" i="6" s="1"/>
  <c r="E32" i="6"/>
  <c r="E41" i="6" s="1"/>
  <c r="D47" i="6"/>
  <c r="J72" i="6"/>
  <c r="J73" i="6" s="1"/>
  <c r="J76" i="6" s="1"/>
  <c r="W33" i="6"/>
  <c r="G78" i="6"/>
  <c r="G75" i="6"/>
  <c r="U32" i="6"/>
  <c r="T47" i="6"/>
  <c r="V78" i="6"/>
  <c r="V75" i="6"/>
  <c r="F80" i="6"/>
  <c r="F39" i="6"/>
  <c r="F33" i="6"/>
  <c r="J79" i="6" l="1"/>
  <c r="J81" i="6" s="1"/>
  <c r="S70" i="8"/>
  <c r="S71" i="8" s="1"/>
  <c r="S40" i="8"/>
  <c r="S50" i="8" s="1"/>
  <c r="S51" i="8" s="1"/>
  <c r="S52" i="8" s="1"/>
  <c r="J70" i="8"/>
  <c r="J71" i="8" s="1"/>
  <c r="J40" i="8"/>
  <c r="J50" i="8" s="1"/>
  <c r="J51" i="8" s="1"/>
  <c r="J52" i="8" s="1"/>
  <c r="J42" i="8"/>
  <c r="J54" i="8" s="1"/>
  <c r="J56" i="8" s="1"/>
  <c r="T72" i="8"/>
  <c r="T73" i="8" s="1"/>
  <c r="T76" i="8" s="1"/>
  <c r="I40" i="8"/>
  <c r="I50" i="8" s="1"/>
  <c r="I51" i="8" s="1"/>
  <c r="I52" i="8" s="1"/>
  <c r="I70" i="8"/>
  <c r="I71" i="8" s="1"/>
  <c r="G32" i="8"/>
  <c r="F47" i="8"/>
  <c r="Q32" i="8"/>
  <c r="P47" i="8"/>
  <c r="P32" i="8" s="1"/>
  <c r="W64" i="8"/>
  <c r="W58" i="8"/>
  <c r="I78" i="8"/>
  <c r="I75" i="8"/>
  <c r="S78" i="8"/>
  <c r="S75" i="8"/>
  <c r="J78" i="8"/>
  <c r="J75" i="8"/>
  <c r="G41" i="8"/>
  <c r="H39" i="8"/>
  <c r="H80" i="8"/>
  <c r="H33" i="8"/>
  <c r="R80" i="8"/>
  <c r="R39" i="8"/>
  <c r="Q41" i="8"/>
  <c r="R33" i="8"/>
  <c r="V77" i="8"/>
  <c r="V79" i="8" s="1"/>
  <c r="V81" i="8" s="1"/>
  <c r="G78" i="7"/>
  <c r="G75" i="7"/>
  <c r="E32" i="7"/>
  <c r="D47" i="7"/>
  <c r="J77" i="7"/>
  <c r="J79" i="7" s="1"/>
  <c r="J81" i="7" s="1"/>
  <c r="J57" i="7"/>
  <c r="S40" i="7"/>
  <c r="S50" i="7" s="1"/>
  <c r="S51" i="7" s="1"/>
  <c r="S52" i="7" s="1"/>
  <c r="S70" i="7"/>
  <c r="S71" i="7" s="1"/>
  <c r="S42" i="7"/>
  <c r="S54" i="7" s="1"/>
  <c r="S56" i="7" s="1"/>
  <c r="S57" i="7" s="1"/>
  <c r="S58" i="7" s="1"/>
  <c r="G70" i="7"/>
  <c r="G71" i="7" s="1"/>
  <c r="G40" i="7"/>
  <c r="G50" i="7" s="1"/>
  <c r="G51" i="7" s="1"/>
  <c r="G52" i="7" s="1"/>
  <c r="G42" i="7"/>
  <c r="G54" i="7" s="1"/>
  <c r="G56" i="7" s="1"/>
  <c r="G57" i="7" s="1"/>
  <c r="G58" i="7" s="1"/>
  <c r="F80" i="7"/>
  <c r="E41" i="7"/>
  <c r="F39" i="7"/>
  <c r="F33" i="7"/>
  <c r="S78" i="7"/>
  <c r="S75" i="7"/>
  <c r="Q32" i="7"/>
  <c r="P47" i="7"/>
  <c r="P32" i="7" s="1"/>
  <c r="H73" i="7"/>
  <c r="H76" i="7" s="1"/>
  <c r="H72" i="7"/>
  <c r="R80" i="7"/>
  <c r="R39" i="7"/>
  <c r="R33" i="7"/>
  <c r="T73" i="7"/>
  <c r="T76" i="7" s="1"/>
  <c r="T72" i="7"/>
  <c r="W64" i="7"/>
  <c r="W58" i="7"/>
  <c r="V77" i="7"/>
  <c r="V79" i="7" s="1"/>
  <c r="V81" i="7" s="1"/>
  <c r="D32" i="6"/>
  <c r="C47" i="6"/>
  <c r="C32" i="6" s="1"/>
  <c r="J64" i="6"/>
  <c r="J58" i="6"/>
  <c r="G72" i="6"/>
  <c r="G73" i="6" s="1"/>
  <c r="G76" i="6" s="1"/>
  <c r="T32" i="6"/>
  <c r="S47" i="6"/>
  <c r="W78" i="6"/>
  <c r="W75" i="6"/>
  <c r="E80" i="6"/>
  <c r="D41" i="6"/>
  <c r="E39" i="6"/>
  <c r="E33" i="6"/>
  <c r="V72" i="6"/>
  <c r="V73" i="6" s="1"/>
  <c r="V76" i="6" s="1"/>
  <c r="F70" i="6"/>
  <c r="F71" i="6" s="1"/>
  <c r="F40" i="6"/>
  <c r="F50" i="6" s="1"/>
  <c r="F51" i="6" s="1"/>
  <c r="F52" i="6" s="1"/>
  <c r="H77" i="6"/>
  <c r="H79" i="6" s="1"/>
  <c r="H81" i="6" s="1"/>
  <c r="F78" i="6"/>
  <c r="F75" i="6"/>
  <c r="U80" i="6"/>
  <c r="U39" i="6"/>
  <c r="U33" i="6"/>
  <c r="U41" i="6"/>
  <c r="G42" i="6"/>
  <c r="G54" i="6" s="1"/>
  <c r="G56" i="6" s="1"/>
  <c r="G57" i="6" s="1"/>
  <c r="G58" i="6" s="1"/>
  <c r="W70" i="6"/>
  <c r="W71" i="6" s="1"/>
  <c r="W40" i="6"/>
  <c r="W50" i="6" s="1"/>
  <c r="W51" i="6" s="1"/>
  <c r="W52" i="6" s="1"/>
  <c r="W42" i="6"/>
  <c r="W54" i="6" s="1"/>
  <c r="W56" i="6" s="1"/>
  <c r="F42" i="6" l="1"/>
  <c r="F54" i="6" s="1"/>
  <c r="G77" i="6"/>
  <c r="G79" i="6" s="1"/>
  <c r="G81" i="6" s="1"/>
  <c r="R70" i="8"/>
  <c r="R71" i="8" s="1"/>
  <c r="R40" i="8"/>
  <c r="R50" i="8" s="1"/>
  <c r="R51" i="8" s="1"/>
  <c r="R52" i="8" s="1"/>
  <c r="R42" i="8"/>
  <c r="R54" i="8" s="1"/>
  <c r="R56" i="8" s="1"/>
  <c r="R57" i="8" s="1"/>
  <c r="R58" i="8" s="1"/>
  <c r="H40" i="8"/>
  <c r="H50" i="8" s="1"/>
  <c r="H51" i="8" s="1"/>
  <c r="H52" i="8" s="1"/>
  <c r="H70" i="8"/>
  <c r="H71" i="8" s="1"/>
  <c r="H42" i="8"/>
  <c r="H54" i="8" s="1"/>
  <c r="F32" i="8"/>
  <c r="E47" i="8"/>
  <c r="J77" i="8"/>
  <c r="J57" i="8"/>
  <c r="W66" i="8"/>
  <c r="V64" i="8"/>
  <c r="G80" i="8"/>
  <c r="G39" i="8"/>
  <c r="G33" i="8"/>
  <c r="S73" i="8"/>
  <c r="S76" i="8" s="1"/>
  <c r="S72" i="8"/>
  <c r="R75" i="8"/>
  <c r="R78" i="8"/>
  <c r="H78" i="8"/>
  <c r="H75" i="8"/>
  <c r="P39" i="8"/>
  <c r="P80" i="8"/>
  <c r="P33" i="8"/>
  <c r="I42" i="8"/>
  <c r="I54" i="8" s="1"/>
  <c r="I56" i="8" s="1"/>
  <c r="I57" i="8" s="1"/>
  <c r="I58" i="8" s="1"/>
  <c r="J73" i="8"/>
  <c r="J76" i="8" s="1"/>
  <c r="J72" i="8"/>
  <c r="U77" i="8"/>
  <c r="U79" i="8" s="1"/>
  <c r="U81" i="8" s="1"/>
  <c r="J79" i="8"/>
  <c r="J81" i="8" s="1"/>
  <c r="Q80" i="8"/>
  <c r="P41" i="8"/>
  <c r="Q39" i="8"/>
  <c r="Q33" i="8"/>
  <c r="I72" i="8"/>
  <c r="I73" i="8"/>
  <c r="I76" i="8" s="1"/>
  <c r="I77" i="8" s="1"/>
  <c r="I79" i="8" s="1"/>
  <c r="I81" i="8" s="1"/>
  <c r="S42" i="8"/>
  <c r="S54" i="8" s="1"/>
  <c r="S56" i="8" s="1"/>
  <c r="S57" i="8" s="1"/>
  <c r="S58" i="8" s="1"/>
  <c r="R78" i="7"/>
  <c r="R75" i="7"/>
  <c r="P80" i="7"/>
  <c r="P39" i="7"/>
  <c r="P33" i="7"/>
  <c r="F78" i="7"/>
  <c r="F75" i="7"/>
  <c r="S72" i="7"/>
  <c r="S73" i="7" s="1"/>
  <c r="S76" i="7" s="1"/>
  <c r="W66" i="7"/>
  <c r="V64" i="7"/>
  <c r="R70" i="7"/>
  <c r="R71" i="7" s="1"/>
  <c r="R40" i="7"/>
  <c r="R50" i="7" s="1"/>
  <c r="R51" i="7" s="1"/>
  <c r="R52" i="7" s="1"/>
  <c r="R42" i="7"/>
  <c r="R54" i="7" s="1"/>
  <c r="R56" i="7" s="1"/>
  <c r="R57" i="7" s="1"/>
  <c r="R58" i="7" s="1"/>
  <c r="Q80" i="7"/>
  <c r="Q39" i="7"/>
  <c r="P41" i="7"/>
  <c r="Q33" i="7"/>
  <c r="F70" i="7"/>
  <c r="F71" i="7" s="1"/>
  <c r="F40" i="7"/>
  <c r="F50" i="7" s="1"/>
  <c r="F51" i="7" s="1"/>
  <c r="F52" i="7" s="1"/>
  <c r="F42" i="7"/>
  <c r="F54" i="7" s="1"/>
  <c r="F56" i="7" s="1"/>
  <c r="F57" i="7" s="1"/>
  <c r="F58" i="7" s="1"/>
  <c r="D32" i="7"/>
  <c r="C47" i="7"/>
  <c r="C32" i="7" s="1"/>
  <c r="U77" i="7"/>
  <c r="U79" i="7" s="1"/>
  <c r="U81" i="7" s="1"/>
  <c r="Q41" i="7"/>
  <c r="G73" i="7"/>
  <c r="G76" i="7" s="1"/>
  <c r="G72" i="7"/>
  <c r="J64" i="7"/>
  <c r="J58" i="7"/>
  <c r="E80" i="7"/>
  <c r="E39" i="7"/>
  <c r="E33" i="7"/>
  <c r="I77" i="7"/>
  <c r="I79" i="7" s="1"/>
  <c r="I81" i="7" s="1"/>
  <c r="V77" i="6"/>
  <c r="V79" i="6" s="1"/>
  <c r="V81" i="6" s="1"/>
  <c r="F72" i="6"/>
  <c r="F73" i="6" s="1"/>
  <c r="F76" i="6" s="1"/>
  <c r="W79" i="6"/>
  <c r="W81" i="6" s="1"/>
  <c r="W77" i="6"/>
  <c r="W57" i="6"/>
  <c r="S32" i="6"/>
  <c r="S41" i="6" s="1"/>
  <c r="R47" i="6"/>
  <c r="D80" i="6"/>
  <c r="D39" i="6"/>
  <c r="C41" i="6"/>
  <c r="D33" i="6"/>
  <c r="C80" i="6"/>
  <c r="C39" i="6"/>
  <c r="C33" i="6"/>
  <c r="U78" i="6"/>
  <c r="U75" i="6"/>
  <c r="F56" i="6"/>
  <c r="F57" i="6" s="1"/>
  <c r="F58" i="6" s="1"/>
  <c r="T80" i="6"/>
  <c r="T39" i="6"/>
  <c r="T33" i="6"/>
  <c r="U70" i="6"/>
  <c r="U71" i="6" s="1"/>
  <c r="U40" i="6"/>
  <c r="U50" i="6" s="1"/>
  <c r="U51" i="6" s="1"/>
  <c r="U52" i="6" s="1"/>
  <c r="E70" i="6"/>
  <c r="E71" i="6" s="1"/>
  <c r="E40" i="6"/>
  <c r="E50" i="6" s="1"/>
  <c r="E51" i="6" s="1"/>
  <c r="E52" i="6" s="1"/>
  <c r="W72" i="6"/>
  <c r="W73" i="6" s="1"/>
  <c r="W76" i="6" s="1"/>
  <c r="T41" i="6"/>
  <c r="E78" i="6"/>
  <c r="E75" i="6"/>
  <c r="J66" i="6"/>
  <c r="I64" i="6"/>
  <c r="F77" i="6" l="1"/>
  <c r="F79" i="6" s="1"/>
  <c r="F81" i="6" s="1"/>
  <c r="G78" i="8"/>
  <c r="G75" i="8"/>
  <c r="V66" i="8"/>
  <c r="U64" i="8"/>
  <c r="J64" i="8"/>
  <c r="J58" i="8"/>
  <c r="H56" i="8"/>
  <c r="H57" i="8" s="1"/>
  <c r="H58" i="8" s="1"/>
  <c r="P78" i="8"/>
  <c r="P75" i="8"/>
  <c r="F80" i="8"/>
  <c r="E41" i="8"/>
  <c r="F39" i="8"/>
  <c r="F33" i="8"/>
  <c r="Q78" i="8"/>
  <c r="Q75" i="8"/>
  <c r="P40" i="8"/>
  <c r="P50" i="8" s="1"/>
  <c r="P70" i="8"/>
  <c r="P71" i="8" s="1"/>
  <c r="P42" i="8"/>
  <c r="P54" i="8" s="1"/>
  <c r="F41" i="8"/>
  <c r="W67" i="8"/>
  <c r="W82" i="8"/>
  <c r="H72" i="8"/>
  <c r="H73" i="8" s="1"/>
  <c r="H76" i="8" s="1"/>
  <c r="H77" i="8" s="1"/>
  <c r="H79" i="8" s="1"/>
  <c r="H81" i="8" s="1"/>
  <c r="R72" i="8"/>
  <c r="R73" i="8" s="1"/>
  <c r="R76" i="8" s="1"/>
  <c r="Q70" i="8"/>
  <c r="Q71" i="8" s="1"/>
  <c r="Q40" i="8"/>
  <c r="Q50" i="8" s="1"/>
  <c r="Q51" i="8" s="1"/>
  <c r="Q52" i="8" s="1"/>
  <c r="G70" i="8"/>
  <c r="G71" i="8" s="1"/>
  <c r="G40" i="8"/>
  <c r="G50" i="8" s="1"/>
  <c r="G51" i="8" s="1"/>
  <c r="G52" i="8" s="1"/>
  <c r="E32" i="8"/>
  <c r="D47" i="8"/>
  <c r="T77" i="8"/>
  <c r="T79" i="8" s="1"/>
  <c r="T81" i="8" s="1"/>
  <c r="D80" i="7"/>
  <c r="C41" i="7"/>
  <c r="D39" i="7"/>
  <c r="D33" i="7"/>
  <c r="Q78" i="7"/>
  <c r="Q75" i="7"/>
  <c r="W67" i="7"/>
  <c r="W82" i="7"/>
  <c r="E78" i="7"/>
  <c r="E75" i="7"/>
  <c r="H77" i="7"/>
  <c r="H79" i="7" s="1"/>
  <c r="H81" i="7" s="1"/>
  <c r="E70" i="7"/>
  <c r="E71" i="7" s="1"/>
  <c r="E40" i="7"/>
  <c r="E50" i="7" s="1"/>
  <c r="E51" i="7" s="1"/>
  <c r="E52" i="7" s="1"/>
  <c r="E42" i="7"/>
  <c r="E54" i="7" s="1"/>
  <c r="E56" i="7" s="1"/>
  <c r="E57" i="7" s="1"/>
  <c r="E58" i="7" s="1"/>
  <c r="J66" i="7"/>
  <c r="I64" i="7"/>
  <c r="Q70" i="7"/>
  <c r="Q71" i="7" s="1"/>
  <c r="Q40" i="7"/>
  <c r="Q50" i="7" s="1"/>
  <c r="Q51" i="7" s="1"/>
  <c r="Q52" i="7" s="1"/>
  <c r="Q42" i="7"/>
  <c r="Q54" i="7" s="1"/>
  <c r="Q56" i="7" s="1"/>
  <c r="Q57" i="7" s="1"/>
  <c r="Q58" i="7" s="1"/>
  <c r="R72" i="7"/>
  <c r="R73" i="7" s="1"/>
  <c r="R76" i="7" s="1"/>
  <c r="P78" i="7"/>
  <c r="P75" i="7"/>
  <c r="T77" i="7"/>
  <c r="T79" i="7" s="1"/>
  <c r="T81" i="7" s="1"/>
  <c r="D41" i="7"/>
  <c r="C80" i="7"/>
  <c r="C39" i="7"/>
  <c r="C33" i="7"/>
  <c r="F72" i="7"/>
  <c r="F73" i="7" s="1"/>
  <c r="F76" i="7" s="1"/>
  <c r="V66" i="7"/>
  <c r="U64" i="7"/>
  <c r="P70" i="7"/>
  <c r="P71" i="7" s="1"/>
  <c r="P40" i="7"/>
  <c r="P50" i="7" s="1"/>
  <c r="P51" i="7" s="1"/>
  <c r="P52" i="7" s="1"/>
  <c r="C70" i="6"/>
  <c r="C71" i="6" s="1"/>
  <c r="C40" i="6"/>
  <c r="C50" i="6" s="1"/>
  <c r="D70" i="6"/>
  <c r="D71" i="6" s="1"/>
  <c r="D40" i="6"/>
  <c r="D51" i="6" s="1"/>
  <c r="D52" i="6" s="1"/>
  <c r="U42" i="6"/>
  <c r="U54" i="6" s="1"/>
  <c r="U56" i="6" s="1"/>
  <c r="U57" i="6" s="1"/>
  <c r="U58" i="6" s="1"/>
  <c r="T70" i="6"/>
  <c r="T71" i="6" s="1"/>
  <c r="T40" i="6"/>
  <c r="T50" i="6" s="1"/>
  <c r="T51" i="6" s="1"/>
  <c r="T52" i="6" s="1"/>
  <c r="T42" i="6"/>
  <c r="T54" i="6" s="1"/>
  <c r="T56" i="6" s="1"/>
  <c r="T57" i="6" s="1"/>
  <c r="T58" i="6" s="1"/>
  <c r="W58" i="6"/>
  <c r="W64" i="6"/>
  <c r="E72" i="6"/>
  <c r="E73" i="6" s="1"/>
  <c r="E76" i="6" s="1"/>
  <c r="T78" i="6"/>
  <c r="T75" i="6"/>
  <c r="I66" i="6"/>
  <c r="H64" i="6"/>
  <c r="E42" i="6"/>
  <c r="E54" i="6" s="1"/>
  <c r="E56" i="6" s="1"/>
  <c r="E57" i="6" s="1"/>
  <c r="E58" i="6" s="1"/>
  <c r="D78" i="6"/>
  <c r="D75" i="6"/>
  <c r="R32" i="6"/>
  <c r="Q47" i="6"/>
  <c r="J67" i="6"/>
  <c r="J82" i="6"/>
  <c r="U72" i="6"/>
  <c r="U73" i="6" s="1"/>
  <c r="U76" i="6" s="1"/>
  <c r="U77" i="6" s="1"/>
  <c r="U79" i="6" s="1"/>
  <c r="U81" i="6" s="1"/>
  <c r="C78" i="6"/>
  <c r="C75" i="6"/>
  <c r="S80" i="6"/>
  <c r="R41" i="6"/>
  <c r="S39" i="6"/>
  <c r="S33" i="6"/>
  <c r="C42" i="6" l="1"/>
  <c r="D42" i="6"/>
  <c r="D54" i="6" s="1"/>
  <c r="D56" i="6" s="1"/>
  <c r="D57" i="6" s="1"/>
  <c r="D58" i="6" s="1"/>
  <c r="E77" i="6"/>
  <c r="E79" i="6" s="1"/>
  <c r="E81" i="6" s="1"/>
  <c r="S77" i="8"/>
  <c r="S79" i="8" s="1"/>
  <c r="S81" i="8" s="1"/>
  <c r="D32" i="8"/>
  <c r="C47" i="8"/>
  <c r="C32" i="8" s="1"/>
  <c r="G72" i="8"/>
  <c r="G73" i="8" s="1"/>
  <c r="G76" i="8" s="1"/>
  <c r="G77" i="8" s="1"/>
  <c r="G79" i="8" s="1"/>
  <c r="G81" i="8" s="1"/>
  <c r="Q73" i="8"/>
  <c r="Q76" i="8" s="1"/>
  <c r="Q72" i="8"/>
  <c r="V67" i="8"/>
  <c r="V82" i="8"/>
  <c r="E80" i="8"/>
  <c r="E39" i="8"/>
  <c r="D41" i="8"/>
  <c r="E33" i="8"/>
  <c r="P72" i="8"/>
  <c r="P73" i="8" s="1"/>
  <c r="P76" i="8" s="1"/>
  <c r="F78" i="8"/>
  <c r="F75" i="8"/>
  <c r="J66" i="8"/>
  <c r="I64" i="8"/>
  <c r="G42" i="8"/>
  <c r="G54" i="8" s="1"/>
  <c r="G56" i="8" s="1"/>
  <c r="G57" i="8" s="1"/>
  <c r="G58" i="8" s="1"/>
  <c r="Q42" i="8"/>
  <c r="Q54" i="8" s="1"/>
  <c r="Q56" i="8" s="1"/>
  <c r="Q57" i="8" s="1"/>
  <c r="Q58" i="8" s="1"/>
  <c r="P51" i="8"/>
  <c r="P52" i="8" s="1"/>
  <c r="F70" i="8"/>
  <c r="F71" i="8" s="1"/>
  <c r="F40" i="8"/>
  <c r="F50" i="8" s="1"/>
  <c r="F51" i="8" s="1"/>
  <c r="F52" i="8" s="1"/>
  <c r="F42" i="8"/>
  <c r="F54" i="8" s="1"/>
  <c r="F56" i="8" s="1"/>
  <c r="F57" i="8" s="1"/>
  <c r="F58" i="8" s="1"/>
  <c r="U66" i="8"/>
  <c r="T64" i="8"/>
  <c r="P73" i="7"/>
  <c r="P76" i="7" s="1"/>
  <c r="P72" i="7"/>
  <c r="J67" i="7"/>
  <c r="J82" i="7"/>
  <c r="D78" i="7"/>
  <c r="D75" i="7"/>
  <c r="G77" i="7"/>
  <c r="G79" i="7" s="1"/>
  <c r="G81" i="7" s="1"/>
  <c r="I66" i="7"/>
  <c r="H64" i="7"/>
  <c r="U66" i="7"/>
  <c r="T64" i="7"/>
  <c r="C78" i="7"/>
  <c r="C75" i="7"/>
  <c r="Q72" i="7"/>
  <c r="Q73" i="7" s="1"/>
  <c r="Q76" i="7" s="1"/>
  <c r="D70" i="7"/>
  <c r="D71" i="7" s="1"/>
  <c r="D40" i="7"/>
  <c r="D50" i="7" s="1"/>
  <c r="D51" i="7" s="1"/>
  <c r="D52" i="7" s="1"/>
  <c r="E72" i="7"/>
  <c r="E73" i="7" s="1"/>
  <c r="E76" i="7" s="1"/>
  <c r="P42" i="7"/>
  <c r="P54" i="7" s="1"/>
  <c r="P56" i="7" s="1"/>
  <c r="P57" i="7" s="1"/>
  <c r="P58" i="7" s="1"/>
  <c r="V67" i="7"/>
  <c r="V82" i="7"/>
  <c r="C70" i="7"/>
  <c r="C71" i="7" s="1"/>
  <c r="C40" i="7"/>
  <c r="C50" i="7" s="1"/>
  <c r="C51" i="7" s="1"/>
  <c r="C52" i="7" s="1"/>
  <c r="S77" i="7"/>
  <c r="S79" i="7" s="1"/>
  <c r="S81" i="7" s="1"/>
  <c r="S70" i="6"/>
  <c r="S71" i="6" s="1"/>
  <c r="S40" i="6"/>
  <c r="S50" i="6" s="1"/>
  <c r="S51" i="6" s="1"/>
  <c r="S52" i="6" s="1"/>
  <c r="I67" i="6"/>
  <c r="I82" i="6"/>
  <c r="C51" i="6"/>
  <c r="C52" i="6" s="1"/>
  <c r="S78" i="6"/>
  <c r="S75" i="6"/>
  <c r="H66" i="6"/>
  <c r="G64" i="6"/>
  <c r="Q32" i="6"/>
  <c r="Q41" i="6" s="1"/>
  <c r="P47" i="6"/>
  <c r="P32" i="6" s="1"/>
  <c r="W66" i="6"/>
  <c r="V64" i="6"/>
  <c r="T73" i="6"/>
  <c r="T76" i="6" s="1"/>
  <c r="T77" i="6" s="1"/>
  <c r="T79" i="6" s="1"/>
  <c r="T81" i="6" s="1"/>
  <c r="T72" i="6"/>
  <c r="C72" i="6"/>
  <c r="C73" i="6" s="1"/>
  <c r="C76" i="6" s="1"/>
  <c r="R80" i="6"/>
  <c r="R39" i="6"/>
  <c r="R33" i="6"/>
  <c r="D72" i="6"/>
  <c r="D73" i="6" s="1"/>
  <c r="D76" i="6" s="1"/>
  <c r="C56" i="6" l="1"/>
  <c r="C58" i="6" s="1"/>
  <c r="D77" i="6"/>
  <c r="D79" i="6" s="1"/>
  <c r="D81" i="6" s="1"/>
  <c r="I66" i="8"/>
  <c r="H64" i="8"/>
  <c r="E70" i="8"/>
  <c r="E71" i="8" s="1"/>
  <c r="E40" i="8"/>
  <c r="E50" i="8" s="1"/>
  <c r="E51" i="8" s="1"/>
  <c r="E52" i="8" s="1"/>
  <c r="E42" i="8"/>
  <c r="E54" i="8" s="1"/>
  <c r="E56" i="8" s="1"/>
  <c r="E57" i="8" s="1"/>
  <c r="E58" i="8" s="1"/>
  <c r="C41" i="8"/>
  <c r="D80" i="8"/>
  <c r="D39" i="8"/>
  <c r="D33" i="8"/>
  <c r="T66" i="8"/>
  <c r="S64" i="8"/>
  <c r="J67" i="8"/>
  <c r="J82" i="8"/>
  <c r="P56" i="8"/>
  <c r="P57" i="8" s="1"/>
  <c r="P58" i="8" s="1"/>
  <c r="Q77" i="8"/>
  <c r="Q79" i="8" s="1"/>
  <c r="Q81" i="8" s="1"/>
  <c r="U67" i="8"/>
  <c r="U82" i="8"/>
  <c r="F72" i="8"/>
  <c r="F73" i="8" s="1"/>
  <c r="F76" i="8" s="1"/>
  <c r="F77" i="8" s="1"/>
  <c r="F79" i="8" s="1"/>
  <c r="F81" i="8" s="1"/>
  <c r="E78" i="8"/>
  <c r="E75" i="8"/>
  <c r="C39" i="8"/>
  <c r="C80" i="8"/>
  <c r="C33" i="8"/>
  <c r="R77" i="8"/>
  <c r="R79" i="8" s="1"/>
  <c r="R81" i="8" s="1"/>
  <c r="U67" i="7"/>
  <c r="U82" i="7"/>
  <c r="H66" i="7"/>
  <c r="G64" i="7"/>
  <c r="F77" i="7"/>
  <c r="F79" i="7" s="1"/>
  <c r="F81" i="7" s="1"/>
  <c r="C72" i="7"/>
  <c r="C73" i="7" s="1"/>
  <c r="C76" i="7" s="1"/>
  <c r="D73" i="7"/>
  <c r="D76" i="7" s="1"/>
  <c r="D72" i="7"/>
  <c r="C42" i="7"/>
  <c r="C54" i="7" s="1"/>
  <c r="D42" i="7"/>
  <c r="D54" i="7" s="1"/>
  <c r="D56" i="7" s="1"/>
  <c r="D57" i="7" s="1"/>
  <c r="D58" i="7" s="1"/>
  <c r="T66" i="7"/>
  <c r="S64" i="7"/>
  <c r="I67" i="7"/>
  <c r="I82" i="7"/>
  <c r="R77" i="7"/>
  <c r="R79" i="7" s="1"/>
  <c r="R81" i="7" s="1"/>
  <c r="R70" i="6"/>
  <c r="R71" i="6" s="1"/>
  <c r="R40" i="6"/>
  <c r="R50" i="6" s="1"/>
  <c r="R51" i="6" s="1"/>
  <c r="R52" i="6" s="1"/>
  <c r="V66" i="6"/>
  <c r="U64" i="6"/>
  <c r="W67" i="6"/>
  <c r="W82" i="6"/>
  <c r="H67" i="6"/>
  <c r="H82" i="6"/>
  <c r="R78" i="6"/>
  <c r="R75" i="6"/>
  <c r="Q80" i="6"/>
  <c r="Q39" i="6"/>
  <c r="P41" i="6"/>
  <c r="Q33" i="6"/>
  <c r="G66" i="6"/>
  <c r="F64" i="6"/>
  <c r="S72" i="6"/>
  <c r="S73" i="6" s="1"/>
  <c r="S76" i="6" s="1"/>
  <c r="S77" i="6" s="1"/>
  <c r="S79" i="6" s="1"/>
  <c r="S81" i="6" s="1"/>
  <c r="P80" i="6"/>
  <c r="P39" i="6"/>
  <c r="P33" i="6"/>
  <c r="S42" i="6"/>
  <c r="S54" i="6" s="1"/>
  <c r="S56" i="6" s="1"/>
  <c r="S57" i="6" s="1"/>
  <c r="S58" i="6" s="1"/>
  <c r="C77" i="6" l="1"/>
  <c r="C79" i="6" s="1"/>
  <c r="C81" i="6" s="1"/>
  <c r="D78" i="8"/>
  <c r="D75" i="8"/>
  <c r="D70" i="8"/>
  <c r="D71" i="8" s="1"/>
  <c r="D40" i="8"/>
  <c r="D50" i="8" s="1"/>
  <c r="D51" i="8" s="1"/>
  <c r="D52" i="8" s="1"/>
  <c r="D42" i="8"/>
  <c r="D54" i="8" s="1"/>
  <c r="D56" i="8" s="1"/>
  <c r="D57" i="8" s="1"/>
  <c r="D58" i="8" s="1"/>
  <c r="I67" i="8"/>
  <c r="I82" i="8"/>
  <c r="C78" i="8"/>
  <c r="C75" i="8"/>
  <c r="C40" i="8"/>
  <c r="C50" i="8" s="1"/>
  <c r="C70" i="8"/>
  <c r="C71" i="8" s="1"/>
  <c r="C42" i="8"/>
  <c r="C54" i="8" s="1"/>
  <c r="S66" i="8"/>
  <c r="R64" i="8"/>
  <c r="P77" i="8"/>
  <c r="P79" i="8" s="1"/>
  <c r="P81" i="8" s="1"/>
  <c r="H66" i="8"/>
  <c r="G64" i="8"/>
  <c r="T67" i="8"/>
  <c r="T82" i="8"/>
  <c r="E73" i="8"/>
  <c r="E76" i="8" s="1"/>
  <c r="E77" i="8" s="1"/>
  <c r="E79" i="8" s="1"/>
  <c r="E81" i="8" s="1"/>
  <c r="E72" i="8"/>
  <c r="S66" i="7"/>
  <c r="R64" i="7"/>
  <c r="H67" i="7"/>
  <c r="H82" i="7"/>
  <c r="T67" i="7"/>
  <c r="T82" i="7"/>
  <c r="E77" i="7"/>
  <c r="E79" i="7" s="1"/>
  <c r="E81" i="7" s="1"/>
  <c r="C56" i="7"/>
  <c r="C57" i="7" s="1"/>
  <c r="C58" i="7" s="1"/>
  <c r="G66" i="7"/>
  <c r="F64" i="7"/>
  <c r="Q77" i="7"/>
  <c r="G67" i="6"/>
  <c r="G82" i="6"/>
  <c r="U66" i="6"/>
  <c r="T64" i="6"/>
  <c r="P78" i="6"/>
  <c r="P75" i="6"/>
  <c r="V67" i="6"/>
  <c r="V82" i="6"/>
  <c r="Q70" i="6"/>
  <c r="Q71" i="6" s="1"/>
  <c r="Q40" i="6"/>
  <c r="Q50" i="6" s="1"/>
  <c r="Q51" i="6" s="1"/>
  <c r="Q52" i="6" s="1"/>
  <c r="R72" i="6"/>
  <c r="R73" i="6" s="1"/>
  <c r="R76" i="6" s="1"/>
  <c r="R77" i="6" s="1"/>
  <c r="R79" i="6" s="1"/>
  <c r="R81" i="6" s="1"/>
  <c r="P40" i="6"/>
  <c r="P50" i="6" s="1"/>
  <c r="P51" i="6" s="1"/>
  <c r="P52" i="6" s="1"/>
  <c r="P70" i="6"/>
  <c r="P71" i="6" s="1"/>
  <c r="F66" i="6"/>
  <c r="E64" i="6"/>
  <c r="Q78" i="6"/>
  <c r="Q75" i="6"/>
  <c r="R42" i="6"/>
  <c r="R54" i="6" s="1"/>
  <c r="R56" i="6" s="1"/>
  <c r="R57" i="6" s="1"/>
  <c r="R58" i="6" s="1"/>
  <c r="S67" i="8" l="1"/>
  <c r="S82" i="8"/>
  <c r="H67" i="8"/>
  <c r="H82" i="8"/>
  <c r="G66" i="8"/>
  <c r="F64" i="8"/>
  <c r="C72" i="8"/>
  <c r="C73" i="8"/>
  <c r="C76" i="8" s="1"/>
  <c r="D72" i="8"/>
  <c r="D73" i="8" s="1"/>
  <c r="D76" i="8" s="1"/>
  <c r="D77" i="8" s="1"/>
  <c r="D79" i="8" s="1"/>
  <c r="D81" i="8" s="1"/>
  <c r="C56" i="8"/>
  <c r="C57" i="8" s="1"/>
  <c r="C58" i="8" s="1"/>
  <c r="R66" i="8"/>
  <c r="Q64" i="8"/>
  <c r="C51" i="8"/>
  <c r="C52" i="8" s="1"/>
  <c r="R66" i="7"/>
  <c r="Q64" i="7"/>
  <c r="F66" i="7"/>
  <c r="E64" i="7"/>
  <c r="S67" i="7"/>
  <c r="S82" i="7"/>
  <c r="Q79" i="7"/>
  <c r="Q81" i="7" s="1"/>
  <c r="P77" i="7"/>
  <c r="P79" i="7" s="1"/>
  <c r="P81" i="7" s="1"/>
  <c r="G67" i="7"/>
  <c r="G82" i="7"/>
  <c r="D77" i="7"/>
  <c r="P42" i="6"/>
  <c r="P54" i="6" s="1"/>
  <c r="T66" i="6"/>
  <c r="S64" i="6"/>
  <c r="F67" i="6"/>
  <c r="F82" i="6"/>
  <c r="Q73" i="6"/>
  <c r="Q76" i="6" s="1"/>
  <c r="Q77" i="6" s="1"/>
  <c r="Q79" i="6" s="1"/>
  <c r="Q81" i="6" s="1"/>
  <c r="Q72" i="6"/>
  <c r="P72" i="6"/>
  <c r="P73" i="6" s="1"/>
  <c r="P76" i="6" s="1"/>
  <c r="P77" i="6" s="1"/>
  <c r="P79" i="6" s="1"/>
  <c r="P81" i="6" s="1"/>
  <c r="Q42" i="6"/>
  <c r="Q54" i="6" s="1"/>
  <c r="Q56" i="6" s="1"/>
  <c r="Q57" i="6" s="1"/>
  <c r="Q58" i="6" s="1"/>
  <c r="U67" i="6"/>
  <c r="U82" i="6"/>
  <c r="E66" i="6"/>
  <c r="D64" i="6"/>
  <c r="C77" i="8" l="1"/>
  <c r="C79" i="8" s="1"/>
  <c r="C81" i="8" s="1"/>
  <c r="G67" i="8"/>
  <c r="G82" i="8"/>
  <c r="R67" i="8"/>
  <c r="R82" i="8"/>
  <c r="F66" i="8"/>
  <c r="E64" i="8"/>
  <c r="Q66" i="8"/>
  <c r="P64" i="8"/>
  <c r="P66" i="8" s="1"/>
  <c r="D79" i="7"/>
  <c r="D81" i="7" s="1"/>
  <c r="C77" i="7"/>
  <c r="C79" i="7" s="1"/>
  <c r="C81" i="7" s="1"/>
  <c r="F67" i="7"/>
  <c r="F82" i="7"/>
  <c r="Q66" i="7"/>
  <c r="Q67" i="7" s="1"/>
  <c r="P64" i="7"/>
  <c r="P66" i="7" s="1"/>
  <c r="P67" i="7" s="1"/>
  <c r="R67" i="7"/>
  <c r="R82" i="7"/>
  <c r="E66" i="7"/>
  <c r="D64" i="7"/>
  <c r="E67" i="6"/>
  <c r="E82" i="6"/>
  <c r="T67" i="6"/>
  <c r="T82" i="6"/>
  <c r="P56" i="6"/>
  <c r="P57" i="6" s="1"/>
  <c r="P58" i="6" s="1"/>
  <c r="D66" i="6"/>
  <c r="C64" i="6"/>
  <c r="C66" i="6" s="1"/>
  <c r="S66" i="6"/>
  <c r="R64" i="6"/>
  <c r="F67" i="8" l="1"/>
  <c r="F82" i="8"/>
  <c r="E66" i="8"/>
  <c r="D64" i="8"/>
  <c r="P67" i="8"/>
  <c r="P82" i="8"/>
  <c r="Q67" i="8"/>
  <c r="Q82" i="8"/>
  <c r="Q82" i="7"/>
  <c r="D66" i="7"/>
  <c r="D67" i="7" s="1"/>
  <c r="C64" i="7"/>
  <c r="C66" i="7" s="1"/>
  <c r="C67" i="7" s="1"/>
  <c r="E67" i="7"/>
  <c r="E82" i="7"/>
  <c r="P82" i="7"/>
  <c r="D82" i="7"/>
  <c r="D67" i="6"/>
  <c r="D82" i="6"/>
  <c r="R66" i="6"/>
  <c r="Q64" i="6"/>
  <c r="S67" i="6"/>
  <c r="S82" i="6"/>
  <c r="C67" i="6"/>
  <c r="C82" i="6"/>
  <c r="D66" i="8" l="1"/>
  <c r="C64" i="8"/>
  <c r="C66" i="8" s="1"/>
  <c r="E67" i="8"/>
  <c r="E82" i="8"/>
  <c r="C82" i="7"/>
  <c r="R67" i="6"/>
  <c r="R82" i="6"/>
  <c r="Q66" i="6"/>
  <c r="P64" i="6"/>
  <c r="P66" i="6" s="1"/>
  <c r="C67" i="8" l="1"/>
  <c r="C82" i="8"/>
  <c r="D67" i="8"/>
  <c r="D82" i="8"/>
  <c r="Q67" i="6"/>
  <c r="Q82" i="6"/>
  <c r="P67" i="6"/>
  <c r="P82" i="6"/>
  <c r="P93" i="5" l="1"/>
  <c r="P31" i="5"/>
  <c r="P94" i="5"/>
  <c r="H87" i="5"/>
  <c r="H86" i="5"/>
  <c r="C85" i="5"/>
  <c r="C83" i="5"/>
  <c r="C81" i="5"/>
  <c r="C80" i="5"/>
  <c r="C79" i="5"/>
  <c r="C77" i="5"/>
  <c r="C74" i="5"/>
  <c r="C73" i="5"/>
  <c r="H72" i="5"/>
  <c r="H71" i="5"/>
  <c r="E74" i="5"/>
  <c r="F74" i="5"/>
  <c r="G74" i="5"/>
  <c r="H74" i="5"/>
  <c r="I74" i="5"/>
  <c r="C70" i="5"/>
  <c r="E69" i="5"/>
  <c r="D69" i="5"/>
  <c r="C69" i="5"/>
  <c r="H63" i="5"/>
  <c r="H62" i="5"/>
  <c r="I63" i="5"/>
  <c r="C62" i="5"/>
  <c r="C61" i="5"/>
  <c r="I58" i="5"/>
  <c r="H57" i="5"/>
  <c r="I57" i="5"/>
  <c r="C56" i="4"/>
  <c r="C53" i="4"/>
  <c r="C52" i="4"/>
  <c r="C51" i="4"/>
  <c r="C50" i="4"/>
  <c r="C39" i="2"/>
  <c r="C38" i="2"/>
  <c r="C38" i="4"/>
  <c r="C39" i="4"/>
  <c r="C37" i="4"/>
  <c r="C28" i="4"/>
  <c r="C55" i="2"/>
  <c r="C24" i="2"/>
  <c r="C51" i="2" s="1"/>
  <c r="D16" i="2"/>
  <c r="C28" i="2" s="1"/>
  <c r="D24" i="2"/>
  <c r="D51" i="2" s="1"/>
  <c r="C22" i="2"/>
  <c r="C21" i="2" s="1"/>
  <c r="C35" i="1"/>
  <c r="C22" i="1"/>
  <c r="C18" i="1"/>
  <c r="D6" i="1"/>
  <c r="D35" i="1" s="1"/>
  <c r="C17" i="1"/>
  <c r="Q37" i="5"/>
  <c r="R37" i="5"/>
  <c r="S37" i="5"/>
  <c r="T37" i="5"/>
  <c r="U37" i="5"/>
  <c r="P37" i="5"/>
  <c r="Q29" i="5"/>
  <c r="R29" i="5" s="1"/>
  <c r="V88" i="5"/>
  <c r="V45" i="5"/>
  <c r="I88" i="5"/>
  <c r="D18" i="5"/>
  <c r="E18" i="5" s="1"/>
  <c r="F18" i="5" s="1"/>
  <c r="G18" i="5" s="1"/>
  <c r="H18" i="5" s="1"/>
  <c r="P18" i="5"/>
  <c r="Q18" i="5"/>
  <c r="R18" i="5" s="1"/>
  <c r="S18" i="5" s="1"/>
  <c r="T18" i="5" s="1"/>
  <c r="U18" i="5" s="1"/>
  <c r="D19" i="5"/>
  <c r="E19" i="5" s="1"/>
  <c r="P19" i="5"/>
  <c r="P73" i="5" s="1"/>
  <c r="P24" i="5"/>
  <c r="Q24" i="5"/>
  <c r="R24" i="5"/>
  <c r="S24" i="5"/>
  <c r="T24" i="5"/>
  <c r="U24" i="5"/>
  <c r="Q25" i="5"/>
  <c r="R25" i="5"/>
  <c r="S25" i="5"/>
  <c r="T25" i="5"/>
  <c r="U25" i="5"/>
  <c r="P26" i="5"/>
  <c r="Q26" i="5"/>
  <c r="R26" i="5"/>
  <c r="S26" i="5"/>
  <c r="T26" i="5"/>
  <c r="U26" i="5"/>
  <c r="P27" i="5"/>
  <c r="Q27" i="5"/>
  <c r="R27" i="5"/>
  <c r="S27" i="5"/>
  <c r="T27" i="5"/>
  <c r="U27" i="5"/>
  <c r="U28" i="5"/>
  <c r="D29" i="5"/>
  <c r="E29" i="5" s="1"/>
  <c r="C30" i="5"/>
  <c r="C31" i="5" s="1"/>
  <c r="C45" i="5"/>
  <c r="C35" i="5"/>
  <c r="C34" i="5" s="1"/>
  <c r="C38" i="5" s="1"/>
  <c r="C37" i="5"/>
  <c r="D37" i="5"/>
  <c r="E37" i="5"/>
  <c r="F37" i="5"/>
  <c r="G37" i="5"/>
  <c r="H37" i="5"/>
  <c r="I45" i="5"/>
  <c r="C50" i="5"/>
  <c r="D24" i="4"/>
  <c r="E24" i="4" s="1"/>
  <c r="E50" i="4" s="1"/>
  <c r="I32" i="4"/>
  <c r="C22" i="4"/>
  <c r="D22" i="4" s="1"/>
  <c r="D21" i="4" s="1"/>
  <c r="C17" i="4"/>
  <c r="C18" i="4" s="1"/>
  <c r="D16" i="4"/>
  <c r="D6" i="4"/>
  <c r="E6" i="4" s="1"/>
  <c r="D5" i="4"/>
  <c r="E5" i="4" s="1"/>
  <c r="F5" i="4" s="1"/>
  <c r="G5" i="4" s="1"/>
  <c r="H5" i="4" s="1"/>
  <c r="E24" i="2"/>
  <c r="E51" i="2" s="1"/>
  <c r="F24" i="2"/>
  <c r="F51" i="2" s="1"/>
  <c r="G24" i="2"/>
  <c r="G51" i="2" s="1"/>
  <c r="H24" i="2"/>
  <c r="H51" i="2" s="1"/>
  <c r="H52" i="2" s="1"/>
  <c r="C37" i="2"/>
  <c r="I32" i="2"/>
  <c r="C17" i="2"/>
  <c r="C18" i="2" s="1"/>
  <c r="D6" i="2"/>
  <c r="C27" i="2" s="1"/>
  <c r="D5" i="2"/>
  <c r="E5" i="2" s="1"/>
  <c r="F5" i="2" s="1"/>
  <c r="G5" i="2" s="1"/>
  <c r="H5" i="2" s="1"/>
  <c r="I30" i="1"/>
  <c r="C28" i="1"/>
  <c r="C29" i="1" s="1"/>
  <c r="D5" i="1"/>
  <c r="E5" i="1" s="1"/>
  <c r="F5" i="1" s="1"/>
  <c r="G5" i="1" s="1"/>
  <c r="H5" i="1" s="1"/>
  <c r="C43" i="5" l="1"/>
  <c r="C78" i="5" s="1"/>
  <c r="D31" i="5"/>
  <c r="D83" i="5" s="1"/>
  <c r="C88" i="5"/>
  <c r="D50" i="5"/>
  <c r="D73" i="5"/>
  <c r="D35" i="5"/>
  <c r="E35" i="5" s="1"/>
  <c r="F35" i="5" s="1"/>
  <c r="P41" i="5"/>
  <c r="S29" i="5"/>
  <c r="T29" i="5" s="1"/>
  <c r="U29" i="5" s="1"/>
  <c r="Q41" i="5"/>
  <c r="F29" i="5"/>
  <c r="G29" i="5" s="1"/>
  <c r="F41" i="5" s="1"/>
  <c r="D41" i="5"/>
  <c r="C41" i="5"/>
  <c r="D88" i="5"/>
  <c r="P30" i="5"/>
  <c r="C40" i="5"/>
  <c r="C39" i="5"/>
  <c r="P50" i="5"/>
  <c r="Q19" i="5"/>
  <c r="Q73" i="5" s="1"/>
  <c r="P35" i="5"/>
  <c r="E6" i="1"/>
  <c r="E17" i="1" s="1"/>
  <c r="D17" i="1"/>
  <c r="C26" i="1"/>
  <c r="D17" i="4"/>
  <c r="C25" i="2"/>
  <c r="C26" i="2" s="1"/>
  <c r="C29" i="2" s="1"/>
  <c r="D17" i="2"/>
  <c r="E16" i="2"/>
  <c r="F16" i="2" s="1"/>
  <c r="G16" i="2" s="1"/>
  <c r="F28" i="2" s="1"/>
  <c r="C21" i="1"/>
  <c r="C24" i="1" s="1"/>
  <c r="C25" i="1" s="1"/>
  <c r="C27" i="1" s="1"/>
  <c r="C33" i="1" s="1"/>
  <c r="D22" i="1"/>
  <c r="D21" i="1" s="1"/>
  <c r="D24" i="1" s="1"/>
  <c r="D25" i="1" s="1"/>
  <c r="G52" i="2"/>
  <c r="F52" i="2" s="1"/>
  <c r="E52" i="2" s="1"/>
  <c r="D52" i="2" s="1"/>
  <c r="C52" i="2" s="1"/>
  <c r="D40" i="5"/>
  <c r="E50" i="5"/>
  <c r="E73" i="5"/>
  <c r="F19" i="5"/>
  <c r="D34" i="5"/>
  <c r="D38" i="5" s="1"/>
  <c r="D50" i="4"/>
  <c r="D25" i="4"/>
  <c r="D26" i="4" s="1"/>
  <c r="F24" i="4"/>
  <c r="E51" i="4"/>
  <c r="E52" i="4" s="1"/>
  <c r="D51" i="4"/>
  <c r="C30" i="4"/>
  <c r="C31" i="4" s="1"/>
  <c r="C21" i="4"/>
  <c r="C27" i="4"/>
  <c r="E16" i="4"/>
  <c r="D28" i="4" s="1"/>
  <c r="E17" i="4"/>
  <c r="F6" i="4"/>
  <c r="E37" i="4"/>
  <c r="D27" i="4"/>
  <c r="E22" i="4"/>
  <c r="D37" i="4"/>
  <c r="C32" i="4"/>
  <c r="E6" i="2"/>
  <c r="D37" i="2"/>
  <c r="C30" i="2"/>
  <c r="C31" i="2" s="1"/>
  <c r="D22" i="2"/>
  <c r="H29" i="5" l="1"/>
  <c r="G41" i="5" s="1"/>
  <c r="E34" i="5"/>
  <c r="E38" i="5" s="1"/>
  <c r="E39" i="5" s="1"/>
  <c r="E41" i="5"/>
  <c r="R19" i="5"/>
  <c r="Q50" i="5"/>
  <c r="P40" i="5"/>
  <c r="Q30" i="5"/>
  <c r="Q31" i="5" s="1"/>
  <c r="Q83" i="5" s="1"/>
  <c r="D78" i="5"/>
  <c r="P43" i="5"/>
  <c r="P83" i="5"/>
  <c r="E88" i="5"/>
  <c r="E31" i="5"/>
  <c r="E83" i="5" s="1"/>
  <c r="P88" i="5"/>
  <c r="P34" i="5"/>
  <c r="P38" i="5" s="1"/>
  <c r="Q35" i="5"/>
  <c r="E22" i="1"/>
  <c r="E21" i="1" s="1"/>
  <c r="E24" i="1" s="1"/>
  <c r="E25" i="1" s="1"/>
  <c r="C30" i="1"/>
  <c r="D28" i="1"/>
  <c r="D29" i="1" s="1"/>
  <c r="D30" i="1"/>
  <c r="F6" i="1"/>
  <c r="F17" i="1" s="1"/>
  <c r="E35" i="1"/>
  <c r="D26" i="1"/>
  <c r="D27" i="1" s="1"/>
  <c r="D18" i="1"/>
  <c r="E18" i="4"/>
  <c r="D32" i="4"/>
  <c r="C25" i="4"/>
  <c r="C26" i="4" s="1"/>
  <c r="C29" i="4" s="1"/>
  <c r="C35" i="4" s="1"/>
  <c r="D52" i="4"/>
  <c r="D18" i="2"/>
  <c r="D30" i="2"/>
  <c r="E28" i="2"/>
  <c r="D28" i="2"/>
  <c r="H16" i="2"/>
  <c r="H28" i="2" s="1"/>
  <c r="E28" i="1"/>
  <c r="E29" i="1" s="1"/>
  <c r="E18" i="1"/>
  <c r="R41" i="5"/>
  <c r="D39" i="5"/>
  <c r="D77" i="5"/>
  <c r="D79" i="5" s="1"/>
  <c r="E40" i="5"/>
  <c r="F50" i="5"/>
  <c r="F73" i="5"/>
  <c r="F30" i="5"/>
  <c r="F88" i="5" s="1"/>
  <c r="E43" i="5"/>
  <c r="D45" i="5"/>
  <c r="H41" i="5"/>
  <c r="F20" i="5"/>
  <c r="G19" i="5" s="1"/>
  <c r="G50" i="5" s="1"/>
  <c r="F34" i="5"/>
  <c r="F38" i="5" s="1"/>
  <c r="C42" i="5"/>
  <c r="F51" i="4"/>
  <c r="F50" i="4"/>
  <c r="G24" i="4"/>
  <c r="G50" i="4" s="1"/>
  <c r="D29" i="4"/>
  <c r="F16" i="4"/>
  <c r="G16" i="4" s="1"/>
  <c r="D30" i="4"/>
  <c r="D31" i="4" s="1"/>
  <c r="F17" i="4"/>
  <c r="F37" i="4"/>
  <c r="E27" i="4"/>
  <c r="E30" i="4"/>
  <c r="E31" i="4" s="1"/>
  <c r="E21" i="4"/>
  <c r="E25" i="4" s="1"/>
  <c r="E26" i="4" s="1"/>
  <c r="F22" i="4"/>
  <c r="D18" i="4"/>
  <c r="C35" i="2"/>
  <c r="E37" i="2"/>
  <c r="E17" i="2"/>
  <c r="E18" i="2" s="1"/>
  <c r="F6" i="2"/>
  <c r="D27" i="2"/>
  <c r="C32" i="2"/>
  <c r="C33" i="2" s="1"/>
  <c r="C45" i="2" s="1"/>
  <c r="D31" i="2"/>
  <c r="D21" i="2"/>
  <c r="E22" i="2"/>
  <c r="E77" i="5" l="1"/>
  <c r="G35" i="5"/>
  <c r="P77" i="5"/>
  <c r="P39" i="5"/>
  <c r="Q40" i="5"/>
  <c r="R73" i="5"/>
  <c r="R30" i="5"/>
  <c r="R31" i="5" s="1"/>
  <c r="R83" i="5" s="1"/>
  <c r="S19" i="5"/>
  <c r="R50" i="5"/>
  <c r="Q34" i="5"/>
  <c r="Q38" i="5" s="1"/>
  <c r="R35" i="5"/>
  <c r="P78" i="5"/>
  <c r="P44" i="5"/>
  <c r="P45" i="5"/>
  <c r="Q43" i="5"/>
  <c r="Q88" i="5"/>
  <c r="F31" i="5"/>
  <c r="F83" i="5" s="1"/>
  <c r="F22" i="1"/>
  <c r="F7" i="1" s="1"/>
  <c r="D33" i="1"/>
  <c r="D31" i="1"/>
  <c r="D43" i="1" s="1"/>
  <c r="E27" i="1"/>
  <c r="G6" i="1"/>
  <c r="G35" i="1" s="1"/>
  <c r="F35" i="1"/>
  <c r="E26" i="1"/>
  <c r="F52" i="4"/>
  <c r="G51" i="4"/>
  <c r="G52" i="4" s="1"/>
  <c r="H24" i="4"/>
  <c r="H50" i="4" s="1"/>
  <c r="F17" i="2"/>
  <c r="F18" i="2" s="1"/>
  <c r="G28" i="2"/>
  <c r="F21" i="1"/>
  <c r="F24" i="1" s="1"/>
  <c r="F25" i="1" s="1"/>
  <c r="C31" i="1"/>
  <c r="C43" i="1" s="1"/>
  <c r="G22" i="1"/>
  <c r="G7" i="1" s="1"/>
  <c r="E30" i="1"/>
  <c r="F28" i="1"/>
  <c r="F29" i="1" s="1"/>
  <c r="F18" i="1"/>
  <c r="F26" i="1"/>
  <c r="S41" i="5"/>
  <c r="F77" i="5"/>
  <c r="F39" i="5"/>
  <c r="E42" i="5"/>
  <c r="F40" i="5"/>
  <c r="G73" i="5"/>
  <c r="G30" i="5"/>
  <c r="G88" i="5" s="1"/>
  <c r="E44" i="5"/>
  <c r="E78" i="5"/>
  <c r="E79" i="5" s="1"/>
  <c r="D80" i="5"/>
  <c r="D81" i="5" s="1"/>
  <c r="D42" i="5"/>
  <c r="G20" i="5"/>
  <c r="H19" i="5" s="1"/>
  <c r="G34" i="5"/>
  <c r="G38" i="5" s="1"/>
  <c r="C46" i="5"/>
  <c r="C56" i="5" s="1"/>
  <c r="F43" i="5"/>
  <c r="E45" i="5"/>
  <c r="C33" i="4"/>
  <c r="C45" i="4" s="1"/>
  <c r="E28" i="4"/>
  <c r="E29" i="4" s="1"/>
  <c r="E35" i="4" s="1"/>
  <c r="D35" i="4"/>
  <c r="E32" i="4"/>
  <c r="F30" i="4"/>
  <c r="F31" i="4" s="1"/>
  <c r="H16" i="4"/>
  <c r="F28" i="4"/>
  <c r="F21" i="4"/>
  <c r="F25" i="4" s="1"/>
  <c r="F26" i="4" s="1"/>
  <c r="F7" i="4"/>
  <c r="G6" i="4" s="1"/>
  <c r="F18" i="4"/>
  <c r="D33" i="4"/>
  <c r="D45" i="4" s="1"/>
  <c r="D25" i="2"/>
  <c r="D26" i="2" s="1"/>
  <c r="D29" i="2" s="1"/>
  <c r="F37" i="2"/>
  <c r="E27" i="2"/>
  <c r="F22" i="2"/>
  <c r="E21" i="2"/>
  <c r="E30" i="2"/>
  <c r="E31" i="2" s="1"/>
  <c r="D32" i="2"/>
  <c r="H50" i="5" l="1"/>
  <c r="H31" i="5"/>
  <c r="Q78" i="5"/>
  <c r="Q44" i="5"/>
  <c r="S35" i="5"/>
  <c r="R34" i="5"/>
  <c r="R38" i="5" s="1"/>
  <c r="P42" i="5"/>
  <c r="P69" i="5"/>
  <c r="S30" i="5"/>
  <c r="S50" i="5"/>
  <c r="R40" i="5"/>
  <c r="S73" i="5"/>
  <c r="Q77" i="5"/>
  <c r="Q39" i="5"/>
  <c r="Q45" i="5"/>
  <c r="R88" i="5"/>
  <c r="R43" i="5"/>
  <c r="P79" i="5"/>
  <c r="G31" i="5"/>
  <c r="G83" i="5" s="1"/>
  <c r="F27" i="1"/>
  <c r="G17" i="1"/>
  <c r="F30" i="1" s="1"/>
  <c r="F31" i="1" s="1"/>
  <c r="F43" i="1" s="1"/>
  <c r="H51" i="4"/>
  <c r="H52" i="4" s="1"/>
  <c r="H53" i="4" s="1"/>
  <c r="G53" i="4" s="1"/>
  <c r="F53" i="4" s="1"/>
  <c r="E53" i="4" s="1"/>
  <c r="D53" i="4" s="1"/>
  <c r="H6" i="1"/>
  <c r="G21" i="1"/>
  <c r="G24" i="1"/>
  <c r="G25" i="1" s="1"/>
  <c r="E33" i="1"/>
  <c r="E31" i="1"/>
  <c r="E43" i="1" s="1"/>
  <c r="G18" i="1"/>
  <c r="F33" i="1"/>
  <c r="T41" i="5"/>
  <c r="U41" i="5"/>
  <c r="H30" i="5"/>
  <c r="H88" i="5" s="1"/>
  <c r="G40" i="5"/>
  <c r="H73" i="5"/>
  <c r="E80" i="5"/>
  <c r="E81" i="5" s="1"/>
  <c r="H35" i="5"/>
  <c r="E46" i="5"/>
  <c r="E56" i="5" s="1"/>
  <c r="E48" i="5"/>
  <c r="E62" i="5"/>
  <c r="G77" i="5"/>
  <c r="G39" i="5"/>
  <c r="F78" i="5"/>
  <c r="F79" i="5" s="1"/>
  <c r="F44" i="5"/>
  <c r="D48" i="5"/>
  <c r="D62" i="5"/>
  <c r="D46" i="5"/>
  <c r="D56" i="5" s="1"/>
  <c r="F42" i="5"/>
  <c r="F69" i="5"/>
  <c r="F45" i="5"/>
  <c r="G43" i="5"/>
  <c r="E33" i="4"/>
  <c r="E45" i="4" s="1"/>
  <c r="G22" i="4"/>
  <c r="G21" i="4" s="1"/>
  <c r="G25" i="4" s="1"/>
  <c r="G26" i="4" s="1"/>
  <c r="H28" i="4"/>
  <c r="G28" i="4"/>
  <c r="G18" i="4"/>
  <c r="G37" i="4"/>
  <c r="F27" i="4"/>
  <c r="F29" i="4" s="1"/>
  <c r="G17" i="4"/>
  <c r="D35" i="2"/>
  <c r="E25" i="2"/>
  <c r="E26" i="2" s="1"/>
  <c r="E29" i="2" s="1"/>
  <c r="F30" i="2"/>
  <c r="F31" i="2" s="1"/>
  <c r="E32" i="2"/>
  <c r="F7" i="2"/>
  <c r="G6" i="2" s="1"/>
  <c r="F21" i="2"/>
  <c r="R45" i="5" l="1"/>
  <c r="S88" i="5"/>
  <c r="S43" i="5"/>
  <c r="P80" i="5"/>
  <c r="P81" i="5" s="1"/>
  <c r="Q69" i="5"/>
  <c r="Q42" i="5"/>
  <c r="S31" i="5"/>
  <c r="S83" i="5" s="1"/>
  <c r="S20" i="5"/>
  <c r="T19" i="5" s="1"/>
  <c r="S34" i="5"/>
  <c r="S38" i="5" s="1"/>
  <c r="R78" i="5"/>
  <c r="R44" i="5"/>
  <c r="P48" i="5"/>
  <c r="P62" i="5"/>
  <c r="P46" i="5"/>
  <c r="P56" i="5" s="1"/>
  <c r="Q79" i="5"/>
  <c r="Q80" i="5" s="1"/>
  <c r="Q81" i="5" s="1"/>
  <c r="R39" i="5"/>
  <c r="R77" i="5"/>
  <c r="H83" i="5"/>
  <c r="G28" i="1"/>
  <c r="G29" i="1" s="1"/>
  <c r="H17" i="1"/>
  <c r="H30" i="1" s="1"/>
  <c r="H35" i="1"/>
  <c r="G7" i="4"/>
  <c r="H6" i="4" s="1"/>
  <c r="H37" i="4" s="1"/>
  <c r="H22" i="1"/>
  <c r="H7" i="1" s="1"/>
  <c r="G69" i="5"/>
  <c r="G42" i="5"/>
  <c r="F80" i="5"/>
  <c r="F81" i="5" s="1"/>
  <c r="G78" i="5"/>
  <c r="G79" i="5" s="1"/>
  <c r="G44" i="5"/>
  <c r="G45" i="5"/>
  <c r="H45" i="5"/>
  <c r="H43" i="5"/>
  <c r="F46" i="5"/>
  <c r="F56" i="5" s="1"/>
  <c r="F62" i="5"/>
  <c r="F48" i="5"/>
  <c r="H20" i="5"/>
  <c r="I19" i="5" s="1"/>
  <c r="H34" i="5"/>
  <c r="H17" i="4"/>
  <c r="G30" i="4"/>
  <c r="G31" i="4" s="1"/>
  <c r="F32" i="4"/>
  <c r="F33" i="4" s="1"/>
  <c r="F45" i="4" s="1"/>
  <c r="F35" i="4"/>
  <c r="D33" i="2"/>
  <c r="D45" i="2" s="1"/>
  <c r="F25" i="2"/>
  <c r="F26" i="2" s="1"/>
  <c r="E35" i="2"/>
  <c r="E33" i="2"/>
  <c r="E45" i="2" s="1"/>
  <c r="G37" i="2"/>
  <c r="G17" i="2"/>
  <c r="G18" i="2" s="1"/>
  <c r="F27" i="2"/>
  <c r="G22" i="2"/>
  <c r="I31" i="5" l="1"/>
  <c r="I50" i="5"/>
  <c r="T35" i="5"/>
  <c r="T20" i="5" s="1"/>
  <c r="U19" i="5" s="1"/>
  <c r="R79" i="5"/>
  <c r="R80" i="5" s="1"/>
  <c r="R81" i="5" s="1"/>
  <c r="S77" i="5"/>
  <c r="S39" i="5"/>
  <c r="Q46" i="5"/>
  <c r="Q56" i="5" s="1"/>
  <c r="Q62" i="5"/>
  <c r="Q48" i="5"/>
  <c r="S78" i="5"/>
  <c r="S44" i="5"/>
  <c r="R42" i="5"/>
  <c r="R69" i="5"/>
  <c r="T30" i="5"/>
  <c r="T50" i="5"/>
  <c r="T73" i="5"/>
  <c r="S40" i="5"/>
  <c r="G27" i="4"/>
  <c r="G29" i="4" s="1"/>
  <c r="H22" i="4"/>
  <c r="F29" i="2"/>
  <c r="F35" i="2" s="1"/>
  <c r="H21" i="1"/>
  <c r="I6" i="1"/>
  <c r="I35" i="1" s="1"/>
  <c r="G26" i="1"/>
  <c r="G46" i="5"/>
  <c r="G56" i="5" s="1"/>
  <c r="G48" i="5"/>
  <c r="G62" i="5"/>
  <c r="H78" i="5"/>
  <c r="H44" i="5"/>
  <c r="H36" i="5"/>
  <c r="H38" i="5" s="1"/>
  <c r="H40" i="5"/>
  <c r="I73" i="5"/>
  <c r="G80" i="5"/>
  <c r="G81" i="5" s="1"/>
  <c r="H30" i="4"/>
  <c r="H31" i="4" s="1"/>
  <c r="H32" i="4"/>
  <c r="G32" i="4"/>
  <c r="G33" i="4" s="1"/>
  <c r="G45" i="4" s="1"/>
  <c r="G35" i="4"/>
  <c r="H18" i="4"/>
  <c r="G7" i="2"/>
  <c r="H6" i="2" s="1"/>
  <c r="G21" i="2"/>
  <c r="G30" i="2"/>
  <c r="G31" i="2" s="1"/>
  <c r="F32" i="2"/>
  <c r="T34" i="5" l="1"/>
  <c r="T38" i="5" s="1"/>
  <c r="I83" i="5"/>
  <c r="I87" i="5" s="1"/>
  <c r="I89" i="5" s="1"/>
  <c r="I49" i="5"/>
  <c r="U30" i="5"/>
  <c r="U31" i="5" s="1"/>
  <c r="U83" i="5" s="1"/>
  <c r="U50" i="5"/>
  <c r="U73" i="5"/>
  <c r="T40" i="5"/>
  <c r="T43" i="5"/>
  <c r="S45" i="5"/>
  <c r="T88" i="5"/>
  <c r="S42" i="5"/>
  <c r="S69" i="5"/>
  <c r="T31" i="5"/>
  <c r="T83" i="5" s="1"/>
  <c r="U35" i="5"/>
  <c r="R48" i="5"/>
  <c r="R62" i="5"/>
  <c r="R46" i="5"/>
  <c r="R56" i="5" s="1"/>
  <c r="S79" i="5"/>
  <c r="S80" i="5" s="1"/>
  <c r="S81" i="5" s="1"/>
  <c r="T39" i="5"/>
  <c r="T77" i="5"/>
  <c r="G27" i="1"/>
  <c r="G33" i="1" s="1"/>
  <c r="H21" i="4"/>
  <c r="H7" i="4"/>
  <c r="I6" i="4" s="1"/>
  <c r="F33" i="2"/>
  <c r="F45" i="2" s="1"/>
  <c r="H22" i="2"/>
  <c r="H21" i="2" s="1"/>
  <c r="H23" i="1"/>
  <c r="H24" i="1" s="1"/>
  <c r="H25" i="1" s="1"/>
  <c r="I18" i="1"/>
  <c r="I34" i="1" s="1"/>
  <c r="H26" i="1"/>
  <c r="G30" i="1"/>
  <c r="G31" i="1" s="1"/>
  <c r="G43" i="1" s="1"/>
  <c r="H28" i="1"/>
  <c r="H18" i="1"/>
  <c r="H39" i="5"/>
  <c r="H77" i="5"/>
  <c r="H79" i="5" s="1"/>
  <c r="G25" i="2"/>
  <c r="G26" i="2" s="1"/>
  <c r="H37" i="2"/>
  <c r="H17" i="2"/>
  <c r="H18" i="2" s="1"/>
  <c r="G27" i="2"/>
  <c r="I90" i="5" l="1"/>
  <c r="I75" i="5"/>
  <c r="T44" i="5"/>
  <c r="T78" i="5"/>
  <c r="T79" i="5" s="1"/>
  <c r="T80" i="5" s="1"/>
  <c r="T81" i="5" s="1"/>
  <c r="T42" i="5"/>
  <c r="T69" i="5"/>
  <c r="S48" i="5"/>
  <c r="S46" i="5"/>
  <c r="S56" i="5" s="1"/>
  <c r="S62" i="5"/>
  <c r="U34" i="5"/>
  <c r="U20" i="5"/>
  <c r="V19" i="5" s="1"/>
  <c r="U88" i="5"/>
  <c r="U45" i="5"/>
  <c r="T45" i="5"/>
  <c r="U43" i="5"/>
  <c r="H27" i="1"/>
  <c r="H27" i="4"/>
  <c r="H23" i="4"/>
  <c r="H25" i="4" s="1"/>
  <c r="H26" i="4" s="1"/>
  <c r="I37" i="4"/>
  <c r="I18" i="4"/>
  <c r="I36" i="4" s="1"/>
  <c r="I46" i="4" s="1"/>
  <c r="I47" i="4" s="1"/>
  <c r="I48" i="4" s="1"/>
  <c r="H7" i="2"/>
  <c r="I6" i="2" s="1"/>
  <c r="I18" i="2" s="1"/>
  <c r="I36" i="2" s="1"/>
  <c r="I46" i="2" s="1"/>
  <c r="G29" i="2"/>
  <c r="G35" i="2" s="1"/>
  <c r="I44" i="1"/>
  <c r="I45" i="1" s="1"/>
  <c r="I46" i="1" s="1"/>
  <c r="H29" i="1"/>
  <c r="H33" i="1" s="1"/>
  <c r="H34" i="1" s="1"/>
  <c r="G34" i="1" s="1"/>
  <c r="F34" i="1" s="1"/>
  <c r="I59" i="5"/>
  <c r="H80" i="5"/>
  <c r="H81" i="5" s="1"/>
  <c r="H42" i="5"/>
  <c r="H69" i="5"/>
  <c r="H32" i="2"/>
  <c r="G32" i="2"/>
  <c r="H30" i="2"/>
  <c r="H31" i="2" s="1"/>
  <c r="T46" i="5" l="1"/>
  <c r="T56" i="5" s="1"/>
  <c r="T62" i="5"/>
  <c r="T48" i="5"/>
  <c r="U44" i="5"/>
  <c r="U78" i="5"/>
  <c r="V31" i="5"/>
  <c r="V73" i="5"/>
  <c r="V74" i="5" s="1"/>
  <c r="U40" i="5"/>
  <c r="U36" i="5"/>
  <c r="U38" i="5" s="1"/>
  <c r="V50" i="5"/>
  <c r="H31" i="1"/>
  <c r="H43" i="1" s="1"/>
  <c r="H29" i="4"/>
  <c r="I37" i="2"/>
  <c r="H23" i="2"/>
  <c r="H27" i="2"/>
  <c r="G33" i="2"/>
  <c r="G45" i="2" s="1"/>
  <c r="H40" i="1"/>
  <c r="H41" i="1" s="1"/>
  <c r="H44" i="1" s="1"/>
  <c r="H48" i="5"/>
  <c r="H49" i="5" s="1"/>
  <c r="H46" i="5"/>
  <c r="H56" i="5" s="1"/>
  <c r="I64" i="5"/>
  <c r="H25" i="2"/>
  <c r="H26" i="2" s="1"/>
  <c r="I47" i="2"/>
  <c r="I48" i="2" s="1"/>
  <c r="U39" i="5" l="1"/>
  <c r="U77" i="5"/>
  <c r="U79" i="5" s="1"/>
  <c r="U80" i="5" s="1"/>
  <c r="U81" i="5" s="1"/>
  <c r="V83" i="5"/>
  <c r="V87" i="5" s="1"/>
  <c r="V89" i="5" s="1"/>
  <c r="V49" i="5"/>
  <c r="V57" i="5" s="1"/>
  <c r="V58" i="5" s="1"/>
  <c r="H35" i="4"/>
  <c r="H36" i="4" s="1"/>
  <c r="H33" i="4"/>
  <c r="H45" i="4" s="1"/>
  <c r="H29" i="2"/>
  <c r="H35" i="2" s="1"/>
  <c r="H36" i="2" s="1"/>
  <c r="G36" i="2" s="1"/>
  <c r="H45" i="1"/>
  <c r="H46" i="1" s="1"/>
  <c r="G40" i="1"/>
  <c r="G41" i="1" s="1"/>
  <c r="G49" i="5"/>
  <c r="H53" i="5"/>
  <c r="H54" i="5" s="1"/>
  <c r="H33" i="2"/>
  <c r="H45" i="2" s="1"/>
  <c r="V90" i="5" l="1"/>
  <c r="V75" i="5"/>
  <c r="V63" i="5"/>
  <c r="V59" i="5"/>
  <c r="U69" i="5"/>
  <c r="U42" i="5"/>
  <c r="H42" i="4"/>
  <c r="H43" i="4" s="1"/>
  <c r="H46" i="4" s="1"/>
  <c r="H47" i="4" s="1"/>
  <c r="H48" i="4" s="1"/>
  <c r="G36" i="4"/>
  <c r="G44" i="1"/>
  <c r="E34" i="1"/>
  <c r="F40" i="1"/>
  <c r="F41" i="1" s="1"/>
  <c r="H61" i="5"/>
  <c r="H84" i="5"/>
  <c r="H85" i="5" s="1"/>
  <c r="H89" i="5" s="1"/>
  <c r="H90" i="5" s="1"/>
  <c r="F49" i="5"/>
  <c r="G53" i="5"/>
  <c r="G54" i="5" s="1"/>
  <c r="H42" i="2"/>
  <c r="H43" i="2" s="1"/>
  <c r="H46" i="2" s="1"/>
  <c r="F36" i="2"/>
  <c r="G42" i="2"/>
  <c r="G43" i="2" s="1"/>
  <c r="U48" i="5" l="1"/>
  <c r="U49" i="5" s="1"/>
  <c r="U46" i="5"/>
  <c r="U56" i="5" s="1"/>
  <c r="U62" i="5"/>
  <c r="V64" i="5"/>
  <c r="G42" i="4"/>
  <c r="G43" i="4" s="1"/>
  <c r="G46" i="4" s="1"/>
  <c r="G47" i="4" s="1"/>
  <c r="G48" i="4" s="1"/>
  <c r="F36" i="4"/>
  <c r="H47" i="2"/>
  <c r="H48" i="2" s="1"/>
  <c r="F44" i="1"/>
  <c r="F45" i="1" s="1"/>
  <c r="F46" i="1" s="1"/>
  <c r="G45" i="1"/>
  <c r="G46" i="1" s="1"/>
  <c r="D34" i="1"/>
  <c r="E40" i="1"/>
  <c r="E41" i="1" s="1"/>
  <c r="G61" i="5"/>
  <c r="G70" i="5" s="1"/>
  <c r="G71" i="5" s="1"/>
  <c r="G84" i="5"/>
  <c r="G85" i="5" s="1"/>
  <c r="G86" i="5" s="1"/>
  <c r="H58" i="5"/>
  <c r="H59" i="5" s="1"/>
  <c r="G57" i="5"/>
  <c r="E49" i="5"/>
  <c r="F53" i="5"/>
  <c r="F54" i="5" s="1"/>
  <c r="H70" i="5"/>
  <c r="H75" i="5" s="1"/>
  <c r="G46" i="2"/>
  <c r="G47" i="2" s="1"/>
  <c r="G48" i="2" s="1"/>
  <c r="E36" i="2"/>
  <c r="F42" i="2"/>
  <c r="F43" i="2" s="1"/>
  <c r="T49" i="5" l="1"/>
  <c r="U53" i="5"/>
  <c r="U54" i="5" s="1"/>
  <c r="F42" i="4"/>
  <c r="F43" i="4" s="1"/>
  <c r="F46" i="4" s="1"/>
  <c r="F47" i="4" s="1"/>
  <c r="F48" i="4" s="1"/>
  <c r="E36" i="4"/>
  <c r="E44" i="1"/>
  <c r="E45" i="1" s="1"/>
  <c r="E46" i="1" s="1"/>
  <c r="C34" i="1"/>
  <c r="C37" i="1" s="1"/>
  <c r="D40" i="1"/>
  <c r="D41" i="1" s="1"/>
  <c r="G87" i="5"/>
  <c r="G89" i="5" s="1"/>
  <c r="G90" i="5" s="1"/>
  <c r="G63" i="5"/>
  <c r="H64" i="5"/>
  <c r="G58" i="5"/>
  <c r="G59" i="5" s="1"/>
  <c r="F57" i="5"/>
  <c r="D49" i="5"/>
  <c r="E53" i="5"/>
  <c r="E54" i="5" s="1"/>
  <c r="F61" i="5"/>
  <c r="F70" i="5" s="1"/>
  <c r="F71" i="5" s="1"/>
  <c r="F72" i="5" s="1"/>
  <c r="F75" i="5" s="1"/>
  <c r="F84" i="5"/>
  <c r="F85" i="5" s="1"/>
  <c r="F86" i="5" s="1"/>
  <c r="G72" i="5"/>
  <c r="G75" i="5" s="1"/>
  <c r="F46" i="2"/>
  <c r="F47" i="2" s="1"/>
  <c r="F48" i="2" s="1"/>
  <c r="D36" i="2"/>
  <c r="D42" i="2" s="1"/>
  <c r="E42" i="2"/>
  <c r="E43" i="2" s="1"/>
  <c r="U57" i="5" l="1"/>
  <c r="U61" i="5"/>
  <c r="U84" i="5"/>
  <c r="U85" i="5" s="1"/>
  <c r="U86" i="5" s="1"/>
  <c r="U87" i="5" s="1"/>
  <c r="U89" i="5" s="1"/>
  <c r="U90" i="5" s="1"/>
  <c r="S49" i="5"/>
  <c r="T53" i="5"/>
  <c r="T54" i="5" s="1"/>
  <c r="C55" i="4"/>
  <c r="C54" i="2"/>
  <c r="C56" i="2" s="1"/>
  <c r="C57" i="2" s="1"/>
  <c r="D44" i="1"/>
  <c r="D45" i="1" s="1"/>
  <c r="D46" i="1" s="1"/>
  <c r="D36" i="4"/>
  <c r="E42" i="4"/>
  <c r="E43" i="4" s="1"/>
  <c r="E46" i="4" s="1"/>
  <c r="E47" i="4" s="1"/>
  <c r="E48" i="4" s="1"/>
  <c r="C40" i="1"/>
  <c r="C41" i="1" s="1"/>
  <c r="F87" i="5"/>
  <c r="F89" i="5" s="1"/>
  <c r="F90" i="5" s="1"/>
  <c r="E61" i="5"/>
  <c r="E70" i="5" s="1"/>
  <c r="E71" i="5" s="1"/>
  <c r="E72" i="5" s="1"/>
  <c r="E75" i="5" s="1"/>
  <c r="E84" i="5"/>
  <c r="E85" i="5" s="1"/>
  <c r="E86" i="5" s="1"/>
  <c r="F58" i="5"/>
  <c r="F59" i="5" s="1"/>
  <c r="E57" i="5"/>
  <c r="C49" i="5"/>
  <c r="C53" i="5" s="1"/>
  <c r="C54" i="5" s="1"/>
  <c r="D53" i="5"/>
  <c r="D54" i="5" s="1"/>
  <c r="F63" i="5"/>
  <c r="G64" i="5"/>
  <c r="E46" i="2"/>
  <c r="E47" i="2" s="1"/>
  <c r="E48" i="2" s="1"/>
  <c r="C36" i="2"/>
  <c r="D43" i="2"/>
  <c r="U70" i="5" l="1"/>
  <c r="U71" i="5" s="1"/>
  <c r="U72" i="5" s="1"/>
  <c r="U74" i="5" s="1"/>
  <c r="U75" i="5" s="1"/>
  <c r="U63" i="5"/>
  <c r="S53" i="5"/>
  <c r="S54" i="5" s="1"/>
  <c r="R49" i="5"/>
  <c r="T84" i="5"/>
  <c r="T85" i="5" s="1"/>
  <c r="T86" i="5" s="1"/>
  <c r="T87" i="5" s="1"/>
  <c r="T89" i="5" s="1"/>
  <c r="T90" i="5" s="1"/>
  <c r="T61" i="5"/>
  <c r="T70" i="5" s="1"/>
  <c r="T71" i="5" s="1"/>
  <c r="U58" i="5"/>
  <c r="U59" i="5" s="1"/>
  <c r="T57" i="5"/>
  <c r="C36" i="4"/>
  <c r="C42" i="4" s="1"/>
  <c r="C43" i="4" s="1"/>
  <c r="D42" i="4"/>
  <c r="D43" i="4" s="1"/>
  <c r="D46" i="4" s="1"/>
  <c r="D47" i="4" s="1"/>
  <c r="D48" i="4" s="1"/>
  <c r="C42" i="2"/>
  <c r="C43" i="2" s="1"/>
  <c r="C44" i="1"/>
  <c r="C57" i="4"/>
  <c r="D46" i="2"/>
  <c r="E87" i="5"/>
  <c r="E89" i="5" s="1"/>
  <c r="E90" i="5" s="1"/>
  <c r="C84" i="5"/>
  <c r="C71" i="5"/>
  <c r="E58" i="5"/>
  <c r="E59" i="5" s="1"/>
  <c r="D57" i="5"/>
  <c r="E63" i="5"/>
  <c r="F64" i="5"/>
  <c r="D61" i="5"/>
  <c r="D70" i="5" s="1"/>
  <c r="D71" i="5" s="1"/>
  <c r="D72" i="5" s="1"/>
  <c r="D74" i="5" s="1"/>
  <c r="D75" i="5" s="1"/>
  <c r="D84" i="5"/>
  <c r="D85" i="5" s="1"/>
  <c r="D86" i="5" s="1"/>
  <c r="T72" i="5" l="1"/>
  <c r="T74" i="5" s="1"/>
  <c r="T75" i="5" s="1"/>
  <c r="S84" i="5"/>
  <c r="S85" i="5" s="1"/>
  <c r="S86" i="5" s="1"/>
  <c r="S87" i="5" s="1"/>
  <c r="S89" i="5" s="1"/>
  <c r="S90" i="5" s="1"/>
  <c r="S61" i="5"/>
  <c r="S70" i="5" s="1"/>
  <c r="S71" i="5" s="1"/>
  <c r="S57" i="5"/>
  <c r="T58" i="5"/>
  <c r="T59" i="5" s="1"/>
  <c r="T63" i="5"/>
  <c r="U64" i="5"/>
  <c r="Q49" i="5"/>
  <c r="R53" i="5"/>
  <c r="R54" i="5" s="1"/>
  <c r="C46" i="4"/>
  <c r="C47" i="4" s="1"/>
  <c r="C48" i="4" s="1"/>
  <c r="D47" i="2"/>
  <c r="D48" i="2" s="1"/>
  <c r="C46" i="2"/>
  <c r="C47" i="2"/>
  <c r="C48" i="2" s="1"/>
  <c r="C45" i="1"/>
  <c r="C46" i="1" s="1"/>
  <c r="C86" i="5"/>
  <c r="C87" i="5" s="1"/>
  <c r="C89" i="5" s="1"/>
  <c r="C90" i="5" s="1"/>
  <c r="D87" i="5"/>
  <c r="D89" i="5" s="1"/>
  <c r="D90" i="5" s="1"/>
  <c r="C72" i="5"/>
  <c r="C75" i="5" s="1"/>
  <c r="D63" i="5"/>
  <c r="E64" i="5"/>
  <c r="D58" i="5"/>
  <c r="D59" i="5" s="1"/>
  <c r="C57" i="5"/>
  <c r="C58" i="5" s="1"/>
  <c r="C59" i="5" s="1"/>
  <c r="S72" i="5" l="1"/>
  <c r="S74" i="5" s="1"/>
  <c r="S75" i="5" s="1"/>
  <c r="P49" i="5"/>
  <c r="P53" i="5" s="1"/>
  <c r="P54" i="5" s="1"/>
  <c r="Q53" i="5"/>
  <c r="Q54" i="5" s="1"/>
  <c r="S58" i="5"/>
  <c r="S59" i="5" s="1"/>
  <c r="R57" i="5"/>
  <c r="R84" i="5"/>
  <c r="R85" i="5" s="1"/>
  <c r="R86" i="5" s="1"/>
  <c r="R87" i="5" s="1"/>
  <c r="R89" i="5" s="1"/>
  <c r="R90" i="5" s="1"/>
  <c r="R61" i="5"/>
  <c r="R70" i="5" s="1"/>
  <c r="R71" i="5" s="1"/>
  <c r="T64" i="5"/>
  <c r="S63" i="5"/>
  <c r="C63" i="5"/>
  <c r="C64" i="5" s="1"/>
  <c r="D64" i="5"/>
  <c r="R72" i="5" l="1"/>
  <c r="R74" i="5" s="1"/>
  <c r="R75" i="5" s="1"/>
  <c r="R58" i="5"/>
  <c r="R59" i="5" s="1"/>
  <c r="Q57" i="5"/>
  <c r="Q61" i="5"/>
  <c r="Q70" i="5" s="1"/>
  <c r="Q71" i="5" s="1"/>
  <c r="Q84" i="5"/>
  <c r="Q85" i="5" s="1"/>
  <c r="Q86" i="5" s="1"/>
  <c r="Q87" i="5" s="1"/>
  <c r="Q89" i="5" s="1"/>
  <c r="Q90" i="5" s="1"/>
  <c r="S64" i="5"/>
  <c r="R63" i="5"/>
  <c r="P61" i="5"/>
  <c r="P70" i="5" s="1"/>
  <c r="P71" i="5" s="1"/>
  <c r="P84" i="5"/>
  <c r="P85" i="5" s="1"/>
  <c r="P86" i="5" s="1"/>
  <c r="P87" i="5" s="1"/>
  <c r="P89" i="5" s="1"/>
  <c r="Q72" i="5" l="1"/>
  <c r="Q74" i="5" s="1"/>
  <c r="Q75" i="5" s="1"/>
  <c r="P72" i="5"/>
  <c r="P74" i="5" s="1"/>
  <c r="P75" i="5" s="1"/>
  <c r="P57" i="5"/>
  <c r="P58" i="5" s="1"/>
  <c r="P59" i="5" s="1"/>
  <c r="Q58" i="5"/>
  <c r="Q59" i="5" s="1"/>
  <c r="P90" i="5"/>
  <c r="Q63" i="5"/>
  <c r="R64" i="5"/>
  <c r="Q64" i="5" l="1"/>
  <c r="P63" i="5"/>
  <c r="P6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Aya SLIKI</author>
  </authors>
  <commentList>
    <comment ref="B6" authorId="0" shapeId="0" xr:uid="{D1695E59-610E-4BF4-B112-D0A1DC90B5EF}">
      <text>
        <r>
          <rPr>
            <b/>
            <sz val="9"/>
            <color indexed="81"/>
            <rFont val="Tahoma"/>
            <family val="2"/>
          </rPr>
          <t>Aya SLIKI:</t>
        </r>
        <r>
          <rPr>
            <sz val="9"/>
            <color indexed="81"/>
            <rFont val="Tahoma"/>
            <family val="2"/>
          </rPr>
          <t xml:space="preserve">
Beginning of the year</t>
        </r>
      </text>
    </comment>
    <comment ref="I17" authorId="0" shapeId="0" xr:uid="{D02CA58D-F021-4B5C-8E16-C5C310FA8227}">
      <text>
        <r>
          <rPr>
            <b/>
            <sz val="9"/>
            <color indexed="81"/>
            <rFont val="Tahoma"/>
            <family val="2"/>
          </rPr>
          <t>Aya SLIKI:</t>
        </r>
        <r>
          <rPr>
            <sz val="9"/>
            <color indexed="81"/>
            <rFont val="Tahoma"/>
            <family val="2"/>
          </rPr>
          <t xml:space="preserve">
Debt need to be paid immediately</t>
        </r>
      </text>
    </comment>
    <comment ref="B27" authorId="0" shapeId="0" xr:uid="{E3BAB0B7-BEBB-4363-ABA5-6399C2C7C80F}">
      <text>
        <r>
          <rPr>
            <b/>
            <sz val="9"/>
            <color indexed="81"/>
            <rFont val="Tahoma"/>
            <family val="2"/>
          </rPr>
          <t>Aya SLIKI:</t>
        </r>
        <r>
          <rPr>
            <sz val="9"/>
            <color indexed="81"/>
            <rFont val="Tahoma"/>
            <family val="2"/>
          </rPr>
          <t xml:space="preserve">
End of year</t>
        </r>
      </text>
    </comment>
    <comment ref="C34" authorId="0" shapeId="0" xr:uid="{E2A5EB78-4765-4A8E-80C4-684B93BAD8D2}">
      <text>
        <r>
          <rPr>
            <b/>
            <sz val="9"/>
            <color indexed="81"/>
            <rFont val="Tahoma"/>
            <family val="2"/>
          </rPr>
          <t>Aya SLIKI:</t>
        </r>
        <r>
          <rPr>
            <sz val="9"/>
            <color indexed="81"/>
            <rFont val="Tahoma"/>
            <family val="2"/>
          </rPr>
          <t xml:space="preserve">
Value of the business Today</t>
        </r>
      </text>
    </comment>
    <comment ref="H34" authorId="0" shapeId="0" xr:uid="{346ABE8B-ACA3-4E8C-9F36-5B0B77D784B1}">
      <text>
        <r>
          <rPr>
            <b/>
            <sz val="9"/>
            <color indexed="81"/>
            <rFont val="Tahoma"/>
            <family val="2"/>
          </rPr>
          <t>Aya SLIKI:</t>
        </r>
        <r>
          <rPr>
            <sz val="9"/>
            <color indexed="81"/>
            <rFont val="Tahoma"/>
            <family val="2"/>
          </rPr>
          <t xml:space="preserve">
end of this year qnd beginiing of next year -&gt; same period so can be discounted with same rate</t>
        </r>
      </text>
    </comment>
    <comment ref="I34" authorId="0" shapeId="0" xr:uid="{1433360D-FA55-48AD-970C-503F7096D633}">
      <text>
        <r>
          <rPr>
            <b/>
            <sz val="9"/>
            <color indexed="81"/>
            <rFont val="Tahoma"/>
            <family val="2"/>
          </rPr>
          <t>Aya SLIKI:</t>
        </r>
        <r>
          <rPr>
            <sz val="9"/>
            <color indexed="81"/>
            <rFont val="Tahoma"/>
            <family val="2"/>
          </rPr>
          <t xml:space="preserve">
Because we don’t have any debt</t>
        </r>
      </text>
    </comment>
    <comment ref="C37" authorId="0" shapeId="0" xr:uid="{7AEF87B9-C17E-4974-A5BF-03B998F6AF1D}">
      <text>
        <r>
          <rPr>
            <b/>
            <sz val="9"/>
            <color indexed="81"/>
            <rFont val="Tahoma"/>
            <family val="2"/>
          </rPr>
          <t>Aya SLIKI:</t>
        </r>
        <r>
          <rPr>
            <sz val="9"/>
            <color indexed="81"/>
            <rFont val="Tahoma"/>
            <family val="2"/>
          </rPr>
          <t xml:space="preserve">
For the next five years
in today's money</t>
        </r>
      </text>
    </comment>
    <comment ref="I44" authorId="0" shapeId="0" xr:uid="{84145E2A-6574-4A19-B5C6-3C5C0F8BB44D}">
      <text>
        <r>
          <rPr>
            <b/>
            <sz val="9"/>
            <color indexed="81"/>
            <rFont val="Tahoma"/>
            <family val="2"/>
          </rPr>
          <t>Aya SLIKI:</t>
        </r>
        <r>
          <rPr>
            <sz val="9"/>
            <color indexed="81"/>
            <rFont val="Tahoma"/>
            <family val="2"/>
          </rPr>
          <t xml:space="preserve">
Equity hold the whol company value because we don’t have any more debt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Aya SLIKI</author>
  </authors>
  <commentList>
    <comment ref="C16" authorId="0" shapeId="0" xr:uid="{4487530D-3695-41E2-9FFC-9B61F1EF686C}">
      <text>
        <r>
          <rPr>
            <b/>
            <sz val="9"/>
            <color indexed="81"/>
            <rFont val="Tahoma"/>
            <family val="2"/>
          </rPr>
          <t>Aya SLIKI:</t>
        </r>
        <r>
          <rPr>
            <sz val="9"/>
            <color indexed="81"/>
            <rFont val="Tahoma"/>
            <family val="2"/>
          </rPr>
          <t xml:space="preserve">
First we put a random number then we use the solver to get the 
amount of rental fee in a way to have 0 additional to pay</t>
        </r>
      </text>
    </comment>
    <comment ref="C39" authorId="0" shapeId="0" xr:uid="{A2F4066D-2A18-4F02-BA13-46163690E053}">
      <text>
        <r>
          <rPr>
            <b/>
            <sz val="9"/>
            <color indexed="81"/>
            <rFont val="Tahoma"/>
            <family val="2"/>
          </rPr>
          <t>Aya SLIKI:</t>
        </r>
        <r>
          <rPr>
            <sz val="9"/>
            <color indexed="81"/>
            <rFont val="Tahoma"/>
            <family val="2"/>
          </rPr>
          <t xml:space="preserve">
There is an extra cost as it goes under IC</t>
        </r>
      </text>
    </comment>
    <comment ref="C52" authorId="0" shapeId="0" xr:uid="{DB34C818-8727-4826-9213-B618BE821939}">
      <text>
        <r>
          <rPr>
            <b/>
            <sz val="9"/>
            <color indexed="81"/>
            <rFont val="Tahoma"/>
            <family val="2"/>
          </rPr>
          <t>Aya SLIKI:</t>
        </r>
        <r>
          <rPr>
            <sz val="9"/>
            <color indexed="81"/>
            <rFont val="Tahoma"/>
            <family val="2"/>
          </rPr>
          <t xml:space="preserve">
In today's money, that's how much we gain</t>
        </r>
      </text>
    </comment>
    <comment ref="H52" authorId="0" shapeId="0" xr:uid="{C3F3D7C8-43A2-4ECC-A5A7-8A09442F1734}">
      <text>
        <r>
          <rPr>
            <b/>
            <sz val="9"/>
            <color indexed="81"/>
            <rFont val="Tahoma"/>
            <family val="2"/>
          </rPr>
          <t>Aya SLIKI:</t>
        </r>
        <r>
          <rPr>
            <sz val="9"/>
            <color indexed="81"/>
            <rFont val="Tahoma"/>
            <family val="2"/>
          </rPr>
          <t xml:space="preserve">
It's rA because we pay taxes on the entire company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Aya SLIKI</author>
  </authors>
  <commentList>
    <comment ref="C31" authorId="0" shapeId="0" xr:uid="{5C47897E-4BAB-491E-BC69-2B50937FDD24}">
      <text>
        <r>
          <rPr>
            <b/>
            <sz val="9"/>
            <color indexed="81"/>
            <rFont val="Tahoma"/>
            <family val="2"/>
          </rPr>
          <t>Aya SLIKI:</t>
        </r>
        <r>
          <rPr>
            <sz val="9"/>
            <color indexed="81"/>
            <rFont val="Tahoma"/>
            <family val="2"/>
          </rPr>
          <t xml:space="preserve">
Add the rental right</t>
        </r>
      </text>
    </comment>
    <comment ref="P31" authorId="0" shapeId="0" xr:uid="{D16E65B2-A17C-436B-8663-AC8DA00735FF}">
      <text>
        <r>
          <rPr>
            <b/>
            <sz val="9"/>
            <color indexed="81"/>
            <rFont val="Tahoma"/>
            <family val="2"/>
          </rPr>
          <t>Aya SLIKI:</t>
        </r>
        <r>
          <rPr>
            <sz val="9"/>
            <color indexed="81"/>
            <rFont val="Tahoma"/>
            <family val="2"/>
          </rPr>
          <t xml:space="preserve">
Add the rental right</t>
        </r>
      </text>
    </comment>
    <comment ref="I72" authorId="0" shapeId="0" xr:uid="{EE2D4D81-4E17-49BE-AEAE-1ADEF8A8CB69}">
      <text>
        <r>
          <rPr>
            <b/>
            <sz val="9"/>
            <color indexed="81"/>
            <rFont val="Tahoma"/>
            <family val="2"/>
          </rPr>
          <t>Aya SLIKI:</t>
        </r>
        <r>
          <rPr>
            <sz val="9"/>
            <color indexed="81"/>
            <rFont val="Tahoma"/>
            <family val="2"/>
          </rPr>
          <t xml:space="preserve">
We are selling the business, so no more added value</t>
        </r>
      </text>
    </comment>
    <comment ref="V72" authorId="0" shapeId="0" xr:uid="{0DDE7CF5-DF1A-405D-A74F-7DCC479B15A1}">
      <text>
        <r>
          <rPr>
            <b/>
            <sz val="9"/>
            <color indexed="81"/>
            <rFont val="Tahoma"/>
            <family val="2"/>
          </rPr>
          <t>Aya SLIKI:</t>
        </r>
        <r>
          <rPr>
            <sz val="9"/>
            <color indexed="81"/>
            <rFont val="Tahoma"/>
            <family val="2"/>
          </rPr>
          <t xml:space="preserve">
We are selling the business, so no more added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tc={BFC2A3EC-3E59-4128-A3A0-4817A54DA556}</author>
    <author>tc={FC01016E-649F-414B-8A6D-A44C84B2770C}</author>
    <author>tc={9397ABD0-3A8C-4EBF-AA5F-C1C37F6A5E03}</author>
    <author>tc={19B8F7B3-38C4-4534-830F-767B2949D5DB}</author>
    <author>tc={01B43ADB-0E13-4B94-8B5F-7D200A2A2522}</author>
    <author>tc={1A02C00C-83A1-420D-AD51-EE690B504AF7}</author>
    <author>tc={D270414E-0622-401A-A2A2-DD49C7EE0A37}</author>
    <author>tc={A7B3D6EF-42F0-4037-9298-906BCC206919}</author>
    <author>tc={46A45849-CEB8-49E0-9D28-D5FABB1C3B95}</author>
    <author>tc={834A05A2-80BF-45B5-A67A-C092D09D7504}</author>
    <author>tc={63F4AF96-173D-48C2-B78A-C31D1235A793}</author>
    <author>tc={76BA2BF3-CD49-4D11-BFEE-82FDF43C9B1A}</author>
    <author>tc={722ABA97-A56A-4EB1-AE8D-61E71A9731FC}</author>
    <author>Aya SLIKI</author>
  </authors>
  <commentList>
    <comment ref="F20" authorId="0" shapeId="0" xr:uid="{BFC2A3EC-3E59-4128-A3A0-4817A54DA556}">
      <text>
        <t xml:space="preserve">[Threaded comment]
Your version of Excel allows you to read this threaded comment; however, any edits to it will get removed if the file is opened in a newer version of Excel. Learn more: https://go.microsoft.com/fwlink/?linkid=870924
Comment:
    Post additional investmen tin year 2 of 100
</t>
      </text>
    </comment>
    <comment ref="G20" authorId="1" shapeId="0" xr:uid="{FC01016E-649F-414B-8A6D-A44C84B2770C}">
      <text>
        <t xml:space="preserve">[Threaded comment]
Your version of Excel allows you to read this threaded comment; however, any edits to it will get removed if the file is opened in a newer version of Excel. Learn more: https://go.microsoft.com/fwlink/?linkid=870924
Comment:
    4 years (6 yeat -2 years=T-t)
</t>
      </text>
    </comment>
    <comment ref="C23" authorId="2" shapeId="0" xr:uid="{9397ABD0-3A8C-4EBF-AA5F-C1C37F6A5E03}">
      <text>
        <t xml:space="preserve">[Threaded comment]
Your version of Excel allows you to read this threaded comment; however, any edits to it will get removed if the file is opened in a newer version of Excel. Learn more: https://go.microsoft.com/fwlink/?linkid=870924
Comment:
    Cleared from investment of 70
</t>
      </text>
    </comment>
    <comment ref="F23" authorId="3" shapeId="0" xr:uid="{19B8F7B3-38C4-4534-830F-767B2949D5DB}">
      <text>
        <t xml:space="preserve">[Threaded comment]
Your version of Excel allows you to read this threaded comment; however, any edits to it will get removed if the file is opened in a newer version of Excel. Learn more: https://go.microsoft.com/fwlink/?linkid=870924
Comment:
    Cleared from 100 investment in year 2
</t>
      </text>
    </comment>
    <comment ref="K24" authorId="4" shapeId="0" xr:uid="{01B43ADB-0E13-4B94-8B5F-7D200A2A2522}">
      <text>
        <t xml:space="preserve">[Threaded comment]
Your version of Excel allows you to read this threaded comment; however, any edits to it will get removed if the file is opened in a newer version of Excel. Learn more: https://go.microsoft.com/fwlink/?linkid=870924
Comment:
    Equity in 6 years
</t>
      </text>
    </comment>
    <comment ref="F25" authorId="5" shapeId="0" xr:uid="{1A02C00C-83A1-420D-AD51-EE690B504AF7}">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C26" authorId="6" shapeId="0" xr:uid="{D270414E-0622-401A-A2A2-DD49C7EE0A37}">
      <text>
        <t xml:space="preserve">[Threaded comment]
Your version of Excel allows you to read this threaded comment; however, any edits to it will get removed if the file is opened in a newer version of Excel. Learn more: https://go.microsoft.com/fwlink/?linkid=870924
Comment:
    After 70 invesement pre money of year two discounted to money value of year 0
</t>
      </text>
    </comment>
    <comment ref="K26" authorId="7" shapeId="0" xr:uid="{A7B3D6EF-42F0-4037-9298-906BCC206919}">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D27" authorId="8" shapeId="0" xr:uid="{46A45849-CEB8-49E0-9D28-D5FABB1C3B95}">
      <text>
        <t xml:space="preserve">[Threaded comment]
Your version of Excel allows you to read this threaded comment; however, any edits to it will get removed if the file is opened in a newer version of Excel. Learn more: https://go.microsoft.com/fwlink/?linkid=870924
Comment:
    Probability of succeeding </t>
      </text>
    </comment>
    <comment ref="B28" authorId="9" shapeId="0" xr:uid="{834A05A2-80BF-45B5-A67A-C092D09D7504}">
      <text>
        <t xml:space="preserve">[Threaded comment]
Your version of Excel allows you to read this threaded comment; however, any edits to it will get removed if the file is opened in a newer version of Excel. Learn more: https://go.microsoft.com/fwlink/?linkid=870924
Comment:
    If we fail one year we liquidate 90% - 18
</t>
      </text>
    </comment>
    <comment ref="C30" authorId="10" shapeId="0" xr:uid="{63F4AF96-173D-48C2-B78A-C31D1235A793}">
      <text>
        <t xml:space="preserve">[Threaded comment]
Your version of Excel allows you to read this threaded comment; however, any edits to it will get removed if the file is opened in a newer version of Excel. Learn more: https://go.microsoft.com/fwlink/?linkid=870924
Comment:
    Stake guess was put randomly, we have used solved by setting the difference of two guessed stakes at 0 by adjusting value of the first random stake 
</t>
      </text>
    </comment>
    <comment ref="D30" authorId="11" shapeId="0" xr:uid="{76BA2BF3-CD49-4D11-BFEE-82FDF43C9B1A}">
      <text>
        <t xml:space="preserve">[Threaded comment]
Your version of Excel allows you to read this threaded comment; however, any edits to it will get removed if the file is opened in a newer version of Excel. Learn more: https://go.microsoft.com/fwlink/?linkid=870924
Comment:
    Probability of failing
</t>
      </text>
    </comment>
    <comment ref="A31" authorId="12" shapeId="0" xr:uid="{722ABA97-A56A-4EB1-AE8D-61E71A9731FC}">
      <text>
        <t xml:space="preserve">[Threaded comment]
Your version of Excel allows you to read this threaded comment; however, any edits to it will get removed if the file is opened in a newer version of Excel. Learn more: https://go.microsoft.com/fwlink/?linkid=870924
Comment:
    Founders stake decreased from 46% to 33% in the year two because of the loan investment, but in the year 6 it doesn’t change because there are no extra invesments
</t>
      </text>
    </comment>
    <comment ref="F48" authorId="13" shapeId="0" xr:uid="{7C198099-44A4-4E38-9F7E-C6DA3DC74D6D}">
      <text>
        <r>
          <rPr>
            <b/>
            <sz val="9"/>
            <color indexed="81"/>
            <rFont val="Tahoma"/>
            <family val="2"/>
          </rPr>
          <t>Aya SLIKI:</t>
        </r>
        <r>
          <rPr>
            <sz val="9"/>
            <color indexed="81"/>
            <rFont val="Tahoma"/>
            <family val="2"/>
          </rPr>
          <t xml:space="preserve">
Discounting Future Value of E using Success Return rate</t>
        </r>
      </text>
    </comment>
    <comment ref="B49" authorId="13" shapeId="0" xr:uid="{D401D687-ECB5-419A-9318-994E4256E1D1}">
      <text>
        <r>
          <rPr>
            <b/>
            <sz val="9"/>
            <color indexed="81"/>
            <rFont val="Tahoma"/>
            <family val="2"/>
          </rPr>
          <t>Aya SLIKI:</t>
        </r>
        <r>
          <rPr>
            <sz val="9"/>
            <color indexed="81"/>
            <rFont val="Tahoma"/>
            <family val="2"/>
          </rPr>
          <t xml:space="preserve">
Discounting Future Value of E using Success Return rate</t>
        </r>
      </text>
    </comment>
    <comment ref="J50" authorId="13" shapeId="0" xr:uid="{94493B41-C8C6-47D0-B470-882D7825179F}">
      <text>
        <r>
          <rPr>
            <b/>
            <sz val="9"/>
            <color indexed="81"/>
            <rFont val="Tahoma"/>
            <family val="2"/>
          </rPr>
          <t>Aya SLIKI:</t>
        </r>
        <r>
          <rPr>
            <sz val="9"/>
            <color indexed="81"/>
            <rFont val="Tahoma"/>
            <family val="2"/>
          </rPr>
          <t xml:space="preserve">
Stakes will stay the same because no additional capital 3 was invested</t>
        </r>
      </text>
    </comment>
    <comment ref="B54" authorId="13" shapeId="0" xr:uid="{83D9F8EF-61D8-4A2C-A8EB-FE6F7736B77B}">
      <text>
        <r>
          <rPr>
            <b/>
            <sz val="9"/>
            <color indexed="81"/>
            <rFont val="Tahoma"/>
            <family val="2"/>
          </rPr>
          <t>Aya SLIKI:</t>
        </r>
        <r>
          <rPr>
            <sz val="9"/>
            <color indexed="81"/>
            <rFont val="Tahoma"/>
            <family val="2"/>
          </rPr>
          <t xml:space="preserve">
if we don't have it given assume %, then at the end calculate it, and use solver to get 0 in diff by changing it</t>
        </r>
      </text>
    </comment>
    <comment ref="G62" authorId="13" shapeId="0" xr:uid="{AA968349-9C96-4B7B-A263-2E7C702F09BF}">
      <text>
        <r>
          <rPr>
            <b/>
            <sz val="9"/>
            <color indexed="81"/>
            <rFont val="Tahoma"/>
            <family val="2"/>
          </rPr>
          <t>Aya SLIKI:</t>
        </r>
        <r>
          <rPr>
            <sz val="9"/>
            <color indexed="81"/>
            <rFont val="Tahoma"/>
            <family val="2"/>
          </rPr>
          <t xml:space="preserve">
It will be reinvested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tc={8939A9DC-8412-41A3-849F-A80BEFDD5E94}</author>
    <author>tc={39082D58-C4F8-4052-9E28-FE5EB02E15F5}</author>
    <author>tc={03E4B220-7C17-4557-BAC1-00B793209450}</author>
    <author>tc={6A9B35FD-EA0C-48B9-82E4-F59001C2C128}</author>
    <author>tc={F4B6C94C-4245-4726-9FC9-53E0F5025032}</author>
    <author>tc={D9C44DDC-233B-4681-8829-10CD132C860A}</author>
    <author>tc={B4862AD9-8D5B-4DBE-9010-45477524A430}</author>
    <author>tc={578FF1A2-7AAA-406B-8C7C-D2EE4B862784}</author>
    <author>tc={D00CE78D-4E6C-4064-AF41-42627CB831BC}</author>
    <author>tc={6EC237E2-921E-4913-9B30-BC9D85A40319}</author>
    <author>tc={4B77A672-B1F6-4753-9251-406B8A185034}</author>
    <author>tc={CCC7C555-9B64-4489-850A-E8619C933F22}</author>
    <author>tc={63E3978E-867F-46C7-B840-0A30761A3444}</author>
  </authors>
  <commentList>
    <comment ref="F20" authorId="0" shapeId="0" xr:uid="{8939A9DC-8412-41A3-849F-A80BEFDD5E94}">
      <text>
        <t xml:space="preserve">[Threaded comment]
Your version of Excel allows you to read this threaded comment; however, any edits to it will get removed if the file is opened in a newer version of Excel. Learn more: https://go.microsoft.com/fwlink/?linkid=870924
Comment:
    Post additional investmen tin year 2 of 100
</t>
      </text>
    </comment>
    <comment ref="G20" authorId="1" shapeId="0" xr:uid="{39082D58-C4F8-4052-9E28-FE5EB02E15F5}">
      <text>
        <t xml:space="preserve">[Threaded comment]
Your version of Excel allows you to read this threaded comment; however, any edits to it will get removed if the file is opened in a newer version of Excel. Learn more: https://go.microsoft.com/fwlink/?linkid=870924
Comment:
    4 years (6 yeat -2 years=T-t)
</t>
      </text>
    </comment>
    <comment ref="C23" authorId="2" shapeId="0" xr:uid="{03E4B220-7C17-4557-BAC1-00B793209450}">
      <text>
        <t xml:space="preserve">[Threaded comment]
Your version of Excel allows you to read this threaded comment; however, any edits to it will get removed if the file is opened in a newer version of Excel. Learn more: https://go.microsoft.com/fwlink/?linkid=870924
Comment:
    Cleared from investment of 70
</t>
      </text>
    </comment>
    <comment ref="F23" authorId="3" shapeId="0" xr:uid="{6A9B35FD-EA0C-48B9-82E4-F59001C2C128}">
      <text>
        <t xml:space="preserve">[Threaded comment]
Your version of Excel allows you to read this threaded comment; however, any edits to it will get removed if the file is opened in a newer version of Excel. Learn more: https://go.microsoft.com/fwlink/?linkid=870924
Comment:
    Cleared from 100 investment in year 2
</t>
      </text>
    </comment>
    <comment ref="K24" authorId="4" shapeId="0" xr:uid="{F4B6C94C-4245-4726-9FC9-53E0F5025032}">
      <text>
        <t xml:space="preserve">[Threaded comment]
Your version of Excel allows you to read this threaded comment; however, any edits to it will get removed if the file is opened in a newer version of Excel. Learn more: https://go.microsoft.com/fwlink/?linkid=870924
Comment:
    Equity in 6 years
</t>
      </text>
    </comment>
    <comment ref="F25" authorId="5" shapeId="0" xr:uid="{D9C44DDC-233B-4681-8829-10CD132C860A}">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C26" authorId="6" shapeId="0" xr:uid="{B4862AD9-8D5B-4DBE-9010-45477524A430}">
      <text>
        <t xml:space="preserve">[Threaded comment]
Your version of Excel allows you to read this threaded comment; however, any edits to it will get removed if the file is opened in a newer version of Excel. Learn more: https://go.microsoft.com/fwlink/?linkid=870924
Comment:
    After 70 invesement pre money of year two discounted to money value of year 0
</t>
      </text>
    </comment>
    <comment ref="K26" authorId="7" shapeId="0" xr:uid="{578FF1A2-7AAA-406B-8C7C-D2EE4B862784}">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D27" authorId="8" shapeId="0" xr:uid="{D00CE78D-4E6C-4064-AF41-42627CB831BC}">
      <text>
        <t xml:space="preserve">[Threaded comment]
Your version of Excel allows you to read this threaded comment; however, any edits to it will get removed if the file is opened in a newer version of Excel. Learn more: https://go.microsoft.com/fwlink/?linkid=870924
Comment:
    Probability of succeeding </t>
      </text>
    </comment>
    <comment ref="B28" authorId="9" shapeId="0" xr:uid="{6EC237E2-921E-4913-9B30-BC9D85A40319}">
      <text>
        <t xml:space="preserve">[Threaded comment]
Your version of Excel allows you to read this threaded comment; however, any edits to it will get removed if the file is opened in a newer version of Excel. Learn more: https://go.microsoft.com/fwlink/?linkid=870924
Comment:
    If we fail one year we liquidate 90% - 18
</t>
      </text>
    </comment>
    <comment ref="C30" authorId="10" shapeId="0" xr:uid="{4B77A672-B1F6-4753-9251-406B8A185034}">
      <text>
        <t xml:space="preserve">[Threaded comment]
Your version of Excel allows you to read this threaded comment; however, any edits to it will get removed if the file is opened in a newer version of Excel. Learn more: https://go.microsoft.com/fwlink/?linkid=870924
Comment:
    Stake guess was put randomly, we have used solved by setting the difference of two guessed stakes at 0 by adjusting value of the first random stake 
</t>
      </text>
    </comment>
    <comment ref="D30" authorId="11" shapeId="0" xr:uid="{CCC7C555-9B64-4489-850A-E8619C933F22}">
      <text>
        <t xml:space="preserve">[Threaded comment]
Your version of Excel allows you to read this threaded comment; however, any edits to it will get removed if the file is opened in a newer version of Excel. Learn more: https://go.microsoft.com/fwlink/?linkid=870924
Comment:
    Probability of failing
</t>
      </text>
    </comment>
    <comment ref="A31" authorId="12" shapeId="0" xr:uid="{63E3978E-867F-46C7-B840-0A30761A3444}">
      <text>
        <t xml:space="preserve">[Threaded comment]
Your version of Excel allows you to read this threaded comment; however, any edits to it will get removed if the file is opened in a newer version of Excel. Learn more: https://go.microsoft.com/fwlink/?linkid=870924
Comment:
    Founders stake decreased from 46% to 33% in the year two because of the loan investment, but in the year 6 it doesn’t change because there are no extra invesments
</t>
      </text>
    </comment>
  </commentList>
</comments>
</file>

<file path=xl/sharedStrings.xml><?xml version="1.0" encoding="utf-8"?>
<sst xmlns="http://schemas.openxmlformats.org/spreadsheetml/2006/main" count="1875" uniqueCount="631">
  <si>
    <t>Session</t>
  </si>
  <si>
    <t>Case name</t>
  </si>
  <si>
    <t>Topic</t>
  </si>
  <si>
    <t>Questions</t>
  </si>
  <si>
    <t>None</t>
  </si>
  <si>
    <t>KebabShop</t>
  </si>
  <si>
    <t>1. Review the financial plan and give an overview of what the new strategy may look like.
2. Predict the financial statements of the company. (Assume 360-day years.)
3. How much dividend can be paid in each of the years? (Assume that additional equity need is covered using retained earnings if possible.)
4. Calculate the business cash flow for all years.
5. Quantify the value drivers both historically and for the predicted years.</t>
  </si>
  <si>
    <t>KebabShopISMoving</t>
  </si>
  <si>
    <t>DCF methods</t>
  </si>
  <si>
    <t>done</t>
  </si>
  <si>
    <t>1. Based on the data provided, calculate the maximum amount that the family may spend on renting the new real estate for the next five years.
2. How would the maximum change if it was the firm operating the restaurant to buy the rental rights?
3. What would the maximum yearly rental fee be if the municipality would not insist on one upfront payment?</t>
  </si>
  <si>
    <t>kebabShopGoesOnline</t>
  </si>
  <si>
    <t xml:space="preserve">
1. Based on the data provided, calculate the maximum amount that the family should pay for setting up the online sales and home delivery business. Use all DCF methods you know.
2. What is the maximum percent of ownership that they may offer in exchange for Jane covering all the costs?
3. Which of the two solutions would be more advantageous?</t>
  </si>
  <si>
    <t>KebabShopMustGoOn</t>
  </si>
  <si>
    <t>1. Calculate the firm's current value using all the DCF methods you know.
2. How would your results change if the expected growth were one percentage point higher during the terminal value period?
3. How would the growth effect change if RONIC would equal 12% during the terminal value period?
4. Is there a point in running the firm if we expect no project to create added value during the terminal value period?</t>
  </si>
  <si>
    <t>Financing Challenge</t>
  </si>
  <si>
    <t>1. Calculate the firm's current value using all the DCF methods you know for both alternatives. Assume new projects generate no added value during the TV period.
2. How would your results change depending on whether the garage uses fair value accounting or the classic method?
3. Which of the offers is more advantageous for the garage?
4. How would your calculation change for the subsidised loan case if only 80% of the interest could be deducted from the tax base?</t>
  </si>
  <si>
    <t>TheToyStory</t>
  </si>
  <si>
    <t>Multiples</t>
  </si>
  <si>
    <t xml:space="preserve">
1. You found some recent similar transactions and also collected information from the European stock markets. Based on the data provided, estimate the likely market price of the Toy Story.
2. What would be the value of Julian’s stake?
3. What are some of the challenges of the valuation performed?</t>
  </si>
  <si>
    <t>AssetBased</t>
  </si>
  <si>
    <t xml:space="preserve">1. What is the maximum price to offer for the 100 percent ownership of CarryOn Ltd if the construction works will require two years? Of the 1.1 billion HUF total investment due completely at the end of the works 60 percent would be linked to the apartments. The cost of capital for renting is 10 percent, while that of real estate development amounts to 15 percent, and that of logistics equals 12 percent. The corporate tax rate is 20 percent. 2. What additional problems emerge during this business compared to traditional contraction and development projects? </t>
  </si>
  <si>
    <t>Premiums</t>
  </si>
  <si>
    <t>1. Estimate the current value of Rainbow.
2. What further information would you need for providing a more precise estimation? 
3. What would be your maximum price offered for the 20% stake of Rainbow as an outside investor? 
4. How would your results differ if considering the purchase from the point of view the CEO leaving the firm? What about the value for other CEO staying?
5. What do you think the outcome of the transaction would be?
 </t>
  </si>
  <si>
    <t>TogetherWeCan</t>
  </si>
  <si>
    <t>M&amp;A</t>
  </si>
  <si>
    <t>1. What is the minimum price Albert and Julian would accept? What is the maximum price WSIA would pay?
2. How would your answer change if the seller faced transaction costs (advisory and legal costs) amounting to 300, while the buyer would have to pay 600 for the same?
3. How much is the total synergy predicted? What part of that comes from cost synergy (change of initial ROIC) and sales synergy (higher growth)?
4. After several weeks of bargaining, they agreed on a price that covers handing over 30 percent of the synergies expected by WSIA to the current owners. As Julian is in bad need of money, Toy Story owners ask for 40 percent of the price in cash, while for the remainder, they will become owners of the new, merged firm. What percentage of ownership should they get?
5. Would it make any difference in the takeover price if WSIA were of half the size (consider IC) as it is now?
 </t>
  </si>
  <si>
    <t>Sales</t>
  </si>
  <si>
    <t>Material Expenses</t>
  </si>
  <si>
    <t>Labour Expeneses</t>
  </si>
  <si>
    <t>D&amp;A</t>
  </si>
  <si>
    <t>Operational profit</t>
  </si>
  <si>
    <t>Interest</t>
  </si>
  <si>
    <t>Profit before tax</t>
  </si>
  <si>
    <t>Tax</t>
  </si>
  <si>
    <t>Profit after tax</t>
  </si>
  <si>
    <t>Dividend</t>
  </si>
  <si>
    <t>Retained earnings</t>
  </si>
  <si>
    <t>Addition Equity needed</t>
  </si>
  <si>
    <t>Share issue/buyback</t>
  </si>
  <si>
    <t>PP&amp;E</t>
  </si>
  <si>
    <t>Investory</t>
  </si>
  <si>
    <t>Receivables</t>
  </si>
  <si>
    <t>Cash</t>
  </si>
  <si>
    <t>Payables</t>
  </si>
  <si>
    <t>Debt</t>
  </si>
  <si>
    <t>Equity</t>
  </si>
  <si>
    <t>g Sales</t>
  </si>
  <si>
    <t>Material exp/Sales</t>
  </si>
  <si>
    <t>Labour exp/Sales</t>
  </si>
  <si>
    <t>D&amp;A/PPE boy</t>
  </si>
  <si>
    <t>PPE boy/Sales</t>
  </si>
  <si>
    <t>Inventory tod (raw material only!)</t>
  </si>
  <si>
    <t>Receivables tod</t>
  </si>
  <si>
    <t>Cash/Sales</t>
  </si>
  <si>
    <t>Payables tod</t>
  </si>
  <si>
    <t>Debt/IC</t>
  </si>
  <si>
    <t>rD</t>
  </si>
  <si>
    <t>t</t>
  </si>
  <si>
    <t>IC eoy</t>
  </si>
  <si>
    <t>Div%</t>
  </si>
  <si>
    <t>effective tax rate</t>
  </si>
  <si>
    <t>Tax on EBT</t>
  </si>
  <si>
    <t>NOPLAT</t>
  </si>
  <si>
    <t>Gross CF</t>
  </si>
  <si>
    <r>
      <rPr>
        <sz val="12"/>
        <color theme="1"/>
        <rFont val="Symbol"/>
        <family val="1"/>
        <charset val="2"/>
      </rPr>
      <t>D</t>
    </r>
    <r>
      <rPr>
        <sz val="12"/>
        <color theme="1"/>
        <rFont val="Calibri"/>
        <family val="2"/>
        <charset val="238"/>
        <scheme val="minor"/>
      </rPr>
      <t>Inventory</t>
    </r>
  </si>
  <si>
    <r>
      <rPr>
        <sz val="12"/>
        <color theme="1"/>
        <rFont val="Symbol"/>
        <family val="1"/>
        <charset val="2"/>
      </rPr>
      <t>D</t>
    </r>
    <r>
      <rPr>
        <sz val="12"/>
        <color theme="1"/>
        <rFont val="Calibri"/>
        <family val="2"/>
        <charset val="238"/>
        <scheme val="minor"/>
      </rPr>
      <t>Receivables</t>
    </r>
  </si>
  <si>
    <r>
      <rPr>
        <sz val="12"/>
        <color theme="1"/>
        <rFont val="Symbol"/>
        <family val="1"/>
        <charset val="2"/>
      </rPr>
      <t>D</t>
    </r>
    <r>
      <rPr>
        <sz val="12"/>
        <color theme="1"/>
        <rFont val="Calibri"/>
        <family val="1"/>
        <charset val="2"/>
        <scheme val="minor"/>
      </rPr>
      <t>Cash</t>
    </r>
  </si>
  <si>
    <r>
      <rPr>
        <sz val="12"/>
        <color theme="1"/>
        <rFont val="Symbol"/>
        <family val="1"/>
        <charset val="2"/>
      </rPr>
      <t>D</t>
    </r>
    <r>
      <rPr>
        <sz val="12"/>
        <color theme="1"/>
        <rFont val="Calibri"/>
        <family val="1"/>
        <charset val="2"/>
        <scheme val="minor"/>
      </rPr>
      <t>Payables</t>
    </r>
  </si>
  <si>
    <t>Operational CF</t>
  </si>
  <si>
    <t>-D&amp;A</t>
  </si>
  <si>
    <t>dPP&amp;E</t>
  </si>
  <si>
    <t>Dividend and interest income</t>
  </si>
  <si>
    <t>Tax on financial income</t>
  </si>
  <si>
    <t>Investment CF</t>
  </si>
  <si>
    <t>FCFF</t>
  </si>
  <si>
    <t>Tax shield Interest*t</t>
  </si>
  <si>
    <t>dDebt</t>
  </si>
  <si>
    <t>FCFE</t>
  </si>
  <si>
    <t>dEquity w/o Ret Earn</t>
  </si>
  <si>
    <t>dUnneeded wealth</t>
  </si>
  <si>
    <t>Noplat</t>
  </si>
  <si>
    <t>dInv</t>
  </si>
  <si>
    <t>dREc</t>
  </si>
  <si>
    <t>dCash</t>
  </si>
  <si>
    <t>dPay</t>
  </si>
  <si>
    <t>CF form operation</t>
  </si>
  <si>
    <t>CF from Investment</t>
  </si>
  <si>
    <t>Tax shield</t>
  </si>
  <si>
    <t>Dequity w/o Ret Ear</t>
  </si>
  <si>
    <t>IC boy</t>
  </si>
  <si>
    <t>dIC</t>
  </si>
  <si>
    <t>g</t>
  </si>
  <si>
    <t>ROIC</t>
  </si>
  <si>
    <t>RONIC</t>
  </si>
  <si>
    <t>K</t>
  </si>
  <si>
    <t>STEPS</t>
  </si>
  <si>
    <t>4)</t>
  </si>
  <si>
    <t>IC = IC boy+ dIC</t>
  </si>
  <si>
    <t xml:space="preserve">dIC is known </t>
  </si>
  <si>
    <t>3)</t>
  </si>
  <si>
    <t>dIC (Change)</t>
  </si>
  <si>
    <t>2. NOPLAT ICboy * ROIC</t>
  </si>
  <si>
    <t xml:space="preserve">ROIC is known </t>
  </si>
  <si>
    <t>4. NOPLAT = EBIT*(1-t)</t>
  </si>
  <si>
    <t>ROIC is unknown, RONIC is known</t>
  </si>
  <si>
    <t>=NOPLAT(n-1)+dIC(n-1)*RONIC(n)</t>
  </si>
  <si>
    <t>4. EBIT=NOPLAT /(1-t)</t>
  </si>
  <si>
    <t xml:space="preserve">NOPLAT is known </t>
  </si>
  <si>
    <t>Debt/IC boy</t>
  </si>
  <si>
    <t>5. dIC= K*NOPLAT</t>
  </si>
  <si>
    <t>6. D boy= IC boy * Debt / IC boy</t>
  </si>
  <si>
    <t>rA</t>
  </si>
  <si>
    <t>7. BV Equity =  IC boy - Debt boy</t>
  </si>
  <si>
    <t>8. Moving cost = Moving cost/ IC eo8  * IC eoy</t>
  </si>
  <si>
    <t>end of year IC 2029 is boy 2030</t>
  </si>
  <si>
    <t>Moving costs/IC eoy</t>
  </si>
  <si>
    <t xml:space="preserve">9.  EBIT*  = EBIT- moving costs </t>
  </si>
  <si>
    <t>10.  NOPLAT* = EBIT*(1-t)</t>
  </si>
  <si>
    <t>10)</t>
  </si>
  <si>
    <t>D boy</t>
  </si>
  <si>
    <t>11. dIC= IC (n) - IC (n-1)</t>
  </si>
  <si>
    <t>11)</t>
  </si>
  <si>
    <t>BV Equity boy</t>
  </si>
  <si>
    <t>12. FCFF= NOPLAT-dIC</t>
  </si>
  <si>
    <t>13. Interest = Debt boy * dDebt</t>
  </si>
  <si>
    <t xml:space="preserve">14. Tax Shield = Interest * t </t>
  </si>
  <si>
    <t>2)</t>
  </si>
  <si>
    <t>EBIT</t>
  </si>
  <si>
    <t>15. Change in Debt = D (n) - D (n-1)</t>
  </si>
  <si>
    <t>1)</t>
  </si>
  <si>
    <t xml:space="preserve">Change in debt last year is from assumtption that debt is fully paid out by the end of the period </t>
  </si>
  <si>
    <t>5)</t>
  </si>
  <si>
    <t>Moving Costs</t>
  </si>
  <si>
    <t>16. FCFE = FCFF - Interest + Tax Shield + Change in Shield</t>
  </si>
  <si>
    <t>"</t>
  </si>
  <si>
    <t>EBIT*</t>
  </si>
  <si>
    <t>APV: Added Present Value Method</t>
  </si>
  <si>
    <t>7)</t>
  </si>
  <si>
    <t>NOPLAT*</t>
  </si>
  <si>
    <t>to be discounted with rA</t>
  </si>
  <si>
    <t>8)</t>
  </si>
  <si>
    <t>17. FCFF + TS</t>
  </si>
  <si>
    <t>9)</t>
  </si>
  <si>
    <t>18. V boy (last year) = BV Equity boy</t>
  </si>
  <si>
    <t>12)</t>
  </si>
  <si>
    <t>"= (FCFF + TS (n) + V boy (n)(/(1+rA (n))</t>
  </si>
  <si>
    <t>13)</t>
  </si>
  <si>
    <t>Tax Shield</t>
  </si>
  <si>
    <t>19. Max amount to pay for rent = V boy-IC boy</t>
  </si>
  <si>
    <t>14)</t>
  </si>
  <si>
    <t>Change in Debt (Increase in Debt)</t>
  </si>
  <si>
    <t>15)</t>
  </si>
  <si>
    <t>to be discounted with rE</t>
  </si>
  <si>
    <t>20. E boy (last year) = IC boy (last year)</t>
  </si>
  <si>
    <t>APV Valuation</t>
  </si>
  <si>
    <t>FCFF + TS</t>
  </si>
  <si>
    <t>"= (FCFE (n) + E boy ( n+1))/(1+rE)</t>
  </si>
  <si>
    <t>V boy</t>
  </si>
  <si>
    <t>21. V boy = E boy+D boy</t>
  </si>
  <si>
    <t>Q1-</t>
  </si>
  <si>
    <t>Max to pay</t>
  </si>
  <si>
    <t>D/V</t>
  </si>
  <si>
    <t>rE</t>
  </si>
  <si>
    <t>FCFE Valuation</t>
  </si>
  <si>
    <t>E boy</t>
  </si>
  <si>
    <t>Check</t>
  </si>
  <si>
    <t>Steps</t>
  </si>
  <si>
    <t>1. IC = IC boy+ dIC</t>
  </si>
  <si>
    <t>We put random number for rental rights in the first year, in eacg consecuitive year, the pymen will be reduced by 1/6 of the payment becaue rental period is 6 years</t>
  </si>
  <si>
    <t>BV Equity boy= IC boy  - D boy + Rental rights</t>
  </si>
  <si>
    <t>D&amp;A renatal right = Rental right (first year)/6</t>
  </si>
  <si>
    <t>EBIT*  = EBIT- moving costs - D&amp;A renatal right</t>
  </si>
  <si>
    <t>Rental Right boy</t>
  </si>
  <si>
    <t xml:space="preserve"> NOPLAT* = EBIT*(1-t)</t>
  </si>
  <si>
    <t xml:space="preserve">same each year </t>
  </si>
  <si>
    <t xml:space="preserve"> dIC= IC (n) - IC (n-1)</t>
  </si>
  <si>
    <t>d Rental Yield = Rental rights (n)-Rental rights(n)</t>
  </si>
  <si>
    <t xml:space="preserve">negative number </t>
  </si>
  <si>
    <t xml:space="preserve"> FCFF= NOPLAT-dIC- d Rental Yield </t>
  </si>
  <si>
    <t>.Interest = Debt boy * dDebt</t>
  </si>
  <si>
    <t xml:space="preserve"> Tax Shield = Interest * t </t>
  </si>
  <si>
    <t xml:space="preserve"> Change in Debt = D (n) - D (n-1)</t>
  </si>
  <si>
    <t>D&amp;A rental rights</t>
  </si>
  <si>
    <t xml:space="preserve"> FCFE = FCFF - Interest + Tax Shield + Change in Shield</t>
  </si>
  <si>
    <t xml:space="preserve"> FCFF + TS</t>
  </si>
  <si>
    <t>d Rental Yield</t>
  </si>
  <si>
    <t xml:space="preserve"> V boy (last year) = BV Equity boy</t>
  </si>
  <si>
    <t>Rental right boy of the first year</t>
  </si>
  <si>
    <t>Additional to pay:= V boy - IC boy- Rental right boy</t>
  </si>
  <si>
    <t>must be 0</t>
  </si>
  <si>
    <t xml:space="preserve"> D/V</t>
  </si>
  <si>
    <t>rE=(rA-rD*D/V)/(1-D/V)</t>
  </si>
  <si>
    <t>Rental right boy</t>
  </si>
  <si>
    <t xml:space="preserve"> E boy (last year) = IC boy (last year)</t>
  </si>
  <si>
    <t>Additional to pay</t>
  </si>
  <si>
    <t>V boy = E boy+D boy</t>
  </si>
  <si>
    <t>Extra tax Shield = Rental Right *t</t>
  </si>
  <si>
    <t>PV extra tax shield = (Tax Shiled + Extra Tax shield)/(1+rA)</t>
  </si>
  <si>
    <t>Max Pay to individuals = Max to Pay from Previous Sheet</t>
  </si>
  <si>
    <t>Max to Pay to Business= Rental right first year payment</t>
  </si>
  <si>
    <t xml:space="preserve">Difference = to Business- to Individuals </t>
  </si>
  <si>
    <t>Check: Difference should be equla to PV of TS rental right</t>
  </si>
  <si>
    <t xml:space="preserve">Extra Tax shield </t>
  </si>
  <si>
    <t>PV TS rental right</t>
  </si>
  <si>
    <t>Max Pay to individuals</t>
  </si>
  <si>
    <t>Max to Pay to Business</t>
  </si>
  <si>
    <t>Difference</t>
  </si>
  <si>
    <t>Rental right = 0</t>
  </si>
  <si>
    <t xml:space="preserve">We put random number for yearly rental fee </t>
  </si>
  <si>
    <t>EBIT*  = EBIT- moving costs - yearly rental fee</t>
  </si>
  <si>
    <t>d Rental Yield =0</t>
  </si>
  <si>
    <t>Yearly Rental fee</t>
  </si>
  <si>
    <t>Rental right boy =0</t>
  </si>
  <si>
    <t>Max to pay = V boy - IC boy</t>
  </si>
  <si>
    <t>Max to Pay</t>
  </si>
  <si>
    <t xml:space="preserve">Total amount Paid = yearly rental fee  +yearly rental fee TS </t>
  </si>
  <si>
    <t>PV paid= (Total amount Paid+TS)/(1+rA)</t>
  </si>
  <si>
    <t>Total amount Paid</t>
  </si>
  <si>
    <t>PV paid</t>
  </si>
  <si>
    <t>Max to Pay to Business net TS</t>
  </si>
  <si>
    <t>Q1</t>
  </si>
  <si>
    <t>Rental rights = 1200, the pyment will be reduced by 1/6 of the payment becaue rental period is 6 years</t>
  </si>
  <si>
    <t>D boy = IC boy * D/IC boy</t>
  </si>
  <si>
    <t>same each year</t>
  </si>
  <si>
    <t>APV Method</t>
  </si>
  <si>
    <t>needed:</t>
  </si>
  <si>
    <t>FCFE Method</t>
  </si>
  <si>
    <t>FCFF Method</t>
  </si>
  <si>
    <t>WACC</t>
  </si>
  <si>
    <t>needed: D/V and rE, E</t>
  </si>
  <si>
    <t xml:space="preserve"> D/V                (V is from APV method)</t>
  </si>
  <si>
    <t>FCFE   from step 22</t>
  </si>
  <si>
    <t>EVA Method</t>
  </si>
  <si>
    <t>Total IC x WACC</t>
  </si>
  <si>
    <t>to be discounted with WACC</t>
  </si>
  <si>
    <t>EVA</t>
  </si>
  <si>
    <t>WACC=rE*(1-D/V)+rD*D/V*(1-t)</t>
  </si>
  <si>
    <t>PV EVA</t>
  </si>
  <si>
    <t>FCFF   from step 17</t>
  </si>
  <si>
    <t>Total IC</t>
  </si>
  <si>
    <t>"= (FCFF (b) + V boy (n+1)(/(1+WACC(n))</t>
  </si>
  <si>
    <t>EVA: Economic Value Added</t>
  </si>
  <si>
    <t>RI Method</t>
  </si>
  <si>
    <t>Needed:</t>
  </si>
  <si>
    <t>NOPLAT* from step 14</t>
  </si>
  <si>
    <t>Corporate Tax</t>
  </si>
  <si>
    <t>Profit after Tax</t>
  </si>
  <si>
    <t>EVA=NOPLAT*-Total IC x WACC</t>
  </si>
  <si>
    <t>PV EVA in the ;ast year is 0 cuz we sell the bsuiness there is no further valuye added</t>
  </si>
  <si>
    <t>PV EVA(n)=(EVA(n)+PV EV(n+1))/(1+WACC)</t>
  </si>
  <si>
    <t>BV Equity * rE</t>
  </si>
  <si>
    <t>Total IC=IC boy+Rental right boy</t>
  </si>
  <si>
    <t>RI</t>
  </si>
  <si>
    <t>V boy=PV EVA+ Total IC</t>
  </si>
  <si>
    <t>PV RI</t>
  </si>
  <si>
    <t>Profit before tax= EBIT - Interest</t>
  </si>
  <si>
    <t>Corporate tax</t>
  </si>
  <si>
    <t>Added value (max to pay)</t>
  </si>
  <si>
    <t>Then we should hire Jane</t>
  </si>
  <si>
    <t>If there is profit: = profit * t</t>
  </si>
  <si>
    <t>Stake to give</t>
  </si>
  <si>
    <t>Percentage in Equity</t>
  </si>
  <si>
    <t>If there is loss: = 0</t>
  </si>
  <si>
    <t>Profit after Tax= profit before tax - tax</t>
  </si>
  <si>
    <t>Should we give a stake? It depends</t>
  </si>
  <si>
    <t>RI= Profit after tax BV Equity * rE</t>
  </si>
  <si>
    <t>PV RI = (RI(n)+PV RI(n+1))/(1+rE)</t>
  </si>
  <si>
    <t>E boy = BV Equity boy + PV RI</t>
  </si>
  <si>
    <t>V boy= E boy + D boy</t>
  </si>
  <si>
    <t>Stake calculation</t>
  </si>
  <si>
    <t>Added value (max to pay)= new V boy- V boy from left</t>
  </si>
  <si>
    <t>Stake to give=Added value/E boy</t>
  </si>
  <si>
    <t>TV1</t>
  </si>
  <si>
    <t>TV2</t>
  </si>
  <si>
    <t>Debt/V boy</t>
  </si>
  <si>
    <t xml:space="preserve">K </t>
  </si>
  <si>
    <t>Debt boy</t>
  </si>
  <si>
    <t>noplat * K</t>
  </si>
  <si>
    <t>d Debt</t>
  </si>
  <si>
    <t>FCFF+TS</t>
  </si>
  <si>
    <t>check</t>
  </si>
  <si>
    <t>Total IC * WACC</t>
  </si>
  <si>
    <t xml:space="preserve">EVA </t>
  </si>
  <si>
    <t xml:space="preserve">Total IC </t>
  </si>
  <si>
    <t>PBT</t>
  </si>
  <si>
    <t>PAT</t>
  </si>
  <si>
    <t>BV Equity *rE</t>
  </si>
  <si>
    <t>BV Equity  boy</t>
  </si>
  <si>
    <t>ORGINAL</t>
  </si>
  <si>
    <t>HIGHER RONIC</t>
  </si>
  <si>
    <t>rD for WACC</t>
  </si>
  <si>
    <t>Bond</t>
  </si>
  <si>
    <t>Face Value boy</t>
  </si>
  <si>
    <t>rD bond</t>
  </si>
  <si>
    <t>Principal payment</t>
  </si>
  <si>
    <t>Interest payment</t>
  </si>
  <si>
    <t>Bond CF</t>
  </si>
  <si>
    <t>PV bond CF boy (D)</t>
  </si>
  <si>
    <t>Fair value  accounting</t>
  </si>
  <si>
    <t>BV D boy</t>
  </si>
  <si>
    <t>d BV Equity-Retained E.</t>
  </si>
  <si>
    <t>dNon-op wealth</t>
  </si>
  <si>
    <t>Total IC*WACC</t>
  </si>
  <si>
    <t>TV formula:</t>
  </si>
  <si>
    <t>d BV Equity required</t>
  </si>
  <si>
    <t>BV Equity*rE</t>
  </si>
  <si>
    <t>Classic Accounting</t>
  </si>
  <si>
    <t>Off-balance Asset/Liability</t>
  </si>
  <si>
    <t>d BV Debt</t>
  </si>
  <si>
    <t>Rewrite Net loan /V</t>
  </si>
  <si>
    <t>Net Debt/V boy</t>
  </si>
  <si>
    <t>Rewrite Interest/Net loan</t>
  </si>
  <si>
    <t>Loan</t>
  </si>
  <si>
    <t>Total Outstanding boy</t>
  </si>
  <si>
    <t>Subsidised Interest</t>
  </si>
  <si>
    <t>rD market</t>
  </si>
  <si>
    <t>Loan CF</t>
  </si>
  <si>
    <t>PV Loan CF boy (D)</t>
  </si>
  <si>
    <t>Net Loan</t>
  </si>
  <si>
    <t>DSRA boy</t>
  </si>
  <si>
    <t>dDSRA</t>
  </si>
  <si>
    <t>rD for rA</t>
  </si>
  <si>
    <t>insert row</t>
  </si>
  <si>
    <t>Tax deductible interest %</t>
  </si>
  <si>
    <t>Tax deductible interest</t>
  </si>
  <si>
    <t>Change formula +C51</t>
  </si>
  <si>
    <t>Change formula until G_C48*C33</t>
  </si>
  <si>
    <t>FORMULA until G: IF(C97&gt;0;(C97+C96-C48)*C33;0)</t>
  </si>
  <si>
    <t>EBITDA</t>
  </si>
  <si>
    <t>Inventory</t>
  </si>
  <si>
    <t>Split of activity</t>
  </si>
  <si>
    <t>Shops</t>
  </si>
  <si>
    <t>Web shop</t>
  </si>
  <si>
    <r>
      <t>Shop area (m</t>
    </r>
    <r>
      <rPr>
        <vertAlign val="superscript"/>
        <sz val="12"/>
        <color theme="1"/>
        <rFont val="Calibri"/>
        <family val="2"/>
        <charset val="238"/>
        <scheme val="minor"/>
      </rPr>
      <t>2</t>
    </r>
    <r>
      <rPr>
        <sz val="12"/>
        <color theme="1"/>
        <rFont val="Calibri"/>
        <family val="2"/>
        <charset val="238"/>
        <scheme val="minor"/>
      </rPr>
      <t>)</t>
    </r>
  </si>
  <si>
    <t>Comparable transactions</t>
  </si>
  <si>
    <t>Transaction</t>
  </si>
  <si>
    <t>A</t>
  </si>
  <si>
    <t>B</t>
  </si>
  <si>
    <t>C</t>
  </si>
  <si>
    <t>D</t>
  </si>
  <si>
    <t>Year</t>
  </si>
  <si>
    <t>Activity</t>
  </si>
  <si>
    <t>Grocery</t>
  </si>
  <si>
    <t>Supermarket</t>
  </si>
  <si>
    <t>Toy retail</t>
  </si>
  <si>
    <t>Online toy retail</t>
  </si>
  <si>
    <t>Country</t>
  </si>
  <si>
    <t>Hungary</t>
  </si>
  <si>
    <t>Germany</t>
  </si>
  <si>
    <t>Poland</t>
  </si>
  <si>
    <t>Stake</t>
  </si>
  <si>
    <t>Price paid</t>
  </si>
  <si>
    <t>Market multiples for retail</t>
  </si>
  <si>
    <t>CEE</t>
  </si>
  <si>
    <t>West EU</t>
  </si>
  <si>
    <t>N</t>
  </si>
  <si>
    <t>EV/S</t>
  </si>
  <si>
    <t>EV/EBITDA</t>
  </si>
  <si>
    <t>Average</t>
  </si>
  <si>
    <t>Stake value</t>
  </si>
  <si>
    <t>EV peers</t>
  </si>
  <si>
    <t>EV</t>
  </si>
  <si>
    <t>Corrections</t>
  </si>
  <si>
    <t>EV*</t>
  </si>
  <si>
    <t>P</t>
  </si>
  <si>
    <t>50-50% discount</t>
  </si>
  <si>
    <t>P*</t>
  </si>
  <si>
    <t>EV/Sales</t>
  </si>
  <si>
    <t>Min</t>
  </si>
  <si>
    <t>Max</t>
  </si>
  <si>
    <t>EV/m2</t>
  </si>
  <si>
    <t>MY EV</t>
  </si>
  <si>
    <t>EV (Sales)</t>
  </si>
  <si>
    <t>For historical transactions forecasted values are not shared, so multiples are not likely to be based on forecasted values.</t>
  </si>
  <si>
    <t>EV (EBITDA)</t>
  </si>
  <si>
    <t>EV (sales area)</t>
  </si>
  <si>
    <t>Discounts may be needed to remove synergic, country and size effects.</t>
  </si>
  <si>
    <t>Discounts needed for liquidity and size, premium to remove miniority discount</t>
  </si>
  <si>
    <t>General</t>
  </si>
  <si>
    <t>Corporate tax rate</t>
  </si>
  <si>
    <t>LOGISTICS</t>
  </si>
  <si>
    <t>New EBITDA</t>
  </si>
  <si>
    <t>rA renting</t>
  </si>
  <si>
    <t>rA real estete dev</t>
  </si>
  <si>
    <t>E</t>
  </si>
  <si>
    <t>Approach 1</t>
  </si>
  <si>
    <t>rA logistics</t>
  </si>
  <si>
    <t>Logistics</t>
  </si>
  <si>
    <t>Old EV</t>
  </si>
  <si>
    <t>someone else pays rental fee</t>
  </si>
  <si>
    <t>M HUF</t>
  </si>
  <si>
    <t>Rental fee</t>
  </si>
  <si>
    <t>growing pp = C/(r-g)   * (1+r)</t>
  </si>
  <si>
    <t>Rental fee is tax deductable , so 12*(1-t) should be used</t>
  </si>
  <si>
    <t>EV corrected</t>
  </si>
  <si>
    <t>EV/EBIDTA</t>
  </si>
  <si>
    <t>EBITDA multiple</t>
  </si>
  <si>
    <t>Equity 2</t>
  </si>
  <si>
    <t>Approach 2</t>
  </si>
  <si>
    <t>Expected rental fee</t>
  </si>
  <si>
    <t>Roads</t>
  </si>
  <si>
    <t>Real estate development</t>
  </si>
  <si>
    <t>Value</t>
  </si>
  <si>
    <t>Other income</t>
  </si>
  <si>
    <t>(price of asset sold)</t>
  </si>
  <si>
    <t>Book value of real estate</t>
  </si>
  <si>
    <t>Other expense</t>
  </si>
  <si>
    <t>(BV of asset sold)</t>
  </si>
  <si>
    <t>Time need</t>
  </si>
  <si>
    <t>years</t>
  </si>
  <si>
    <t>Investment need</t>
  </si>
  <si>
    <t>tax</t>
  </si>
  <si>
    <t>Road</t>
  </si>
  <si>
    <t>Plot ratio</t>
  </si>
  <si>
    <t>Investment ratio</t>
  </si>
  <si>
    <t>RESIDENTIAL</t>
  </si>
  <si>
    <t>Sales price</t>
  </si>
  <si>
    <t>Income Statement</t>
  </si>
  <si>
    <t xml:space="preserve">CF </t>
  </si>
  <si>
    <t>Revenue</t>
  </si>
  <si>
    <t>Housing</t>
  </si>
  <si>
    <t>Cost of construction</t>
  </si>
  <si>
    <t>BV land cost</t>
  </si>
  <si>
    <t>Profit</t>
  </si>
  <si>
    <t>CF in 2 years</t>
  </si>
  <si>
    <t>CF today</t>
  </si>
  <si>
    <t>Offices</t>
  </si>
  <si>
    <t>Office buildings</t>
  </si>
  <si>
    <t xml:space="preserve">we used the rest </t>
  </si>
  <si>
    <t>Construction cost</t>
  </si>
  <si>
    <t>in 2 years</t>
  </si>
  <si>
    <t>PV (construction cost)</t>
  </si>
  <si>
    <t>Useful lifetime</t>
  </si>
  <si>
    <t>Tax lifetime</t>
  </si>
  <si>
    <t>Rental income</t>
  </si>
  <si>
    <t>Value from renting</t>
  </si>
  <si>
    <t>Rental * (1- tax)</t>
  </si>
  <si>
    <t>Growing annuity WITHOUT  D&amp;A= (c/(r-g) *  (1- (1+g)^n / (1+r) ^n))* (1+r)</t>
  </si>
  <si>
    <t>tax shield of D&amp;A</t>
  </si>
  <si>
    <t>PV (in year 2)</t>
  </si>
  <si>
    <t>Non growing annuity (20 yrs)</t>
  </si>
  <si>
    <t>Total value</t>
  </si>
  <si>
    <t>PV (Total value):  today</t>
  </si>
  <si>
    <t>Total</t>
  </si>
  <si>
    <t>Rainbow</t>
  </si>
  <si>
    <t>Manager</t>
  </si>
  <si>
    <t>rA sanitary</t>
  </si>
  <si>
    <t>rA hospitality</t>
  </si>
  <si>
    <t>rA entertainment</t>
  </si>
  <si>
    <t>rf</t>
  </si>
  <si>
    <t xml:space="preserve">Golden Bath Co. </t>
  </si>
  <si>
    <t>Rainbow ownership</t>
  </si>
  <si>
    <t>V = E</t>
  </si>
  <si>
    <t>CEO</t>
  </si>
  <si>
    <t xml:space="preserve">6% stake </t>
  </si>
  <si>
    <t>CPO</t>
  </si>
  <si>
    <t xml:space="preserve"> + Premium</t>
  </si>
  <si>
    <t>"pure equity-financed"</t>
  </si>
  <si>
    <t>1-year sales price</t>
  </si>
  <si>
    <t>PV (price)</t>
  </si>
  <si>
    <t>Because D = 0, rA= rE=WACC</t>
  </si>
  <si>
    <t xml:space="preserve">Red Pepper Ltd. </t>
  </si>
  <si>
    <t>a, We sell the firm</t>
  </si>
  <si>
    <t>Chef</t>
  </si>
  <si>
    <t>85% E</t>
  </si>
  <si>
    <t>b, we keep the firm:</t>
  </si>
  <si>
    <t>D/V assumed</t>
  </si>
  <si>
    <t>Div / (rE-g)</t>
  </si>
  <si>
    <t>Sales multiplier</t>
  </si>
  <si>
    <t xml:space="preserve">D/V calculated </t>
  </si>
  <si>
    <t>Difference D/V</t>
  </si>
  <si>
    <t xml:space="preserve">BlueMotion Co. </t>
  </si>
  <si>
    <t xml:space="preserve">E </t>
  </si>
  <si>
    <t xml:space="preserve"> We assumed a perpetuity, which is very optimistic, because there is a risk that the contract will not be renewed!</t>
  </si>
  <si>
    <t>Invested Capitalű</t>
  </si>
  <si>
    <t>BV Assets</t>
  </si>
  <si>
    <t xml:space="preserve">Growing annuity </t>
  </si>
  <si>
    <t>BV Debt</t>
  </si>
  <si>
    <t>remainig lifetime</t>
  </si>
  <si>
    <t>usual lifetime</t>
  </si>
  <si>
    <t>rA = WACC = rE , because no debt</t>
  </si>
  <si>
    <t>5 years</t>
  </si>
  <si>
    <t>10 years</t>
  </si>
  <si>
    <t>Value in 5 years</t>
  </si>
  <si>
    <t>3 cinemas</t>
  </si>
  <si>
    <t>2 cinemas</t>
  </si>
  <si>
    <t>I will liquidate the firm as the 30 &gt; 19</t>
  </si>
  <si>
    <t>1 cinemas</t>
  </si>
  <si>
    <t>liquidate the firm</t>
  </si>
  <si>
    <t xml:space="preserve"> 0 cinemas</t>
  </si>
  <si>
    <t>PV (exp. Value in 5 yrs)</t>
  </si>
  <si>
    <t>discount</t>
  </si>
  <si>
    <t>Equity of the CEO leaving the form</t>
  </si>
  <si>
    <t xml:space="preserve">If she is selling to fellow owner </t>
  </si>
  <si>
    <t>premium</t>
  </si>
  <si>
    <t>actively takes part in the company</t>
  </si>
  <si>
    <t>Sell to an outsider</t>
  </si>
  <si>
    <t>because it is private</t>
  </si>
  <si>
    <t xml:space="preserve">  - difficulty of getting rid of it</t>
  </si>
  <si>
    <t xml:space="preserve">  - trusting reporting</t>
  </si>
  <si>
    <t xml:space="preserve">  - hate the other owners</t>
  </si>
  <si>
    <t>Selling to CEO1</t>
  </si>
  <si>
    <t>Toy Story</t>
  </si>
  <si>
    <t>Transaction costs</t>
  </si>
  <si>
    <t>Seller</t>
  </si>
  <si>
    <t>Buyer</t>
  </si>
  <si>
    <t>RONIC long term</t>
  </si>
  <si>
    <t>g long term</t>
  </si>
  <si>
    <t>WSIA before</t>
  </si>
  <si>
    <t>TV</t>
  </si>
  <si>
    <t>WSIA+Toy Story</t>
  </si>
  <si>
    <t>Additional IC</t>
  </si>
  <si>
    <t>Value effects:</t>
  </si>
  <si>
    <t>Multiplicative, not additive!</t>
  </si>
  <si>
    <t>dV</t>
  </si>
  <si>
    <t>dTotal E</t>
  </si>
  <si>
    <t>Extra dividend</t>
  </si>
  <si>
    <t>Synergy</t>
  </si>
  <si>
    <t>Min Price</t>
  </si>
  <si>
    <t>Max Price</t>
  </si>
  <si>
    <t xml:space="preserve">Takeover </t>
  </si>
  <si>
    <t>Synergy to pass over</t>
  </si>
  <si>
    <t>Total price</t>
  </si>
  <si>
    <t>Cash ratio</t>
  </si>
  <si>
    <t>Cash payment</t>
  </si>
  <si>
    <t>In shares</t>
  </si>
  <si>
    <t>Ownership to pass on</t>
  </si>
  <si>
    <t>Ownership value</t>
  </si>
  <si>
    <t>V/V base</t>
  </si>
  <si>
    <t>Total purchase price</t>
  </si>
  <si>
    <t>RiskIt Co.</t>
  </si>
  <si>
    <t>rFinancing</t>
  </si>
  <si>
    <t>rReinvestment</t>
  </si>
  <si>
    <t>GreatIdea Ltd</t>
  </si>
  <si>
    <t>Post money value</t>
  </si>
  <si>
    <t>Today</t>
  </si>
  <si>
    <t>In 2 years</t>
  </si>
  <si>
    <t>In 6 years</t>
  </si>
  <si>
    <t>Capital increase 2</t>
  </si>
  <si>
    <t xml:space="preserve">Pre money vlaue </t>
  </si>
  <si>
    <t>Pre money value</t>
  </si>
  <si>
    <t>Capital increase 1</t>
  </si>
  <si>
    <t>Bank loan</t>
  </si>
  <si>
    <t>Total investment (IC)</t>
  </si>
  <si>
    <t>PE Stake (y=2)</t>
  </si>
  <si>
    <t>% of ownwrr who invested in the first year</t>
  </si>
  <si>
    <t>Post monay vslue</t>
  </si>
  <si>
    <t>1-PE</t>
  </si>
  <si>
    <t>PE stake (inc Year 1)</t>
  </si>
  <si>
    <t>% of ownwrr who invested in the 0 year</t>
  </si>
  <si>
    <t xml:space="preserve">PE stake(guess) </t>
  </si>
  <si>
    <t>Founders stake</t>
  </si>
  <si>
    <t>% of founders</t>
  </si>
  <si>
    <t>PE stake (guess)- market based</t>
  </si>
  <si>
    <t>diff</t>
  </si>
  <si>
    <t>Liquidation ratio</t>
  </si>
  <si>
    <t>Total Value</t>
  </si>
  <si>
    <t>Q2 Answer</t>
  </si>
  <si>
    <t>Liquidation</t>
  </si>
  <si>
    <t>PE Value</t>
  </si>
  <si>
    <t>Inflow for PE</t>
  </si>
  <si>
    <t xml:space="preserve">Investment horizon </t>
  </si>
  <si>
    <t>Chance of failure</t>
  </si>
  <si>
    <t>Founders cash inflow</t>
  </si>
  <si>
    <t>after selling in 6 years</t>
  </si>
  <si>
    <t>Yearly return for failure</t>
  </si>
  <si>
    <t>Founders yearly return</t>
  </si>
  <si>
    <t>Chance of success</t>
  </si>
  <si>
    <t>Q1 Answer</t>
  </si>
  <si>
    <t>Yearly return on success</t>
  </si>
  <si>
    <t>(1+rfin)^t=Prob fail *(1+r fail)^t+Prob success*(1+rsuccess)^t</t>
  </si>
  <si>
    <t>% of owner who invested in the first year</t>
  </si>
  <si>
    <t>% of owner who invested in the 0 year</t>
  </si>
  <si>
    <t>Q3</t>
  </si>
  <si>
    <t xml:space="preserve">Yearly return uplon failure is stil higer than market investment rate so it is worth investing </t>
  </si>
  <si>
    <t xml:space="preserve">It depends on risk aversion </t>
  </si>
  <si>
    <t>Success (Business will continue)</t>
  </si>
  <si>
    <t>Success (Business will be sold)</t>
  </si>
  <si>
    <t>Equity - Initial</t>
  </si>
  <si>
    <t>Equity - Pre Money Value</t>
  </si>
  <si>
    <t>Value (Sales Price)</t>
  </si>
  <si>
    <t>Additional IC 2</t>
  </si>
  <si>
    <t>Additional IC 1</t>
  </si>
  <si>
    <t>Equity - Post Money Value</t>
  </si>
  <si>
    <t>PE-2 Stake</t>
  </si>
  <si>
    <t>Others Stake</t>
  </si>
  <si>
    <t>PE-1 Stake</t>
  </si>
  <si>
    <t>&gt;&gt; PE-1 Stake</t>
  </si>
  <si>
    <t>Founders Stake</t>
  </si>
  <si>
    <t>&gt;&gt; Founders Stake</t>
  </si>
  <si>
    <t>Check Total Stakes</t>
  </si>
  <si>
    <t>Founders CashInflow after Sale</t>
  </si>
  <si>
    <t>PE-1 Stake (Calculated)</t>
  </si>
  <si>
    <t>Founders Yearly Return</t>
  </si>
  <si>
    <t>Diff</t>
  </si>
  <si>
    <t>Failure (Business is liquidited)</t>
  </si>
  <si>
    <t>Failure (Money from Liquidition was reinvested)</t>
  </si>
  <si>
    <t>Investment horizon</t>
  </si>
  <si>
    <t>Liquidition Ratio</t>
  </si>
  <si>
    <t>6)</t>
  </si>
  <si>
    <t>Liquidition Value</t>
  </si>
  <si>
    <t>Yearly return of failure for PE-1</t>
  </si>
  <si>
    <t>PE-1 CashInflow after Liquidition</t>
  </si>
  <si>
    <t>Founders CashInflow</t>
  </si>
  <si>
    <t>Yearly return of success</t>
  </si>
  <si>
    <t xml:space="preserve">Owner= founders </t>
  </si>
  <si>
    <t>PE1 = First Invesor</t>
  </si>
  <si>
    <t>PE2 = 2nd Investor= Loan providor</t>
  </si>
  <si>
    <t>Investment sum</t>
  </si>
  <si>
    <t>Dependance on success</t>
  </si>
  <si>
    <t>Nope</t>
  </si>
  <si>
    <t>Only in case of the succes in the first 2 years</t>
  </si>
  <si>
    <t>1. Fill out the investments in the noted terms</t>
  </si>
  <si>
    <t>2. Put a random PE-1 stake - will use solver later on</t>
  </si>
  <si>
    <t>3.Founder stake 1-PE 1 Stake</t>
  </si>
  <si>
    <t>4. Go to part 6, calculated Liquidation value</t>
  </si>
  <si>
    <t>5. Calculated cash inflow for founders and PE 1</t>
  </si>
  <si>
    <t>6. Founder and PE1 invest those inflows, for the next 4 years, calc. FV of their investment</t>
  </si>
  <si>
    <t>7. Goto part 8- Return = FV of PE1 cashflow/Initial investment of PE1^(1/number of years=6)-1</t>
  </si>
  <si>
    <t>8. Calc. Yearly returnof success - (1+rfin)^t=Prob fail *(1+r fail)^t+Prob success*(1+rsuccess)^t</t>
  </si>
  <si>
    <t>9. Go to part 2 - Calc Equity value in year 2 after loan investment=Equity year 6, discounted with yearly return on succes (4 years horizon)</t>
  </si>
  <si>
    <t>10. Calculated pre- money (before loan) eqity = Post money equity - PE2 additional IC (loan)</t>
  </si>
  <si>
    <t>11. PE 2 stake= PE2 additional IC (loan)/ Post money equity value in year 2</t>
  </si>
  <si>
    <t>12. Other stake 1- PE2 stake</t>
  </si>
  <si>
    <t>14. Founder Stake =Founders stake  from Year=0 (which was put randomly)* others stake value</t>
  </si>
  <si>
    <t>13. PE1 Stake = PE 1 Stake from Year=0 (which was put randomly)* others stake value</t>
  </si>
  <si>
    <t>15. Go to part 2 - Calc Equity value today (year=0) after PE 1 =Equity value year 2 (post money), discounted with yearly return on succes (2 years horizon)</t>
  </si>
  <si>
    <t>16.  Calculated pre- money (before PE 1 additional IC) eqity = Post money equity - PE1 additional IC (70)</t>
  </si>
  <si>
    <t>17. PE 1 stake= PE1 additional IC (loan)/ Post money equity value itoday</t>
  </si>
  <si>
    <t>18. Part 10 - make difference cell of step 17 and step 2, in solver set it to 0 by adjusting cell from the step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</si>
</sst>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_-* #,##0_-;\-* #,##0_-;_-* &quot;-&quot;??_-;_-@_-"/>
    <numFmt numFmtId="166" formatCode="_-* #,##0.0000_-;\-* #,##0.0000_-;_-* &quot;-&quot;??_-;_-@_-"/>
    <numFmt numFmtId="167" formatCode="_-* #,##0.00\ _F_t_-;\-* #,##0.00\ _F_t_-;_-* &quot;-&quot;??\ _F_t_-;_-@_-"/>
    <numFmt numFmtId="168" formatCode="0.0000000%"/>
    <numFmt numFmtId="169" formatCode="0.0"/>
    <numFmt numFmtId="170" formatCode="0.0%"/>
    <numFmt numFmtId="171" formatCode="0.000"/>
  </numFmts>
  <fonts count="28"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
      <sz val="9"/>
      <color indexed="81"/>
      <name val="Tahoma"/>
      <family val="2"/>
    </font>
    <font>
      <b/>
      <sz val="9"/>
      <color indexed="81"/>
      <name val="Tahoma"/>
      <family val="2"/>
    </font>
    <font>
      <b/>
      <sz val="12"/>
      <color theme="1"/>
      <name val="Calibri"/>
      <family val="2"/>
      <scheme val="minor"/>
    </font>
    <font>
      <b/>
      <sz val="12"/>
      <color theme="0"/>
      <name val="Calibri"/>
      <family val="2"/>
      <scheme val="minor"/>
    </font>
    <font>
      <sz val="12"/>
      <name val="Calibri"/>
      <family val="2"/>
      <scheme val="minor"/>
    </font>
    <font>
      <b/>
      <sz val="12"/>
      <color theme="4"/>
      <name val="Calibri"/>
      <family val="2"/>
      <scheme val="minor"/>
    </font>
    <font>
      <b/>
      <i/>
      <sz val="12"/>
      <color theme="1"/>
      <name val="Calibri"/>
      <family val="2"/>
      <charset val="238"/>
      <scheme val="minor"/>
    </font>
    <font>
      <sz val="12"/>
      <color rgb="FFFF0000"/>
      <name val="Calibri"/>
      <family val="2"/>
      <charset val="238"/>
      <scheme val="minor"/>
    </font>
    <font>
      <sz val="12"/>
      <color rgb="FFC00000"/>
      <name val="Calibri"/>
      <family val="2"/>
      <charset val="238"/>
      <scheme val="minor"/>
    </font>
    <font>
      <b/>
      <sz val="12"/>
      <name val="Calibri"/>
      <family val="2"/>
      <charset val="238"/>
      <scheme val="minor"/>
    </font>
    <font>
      <b/>
      <sz val="12"/>
      <color rgb="FFFF0000"/>
      <name val="Calibri"/>
      <family val="2"/>
      <charset val="238"/>
      <scheme val="minor"/>
    </font>
    <font>
      <vertAlign val="superscript"/>
      <sz val="12"/>
      <color theme="1"/>
      <name val="Calibri"/>
      <family val="2"/>
      <charset val="238"/>
      <scheme val="minor"/>
    </font>
    <font>
      <b/>
      <sz val="12"/>
      <color theme="0"/>
      <name val="Calibri"/>
      <family val="2"/>
      <charset val="238"/>
      <scheme val="minor"/>
    </font>
    <font>
      <strike/>
      <sz val="12"/>
      <color theme="1"/>
      <name val="Calibri"/>
      <family val="2"/>
      <charset val="238"/>
      <scheme val="minor"/>
    </font>
    <font>
      <i/>
      <sz val="10"/>
      <color theme="1"/>
      <name val="Calibri"/>
      <family val="2"/>
      <charset val="238"/>
      <scheme val="minor"/>
    </font>
    <font>
      <sz val="12"/>
      <name val="Calibri"/>
      <family val="2"/>
      <charset val="238"/>
      <scheme val="minor"/>
    </font>
    <font>
      <sz val="12"/>
      <color theme="0"/>
      <name val="Calibri"/>
      <family val="2"/>
      <charset val="238"/>
      <scheme val="minor"/>
    </font>
    <font>
      <b/>
      <sz val="11"/>
      <color rgb="FF000000"/>
      <name val="Calibri"/>
      <family val="2"/>
      <charset val="238"/>
      <scheme val="minor"/>
    </font>
    <font>
      <b/>
      <sz val="11"/>
      <color theme="0"/>
      <name val="Calibri"/>
      <family val="2"/>
      <charset val="238"/>
      <scheme val="minor"/>
    </font>
    <font>
      <sz val="11"/>
      <color rgb="FF000000"/>
      <name val="Calibri"/>
      <family val="2"/>
      <scheme val="minor"/>
    </font>
    <font>
      <sz val="14"/>
      <color rgb="FF000000"/>
      <name val="Calibri"/>
      <family val="2"/>
      <charset val="238"/>
      <scheme val="minor"/>
    </font>
    <font>
      <sz val="12"/>
      <color theme="1"/>
      <name val="Calibri"/>
      <family val="1"/>
      <charset val="2"/>
      <scheme val="minor"/>
    </font>
    <font>
      <sz val="12"/>
      <color theme="1"/>
      <name val="Symbol"/>
      <family val="1"/>
      <charset val="2"/>
    </font>
    <font>
      <b/>
      <u/>
      <sz val="12"/>
      <color rgb="FF00B050"/>
      <name val="Calibri"/>
      <family val="2"/>
      <scheme val="minor"/>
    </font>
    <font>
      <b/>
      <u/>
      <sz val="12"/>
      <color rgb="FFFF0000"/>
      <name val="Calibri"/>
      <family val="2"/>
      <scheme val="minor"/>
    </font>
  </fonts>
  <fills count="3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7"/>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FFCCFF"/>
        <bgColor indexed="64"/>
      </patternFill>
    </fill>
    <fill>
      <patternFill patternType="solid">
        <fgColor rgb="FF7030A0"/>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FFC000"/>
        <bgColor indexed="64"/>
      </patternFill>
    </fill>
    <fill>
      <patternFill patternType="solid">
        <fgColor theme="5"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81DEFF"/>
        <bgColor indexed="64"/>
      </patternFill>
    </fill>
    <fill>
      <patternFill patternType="solid">
        <fgColor theme="9" tint="0.79998168889431442"/>
        <bgColor indexed="64"/>
      </patternFill>
    </fill>
    <fill>
      <patternFill patternType="solid">
        <fgColor theme="8"/>
        <bgColor indexed="64"/>
      </patternFill>
    </fill>
    <fill>
      <patternFill patternType="solid">
        <fgColor rgb="FFC00000"/>
        <bgColor indexed="64"/>
      </patternFill>
    </fill>
    <fill>
      <patternFill patternType="solid">
        <fgColor rgb="FFFF65FF"/>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CCCCFF"/>
        <bgColor indexed="64"/>
      </patternFill>
    </fill>
    <fill>
      <patternFill patternType="solid">
        <fgColor rgb="FFFF0000"/>
        <bgColor indexed="64"/>
      </patternFill>
    </fill>
    <fill>
      <patternFill patternType="solid">
        <fgColor theme="6" tint="0.39997558519241921"/>
        <bgColor indexed="64"/>
      </patternFill>
    </fill>
    <fill>
      <patternFill patternType="solid">
        <fgColor theme="7" tint="0.59999389629810485"/>
        <bgColor indexed="64"/>
      </patternFill>
    </fill>
  </fills>
  <borders count="3">
    <border>
      <left/>
      <right/>
      <top/>
      <bottom/>
      <diagonal/>
    </border>
    <border>
      <left/>
      <right/>
      <top/>
      <bottom style="thin">
        <color indexed="64"/>
      </bottom>
      <diagonal/>
    </border>
    <border>
      <left/>
      <right/>
      <top/>
      <bottom style="medium">
        <color indexed="64"/>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198">
    <xf numFmtId="0" fontId="0" fillId="0" borderId="0" xfId="0"/>
    <xf numFmtId="0" fontId="2" fillId="0" borderId="0" xfId="0" applyFont="1" applyAlignment="1">
      <alignment horizontal="center"/>
    </xf>
    <xf numFmtId="10" fontId="0" fillId="0" borderId="0" xfId="1" applyNumberFormat="1" applyFont="1"/>
    <xf numFmtId="0" fontId="0" fillId="3" borderId="0" xfId="0" applyFill="1"/>
    <xf numFmtId="10" fontId="0" fillId="0" borderId="0" xfId="0" applyNumberFormat="1"/>
    <xf numFmtId="165" fontId="0" fillId="0" borderId="0" xfId="2" applyNumberFormat="1" applyFont="1"/>
    <xf numFmtId="1" fontId="0" fillId="0" borderId="0" xfId="0" applyNumberFormat="1"/>
    <xf numFmtId="0" fontId="5" fillId="4" borderId="0" xfId="0" applyFont="1" applyFill="1"/>
    <xf numFmtId="165" fontId="5" fillId="4" borderId="0" xfId="2" applyNumberFormat="1" applyFont="1" applyFill="1"/>
    <xf numFmtId="165" fontId="5" fillId="4" borderId="0" xfId="0" applyNumberFormat="1" applyFont="1" applyFill="1"/>
    <xf numFmtId="0" fontId="0" fillId="0" borderId="0" xfId="0" applyAlignment="1">
      <alignment horizontal="right"/>
    </xf>
    <xf numFmtId="0" fontId="5" fillId="0" borderId="0" xfId="0" applyFont="1" applyAlignment="1">
      <alignment horizontal="right"/>
    </xf>
    <xf numFmtId="0" fontId="5" fillId="0" borderId="0" xfId="0" applyFont="1" applyAlignment="1">
      <alignment horizontal="left"/>
    </xf>
    <xf numFmtId="10" fontId="0" fillId="5" borderId="0" xfId="1" applyNumberFormat="1" applyFont="1" applyFill="1"/>
    <xf numFmtId="10" fontId="0" fillId="5" borderId="0" xfId="0" applyNumberFormat="1" applyFill="1"/>
    <xf numFmtId="0" fontId="2" fillId="6" borderId="0" xfId="0" applyFont="1" applyFill="1" applyAlignment="1">
      <alignment horizontal="center"/>
    </xf>
    <xf numFmtId="165" fontId="0" fillId="0" borderId="0" xfId="0" applyNumberFormat="1"/>
    <xf numFmtId="0" fontId="5" fillId="7" borderId="0" xfId="0" applyFont="1" applyFill="1"/>
    <xf numFmtId="165" fontId="5" fillId="7" borderId="0" xfId="2" applyNumberFormat="1" applyFont="1" applyFill="1"/>
    <xf numFmtId="0" fontId="5" fillId="8" borderId="0" xfId="0" applyFont="1" applyFill="1"/>
    <xf numFmtId="165" fontId="5" fillId="8" borderId="0" xfId="0" applyNumberFormat="1" applyFont="1" applyFill="1"/>
    <xf numFmtId="9" fontId="0" fillId="0" borderId="0" xfId="1" applyFont="1"/>
    <xf numFmtId="0" fontId="0" fillId="9" borderId="0" xfId="0" applyFill="1"/>
    <xf numFmtId="165" fontId="0" fillId="9" borderId="0" xfId="2" applyNumberFormat="1" applyFont="1" applyFill="1"/>
    <xf numFmtId="165" fontId="0" fillId="5" borderId="0" xfId="2" applyNumberFormat="1" applyFont="1" applyFill="1"/>
    <xf numFmtId="165" fontId="5" fillId="9" borderId="0" xfId="2" applyNumberFormat="1" applyFont="1" applyFill="1"/>
    <xf numFmtId="165" fontId="0" fillId="9" borderId="0" xfId="0" applyNumberFormat="1" applyFill="1"/>
    <xf numFmtId="0" fontId="6" fillId="10" borderId="0" xfId="0" applyFont="1" applyFill="1"/>
    <xf numFmtId="165" fontId="6" fillId="10" borderId="0" xfId="0" applyNumberFormat="1" applyFont="1" applyFill="1"/>
    <xf numFmtId="165" fontId="6" fillId="10" borderId="0" xfId="2" applyNumberFormat="1" applyFont="1" applyFill="1"/>
    <xf numFmtId="0" fontId="5" fillId="2" borderId="0" xfId="0" applyFont="1" applyFill="1"/>
    <xf numFmtId="165" fontId="5" fillId="2" borderId="0" xfId="2" applyNumberFormat="1" applyFont="1" applyFill="1"/>
    <xf numFmtId="0" fontId="7" fillId="9" borderId="0" xfId="0" applyFont="1" applyFill="1"/>
    <xf numFmtId="164" fontId="5" fillId="2" borderId="0" xfId="2" applyFont="1" applyFill="1"/>
    <xf numFmtId="164" fontId="0" fillId="0" borderId="0" xfId="2" applyFont="1"/>
    <xf numFmtId="164" fontId="7" fillId="9" borderId="0" xfId="2" applyFont="1" applyFill="1"/>
    <xf numFmtId="164" fontId="6" fillId="10" borderId="0" xfId="2" applyFont="1" applyFill="1"/>
    <xf numFmtId="165" fontId="7" fillId="9" borderId="0" xfId="2" applyNumberFormat="1" applyFont="1" applyFill="1"/>
    <xf numFmtId="165" fontId="0" fillId="0" borderId="0" xfId="2" applyNumberFormat="1" applyFont="1" applyFill="1"/>
    <xf numFmtId="0" fontId="0" fillId="11" borderId="0" xfId="0" applyFill="1"/>
    <xf numFmtId="165" fontId="0" fillId="11" borderId="0" xfId="2" applyNumberFormat="1" applyFont="1" applyFill="1"/>
    <xf numFmtId="0" fontId="6" fillId="12" borderId="0" xfId="0" applyFont="1" applyFill="1"/>
    <xf numFmtId="165" fontId="6" fillId="12" borderId="0" xfId="0" applyNumberFormat="1" applyFont="1" applyFill="1"/>
    <xf numFmtId="0" fontId="8" fillId="0" borderId="0" xfId="0" applyFont="1"/>
    <xf numFmtId="4" fontId="0" fillId="13" borderId="0" xfId="0" applyNumberFormat="1" applyFill="1"/>
    <xf numFmtId="4" fontId="6" fillId="10" borderId="0" xfId="0" applyNumberFormat="1" applyFont="1" applyFill="1"/>
    <xf numFmtId="10" fontId="0" fillId="13" borderId="0" xfId="1" applyNumberFormat="1" applyFont="1" applyFill="1"/>
    <xf numFmtId="10" fontId="0" fillId="13" borderId="0" xfId="0" applyNumberFormat="1" applyFill="1"/>
    <xf numFmtId="10" fontId="0" fillId="14" borderId="0" xfId="1" applyNumberFormat="1" applyFont="1" applyFill="1"/>
    <xf numFmtId="4" fontId="0" fillId="14" borderId="0" xfId="0" applyNumberFormat="1" applyFill="1"/>
    <xf numFmtId="0" fontId="2" fillId="2" borderId="0" xfId="0" applyFont="1" applyFill="1" applyAlignment="1">
      <alignment horizontal="center"/>
    </xf>
    <xf numFmtId="0" fontId="5" fillId="11" borderId="0" xfId="0" applyFont="1" applyFill="1"/>
    <xf numFmtId="165" fontId="5" fillId="11" borderId="0" xfId="0" applyNumberFormat="1" applyFont="1" applyFill="1"/>
    <xf numFmtId="165" fontId="5" fillId="0" borderId="0" xfId="0" applyNumberFormat="1" applyFont="1"/>
    <xf numFmtId="10" fontId="0" fillId="0" borderId="0" xfId="1" applyNumberFormat="1" applyFont="1" applyFill="1"/>
    <xf numFmtId="0" fontId="0" fillId="0" borderId="0" xfId="0" quotePrefix="1" applyAlignment="1">
      <alignment horizontal="right"/>
    </xf>
    <xf numFmtId="0" fontId="0" fillId="0" borderId="0" xfId="0" applyAlignment="1">
      <alignment horizontal="left" vertical="top" wrapText="1"/>
    </xf>
    <xf numFmtId="0" fontId="2" fillId="4" borderId="0" xfId="0" applyFont="1" applyFill="1"/>
    <xf numFmtId="0" fontId="2" fillId="7" borderId="0" xfId="0" applyFont="1" applyFill="1"/>
    <xf numFmtId="0" fontId="0" fillId="0" borderId="0" xfId="0" applyAlignment="1">
      <alignment horizontal="center"/>
    </xf>
    <xf numFmtId="0" fontId="6" fillId="10" borderId="0" xfId="0" applyFont="1" applyFill="1" applyAlignment="1">
      <alignment horizontal="left" wrapText="1"/>
    </xf>
    <xf numFmtId="0" fontId="0" fillId="11" borderId="0" xfId="0" applyFill="1" applyAlignment="1">
      <alignment vertical="top" wrapText="1"/>
    </xf>
    <xf numFmtId="0" fontId="2" fillId="15" borderId="0" xfId="0" applyFont="1" applyFill="1" applyAlignment="1">
      <alignment horizontal="center"/>
    </xf>
    <xf numFmtId="0" fontId="2" fillId="16" borderId="0" xfId="0" applyFont="1" applyFill="1"/>
    <xf numFmtId="0" fontId="0" fillId="0" borderId="0" xfId="0" applyAlignment="1">
      <alignment wrapText="1"/>
    </xf>
    <xf numFmtId="0" fontId="2" fillId="0" borderId="0" xfId="0" applyFont="1"/>
    <xf numFmtId="0" fontId="9" fillId="0" borderId="0" xfId="0" applyFont="1"/>
    <xf numFmtId="0" fontId="0" fillId="16" borderId="0" xfId="0" applyFill="1"/>
    <xf numFmtId="4" fontId="0" fillId="0" borderId="0" xfId="0" applyNumberFormat="1"/>
    <xf numFmtId="164" fontId="0" fillId="2" borderId="0" xfId="2" applyFont="1" applyFill="1"/>
    <xf numFmtId="0" fontId="10" fillId="0" borderId="0" xfId="0" applyFont="1"/>
    <xf numFmtId="166" fontId="10" fillId="0" borderId="0" xfId="0" applyNumberFormat="1" applyFont="1"/>
    <xf numFmtId="164" fontId="0" fillId="0" borderId="0" xfId="0" applyNumberFormat="1"/>
    <xf numFmtId="167" fontId="0" fillId="2" borderId="0" xfId="0" applyNumberFormat="1" applyFill="1"/>
    <xf numFmtId="167" fontId="0" fillId="0" borderId="0" xfId="0" applyNumberFormat="1"/>
    <xf numFmtId="164" fontId="10" fillId="0" borderId="0" xfId="0" applyNumberFormat="1" applyFont="1"/>
    <xf numFmtId="10" fontId="0" fillId="7" borderId="0" xfId="0" applyNumberFormat="1" applyFill="1"/>
    <xf numFmtId="164" fontId="0" fillId="7" borderId="0" xfId="2" applyFont="1" applyFill="1"/>
    <xf numFmtId="10" fontId="0" fillId="16" borderId="0" xfId="0" applyNumberFormat="1" applyFill="1"/>
    <xf numFmtId="0" fontId="0" fillId="8" borderId="0" xfId="0" applyFill="1"/>
    <xf numFmtId="10" fontId="0" fillId="8" borderId="0" xfId="0" applyNumberFormat="1" applyFill="1"/>
    <xf numFmtId="10" fontId="0" fillId="14" borderId="0" xfId="0" applyNumberFormat="1" applyFill="1"/>
    <xf numFmtId="4" fontId="0" fillId="16" borderId="0" xfId="0" applyNumberFormat="1" applyFill="1"/>
    <xf numFmtId="4" fontId="0" fillId="17" borderId="0" xfId="0" applyNumberFormat="1" applyFill="1"/>
    <xf numFmtId="0" fontId="0" fillId="17" borderId="0" xfId="0" applyFill="1"/>
    <xf numFmtId="0" fontId="11" fillId="17" borderId="0" xfId="0" applyFont="1" applyFill="1"/>
    <xf numFmtId="4" fontId="11" fillId="0" borderId="0" xfId="0" applyNumberFormat="1" applyFont="1"/>
    <xf numFmtId="4" fontId="12" fillId="2" borderId="0" xfId="0" applyNumberFormat="1" applyFont="1" applyFill="1"/>
    <xf numFmtId="0" fontId="12" fillId="2" borderId="0" xfId="0" applyFont="1" applyFill="1"/>
    <xf numFmtId="0" fontId="2" fillId="17" borderId="0" xfId="0" applyFont="1" applyFill="1" applyAlignment="1">
      <alignment horizontal="center"/>
    </xf>
    <xf numFmtId="168" fontId="0" fillId="0" borderId="0" xfId="1" applyNumberFormat="1" applyFont="1"/>
    <xf numFmtId="4" fontId="0" fillId="18" borderId="0" xfId="0" applyNumberFormat="1" applyFill="1"/>
    <xf numFmtId="4" fontId="0" fillId="8" borderId="0" xfId="0" applyNumberFormat="1" applyFill="1"/>
    <xf numFmtId="0" fontId="11" fillId="0" borderId="0" xfId="0" applyFont="1"/>
    <xf numFmtId="10" fontId="0" fillId="8" borderId="0" xfId="1" applyNumberFormat="1" applyFont="1" applyFill="1"/>
    <xf numFmtId="0" fontId="13" fillId="0" borderId="0" xfId="0" applyFont="1"/>
    <xf numFmtId="4" fontId="10" fillId="0" borderId="0" xfId="0" applyNumberFormat="1" applyFont="1"/>
    <xf numFmtId="10" fontId="10" fillId="0" borderId="0" xfId="0" applyNumberFormat="1" applyFont="1"/>
    <xf numFmtId="0" fontId="10" fillId="8" borderId="0" xfId="0" applyFont="1" applyFill="1"/>
    <xf numFmtId="4" fontId="10" fillId="8" borderId="0" xfId="0" applyNumberFormat="1" applyFont="1" applyFill="1"/>
    <xf numFmtId="4" fontId="10" fillId="0" borderId="0" xfId="1" applyNumberFormat="1" applyFont="1"/>
    <xf numFmtId="0" fontId="0" fillId="19" borderId="0" xfId="0" applyFill="1"/>
    <xf numFmtId="10" fontId="0" fillId="19" borderId="0" xfId="0" applyNumberFormat="1" applyFill="1"/>
    <xf numFmtId="10" fontId="10" fillId="0" borderId="0" xfId="1" applyNumberFormat="1" applyFont="1"/>
    <xf numFmtId="4" fontId="0" fillId="0" borderId="0" xfId="1" applyNumberFormat="1" applyFont="1"/>
    <xf numFmtId="4" fontId="0" fillId="19" borderId="0" xfId="0" applyNumberFormat="1" applyFill="1"/>
    <xf numFmtId="9" fontId="0" fillId="0" borderId="0" xfId="0" applyNumberFormat="1"/>
    <xf numFmtId="3" fontId="0" fillId="0" borderId="0" xfId="0" applyNumberFormat="1"/>
    <xf numFmtId="0" fontId="0" fillId="0" borderId="0" xfId="0" applyAlignment="1">
      <alignment horizontal="centerContinuous"/>
    </xf>
    <xf numFmtId="9" fontId="0" fillId="0" borderId="0" xfId="0" applyNumberFormat="1" applyAlignment="1">
      <alignment horizontal="center"/>
    </xf>
    <xf numFmtId="4" fontId="0" fillId="20" borderId="0" xfId="0" applyNumberFormat="1" applyFill="1"/>
    <xf numFmtId="4" fontId="0" fillId="4" borderId="0" xfId="0" applyNumberFormat="1" applyFill="1"/>
    <xf numFmtId="0" fontId="0" fillId="2" borderId="0" xfId="0" applyFill="1"/>
    <xf numFmtId="4" fontId="0" fillId="21" borderId="0" xfId="0" applyNumberFormat="1" applyFill="1"/>
    <xf numFmtId="0" fontId="0" fillId="21" borderId="0" xfId="0" applyFill="1"/>
    <xf numFmtId="4" fontId="2" fillId="20" borderId="0" xfId="0" applyNumberFormat="1" applyFont="1" applyFill="1"/>
    <xf numFmtId="4" fontId="2" fillId="4" borderId="0" xfId="0" applyNumberFormat="1" applyFont="1" applyFill="1"/>
    <xf numFmtId="4" fontId="2" fillId="21" borderId="0" xfId="0" applyNumberFormat="1" applyFont="1" applyFill="1"/>
    <xf numFmtId="4" fontId="0" fillId="22" borderId="0" xfId="0" applyNumberFormat="1" applyFill="1"/>
    <xf numFmtId="0" fontId="2" fillId="2" borderId="0" xfId="0" applyFont="1" applyFill="1"/>
    <xf numFmtId="0" fontId="15" fillId="18" borderId="0" xfId="0" applyFont="1" applyFill="1"/>
    <xf numFmtId="0" fontId="0" fillId="4" borderId="0" xfId="0" applyFill="1"/>
    <xf numFmtId="0" fontId="0" fillId="23" borderId="0" xfId="0" applyFill="1"/>
    <xf numFmtId="0" fontId="16" fillId="0" borderId="0" xfId="0" applyFont="1"/>
    <xf numFmtId="0" fontId="17" fillId="0" borderId="0" xfId="0" applyFont="1"/>
    <xf numFmtId="0" fontId="0" fillId="0" borderId="1" xfId="0" applyBorder="1"/>
    <xf numFmtId="0" fontId="2" fillId="0" borderId="0" xfId="0" applyFont="1" applyAlignment="1">
      <alignment horizontal="right"/>
    </xf>
    <xf numFmtId="0" fontId="0" fillId="0" borderId="0" xfId="0" applyAlignment="1">
      <alignment horizontal="left" indent="2"/>
    </xf>
    <xf numFmtId="0" fontId="0" fillId="0" borderId="0" xfId="0" applyAlignment="1">
      <alignment horizontal="left" indent="1"/>
    </xf>
    <xf numFmtId="0" fontId="0" fillId="24" borderId="0" xfId="0" applyFill="1"/>
    <xf numFmtId="9" fontId="0" fillId="24" borderId="0" xfId="0" applyNumberFormat="1" applyFill="1"/>
    <xf numFmtId="0" fontId="0" fillId="0" borderId="1" xfId="0" applyBorder="1" applyAlignment="1">
      <alignment horizontal="left" indent="2"/>
    </xf>
    <xf numFmtId="0" fontId="0" fillId="24" borderId="1" xfId="0" applyFill="1" applyBorder="1"/>
    <xf numFmtId="0" fontId="0" fillId="0" borderId="1" xfId="0" applyBorder="1" applyAlignment="1">
      <alignment horizontal="left" indent="1"/>
    </xf>
    <xf numFmtId="9" fontId="0" fillId="17" borderId="0" xfId="0" applyNumberFormat="1" applyFill="1"/>
    <xf numFmtId="0" fontId="2" fillId="23" borderId="0" xfId="0" applyFont="1" applyFill="1"/>
    <xf numFmtId="0" fontId="12" fillId="5" borderId="0" xfId="0" applyFont="1" applyFill="1"/>
    <xf numFmtId="0" fontId="18" fillId="5" borderId="0" xfId="0" applyFont="1" applyFill="1"/>
    <xf numFmtId="0" fontId="19" fillId="18" borderId="0" xfId="0" applyFont="1" applyFill="1"/>
    <xf numFmtId="4" fontId="2" fillId="2" borderId="0" xfId="0" applyNumberFormat="1" applyFont="1" applyFill="1"/>
    <xf numFmtId="10" fontId="0" fillId="21" borderId="0" xfId="0" applyNumberFormat="1" applyFill="1"/>
    <xf numFmtId="16" fontId="0" fillId="0" borderId="0" xfId="0" quotePrefix="1" applyNumberFormat="1" applyAlignment="1">
      <alignment horizontal="right"/>
    </xf>
    <xf numFmtId="0" fontId="20" fillId="5" borderId="0" xfId="0" applyFont="1" applyFill="1"/>
    <xf numFmtId="0" fontId="21" fillId="25" borderId="0" xfId="0" applyFont="1" applyFill="1"/>
    <xf numFmtId="0" fontId="21" fillId="26" borderId="0" xfId="0" applyFont="1" applyFill="1"/>
    <xf numFmtId="2" fontId="0" fillId="0" borderId="0" xfId="0" applyNumberFormat="1"/>
    <xf numFmtId="169" fontId="0" fillId="0" borderId="0" xfId="0" applyNumberFormat="1"/>
    <xf numFmtId="9" fontId="0" fillId="4" borderId="0" xfId="0" applyNumberFormat="1" applyFill="1"/>
    <xf numFmtId="9" fontId="0" fillId="27" borderId="0" xfId="1" applyFont="1" applyFill="1"/>
    <xf numFmtId="10" fontId="0" fillId="20" borderId="0" xfId="0" applyNumberFormat="1" applyFill="1"/>
    <xf numFmtId="1" fontId="0" fillId="2" borderId="0" xfId="0" applyNumberFormat="1" applyFill="1"/>
    <xf numFmtId="0" fontId="0" fillId="20" borderId="0" xfId="0" applyFill="1"/>
    <xf numFmtId="169" fontId="0" fillId="20" borderId="0" xfId="0" applyNumberFormat="1" applyFill="1"/>
    <xf numFmtId="169" fontId="0" fillId="20" borderId="2" xfId="0" applyNumberFormat="1" applyFill="1" applyBorder="1"/>
    <xf numFmtId="0" fontId="0" fillId="0" borderId="2" xfId="0" applyBorder="1"/>
    <xf numFmtId="0" fontId="0" fillId="13" borderId="0" xfId="0" applyFill="1"/>
    <xf numFmtId="4" fontId="2" fillId="16" borderId="0" xfId="0" applyNumberFormat="1" applyFont="1" applyFill="1"/>
    <xf numFmtId="10" fontId="2" fillId="16" borderId="0" xfId="1" applyNumberFormat="1" applyFont="1" applyFill="1"/>
    <xf numFmtId="170" fontId="0" fillId="0" borderId="0" xfId="1" applyNumberFormat="1" applyFont="1"/>
    <xf numFmtId="4" fontId="2" fillId="0" borderId="0" xfId="0" applyNumberFormat="1" applyFont="1"/>
    <xf numFmtId="4" fontId="0" fillId="28" borderId="0" xfId="0" applyNumberFormat="1" applyFill="1"/>
    <xf numFmtId="0" fontId="22" fillId="0" borderId="0" xfId="0" applyFont="1"/>
    <xf numFmtId="0" fontId="22" fillId="0" borderId="0" xfId="0" applyFont="1" applyAlignment="1">
      <alignment horizontal="left" vertical="top"/>
    </xf>
    <xf numFmtId="0" fontId="23" fillId="0" borderId="0" xfId="0" applyFont="1" applyAlignment="1">
      <alignment horizontal="justify" vertical="center"/>
    </xf>
    <xf numFmtId="0" fontId="23" fillId="0" borderId="0" xfId="0" applyFont="1" applyAlignment="1">
      <alignment horizontal="justify" vertical="center" wrapText="1"/>
    </xf>
    <xf numFmtId="0" fontId="0" fillId="18" borderId="0" xfId="0" applyFill="1"/>
    <xf numFmtId="0" fontId="0" fillId="29" borderId="0" xfId="0" applyFill="1"/>
    <xf numFmtId="9" fontId="0" fillId="13" borderId="0" xfId="0" applyNumberFormat="1" applyFill="1"/>
    <xf numFmtId="0" fontId="24" fillId="0" borderId="0" xfId="0" applyFont="1"/>
    <xf numFmtId="0" fontId="0" fillId="0" borderId="0" xfId="0" quotePrefix="1"/>
    <xf numFmtId="0" fontId="0" fillId="30" borderId="0" xfId="0" applyFill="1"/>
    <xf numFmtId="0" fontId="0" fillId="6" borderId="0" xfId="0" applyFill="1"/>
    <xf numFmtId="10" fontId="0" fillId="6" borderId="0" xfId="1" applyNumberFormat="1" applyFont="1" applyFill="1"/>
    <xf numFmtId="10" fontId="0" fillId="6" borderId="0" xfId="0" applyNumberFormat="1" applyFill="1"/>
    <xf numFmtId="43" fontId="0" fillId="0" borderId="0" xfId="0" applyNumberFormat="1"/>
    <xf numFmtId="9" fontId="0" fillId="6" borderId="0" xfId="0" applyNumberFormat="1" applyFill="1"/>
    <xf numFmtId="171" fontId="0" fillId="0" borderId="0" xfId="0" applyNumberFormat="1"/>
    <xf numFmtId="0" fontId="19" fillId="31" borderId="0" xfId="0" applyFont="1" applyFill="1"/>
    <xf numFmtId="9" fontId="19" fillId="31" borderId="0" xfId="0" applyNumberFormat="1" applyFont="1" applyFill="1"/>
    <xf numFmtId="9" fontId="0" fillId="32" borderId="0" xfId="0" applyNumberFormat="1" applyFill="1"/>
    <xf numFmtId="0" fontId="2" fillId="5" borderId="0" xfId="0" applyFont="1" applyFill="1" applyAlignment="1">
      <alignment horizontal="center"/>
    </xf>
    <xf numFmtId="0" fontId="26" fillId="0" borderId="0" xfId="0" applyFont="1"/>
    <xf numFmtId="165" fontId="0" fillId="32" borderId="0" xfId="2" applyNumberFormat="1" applyFont="1" applyFill="1"/>
    <xf numFmtId="9" fontId="5" fillId="4" borderId="0" xfId="1" applyFont="1" applyFill="1"/>
    <xf numFmtId="0" fontId="5" fillId="33" borderId="0" xfId="0" applyFont="1" applyFill="1"/>
    <xf numFmtId="9" fontId="5" fillId="33" borderId="0" xfId="1" applyFont="1" applyFill="1"/>
    <xf numFmtId="0" fontId="27" fillId="0" borderId="0" xfId="0" applyFont="1"/>
    <xf numFmtId="0" fontId="5" fillId="0" borderId="0" xfId="0" applyFont="1"/>
    <xf numFmtId="0" fontId="5" fillId="32" borderId="0" xfId="0" applyFont="1" applyFill="1" applyAlignment="1">
      <alignment horizontal="center"/>
    </xf>
    <xf numFmtId="9" fontId="5" fillId="32" borderId="0" xfId="1" applyFont="1" applyFill="1" applyAlignment="1">
      <alignment horizontal="center"/>
    </xf>
    <xf numFmtId="0" fontId="5" fillId="31" borderId="0" xfId="0" applyFont="1" applyFill="1"/>
    <xf numFmtId="0" fontId="5" fillId="13" borderId="0" xfId="0" applyFont="1" applyFill="1"/>
    <xf numFmtId="9" fontId="5" fillId="13" borderId="0" xfId="1" applyFont="1" applyFill="1" applyAlignment="1">
      <alignment horizontal="center"/>
    </xf>
    <xf numFmtId="0" fontId="2" fillId="15" borderId="0" xfId="0" applyFont="1" applyFill="1"/>
    <xf numFmtId="165" fontId="2" fillId="15" borderId="0" xfId="0" applyNumberFormat="1" applyFont="1" applyFill="1"/>
    <xf numFmtId="170" fontId="5" fillId="31" borderId="0" xfId="1" applyNumberFormat="1" applyFont="1" applyFill="1" applyAlignment="1">
      <alignment horizontal="center"/>
    </xf>
    <xf numFmtId="0" fontId="6" fillId="10" borderId="0" xfId="0" applyFont="1" applyFill="1" applyAlignment="1">
      <alignment horizontal="left" wrapText="1"/>
    </xf>
    <xf numFmtId="0" fontId="0" fillId="2" borderId="0" xfId="0" applyFill="1" applyAlignment="1">
      <alignment horizontal="center"/>
    </xf>
  </cellXfs>
  <cellStyles count="3">
    <cellStyle name="Comma" xfId="2" builtinId="3"/>
    <cellStyle name="Normal" xfId="0" builtinId="0"/>
    <cellStyle name="Per cent" xfId="1" builtinId="5"/>
  </cellStyles>
  <dxfs count="0"/>
  <tableStyles count="0" defaultTableStyle="TableStyleMedium2" defaultPivotStyle="PivotStyleLight16"/>
  <colors>
    <mruColors>
      <color rgb="FFCC99FF"/>
      <color rgb="FFFF6600"/>
      <color rgb="FFFFCCFF"/>
      <color rgb="FFCCFF99"/>
      <color rgb="FF659A2A"/>
      <color rgb="FF000000"/>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14</xdr:col>
      <xdr:colOff>561975</xdr:colOff>
      <xdr:row>0</xdr:row>
      <xdr:rowOff>152400</xdr:rowOff>
    </xdr:from>
    <xdr:to>
      <xdr:col>24</xdr:col>
      <xdr:colOff>153761</xdr:colOff>
      <xdr:row>20</xdr:row>
      <xdr:rowOff>141515</xdr:rowOff>
    </xdr:to>
    <xdr:sp macro="" textlink="">
      <xdr:nvSpPr>
        <xdr:cNvPr id="3" name="Szövegdoboz 1">
          <a:extLst>
            <a:ext uri="{FF2B5EF4-FFF2-40B4-BE49-F238E27FC236}">
              <a16:creationId xmlns:a16="http://schemas.microsoft.com/office/drawing/2014/main" id="{FBE41BBB-253E-4029-9B98-4090A7EA3D24}"/>
            </a:ext>
          </a:extLst>
        </xdr:cNvPr>
        <xdr:cNvSpPr txBox="1"/>
      </xdr:nvSpPr>
      <xdr:spPr>
        <a:xfrm>
          <a:off x="10163175" y="152400"/>
          <a:ext cx="6449786" cy="3989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Inheriting a Kebab Shop</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had an excellent personal connection to his grandfather, who arrived in Central Europe two decades ago. By now, he has established a small self-service restaurant called “The Kebab Shop”, selling Turkish and Arabic food in a big city some 100 kilometres away from the capital. As a child, John spent most of his time with his grandmother while his parents worked as doctors, sometimes even at night. The grandparents lived in a flat just above their small restaurant, often working more than 10 hours daily in the shop. Thus, John grew up there and was involved in operational activities early on. </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While John learned how to manage a restaurant based on his real-life experience, he also gained a BA in Hotel management. During the last few years, the health of his grandparents deteriorated, and recently, on his grandfather’s 70</a:t>
          </a:r>
          <a:r>
            <a:rPr lang="en-GB" sz="1100" baseline="30000">
              <a:solidFill>
                <a:schemeClr val="dk1"/>
              </a:solidFill>
              <a:effectLst/>
              <a:latin typeface="+mn-lt"/>
              <a:ea typeface="+mn-ea"/>
              <a:cs typeface="+mn-cs"/>
            </a:rPr>
            <a:t>th</a:t>
          </a:r>
          <a:r>
            <a:rPr lang="en-GB" sz="1100">
              <a:solidFill>
                <a:schemeClr val="dk1"/>
              </a:solidFill>
              <a:effectLst/>
              <a:latin typeface="+mn-lt"/>
              <a:ea typeface="+mn-ea"/>
              <a:cs typeface="+mn-cs"/>
            </a:rPr>
            <a:t> birthday, Grandpa asked him to take over the daily management of the shop and made the impression that it might be John who would inherit the ownership of the shop sooner or later. John started his work as a CEO by analysing historical statements and setting up a new financial plan for the future. You see the data collected and predicted below.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Review the financial plan and give an overview of what the new strategy may look like.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Predict the financial statements of the company. (Assume 360-day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How much dividend can be paid in each of the years? (Assume that additional equity need is covered using retained earnings if possible.)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Calculate the business cash flow for all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5. </a:t>
          </a:r>
          <a:r>
            <a:rPr lang="en-GB" sz="1100">
              <a:solidFill>
                <a:schemeClr val="dk1"/>
              </a:solidFill>
              <a:effectLst/>
              <a:latin typeface="+mn-lt"/>
              <a:ea typeface="+mn-ea"/>
              <a:cs typeface="+mn-cs"/>
            </a:rPr>
            <a:t>Quantify the value drivers both historically and for the predicted years.</a:t>
          </a:r>
          <a:endParaRPr lang="hu-HU" sz="1100">
            <a:solidFill>
              <a:schemeClr val="dk1"/>
            </a:solidFill>
            <a:effectLst/>
            <a:latin typeface="+mn-lt"/>
            <a:ea typeface="+mn-ea"/>
            <a:cs typeface="+mn-cs"/>
          </a:endParaRPr>
        </a:p>
        <a:p>
          <a:endParaRPr lang="hu-H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19050</xdr:colOff>
      <xdr:row>0</xdr:row>
      <xdr:rowOff>1089</xdr:rowOff>
    </xdr:from>
    <xdr:to>
      <xdr:col>25</xdr:col>
      <xdr:colOff>311876</xdr:colOff>
      <xdr:row>17</xdr:row>
      <xdr:rowOff>175260</xdr:rowOff>
    </xdr:to>
    <xdr:sp macro="" textlink="">
      <xdr:nvSpPr>
        <xdr:cNvPr id="2" name="Szövegdoboz 1">
          <a:extLst>
            <a:ext uri="{FF2B5EF4-FFF2-40B4-BE49-F238E27FC236}">
              <a16:creationId xmlns:a16="http://schemas.microsoft.com/office/drawing/2014/main" id="{BF3E39FE-9270-FBFF-D298-C228965B1D42}"/>
            </a:ext>
          </a:extLst>
        </xdr:cNvPr>
        <xdr:cNvSpPr txBox="1"/>
      </xdr:nvSpPr>
      <xdr:spPr>
        <a:xfrm>
          <a:off x="12830175" y="1089"/>
          <a:ext cx="6465026" cy="3412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is moving!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John’s grandfather arrived in Central Europe two decades ago. Now, it is John who should take over the role of the CEO of the small family-owned self-service restaurant called “The Kebab Shop” that operates on the ground floor of Grandpa’s house. However, the grandparents have more difficulties climbing the stairs to reach their flat upstairs, so they wish to move the restaurant selling Turkish and Arabic food.</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discovered that the city offers various alternative locations available for sale or rent, and some even provide a more generous space offering the opportunity to extend the current business. One of the most attractive alternatives is to rent the venue of a Chinese restaurant that just closed last month near the city centre. The local municipality owns the real estate, and can not be rented for less than </a:t>
          </a:r>
          <a:r>
            <a:rPr lang="hu-HU" sz="1100">
              <a:solidFill>
                <a:schemeClr val="dk1"/>
              </a:solidFill>
              <a:effectLst/>
              <a:latin typeface="+mn-lt"/>
              <a:ea typeface="+mn-ea"/>
              <a:cs typeface="+mn-cs"/>
            </a:rPr>
            <a:t>six</a:t>
          </a:r>
          <a:r>
            <a:rPr lang="en-GB" sz="1100">
              <a:solidFill>
                <a:schemeClr val="dk1"/>
              </a:solidFill>
              <a:effectLst/>
              <a:latin typeface="+mn-lt"/>
              <a:ea typeface="+mn-ea"/>
              <a:cs typeface="+mn-cs"/>
            </a:rPr>
            <a:t> years. His first job, besides the daily management, will be to determine whether that option is acceptable from a business point of view. For the calculations, assume that at the end of the rental period, the Kebab Shop will have to move out, which may lead to us losing 10 percent of the invested capital on moving costs (not included in the plan yet). At that time, debt needs to be repaid completely.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may spend on renting the new real estate for the next five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the maximum change if it was the firm operating the restaurant to buy the rental rights?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What would the maximum yearly rental fee be if the municipality would not insist on one upfront payment?</a:t>
          </a:r>
          <a:endParaRPr lang="hu-HU" sz="1100">
            <a:solidFill>
              <a:schemeClr val="dk1"/>
            </a:solidFill>
            <a:effectLst/>
            <a:latin typeface="+mn-lt"/>
            <a:ea typeface="+mn-ea"/>
            <a:cs typeface="+mn-cs"/>
          </a:endParaRPr>
        </a:p>
        <a:p>
          <a:endParaRPr lang="hu-H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419553</xdr:colOff>
      <xdr:row>0</xdr:row>
      <xdr:rowOff>72754</xdr:rowOff>
    </xdr:from>
    <xdr:to>
      <xdr:col>22</xdr:col>
      <xdr:colOff>26579</xdr:colOff>
      <xdr:row>18</xdr:row>
      <xdr:rowOff>56425</xdr:rowOff>
    </xdr:to>
    <xdr:sp macro="" textlink="">
      <xdr:nvSpPr>
        <xdr:cNvPr id="2" name="Szövegdoboz 1">
          <a:extLst>
            <a:ext uri="{FF2B5EF4-FFF2-40B4-BE49-F238E27FC236}">
              <a16:creationId xmlns:a16="http://schemas.microsoft.com/office/drawing/2014/main" id="{E69317C3-4AE5-474F-BC56-16EA956404D5}"/>
            </a:ext>
          </a:extLst>
        </xdr:cNvPr>
        <xdr:cNvSpPr txBox="1"/>
      </xdr:nvSpPr>
      <xdr:spPr>
        <a:xfrm>
          <a:off x="15078528" y="72754"/>
          <a:ext cx="6465026" cy="3584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is moving!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John’s grandfather arrived in Central Europe two decades ago. Now, it is John who should take over the role of the CEO of the small family-owned self-service restaurant called “The Kebab Shop” that operates on the ground floor of Grandpa’s house. However, the grandparents have more difficulties climbing the stairs to reach their flat upstairs, so they wish to move the restaurant selling Turkish and Arabic food.</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discovered that the city offers various alternative locations available for sale or rent, and some even provide a more generous space offering the opportunity to extend the current business. One of the most attractive alternatives is to rent the venue of a Chinese restaurant that just closed last month near the city centre. The local municipality owns the real estate, and can not be rented for less than </a:t>
          </a:r>
          <a:r>
            <a:rPr lang="hu-HU" sz="1100">
              <a:solidFill>
                <a:schemeClr val="dk1"/>
              </a:solidFill>
              <a:effectLst/>
              <a:latin typeface="+mn-lt"/>
              <a:ea typeface="+mn-ea"/>
              <a:cs typeface="+mn-cs"/>
            </a:rPr>
            <a:t>six</a:t>
          </a:r>
          <a:r>
            <a:rPr lang="en-GB" sz="1100">
              <a:solidFill>
                <a:schemeClr val="dk1"/>
              </a:solidFill>
              <a:effectLst/>
              <a:latin typeface="+mn-lt"/>
              <a:ea typeface="+mn-ea"/>
              <a:cs typeface="+mn-cs"/>
            </a:rPr>
            <a:t> years. His first job, besides the daily management, will be to determine whether that option is acceptable from a business point of view. For the calculations, assume that at the end of the rental period, the Kebab Shop will have to move out, which may lead to us losing 10 percent of the invested capital on moving costs (not included in the plan yet). At that time, debt needs to be repaid completely.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may spend on renting the new real estate for the next five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the maximum change if it was the firm operating the restaurant to buy the rental rights?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What would the maximum yearly rental fee be if the municipality would not insist on one upfront payment?</a:t>
          </a:r>
          <a:endParaRPr lang="hu-HU" sz="1100">
            <a:solidFill>
              <a:schemeClr val="dk1"/>
            </a:solidFill>
            <a:effectLst/>
            <a:latin typeface="+mn-lt"/>
            <a:ea typeface="+mn-ea"/>
            <a:cs typeface="+mn-cs"/>
          </a:endParaRPr>
        </a:p>
        <a:p>
          <a:endParaRPr lang="hu-H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581025</xdr:colOff>
      <xdr:row>2</xdr:row>
      <xdr:rowOff>86814</xdr:rowOff>
    </xdr:from>
    <xdr:to>
      <xdr:col>25</xdr:col>
      <xdr:colOff>188051</xdr:colOff>
      <xdr:row>20</xdr:row>
      <xdr:rowOff>70485</xdr:rowOff>
    </xdr:to>
    <xdr:sp macro="" textlink="">
      <xdr:nvSpPr>
        <xdr:cNvPr id="2" name="Szövegdoboz 1">
          <a:extLst>
            <a:ext uri="{FF2B5EF4-FFF2-40B4-BE49-F238E27FC236}">
              <a16:creationId xmlns:a16="http://schemas.microsoft.com/office/drawing/2014/main" id="{E95DDC4A-2128-4A44-B4AD-55C3E7E3DF36}"/>
            </a:ext>
          </a:extLst>
        </xdr:cNvPr>
        <xdr:cNvSpPr txBox="1"/>
      </xdr:nvSpPr>
      <xdr:spPr>
        <a:xfrm>
          <a:off x="13039725" y="486864"/>
          <a:ext cx="6465026" cy="3584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is moving!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John’s grandfather arrived in Central Europe two decades ago. Now, it is John who should take over the role of the CEO of the small family-owned self-service restaurant called “The Kebab Shop” that operates on the ground floor of Grandpa’s house. However, the grandparents have more difficulties climbing the stairs to reach their flat upstairs, so they wish to move the restaurant selling Turkish and Arabic food.</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discovered that the city offers various alternative locations available for sale or rent, and some even provide a more generous space offering the opportunity to extend the current business. One of the most attractive alternatives is to rent the venue of a Chinese restaurant that just closed last month near the city centre. The local municipality owns the real estate, and can not be rented for less than </a:t>
          </a:r>
          <a:r>
            <a:rPr lang="hu-HU" sz="1100">
              <a:solidFill>
                <a:schemeClr val="dk1"/>
              </a:solidFill>
              <a:effectLst/>
              <a:latin typeface="+mn-lt"/>
              <a:ea typeface="+mn-ea"/>
              <a:cs typeface="+mn-cs"/>
            </a:rPr>
            <a:t>six</a:t>
          </a:r>
          <a:r>
            <a:rPr lang="en-GB" sz="1100">
              <a:solidFill>
                <a:schemeClr val="dk1"/>
              </a:solidFill>
              <a:effectLst/>
              <a:latin typeface="+mn-lt"/>
              <a:ea typeface="+mn-ea"/>
              <a:cs typeface="+mn-cs"/>
            </a:rPr>
            <a:t> years. His first job, besides the daily management, will be to determine whether that option is acceptable from a business point of view. For the calculations, assume that at the end of the rental period, the Kebab Shop will have to move out, which may lead to us losing 10 percent of the invested capital on moving costs (not included in the plan yet). At that time, debt needs to be repaid completely.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may spend on renting the new real estate for the next five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the maximum change if it was the firm operating the restaurant to buy the rental rights?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What would the maximum yearly rental fee be if the municipality would not insist on one upfront payment?</a:t>
          </a:r>
          <a:endParaRPr lang="hu-HU" sz="1100">
            <a:solidFill>
              <a:schemeClr val="dk1"/>
            </a:solidFill>
            <a:effectLst/>
            <a:latin typeface="+mn-lt"/>
            <a:ea typeface="+mn-ea"/>
            <a:cs typeface="+mn-cs"/>
          </a:endParaRPr>
        </a:p>
        <a:p>
          <a:endParaRPr lang="hu-H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97969</xdr:colOff>
      <xdr:row>0</xdr:row>
      <xdr:rowOff>103415</xdr:rowOff>
    </xdr:from>
    <xdr:to>
      <xdr:col>14</xdr:col>
      <xdr:colOff>223241</xdr:colOff>
      <xdr:row>15</xdr:row>
      <xdr:rowOff>52089</xdr:rowOff>
    </xdr:to>
    <xdr:sp macro="" textlink="">
      <xdr:nvSpPr>
        <xdr:cNvPr id="2" name="Szövegdoboz 1">
          <a:extLst>
            <a:ext uri="{FF2B5EF4-FFF2-40B4-BE49-F238E27FC236}">
              <a16:creationId xmlns:a16="http://schemas.microsoft.com/office/drawing/2014/main" id="{6EF020FA-7835-48CE-980E-AC233FA57059}"/>
            </a:ext>
          </a:extLst>
        </xdr:cNvPr>
        <xdr:cNvSpPr txBox="1"/>
      </xdr:nvSpPr>
      <xdr:spPr>
        <a:xfrm>
          <a:off x="1184414" y="103415"/>
          <a:ext cx="10119081" cy="2962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goes online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Recently, John’s became the CEO of The Kebab Shop, a small family-owned self-service restaurant selling Turkish and Arabic food. The business was founded by his grandfather was recently moved from the ground floor of his house just recently. John successfully bought the rental right of a municipality-owned real estate near the city centre for six years for 1200.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It was just at the celebration of the reopening when John met his former classmate, Jane, a blond girl with the world’s most beautiful smile, as he described her to his grandma. Jane became an IT professional who recommended The Kebab Shop to offer online sales and home delivery. Seeing that John is not very comfortable with online sales, she offered immediately to team up with the family and create the website and the direct invoicing connection to the bookkeeping and the tax authorities. She even offered to pay for the development in exchange for a modest stake in the restaurant. “We should not mix emotions with business” – Grandma said. “Calculate the value of her work and we will pay for it.”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created a plan both for the case with the online ordering and delivery and without it. Though, he was worried, that the family would not be able to pay for Jane’s contribution right on the spot as the renovation of the new venue burned quite a big part of their cash reserve. Thus, he decided to calculate what percentage of ownership could be offered in exchange for the job done instead of a cash payment. He was really hoping for the family to agree on such an alternative as this solution would also assure him of meeting Jane regularly.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For the calculations, assume that at the end of the rental period, the Kebab Shop will have to move out, which may lead to us losing 10 percent of the </a:t>
          </a:r>
          <a:r>
            <a:rPr lang="hu-HU" sz="1100">
              <a:solidFill>
                <a:schemeClr val="dk1"/>
              </a:solidFill>
              <a:effectLst/>
              <a:latin typeface="+mn-lt"/>
              <a:ea typeface="+mn-ea"/>
              <a:cs typeface="+mn-cs"/>
            </a:rPr>
            <a:t>end of year </a:t>
          </a:r>
          <a:r>
            <a:rPr lang="en-GB" sz="1100">
              <a:solidFill>
                <a:schemeClr val="dk1"/>
              </a:solidFill>
              <a:effectLst/>
              <a:latin typeface="+mn-lt"/>
              <a:ea typeface="+mn-ea"/>
              <a:cs typeface="+mn-cs"/>
            </a:rPr>
            <a:t>invested capital on moving costs (not included in the plan yet). At that time, debt needs to be repaid completely.</a:t>
          </a:r>
          <a:r>
            <a:rPr lang="hu-HU" sz="1100">
              <a:solidFill>
                <a:schemeClr val="dk1"/>
              </a:solidFill>
              <a:effectLst/>
              <a:latin typeface="+mn-lt"/>
              <a:ea typeface="+mn-ea"/>
              <a:cs typeface="+mn-cs"/>
            </a:rPr>
            <a:t> Fot the terminal value use</a:t>
          </a:r>
          <a:r>
            <a:rPr lang="hu-HU" sz="1100" baseline="0">
              <a:solidFill>
                <a:schemeClr val="dk1"/>
              </a:solidFill>
              <a:effectLst/>
              <a:latin typeface="+mn-lt"/>
              <a:ea typeface="+mn-ea"/>
              <a:cs typeface="+mn-cs"/>
            </a:rPr>
            <a:t> the liquidation value.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should pay for setting up the online sales and home delivery business.</a:t>
          </a:r>
          <a:r>
            <a:rPr lang="hu-HU" sz="1100">
              <a:solidFill>
                <a:schemeClr val="dk1"/>
              </a:solidFill>
              <a:effectLst/>
              <a:latin typeface="+mn-lt"/>
              <a:ea typeface="+mn-ea"/>
              <a:cs typeface="+mn-cs"/>
            </a:rPr>
            <a:t> Use all DCF methods</a:t>
          </a:r>
          <a:r>
            <a:rPr lang="hu-HU" sz="1100" baseline="0">
              <a:solidFill>
                <a:schemeClr val="dk1"/>
              </a:solidFill>
              <a:effectLst/>
              <a:latin typeface="+mn-lt"/>
              <a:ea typeface="+mn-ea"/>
              <a:cs typeface="+mn-cs"/>
            </a:rPr>
            <a:t> you know.</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What is the maximum percent of ownership that they may offer in exchange for Jane covering all the costs?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two solutions would be more advantageous?</a:t>
          </a:r>
          <a:endParaRPr lang="hu-HU" sz="1100">
            <a:solidFill>
              <a:schemeClr val="dk1"/>
            </a:solidFill>
            <a:effectLst/>
            <a:latin typeface="+mn-lt"/>
            <a:ea typeface="+mn-ea"/>
            <a:cs typeface="+mn-cs"/>
          </a:endParaRPr>
        </a:p>
        <a:p>
          <a:endParaRPr lang="hu-HU"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97970</xdr:colOff>
      <xdr:row>0</xdr:row>
      <xdr:rowOff>103415</xdr:rowOff>
    </xdr:from>
    <xdr:to>
      <xdr:col>10</xdr:col>
      <xdr:colOff>87084</xdr:colOff>
      <xdr:row>16</xdr:row>
      <xdr:rowOff>32658</xdr:rowOff>
    </xdr:to>
    <xdr:sp macro="" textlink="">
      <xdr:nvSpPr>
        <xdr:cNvPr id="2" name="Szövegdoboz 1">
          <a:extLst>
            <a:ext uri="{FF2B5EF4-FFF2-40B4-BE49-F238E27FC236}">
              <a16:creationId xmlns:a16="http://schemas.microsoft.com/office/drawing/2014/main" id="{DF0A9A9B-A120-4769-9A1D-171F135E123E}"/>
            </a:ext>
          </a:extLst>
        </xdr:cNvPr>
        <xdr:cNvSpPr txBox="1"/>
      </xdr:nvSpPr>
      <xdr:spPr>
        <a:xfrm>
          <a:off x="783770" y="103415"/>
          <a:ext cx="9028339" cy="3129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must go on</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Recently, John’s became the CEO of The Kebab Shop, a small family-owned self-service restaurant selling Turkish and Arabic food. He has already made some significant changes: the business founded by his grandfather was recently moved to a municipality-owned real estate, and he also decided to set up the firm's online sales and home delivery division.</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recently created a long-term financial plan. He is confident that he will always be able to find an excellent place to operate in the city. However, he expects the new projects not to generate any added value in the terminal value. He also checked the competitors for optimal leverage rates in the industry and predicted the cost of debt in line with the current yield curve and step-by-step approach to the optimal financing structure.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How would your results change if the expected growth were one percentage point higher during the terminal value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How would the growth effect change if RONIC would equal 12% during the terminal value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Is there a point in running the firm if we expect no project to create added value during the terminal value period?</a:t>
          </a:r>
          <a:endParaRPr lang="hu-HU" sz="1100">
            <a:solidFill>
              <a:schemeClr val="dk1"/>
            </a:solidFill>
            <a:effectLst/>
            <a:latin typeface="+mn-lt"/>
            <a:ea typeface="+mn-ea"/>
            <a:cs typeface="+mn-cs"/>
          </a:endParaRPr>
        </a:p>
        <a:p>
          <a:endParaRPr lang="hu-HU"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97970</xdr:colOff>
      <xdr:row>0</xdr:row>
      <xdr:rowOff>103415</xdr:rowOff>
    </xdr:from>
    <xdr:to>
      <xdr:col>10</xdr:col>
      <xdr:colOff>87084</xdr:colOff>
      <xdr:row>16</xdr:row>
      <xdr:rowOff>32658</xdr:rowOff>
    </xdr:to>
    <xdr:sp macro="" textlink="">
      <xdr:nvSpPr>
        <xdr:cNvPr id="2" name="Szövegdoboz 1">
          <a:extLst>
            <a:ext uri="{FF2B5EF4-FFF2-40B4-BE49-F238E27FC236}">
              <a16:creationId xmlns:a16="http://schemas.microsoft.com/office/drawing/2014/main" id="{C225A012-8E94-45DC-8FDD-07DA361731D7}"/>
            </a:ext>
          </a:extLst>
        </xdr:cNvPr>
        <xdr:cNvSpPr txBox="1"/>
      </xdr:nvSpPr>
      <xdr:spPr>
        <a:xfrm>
          <a:off x="783770" y="103415"/>
          <a:ext cx="9028339" cy="3129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must go on</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Recently, John’s became the CEO of The Kebab Shop, a small family-owned self-service restaurant selling Turkish and Arabic food. He has already made some significant changes: the business founded by his grandfather was recently moved to a municipality-owned real estate, and he also decided to set up the firm's online sales and home delivery division.</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recently created a long-term financial plan. He is confident that he will always be able to find an excellent place to operate in the city. However, he expects the new projects not to generate any added value in the terminal value. He also checked the competitors for optimal leverage rates in the industry and predicted the cost of debt in line with the current yield curve and step-by-step approach to the optimal financing structure.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How would your results change if the expected growth were one percentage point higher during the terminal value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How would the growth effect change if RONIC would equal 12% during the terminal value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Is there a point in running the firm if we expect no project to create added value during the terminal value period?</a:t>
          </a:r>
          <a:endParaRPr lang="hu-HU" sz="1100">
            <a:solidFill>
              <a:schemeClr val="dk1"/>
            </a:solidFill>
            <a:effectLst/>
            <a:latin typeface="+mn-lt"/>
            <a:ea typeface="+mn-ea"/>
            <a:cs typeface="+mn-cs"/>
          </a:endParaRPr>
        </a:p>
        <a:p>
          <a:endParaRPr lang="hu-HU"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97970</xdr:colOff>
      <xdr:row>0</xdr:row>
      <xdr:rowOff>103415</xdr:rowOff>
    </xdr:from>
    <xdr:to>
      <xdr:col>10</xdr:col>
      <xdr:colOff>87084</xdr:colOff>
      <xdr:row>16</xdr:row>
      <xdr:rowOff>32658</xdr:rowOff>
    </xdr:to>
    <xdr:sp macro="" textlink="">
      <xdr:nvSpPr>
        <xdr:cNvPr id="2" name="Szövegdoboz 1">
          <a:extLst>
            <a:ext uri="{FF2B5EF4-FFF2-40B4-BE49-F238E27FC236}">
              <a16:creationId xmlns:a16="http://schemas.microsoft.com/office/drawing/2014/main" id="{165525E6-3525-40EE-8C3A-C94341BD24C8}"/>
            </a:ext>
          </a:extLst>
        </xdr:cNvPr>
        <xdr:cNvSpPr txBox="1"/>
      </xdr:nvSpPr>
      <xdr:spPr>
        <a:xfrm>
          <a:off x="783770" y="103415"/>
          <a:ext cx="9028339" cy="3129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must go on</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Recently, John’s became the CEO of The Kebab Shop, a small family-owned self-service restaurant selling Turkish and Arabic food. He has already made some significant changes: the business founded by his grandfather was recently moved to a municipality-owned real estate, and he also decided to set up the firm's online sales and home delivery division.</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recently created a long-term financial plan. He is confident that he will always be able to find an excellent place to operate in the city. However, he expects the new projects not to generate any added value in the terminal value. He also checked the competitors for optimal leverage rates in the industry and predicted the cost of debt in line with the current yield curve and step-by-step approach to the optimal financing structure.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How would your results change if the expected growth were one percentage point higher during the terminal value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How would the growth effect change if RONIC would equal 12% during the terminal value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Is there a point in running the firm if we expect no project to create added value during the terminal value period?</a:t>
          </a:r>
          <a:endParaRPr lang="hu-HU" sz="1100">
            <a:solidFill>
              <a:schemeClr val="dk1"/>
            </a:solidFill>
            <a:effectLst/>
            <a:latin typeface="+mn-lt"/>
            <a:ea typeface="+mn-ea"/>
            <a:cs typeface="+mn-cs"/>
          </a:endParaRPr>
        </a:p>
        <a:p>
          <a:endParaRPr lang="hu-HU"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103413</xdr:colOff>
      <xdr:row>0</xdr:row>
      <xdr:rowOff>87085</xdr:rowOff>
    </xdr:from>
    <xdr:to>
      <xdr:col>10</xdr:col>
      <xdr:colOff>92527</xdr:colOff>
      <xdr:row>24</xdr:row>
      <xdr:rowOff>174172</xdr:rowOff>
    </xdr:to>
    <xdr:sp macro="" textlink="">
      <xdr:nvSpPr>
        <xdr:cNvPr id="2" name="Szövegdoboz 1">
          <a:extLst>
            <a:ext uri="{FF2B5EF4-FFF2-40B4-BE49-F238E27FC236}">
              <a16:creationId xmlns:a16="http://schemas.microsoft.com/office/drawing/2014/main" id="{741C2411-7107-4711-A699-D662C9C14485}"/>
            </a:ext>
          </a:extLst>
        </xdr:cNvPr>
        <xdr:cNvSpPr txBox="1"/>
      </xdr:nvSpPr>
      <xdr:spPr>
        <a:xfrm>
          <a:off x="789213" y="87085"/>
          <a:ext cx="7056664" cy="4887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Financing Challenge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was sitting puzzled in front of his computer. Just a week ago, he organised an opening party for the Kebab Shop, and he managed to move to a new location successfully. During that, he not only met Jean, a wonderful and clever girl, but Thomas, his best friend, also showed up. He wanted John’s advice on financing the garage he recently took over from his old “Maestro”, Mr. Sáros. Now, just a couple of days later, Tom has sent an email with all the details.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has decided to modernise the garage and move away from the overly conservative zero-leverage strategy of the old owner. As a well-established company with real estate of considerable value, Tom was confident of attracting foreign capital quickly. When he contacted a bank, they came up with two attractive proposals besides the classic debt.</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 </a:t>
          </a:r>
          <a:r>
            <a:rPr lang="en-GB" sz="1100">
              <a:solidFill>
                <a:schemeClr val="dk1"/>
              </a:solidFill>
              <a:effectLst/>
              <a:latin typeface="+mn-lt"/>
              <a:ea typeface="+mn-ea"/>
              <a:cs typeface="+mn-cs"/>
            </a:rPr>
            <a:t>The firm could issue a bond purchased by a dedicated government agency to support the growth of midsized firms nationwide. The agency offers to buy bonds at a total value of 8000 if a yearly interest of 8 percent would be paid on the face value. The bond would have a lifetime of 5 years and be repaid in four equal instalments during the last years.</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B. </a:t>
          </a:r>
          <a:r>
            <a:rPr lang="en-GB" sz="1100">
              <a:solidFill>
                <a:schemeClr val="dk1"/>
              </a:solidFill>
              <a:effectLst/>
              <a:latin typeface="+mn-lt"/>
              <a:ea typeface="+mn-ea"/>
              <a:cs typeface="+mn-cs"/>
            </a:rPr>
            <a:t>It would also be possible to profit from a particular EU-subsidised loan that supports companies in regions with a development level below the country average. The available amount would be 9200 for five years at a yearly rate of 5%. The principal should be repaid in two equal parts during the last two years. Here, the bank requires the garage to maintain a debt service reserve account (DSRA) of 6 months.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also investigated standard bank products and learned that the yearly fixed interest would be 7% for the next five years based on their risk and the current yield curve. Tom also attached his financial plan for the coming years and finished his email as follows. “One thing is sure: after five years, we will move over to the standard financing as none can benefit from these products twice or get both after each other. You studied finance at the university. Which option should I go for? I need your help, buddy.”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 for both alternatives.</a:t>
          </a:r>
          <a:r>
            <a:rPr lang="hu-HU" sz="1100">
              <a:solidFill>
                <a:schemeClr val="dk1"/>
              </a:solidFill>
              <a:effectLst/>
              <a:latin typeface="+mn-lt"/>
              <a:ea typeface="+mn-ea"/>
              <a:cs typeface="+mn-cs"/>
            </a:rPr>
            <a:t> Assume new</a:t>
          </a:r>
          <a:r>
            <a:rPr lang="hu-HU" sz="1100" baseline="0">
              <a:solidFill>
                <a:schemeClr val="dk1"/>
              </a:solidFill>
              <a:effectLst/>
              <a:latin typeface="+mn-lt"/>
              <a:ea typeface="+mn-ea"/>
              <a:cs typeface="+mn-cs"/>
            </a:rPr>
            <a:t> projects generate no added value during the TV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your results change depending on whether the garage uses fair value accounting or the classic method?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offers is more advantageous for the garage?</a:t>
          </a:r>
          <a:endParaRPr lang="hu-H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How would your calculation change for the subsidised loan case if only 80% of the interest could be deducted from the tax base?</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endParaRPr lang="hu-HU"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201387</xdr:colOff>
      <xdr:row>0</xdr:row>
      <xdr:rowOff>81644</xdr:rowOff>
    </xdr:from>
    <xdr:to>
      <xdr:col>9</xdr:col>
      <xdr:colOff>468087</xdr:colOff>
      <xdr:row>25</xdr:row>
      <xdr:rowOff>21771</xdr:rowOff>
    </xdr:to>
    <xdr:sp macro="" textlink="">
      <xdr:nvSpPr>
        <xdr:cNvPr id="2" name="Szövegdoboz 2">
          <a:extLst>
            <a:ext uri="{FF2B5EF4-FFF2-40B4-BE49-F238E27FC236}">
              <a16:creationId xmlns:a16="http://schemas.microsoft.com/office/drawing/2014/main" id="{C230C70B-013D-41B7-AE97-E0774E05360C}"/>
            </a:ext>
          </a:extLst>
        </xdr:cNvPr>
        <xdr:cNvSpPr txBox="1"/>
      </xdr:nvSpPr>
      <xdr:spPr>
        <a:xfrm>
          <a:off x="887187" y="81644"/>
          <a:ext cx="7000875" cy="49407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Financing Challenge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was sitting puzzled in front of his computer. Just a week ago, he organised an opening party for the Kebab Shop, and he managed to move to a new location successfully. During that, he not only met Jean, a wonderful and clever girl, but Thomas, his best friend, also showed up. He wanted John’s advice on financing the garage he recently took over from his old “Maestro”, Mr. Sáros. Now, just a couple of days later, Tom has sent an email with all the details.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has decided to modernise the garage and move away from the overly conservative zero-leverage strategy of the old owner. As a well-established company with real estate of considerable value, Tom was confident of attracting foreign capital quickly. When he contacted a bank, they came up with two attractive proposals besides the classic debt.</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 </a:t>
          </a:r>
          <a:r>
            <a:rPr lang="en-GB" sz="1100">
              <a:solidFill>
                <a:schemeClr val="dk1"/>
              </a:solidFill>
              <a:effectLst/>
              <a:latin typeface="+mn-lt"/>
              <a:ea typeface="+mn-ea"/>
              <a:cs typeface="+mn-cs"/>
            </a:rPr>
            <a:t>The firm could issue a bond purchased by a dedicated government agency to support the growth of midsized firms nationwide. The agency offers to buy bonds at a total value of 8000 if a yearly interest of 8 percent would be paid on the face value. The bond would have a lifetime of 5 years and be repaid in four equal instalments during the last years.</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B. </a:t>
          </a:r>
          <a:r>
            <a:rPr lang="en-GB" sz="1100">
              <a:solidFill>
                <a:schemeClr val="dk1"/>
              </a:solidFill>
              <a:effectLst/>
              <a:latin typeface="+mn-lt"/>
              <a:ea typeface="+mn-ea"/>
              <a:cs typeface="+mn-cs"/>
            </a:rPr>
            <a:t>It would also be possible to profit from a particular EU-subsidised loan that supports companies in regions with a development level below the country average. The available amount would be 9200 for five years at a yearly rate of 5%. The principal should be repaid in two equal parts during the last two years. Here, the bank requires the garage to maintain a debt service reserve account (DSRA) of 6 months.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also investigated standard bank products and learned that the yearly fixed interest would be 7% for the next five years based on their risk and the current yield curve. Tom also attached his financial plan for the coming years and finished his email as follows. “One thing is sure: after five years, we will move over to the standard financing as none can benefit from these products twice or get both after each other. You studied finance at the university. Which option should I go for? I need your help, buddy.”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 for both alternatives.</a:t>
          </a:r>
          <a:r>
            <a:rPr lang="hu-HU" sz="1100">
              <a:solidFill>
                <a:schemeClr val="dk1"/>
              </a:solidFill>
              <a:effectLst/>
              <a:latin typeface="+mn-lt"/>
              <a:ea typeface="+mn-ea"/>
              <a:cs typeface="+mn-cs"/>
            </a:rPr>
            <a:t> Assume new</a:t>
          </a:r>
          <a:r>
            <a:rPr lang="hu-HU" sz="1100" baseline="0">
              <a:solidFill>
                <a:schemeClr val="dk1"/>
              </a:solidFill>
              <a:effectLst/>
              <a:latin typeface="+mn-lt"/>
              <a:ea typeface="+mn-ea"/>
              <a:cs typeface="+mn-cs"/>
            </a:rPr>
            <a:t> projects generate no added value during the TV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your results change depending on whether the garage uses fair value accounting or the classic method?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offers is more advantageous for the garage?</a:t>
          </a:r>
          <a:endParaRPr lang="hu-H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How would your calculation change for the subsidised loan case if only 80% of the interest could be deducted from the tax base?</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endParaRPr lang="hu-HU"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234043</xdr:colOff>
      <xdr:row>0</xdr:row>
      <xdr:rowOff>87084</xdr:rowOff>
    </xdr:from>
    <xdr:to>
      <xdr:col>10</xdr:col>
      <xdr:colOff>288471</xdr:colOff>
      <xdr:row>24</xdr:row>
      <xdr:rowOff>103414</xdr:rowOff>
    </xdr:to>
    <xdr:sp macro="" textlink="">
      <xdr:nvSpPr>
        <xdr:cNvPr id="2" name="Szövegdoboz 2">
          <a:extLst>
            <a:ext uri="{FF2B5EF4-FFF2-40B4-BE49-F238E27FC236}">
              <a16:creationId xmlns:a16="http://schemas.microsoft.com/office/drawing/2014/main" id="{5824F209-4DE7-471F-92DE-0C995DC0AAD5}"/>
            </a:ext>
          </a:extLst>
        </xdr:cNvPr>
        <xdr:cNvSpPr txBox="1"/>
      </xdr:nvSpPr>
      <xdr:spPr>
        <a:xfrm>
          <a:off x="2196193" y="87084"/>
          <a:ext cx="7007678" cy="4816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Financing Challenge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was sitting puzzled in front of his computer. Just a week ago, he organised an opening party for the Kebab Shop, and he managed to move to a new location successfully. During that, he not only met Jean, a wonderful and clever girl, but Thomas, his best friend, also showed up. He wanted John’s advice on financing the garage he recently took over from his old “Maestro”, Mr. Sáros. Now, just a couple of days later, Tom has sent an email with all the details.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has decided to modernise the garage and move away from the overly conservative zero-leverage strategy of the old owner. As a well-established company with real estate of considerable value, Tom was confident of attracting foreign capital quickly. When he contacted a bank, they came up with two attractive proposals besides the classic debt.</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 </a:t>
          </a:r>
          <a:r>
            <a:rPr lang="en-GB" sz="1100">
              <a:solidFill>
                <a:schemeClr val="dk1"/>
              </a:solidFill>
              <a:effectLst/>
              <a:latin typeface="+mn-lt"/>
              <a:ea typeface="+mn-ea"/>
              <a:cs typeface="+mn-cs"/>
            </a:rPr>
            <a:t>The firm could issue a bond purchased by a dedicated government agency to support the growth of midsized firms nationwide. The agency offers to buy bonds at a total value of 8000 if a yearly interest of 8 percent would be paid on the face value. The bond would have a lifetime of 5 years and be repaid in four equal instalments during the last years.</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B. </a:t>
          </a:r>
          <a:r>
            <a:rPr lang="en-GB" sz="1100">
              <a:solidFill>
                <a:schemeClr val="dk1"/>
              </a:solidFill>
              <a:effectLst/>
              <a:latin typeface="+mn-lt"/>
              <a:ea typeface="+mn-ea"/>
              <a:cs typeface="+mn-cs"/>
            </a:rPr>
            <a:t>It would also be possible to profit from a particular EU-subsidised loan that supports companies in regions with a development level below the country average. The available amount would be 9200 for five years at a yearly rate of 5%. The principal should be repaid in two equal parts during the last two years. Here, the bank requires the garage to maintain a debt service reserve account (DSRA) of 6 months.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also investigated standard bank products and learned that the yearly fixed interest would be 7% for the next five years based on their risk and the current yield curve. Tom also attached his financial plan for the coming years and finished his email as follows. “One thing is sure: after five years, we will move over to the standard financing as none can benefit from these products twice or get both after each other. You studied finance at the university. Which option should I go for? I need your help, buddy.”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 for both alternatives.</a:t>
          </a:r>
          <a:r>
            <a:rPr lang="hu-HU" sz="1100">
              <a:solidFill>
                <a:schemeClr val="dk1"/>
              </a:solidFill>
              <a:effectLst/>
              <a:latin typeface="+mn-lt"/>
              <a:ea typeface="+mn-ea"/>
              <a:cs typeface="+mn-cs"/>
            </a:rPr>
            <a:t> Assume new</a:t>
          </a:r>
          <a:r>
            <a:rPr lang="hu-HU" sz="1100" baseline="0">
              <a:solidFill>
                <a:schemeClr val="dk1"/>
              </a:solidFill>
              <a:effectLst/>
              <a:latin typeface="+mn-lt"/>
              <a:ea typeface="+mn-ea"/>
              <a:cs typeface="+mn-cs"/>
            </a:rPr>
            <a:t> projects generate no added value during the TV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your results change depending on whether the garage uses fair value accounting or the classic method?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offers is more advantageous for the garage?</a:t>
          </a:r>
          <a:endParaRPr lang="hu-H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How would your calculation change for the subsidised loan case if only 80% of the interest could be deducted from the tax base?</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endParaRPr lang="hu-HU"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261257</xdr:colOff>
      <xdr:row>0</xdr:row>
      <xdr:rowOff>97971</xdr:rowOff>
    </xdr:from>
    <xdr:to>
      <xdr:col>10</xdr:col>
      <xdr:colOff>206828</xdr:colOff>
      <xdr:row>24</xdr:row>
      <xdr:rowOff>157843</xdr:rowOff>
    </xdr:to>
    <xdr:sp macro="" textlink="">
      <xdr:nvSpPr>
        <xdr:cNvPr id="2" name="Szövegdoboz 2">
          <a:extLst>
            <a:ext uri="{FF2B5EF4-FFF2-40B4-BE49-F238E27FC236}">
              <a16:creationId xmlns:a16="http://schemas.microsoft.com/office/drawing/2014/main" id="{7F2E9512-FFE1-49A6-AA04-BB6BB2FAB828}"/>
            </a:ext>
          </a:extLst>
        </xdr:cNvPr>
        <xdr:cNvSpPr txBox="1"/>
      </xdr:nvSpPr>
      <xdr:spPr>
        <a:xfrm>
          <a:off x="2471057" y="97971"/>
          <a:ext cx="7022646" cy="48604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Financing Challenge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was sitting puzzled in front of his computer. Just a week ago, he organised an opening party for the Kebab Shop, and he managed to move to a new location successfully. During that, he not only met Jean, a wonderful and clever girl, but Thomas, his best friend, also showed up. He wanted John’s advice on financing the garage he recently took over from his old “Maestro”, Mr. Sáros. Now, just a couple of days later, Tom has sent an email with all the details.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has decided to modernise the garage and move away from the overly conservative zero-leverage strategy of the old owner. As a well-established company with real estate of considerable value, Tom was confident of attracting foreign capital quickly. When he contacted a bank, they came up with two attractive proposals besides the classic debt.</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 </a:t>
          </a:r>
          <a:r>
            <a:rPr lang="en-GB" sz="1100">
              <a:solidFill>
                <a:schemeClr val="dk1"/>
              </a:solidFill>
              <a:effectLst/>
              <a:latin typeface="+mn-lt"/>
              <a:ea typeface="+mn-ea"/>
              <a:cs typeface="+mn-cs"/>
            </a:rPr>
            <a:t>The firm could issue a bond purchased by a dedicated government agency to support the growth of midsized firms nationwide. The agency offers to buy bonds at a total value of 8000 if a yearly interest of 8 percent would be paid on the face value. The bond would have a lifetime of 5 years and be repaid in four equal instalments during the last years.</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B. </a:t>
          </a:r>
          <a:r>
            <a:rPr lang="en-GB" sz="1100">
              <a:solidFill>
                <a:schemeClr val="dk1"/>
              </a:solidFill>
              <a:effectLst/>
              <a:latin typeface="+mn-lt"/>
              <a:ea typeface="+mn-ea"/>
              <a:cs typeface="+mn-cs"/>
            </a:rPr>
            <a:t>It would also be possible to profit from a particular EU-subsidised loan that supports companies in regions with a development level below the country average. The available amount would be 9200 for five years at a yearly rate of 5%. The principal should be repaid in two equal parts during the last two years. Here, the bank requires the garage to maintain a debt service reserve account (DSRA) of 6 months.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also investigated standard bank products and learned that the yearly fixed interest would be 7% for the next five years based on their risk and the current yield curve. Tom also attached his financial plan for the coming years and finished his email as follows. “One thing is sure: after five years, we will move over to the standard financing as none can benefit from these products twice or get both after each other. You studied finance at the university. Which option should I go for? I need your help, buddy.”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 for both alternatives.</a:t>
          </a:r>
          <a:r>
            <a:rPr lang="hu-HU" sz="1100">
              <a:solidFill>
                <a:schemeClr val="dk1"/>
              </a:solidFill>
              <a:effectLst/>
              <a:latin typeface="+mn-lt"/>
              <a:ea typeface="+mn-ea"/>
              <a:cs typeface="+mn-cs"/>
            </a:rPr>
            <a:t> Assume new</a:t>
          </a:r>
          <a:r>
            <a:rPr lang="hu-HU" sz="1100" baseline="0">
              <a:solidFill>
                <a:schemeClr val="dk1"/>
              </a:solidFill>
              <a:effectLst/>
              <a:latin typeface="+mn-lt"/>
              <a:ea typeface="+mn-ea"/>
              <a:cs typeface="+mn-cs"/>
            </a:rPr>
            <a:t> projects generate no added value during the TV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your results change depending on whether the garage uses fair value accounting or the classic method?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offers is more advantageous for the garage?</a:t>
          </a:r>
          <a:endParaRPr lang="hu-H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How would your calculation change for the subsidised loan case if only 80% of the interest could be deducted from the tax base?</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endParaRPr lang="hu-HU"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9</xdr:col>
      <xdr:colOff>347160</xdr:colOff>
      <xdr:row>0</xdr:row>
      <xdr:rowOff>119033</xdr:rowOff>
    </xdr:from>
    <xdr:to>
      <xdr:col>18</xdr:col>
      <xdr:colOff>358045</xdr:colOff>
      <xdr:row>28</xdr:row>
      <xdr:rowOff>92766</xdr:rowOff>
    </xdr:to>
    <xdr:sp macro="" textlink="">
      <xdr:nvSpPr>
        <xdr:cNvPr id="2" name="Szövegdoboz 1">
          <a:extLst>
            <a:ext uri="{FF2B5EF4-FFF2-40B4-BE49-F238E27FC236}">
              <a16:creationId xmlns:a16="http://schemas.microsoft.com/office/drawing/2014/main" id="{7BD1375A-4F84-49C8-86C8-6EF7EF1DBD70}"/>
            </a:ext>
          </a:extLst>
        </xdr:cNvPr>
        <xdr:cNvSpPr txBox="1"/>
      </xdr:nvSpPr>
      <xdr:spPr>
        <a:xfrm>
          <a:off x="8224335" y="119033"/>
          <a:ext cx="6573610" cy="5603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Toy Story</a:t>
          </a:r>
          <a:endParaRPr lang="hu-HU" sz="1100" b="1">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Albert teamed up with Julian some ten years ago. They opened a toy retail shop, Toy Story, that developed into a chain of 8 outlets over time, </a:t>
          </a:r>
          <a:r>
            <a:rPr lang="hu-HU" sz="1100">
              <a:solidFill>
                <a:schemeClr val="dk1"/>
              </a:solidFill>
              <a:effectLst/>
              <a:latin typeface="+mn-lt"/>
              <a:ea typeface="+mn-ea"/>
              <a:cs typeface="+mn-cs"/>
            </a:rPr>
            <a:t>contrated to be supplier of hipermarkets, </a:t>
          </a:r>
          <a:r>
            <a:rPr lang="en-GB" sz="1100">
              <a:solidFill>
                <a:schemeClr val="dk1"/>
              </a:solidFill>
              <a:effectLst/>
              <a:latin typeface="+mn-lt"/>
              <a:ea typeface="+mn-ea"/>
              <a:cs typeface="+mn-cs"/>
            </a:rPr>
            <a:t>plus they also launched a web shop five years ago. Julian provided half of the capital for the business and has so 50 percent of ownership. Still, based on the articles of association, he only receives 40 percent of the dividend, so Albert, who provided the rest of the capital and acted as a general manager, gets compensated for his additional efforts. He received the additional 10 percent of dividends next to his modest wage (40 percent below the market rates) to make him focus on shareholder value and optimise personal taxes.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The firm faced a hard time recently. Due to the COVID crisis, many lost their jobs, and the boosting energy prices also made a lot of people cut back on their spending on toys. As the firm buys most of its goods from China, the devaluing local currency and the skyrocketing transportation prices pushed down margins radically. However, the current outlook is promising as real wages started to grow during the last month, while the cost of financing is predicted to drop from the next quarter, and FX rates also improved slightly during the last half year.</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As his son, who married recently, just started to build his own house, and his daughter had her third child born last month, Julian decided to sell his stake and use the inflow to support his family members. Albert is interested in buying the stake in order to sell the 100% package later to a professional investor. The owners already received an offer five years ago, but at that time they had no intention to sell. Julian suspects Albert plans to contact the same investor now, but Albert does not discuss his plans.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Julian wants to see what the fair value of his holding could be. However, he confirms that the performance of the last two years would underestimate the company's abilities. Still, he does not have a good overview of the management practices behind the numbers</a:t>
          </a:r>
          <a:r>
            <a:rPr lang="hu-HU" sz="1100">
              <a:solidFill>
                <a:schemeClr val="dk1"/>
              </a:solidFill>
              <a:effectLst/>
              <a:latin typeface="+mn-lt"/>
              <a:ea typeface="+mn-ea"/>
              <a:cs typeface="+mn-cs"/>
            </a:rPr>
            <a:t>, but is sure that the tax burden will increase</a:t>
          </a:r>
          <a:r>
            <a:rPr lang="en-GB" sz="1100">
              <a:solidFill>
                <a:schemeClr val="dk1"/>
              </a:solidFill>
              <a:effectLst/>
              <a:latin typeface="+mn-lt"/>
              <a:ea typeface="+mn-ea"/>
              <a:cs typeface="+mn-cs"/>
            </a:rPr>
            <a:t>. He would not want to use a DCF for valuing the company as the estimate for the future performance would come from Albert, who is the buyer himself.</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You found some recent similar transactions and also collected information</a:t>
          </a:r>
          <a:r>
            <a:rPr lang="hu-HU" sz="1100" baseline="0">
              <a:solidFill>
                <a:schemeClr val="dk1"/>
              </a:solidFill>
              <a:effectLst/>
              <a:latin typeface="+mn-lt"/>
              <a:ea typeface="+mn-ea"/>
              <a:cs typeface="+mn-cs"/>
            </a:rPr>
            <a:t> from the European stock markets. </a:t>
          </a:r>
          <a:r>
            <a:rPr lang="en-GB" sz="1100">
              <a:solidFill>
                <a:schemeClr val="dk1"/>
              </a:solidFill>
              <a:effectLst/>
              <a:latin typeface="+mn-lt"/>
              <a:ea typeface="+mn-ea"/>
              <a:cs typeface="+mn-cs"/>
            </a:rPr>
            <a:t>Based on the data provided, estimate the likely market price of the Toy Story.</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What would be the value of Julian’s stake?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What are some of the challenges of the valuation performed?</a:t>
          </a:r>
          <a:endParaRPr lang="hu-HU" sz="1100">
            <a:solidFill>
              <a:schemeClr val="dk1"/>
            </a:solidFill>
            <a:effectLst/>
            <a:latin typeface="+mn-lt"/>
            <a:ea typeface="+mn-ea"/>
            <a:cs typeface="+mn-cs"/>
          </a:endParaRPr>
        </a:p>
        <a:p>
          <a:endParaRPr lang="hu-HU"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63953</xdr:colOff>
      <xdr:row>2</xdr:row>
      <xdr:rowOff>2722</xdr:rowOff>
    </xdr:from>
    <xdr:to>
      <xdr:col>26</xdr:col>
      <xdr:colOff>651782</xdr:colOff>
      <xdr:row>35</xdr:row>
      <xdr:rowOff>115661</xdr:rowOff>
    </xdr:to>
    <xdr:sp macro="" textlink="">
      <xdr:nvSpPr>
        <xdr:cNvPr id="2" name="Szövegdoboz 1">
          <a:extLst>
            <a:ext uri="{FF2B5EF4-FFF2-40B4-BE49-F238E27FC236}">
              <a16:creationId xmlns:a16="http://schemas.microsoft.com/office/drawing/2014/main" id="{11E00442-F0F9-4273-8FBF-815B6E66FF1C}"/>
            </a:ext>
          </a:extLst>
        </xdr:cNvPr>
        <xdr:cNvSpPr txBox="1"/>
      </xdr:nvSpPr>
      <xdr:spPr>
        <a:xfrm>
          <a:off x="12836978" y="402772"/>
          <a:ext cx="8817429" cy="67137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dk1"/>
              </a:solidFill>
              <a:effectLst/>
              <a:latin typeface="+mn-lt"/>
              <a:ea typeface="+mn-ea"/>
              <a:cs typeface="+mn-cs"/>
            </a:rPr>
            <a:t>An asset-based decision</a:t>
          </a:r>
          <a:endParaRPr lang="hu-HU" sz="1400">
            <a:solidFill>
              <a:schemeClr val="dk1"/>
            </a:solidFill>
            <a:effectLst/>
            <a:latin typeface="+mn-lt"/>
            <a:ea typeface="+mn-ea"/>
            <a:cs typeface="+mn-cs"/>
          </a:endParaRPr>
        </a:p>
        <a:p>
          <a:r>
            <a:rPr lang="en-GB" sz="1400">
              <a:solidFill>
                <a:schemeClr val="dk1"/>
              </a:solidFill>
              <a:effectLst/>
              <a:latin typeface="+mn-lt"/>
              <a:ea typeface="+mn-ea"/>
              <a:cs typeface="+mn-cs"/>
            </a:rPr>
            <a:t> </a:t>
          </a:r>
          <a:endParaRPr lang="hu-HU" sz="1400">
            <a:solidFill>
              <a:schemeClr val="dk1"/>
            </a:solidFill>
            <a:effectLst/>
            <a:latin typeface="+mn-lt"/>
            <a:ea typeface="+mn-ea"/>
            <a:cs typeface="+mn-cs"/>
          </a:endParaRPr>
        </a:p>
        <a:p>
          <a:pPr algn="just"/>
          <a:r>
            <a:rPr lang="hu-HU" sz="1400" baseline="0">
              <a:solidFill>
                <a:schemeClr val="dk1"/>
              </a:solidFill>
              <a:effectLst/>
              <a:latin typeface="+mn-lt"/>
              <a:ea typeface="+mn-ea"/>
              <a:cs typeface="+mn-cs"/>
            </a:rPr>
            <a:t>  </a:t>
          </a:r>
          <a:r>
            <a:rPr lang="en-GB" sz="1400">
              <a:solidFill>
                <a:schemeClr val="dk1"/>
              </a:solidFill>
              <a:effectLst/>
              <a:latin typeface="+mn-lt"/>
              <a:ea typeface="+mn-ea"/>
              <a:cs typeface="+mn-cs"/>
            </a:rPr>
            <a:t>The WellBuilt Co. is specialised in real estate development and also acts as a main contractor for construction projects. They proved to be successful in a number of cases where they bought the construction sites of liquidated firms to build a resort or an office building. While looking for real estates with good opportunities they came across a former military base with a great view and a lot of old trees, in silent and elegant part of a medium sized city. The owner of the plot is CarryOn Ltd. that offers logistics and transportation services and could purchase the plot at a depressed price some years ago when the current main owner was major of the city. They use the old buildings as storage facilities while the huge open area in the middle of the complex serves as parking area for their trucks. An old office building houses the headquarter of the firm. (It is highly unusual in the industry that companies would own their real estates, rather most of them rent or lease.) </a:t>
          </a:r>
          <a:endParaRPr lang="hu-HU" sz="1400">
            <a:solidFill>
              <a:schemeClr val="dk1"/>
            </a:solidFill>
            <a:effectLst/>
            <a:latin typeface="+mn-lt"/>
            <a:ea typeface="+mn-ea"/>
            <a:cs typeface="+mn-cs"/>
          </a:endParaRPr>
        </a:p>
        <a:p>
          <a:pPr algn="just"/>
          <a:r>
            <a:rPr lang="hu-HU" sz="1400">
              <a:solidFill>
                <a:schemeClr val="dk1"/>
              </a:solidFill>
              <a:effectLst/>
              <a:latin typeface="+mn-lt"/>
              <a:ea typeface="+mn-ea"/>
              <a:cs typeface="+mn-cs"/>
            </a:rPr>
            <a:t>  </a:t>
          </a:r>
          <a:r>
            <a:rPr lang="en-GB" sz="1400">
              <a:solidFill>
                <a:schemeClr val="dk1"/>
              </a:solidFill>
              <a:effectLst/>
              <a:latin typeface="+mn-lt"/>
              <a:ea typeface="+mn-ea"/>
              <a:cs typeface="+mn-cs"/>
            </a:rPr>
            <a:t>The top management of the WellBuilt Co. decided to make a takeover offer on CarryOn. The current owner is anyway </a:t>
          </a:r>
          <a:r>
            <a:rPr lang="hu-HU" sz="1400">
              <a:solidFill>
                <a:schemeClr val="dk1"/>
              </a:solidFill>
              <a:effectLst/>
              <a:latin typeface="+mn-lt"/>
              <a:ea typeface="+mn-ea"/>
              <a:cs typeface="+mn-cs"/>
            </a:rPr>
            <a:t>  </a:t>
          </a:r>
          <a:r>
            <a:rPr lang="en-GB" sz="1400">
              <a:solidFill>
                <a:schemeClr val="dk1"/>
              </a:solidFill>
              <a:effectLst/>
              <a:latin typeface="+mn-lt"/>
              <a:ea typeface="+mn-ea"/>
              <a:cs typeface="+mn-cs"/>
            </a:rPr>
            <a:t>willing to sell as he prepares to restart his political career. They plan to </a:t>
          </a:r>
          <a:r>
            <a:rPr lang="en-GB" sz="1400">
              <a:solidFill>
                <a:schemeClr val="accent1"/>
              </a:solidFill>
              <a:effectLst/>
              <a:latin typeface="+mn-lt"/>
              <a:ea typeface="+mn-ea"/>
              <a:cs typeface="+mn-cs"/>
            </a:rPr>
            <a:t>relocate and sell the logistic firm </a:t>
          </a:r>
          <a:r>
            <a:rPr lang="en-GB" sz="1400">
              <a:solidFill>
                <a:schemeClr val="dk1"/>
              </a:solidFill>
              <a:effectLst/>
              <a:latin typeface="+mn-lt"/>
              <a:ea typeface="+mn-ea"/>
              <a:cs typeface="+mn-cs"/>
            </a:rPr>
            <a:t>and clear the plot that has currently a book value of 30 million HUF. They expect to pay a yearly fee of 12 million HUF as rental fee for the new headquarter. The fee is predicted to grow by 5 percent. (Rental fees are to be paid in advance in line with the market convention.) WellBuilt expects to sell CarryOn easily at six times of the expected EBITDA (currently 200 million HUF). The logistics firm has an outstanding debt of 120 million HUF. </a:t>
          </a:r>
          <a:endParaRPr lang="hu-HU" sz="1400">
            <a:solidFill>
              <a:schemeClr val="dk1"/>
            </a:solidFill>
            <a:effectLst/>
            <a:latin typeface="+mn-lt"/>
            <a:ea typeface="+mn-ea"/>
            <a:cs typeface="+mn-cs"/>
          </a:endParaRPr>
        </a:p>
        <a:p>
          <a:pPr algn="just"/>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Based on the plans of WellBuilt Co., 60 percent of plot would be used to set up a resort with apartment buildings and stand-alone homes. They predict to receive 1.25 billion HUF when selling those flats. On the country-road side of the plot, an office building is to be constructed with a useful lifetime of 30 years. (The corporate tax rules allow for a full depreciation over just 20 years.) The net office rental income (before tax and D&amp;A) could reach 60 million HUF yearly (pre-paid). The fee may rise by 5 percent yearly. One fifth of the real estate has to be sold to the local municipality for 10 million HUF (well below the market price) so public roads and street lighting could be established. </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 </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1. What is the maximum price to offer for the 100 percent ownership of CarryOn Ltd if the construction works will require two years? Of the 1.1 billion HUF total investment due completely at the end of the works 60 percent would be linked to the apartments. The cost of capital for renting is 10 percent, while that of real estate development amounts to 15 percent, and that of logistics equals 12 percent. The corporate tax rate is 20 percent.</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 </a:t>
          </a:r>
          <a:endParaRPr lang="hu-HU" sz="1400">
            <a:solidFill>
              <a:schemeClr val="dk1"/>
            </a:solidFill>
            <a:effectLst/>
            <a:latin typeface="+mn-lt"/>
            <a:ea typeface="+mn-ea"/>
            <a:cs typeface="+mn-cs"/>
          </a:endParaRPr>
        </a:p>
        <a:p>
          <a:pPr algn="just"/>
          <a:r>
            <a:rPr lang="en-GB" sz="1400">
              <a:solidFill>
                <a:schemeClr val="dk1"/>
              </a:solidFill>
              <a:effectLst/>
              <a:latin typeface="+mn-lt"/>
              <a:ea typeface="+mn-ea"/>
              <a:cs typeface="+mn-cs"/>
            </a:rPr>
            <a:t>2. What additional problems emerge during this business compared to traditional contraction and development projects? </a:t>
          </a:r>
          <a:endParaRPr lang="hu-HU" sz="1400">
            <a:solidFill>
              <a:schemeClr val="dk1"/>
            </a:solidFill>
            <a:effectLst/>
            <a:latin typeface="+mn-lt"/>
            <a:ea typeface="+mn-ea"/>
            <a:cs typeface="+mn-cs"/>
          </a:endParaRPr>
        </a:p>
        <a:p>
          <a:endParaRPr lang="hu-HU" sz="14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9</xdr:col>
      <xdr:colOff>147297</xdr:colOff>
      <xdr:row>1</xdr:row>
      <xdr:rowOff>117701</xdr:rowOff>
    </xdr:from>
    <xdr:to>
      <xdr:col>24</xdr:col>
      <xdr:colOff>174512</xdr:colOff>
      <xdr:row>35</xdr:row>
      <xdr:rowOff>87085</xdr:rowOff>
    </xdr:to>
    <xdr:sp macro="" textlink="">
      <xdr:nvSpPr>
        <xdr:cNvPr id="2" name="Szövegdoboz 1">
          <a:extLst>
            <a:ext uri="{FF2B5EF4-FFF2-40B4-BE49-F238E27FC236}">
              <a16:creationId xmlns:a16="http://schemas.microsoft.com/office/drawing/2014/main" id="{7E8126A3-B74A-4D54-BA92-AC9C81B6BDAE}"/>
            </a:ext>
          </a:extLst>
        </xdr:cNvPr>
        <xdr:cNvSpPr txBox="1"/>
      </xdr:nvSpPr>
      <xdr:spPr>
        <a:xfrm>
          <a:off x="10100922" y="317726"/>
          <a:ext cx="10314215" cy="6770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Rainbow Holding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The Rainbow Holding was founded by the equal contribution of five individuals a decade ago. The investment company focuses primally on private equity opportunities. The firm runs with a minimal amount of operational assets in a rented office with only two of the owners actively taking part in the management. Their portfolio currently includes three companies.</a:t>
          </a:r>
          <a:endParaRPr lang="hu-HU" sz="1100">
            <a:solidFill>
              <a:schemeClr val="dk1"/>
            </a:solidFill>
            <a:effectLst/>
            <a:latin typeface="+mn-lt"/>
            <a:ea typeface="+mn-ea"/>
            <a:cs typeface="+mn-cs"/>
          </a:endParaRPr>
        </a:p>
        <a:p>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pure equity-financed Golden Bath Co. manufactures bathroom equipment and prospers pretty well (expected FCFF: 400 million HUF, g=4%). The chief executive officer and the head of the production both own a stake of 47%. The remaining stake is owned by Rainbow as a result of a transaction several years ago where the two managers bought out the former owners and the capital needed for the transaction was borrowed from Rainbow. They purchased a stake and agreed to sell that step-by-step to the two managers based on a predefined plan. The last of the yearly transactions is due in a year. Then Rainbow will leave the firm for a price of 110 million HUF. That step will bring a great relief as the last months brought several heated disputes between the two principal owners regarding the future of the firm, causing serious challenges for the Rainbow management.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Red Pepper Ltd. runs a cosy restaurant in the city centre of a big city. They realised sales of 250 million HUF and paid a dividend of 50 million HUF last year and expect a 3% long term growth. Uniquely for such firms, the company is financed from 500 million HUF debt at a rate of 6%. To upkeep their motivation, the CEO received a stake of 10% while the chef got 5% when the company was purchased 15 years ago. That time the whole kitchen and guest area has been modernised with the aid of Rainbow. Similar restaurants are bought at five times their sales on the market currently. Last month, Rainbow also received an offer at a similar price.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BlueMotion Co. runs several small cinemas, some of them operating open-air during summertime next to lake Balaton. Currently, the firm that received a considerable amount of capital from Rainbow five years ago saving it from liquidation manages three cinemas. Rainbow owns the firm entirely, and the two managers had a tough time to keep the business running during the last years. They managed to sell off the unneeded central office and paid back the formerly accumulated debt completely. Thus, today, the firm holds only assets (cinema and office equipment, truck) in a value of 30 million HUF. The first long term plan for years finally predicting a stable profit has been finished just some weeks ago. Based on that, perpetuity like FCFE of 15 million HUF will be generated with a yearly growth rate of 5%. Still, it is a crucial issue whether the operating agreements signed with municipalities owning the cinemas can be extended. The current contracts have three years remaining until expiry, and usually, those agreements last for 5 to 10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unleveraged cost of capital for sanitary equipment manufacturing is 13%, that of hospitality amounts to 11%, while the rate for entertainment and leisure equals to 12%. The risk-free rate is 4%, the corporate tax rate stagnates at 10%. </a:t>
          </a:r>
          <a:endParaRPr lang="hu-HU" sz="1100">
            <a:solidFill>
              <a:schemeClr val="dk1"/>
            </a:solidFill>
            <a:effectLst/>
            <a:latin typeface="+mn-lt"/>
            <a:ea typeface="+mn-ea"/>
            <a:cs typeface="+mn-cs"/>
          </a:endParaRPr>
        </a:p>
        <a:p>
          <a:br>
            <a:rPr lang="en-GB" sz="1100">
              <a:solidFill>
                <a:schemeClr val="dk1"/>
              </a:solidFill>
              <a:effectLst/>
              <a:latin typeface="+mn-lt"/>
              <a:ea typeface="+mn-ea"/>
              <a:cs typeface="+mn-cs"/>
            </a:rPr>
          </a:br>
          <a:r>
            <a:rPr lang="en-GB" sz="1100">
              <a:solidFill>
                <a:schemeClr val="dk1"/>
              </a:solidFill>
              <a:effectLst/>
              <a:latin typeface="+mn-lt"/>
              <a:ea typeface="+mn-ea"/>
              <a:cs typeface="+mn-cs"/>
            </a:rPr>
            <a:t>Recently, one of the managing owners announced that she had to retire due to health issues to spend more time with her grandchildren. She intends to sell her stake to provide some monetary aid to her son, who is currently about building a family house.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Estimate the current value of Rainbow.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What further information would you need for providing a more precise estimation?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What would be your maximum price offered for the 20% stake of Rainbow as an outside investor?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would your results differ if considering the purchase from the point of view the CEO leaving the firm? What about the value for other CEO staying?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5. What do you think the outcome of the transaction would be?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oneCellAnchor>
    <xdr:from>
      <xdr:col>8</xdr:col>
      <xdr:colOff>474632</xdr:colOff>
      <xdr:row>37</xdr:row>
      <xdr:rowOff>184029</xdr:rowOff>
    </xdr:from>
    <xdr:ext cx="1466088" cy="57868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70F4887-874B-4B71-A274-18F4A8931AE2}"/>
                </a:ext>
              </a:extLst>
            </xdr:cNvPr>
            <xdr:cNvSpPr txBox="1"/>
          </xdr:nvSpPr>
          <xdr:spPr>
            <a:xfrm>
              <a:off x="9742457" y="7584954"/>
              <a:ext cx="1466088" cy="578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hu-HU" sz="1100" b="0" i="1">
                            <a:latin typeface="Cambria Math" panose="02040503050406030204" pitchFamily="18" charset="0"/>
                          </a:rPr>
                        </m:ctrlPr>
                      </m:sSubPr>
                      <m:e>
                        <m:r>
                          <a:rPr lang="hu-HU" sz="1100" b="0" i="1">
                            <a:latin typeface="Cambria Math" panose="02040503050406030204" pitchFamily="18" charset="0"/>
                          </a:rPr>
                          <m:t>𝑟</m:t>
                        </m:r>
                      </m:e>
                      <m:sub>
                        <m:r>
                          <a:rPr lang="hu-HU" sz="1100" b="0" i="1">
                            <a:latin typeface="Cambria Math" panose="02040503050406030204" pitchFamily="18" charset="0"/>
                          </a:rPr>
                          <m:t>𝐸</m:t>
                        </m:r>
                      </m:sub>
                    </m:sSub>
                    <m:r>
                      <a:rPr lang="en-US" sz="1100" i="1">
                        <a:latin typeface="Cambria Math" panose="02040503050406030204" pitchFamily="18" charset="0"/>
                      </a:rPr>
                      <m:t>=</m:t>
                    </m:r>
                    <m:f>
                      <m:fPr>
                        <m:ctrlPr>
                          <a:rPr lang="hu-HU" sz="1100" b="0" i="1">
                            <a:latin typeface="Cambria Math" panose="02040503050406030204" pitchFamily="18" charset="0"/>
                          </a:rPr>
                        </m:ctrlPr>
                      </m:fPr>
                      <m:num>
                        <m:sSub>
                          <m:sSubPr>
                            <m:ctrlPr>
                              <a:rPr lang="hu-HU" sz="1100" b="0" i="1">
                                <a:latin typeface="Cambria Math" panose="02040503050406030204" pitchFamily="18" charset="0"/>
                              </a:rPr>
                            </m:ctrlPr>
                          </m:sSubPr>
                          <m:e>
                            <m:r>
                              <a:rPr lang="hu-HU" sz="1100" b="0" i="1">
                                <a:latin typeface="Cambria Math" panose="02040503050406030204" pitchFamily="18" charset="0"/>
                              </a:rPr>
                              <m:t>𝑟</m:t>
                            </m:r>
                          </m:e>
                          <m:sub>
                            <m:r>
                              <a:rPr lang="hu-HU" sz="1100" b="0" i="1">
                                <a:latin typeface="Cambria Math" panose="02040503050406030204" pitchFamily="18" charset="0"/>
                              </a:rPr>
                              <m:t>𝐴</m:t>
                            </m:r>
                          </m:sub>
                        </m:sSub>
                        <m:r>
                          <a:rPr lang="hu-HU" sz="1100" b="0" i="1">
                            <a:latin typeface="Cambria Math" panose="02040503050406030204" pitchFamily="18" charset="0"/>
                          </a:rPr>
                          <m:t>−</m:t>
                        </m:r>
                        <m:f>
                          <m:fPr>
                            <m:ctrlPr>
                              <a:rPr lang="hu-HU" sz="1100" b="0" i="1">
                                <a:latin typeface="Cambria Math" panose="02040503050406030204" pitchFamily="18" charset="0"/>
                              </a:rPr>
                            </m:ctrlPr>
                          </m:fPr>
                          <m:num>
                            <m:r>
                              <a:rPr lang="hu-HU" sz="1100" b="0" i="1">
                                <a:latin typeface="Cambria Math" panose="02040503050406030204" pitchFamily="18" charset="0"/>
                              </a:rPr>
                              <m:t>𝐷</m:t>
                            </m:r>
                          </m:num>
                          <m:den>
                            <m:r>
                              <a:rPr lang="hu-HU" sz="1100" b="0" i="1">
                                <a:latin typeface="Cambria Math" panose="02040503050406030204" pitchFamily="18" charset="0"/>
                              </a:rPr>
                              <m:t>𝑣</m:t>
                            </m:r>
                          </m:den>
                        </m:f>
                        <m:r>
                          <a:rPr lang="hu-HU" sz="1100" b="0" i="1">
                            <a:latin typeface="Cambria Math" panose="02040503050406030204" pitchFamily="18" charset="0"/>
                          </a:rPr>
                          <m:t>∗</m:t>
                        </m:r>
                        <m:sSub>
                          <m:sSubPr>
                            <m:ctrlPr>
                              <a:rPr lang="hu-HU" sz="1100" b="0" i="1">
                                <a:latin typeface="Cambria Math" panose="02040503050406030204" pitchFamily="18" charset="0"/>
                              </a:rPr>
                            </m:ctrlPr>
                          </m:sSubPr>
                          <m:e>
                            <m:r>
                              <a:rPr lang="hu-HU" sz="1100" b="0" i="1">
                                <a:latin typeface="Cambria Math" panose="02040503050406030204" pitchFamily="18" charset="0"/>
                              </a:rPr>
                              <m:t>𝑟</m:t>
                            </m:r>
                          </m:e>
                          <m:sub>
                            <m:r>
                              <a:rPr lang="hu-HU" sz="1100" b="0" i="1">
                                <a:latin typeface="Cambria Math" panose="02040503050406030204" pitchFamily="18" charset="0"/>
                              </a:rPr>
                              <m:t>𝐷</m:t>
                            </m:r>
                          </m:sub>
                        </m:sSub>
                      </m:num>
                      <m:den>
                        <m:r>
                          <a:rPr lang="hu-HU" sz="1100" b="0" i="1">
                            <a:latin typeface="Cambria Math" panose="02040503050406030204" pitchFamily="18" charset="0"/>
                          </a:rPr>
                          <m:t>(1−</m:t>
                        </m:r>
                        <m:f>
                          <m:fPr>
                            <m:ctrlPr>
                              <a:rPr lang="hu-HU" sz="1100" b="0" i="1">
                                <a:latin typeface="Cambria Math" panose="02040503050406030204" pitchFamily="18" charset="0"/>
                              </a:rPr>
                            </m:ctrlPr>
                          </m:fPr>
                          <m:num>
                            <m:r>
                              <a:rPr lang="hu-HU" sz="1100" b="0" i="1">
                                <a:latin typeface="Cambria Math" panose="02040503050406030204" pitchFamily="18" charset="0"/>
                              </a:rPr>
                              <m:t>𝐷</m:t>
                            </m:r>
                          </m:num>
                          <m:den>
                            <m:r>
                              <a:rPr lang="hu-HU" sz="1100" b="0" i="1">
                                <a:latin typeface="Cambria Math" panose="02040503050406030204" pitchFamily="18" charset="0"/>
                              </a:rPr>
                              <m:t>𝑉</m:t>
                            </m:r>
                          </m:den>
                        </m:f>
                        <m:r>
                          <a:rPr lang="hu-HU" sz="1100" b="0" i="1">
                            <a:latin typeface="Cambria Math" panose="02040503050406030204" pitchFamily="18" charset="0"/>
                          </a:rPr>
                          <m:t>)</m:t>
                        </m:r>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070F4887-874B-4B71-A274-18F4A8931AE2}"/>
                </a:ext>
              </a:extLst>
            </xdr:cNvPr>
            <xdr:cNvSpPr txBox="1"/>
          </xdr:nvSpPr>
          <xdr:spPr>
            <a:xfrm>
              <a:off x="9742457" y="7584954"/>
              <a:ext cx="1466088" cy="578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hu-HU" sz="1100" b="0" i="0">
                  <a:latin typeface="Cambria Math" panose="02040503050406030204" pitchFamily="18" charset="0"/>
                </a:rPr>
                <a:t>𝑟_𝐸</a:t>
              </a:r>
              <a:r>
                <a:rPr lang="en-US" sz="1100" i="0">
                  <a:latin typeface="Cambria Math" panose="02040503050406030204" pitchFamily="18" charset="0"/>
                </a:rPr>
                <a:t>=</a:t>
              </a:r>
              <a:r>
                <a:rPr lang="hu-HU" sz="1100" b="0" i="0">
                  <a:latin typeface="Cambria Math" panose="02040503050406030204" pitchFamily="18" charset="0"/>
                </a:rPr>
                <a:t>(𝑟_𝐴−𝐷/𝑣∗𝑟_𝐷)/((1−𝐷/𝑉))</a:t>
              </a:r>
              <a:endParaRPr lang="en-US" sz="1100"/>
            </a:p>
          </xdr:txBody>
        </xdr:sp>
      </mc:Fallback>
    </mc:AlternateContent>
    <xdr:clientData/>
  </xdr:oneCellAnchor>
  <xdr:oneCellAnchor>
    <xdr:from>
      <xdr:col>7</xdr:col>
      <xdr:colOff>427318</xdr:colOff>
      <xdr:row>50</xdr:row>
      <xdr:rowOff>198050</xdr:rowOff>
    </xdr:from>
    <xdr:ext cx="2869406" cy="55393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ADB209C-78E1-4A3F-98AA-7D07DBD48F5F}"/>
                </a:ext>
              </a:extLst>
            </xdr:cNvPr>
            <xdr:cNvSpPr txBox="1"/>
          </xdr:nvSpPr>
          <xdr:spPr>
            <a:xfrm>
              <a:off x="9009343" y="10199300"/>
              <a:ext cx="2869406" cy="5539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hu-HU" sz="1100" b="0" i="1">
                            <a:latin typeface="Cambria Math" panose="02040503050406030204" pitchFamily="18" charset="0"/>
                          </a:rPr>
                        </m:ctrlPr>
                      </m:sSubPr>
                      <m:e>
                        <m:r>
                          <a:rPr lang="hu-HU" sz="1100" b="0" i="1">
                            <a:latin typeface="Cambria Math" panose="02040503050406030204" pitchFamily="18" charset="0"/>
                          </a:rPr>
                          <m:t>𝑃𝑉</m:t>
                        </m:r>
                      </m:e>
                      <m:sub>
                        <m:r>
                          <a:rPr lang="hu-HU" sz="1100" b="0" i="1">
                            <a:latin typeface="Cambria Math" panose="02040503050406030204" pitchFamily="18" charset="0"/>
                          </a:rPr>
                          <m:t>𝑔𝑟𝑜𝑤𝑖𝑛𝑔</m:t>
                        </m:r>
                        <m:r>
                          <a:rPr lang="hu-HU" sz="1100" b="0" i="1">
                            <a:latin typeface="Cambria Math" panose="02040503050406030204" pitchFamily="18" charset="0"/>
                          </a:rPr>
                          <m:t> </m:t>
                        </m:r>
                        <m:r>
                          <a:rPr lang="hu-HU" sz="1100" b="0" i="1">
                            <a:latin typeface="Cambria Math" panose="02040503050406030204" pitchFamily="18" charset="0"/>
                          </a:rPr>
                          <m:t>𝑎𝑛𝑛𝑢𝑖𝑡𝑦</m:t>
                        </m:r>
                        <m:r>
                          <a:rPr lang="hu-HU" sz="1100" b="0" i="1">
                            <a:latin typeface="Cambria Math" panose="02040503050406030204" pitchFamily="18" charset="0"/>
                          </a:rPr>
                          <m:t> </m:t>
                        </m:r>
                      </m:sub>
                    </m:sSub>
                    <m:r>
                      <a:rPr lang="en-US" sz="1100" i="1">
                        <a:latin typeface="Cambria Math" panose="02040503050406030204" pitchFamily="18" charset="0"/>
                      </a:rPr>
                      <m:t>=</m:t>
                    </m:r>
                    <m:f>
                      <m:fPr>
                        <m:ctrlPr>
                          <a:rPr lang="hu-HU" sz="1100" b="0" i="1">
                            <a:latin typeface="Cambria Math" panose="02040503050406030204" pitchFamily="18" charset="0"/>
                          </a:rPr>
                        </m:ctrlPr>
                      </m:fPr>
                      <m:num>
                        <m:r>
                          <a:rPr lang="hu-HU" sz="1100" b="0" i="1">
                            <a:latin typeface="Cambria Math" panose="02040503050406030204" pitchFamily="18" charset="0"/>
                          </a:rPr>
                          <m:t>𝐶</m:t>
                        </m:r>
                      </m:num>
                      <m:den>
                        <m:r>
                          <a:rPr lang="hu-HU" sz="1100" b="0" i="1">
                            <a:latin typeface="Cambria Math" panose="02040503050406030204" pitchFamily="18" charset="0"/>
                          </a:rPr>
                          <m:t>𝑟</m:t>
                        </m:r>
                        <m:r>
                          <a:rPr lang="hu-HU" sz="1100" b="0" i="1">
                            <a:latin typeface="Cambria Math" panose="02040503050406030204" pitchFamily="18" charset="0"/>
                          </a:rPr>
                          <m:t>−</m:t>
                        </m:r>
                        <m:r>
                          <a:rPr lang="hu-HU" sz="1100" b="0" i="1">
                            <a:latin typeface="Cambria Math" panose="02040503050406030204" pitchFamily="18" charset="0"/>
                          </a:rPr>
                          <m:t>𝑔</m:t>
                        </m:r>
                      </m:den>
                    </m:f>
                    <m:r>
                      <a:rPr lang="hu-HU" sz="1100" b="0" i="1">
                        <a:latin typeface="Cambria Math" panose="02040503050406030204" pitchFamily="18" charset="0"/>
                      </a:rPr>
                      <m:t> ∗</m:t>
                    </m:r>
                    <m:d>
                      <m:dPr>
                        <m:ctrlPr>
                          <a:rPr lang="hu-HU" sz="1100" b="0" i="1">
                            <a:latin typeface="Cambria Math" panose="02040503050406030204" pitchFamily="18" charset="0"/>
                          </a:rPr>
                        </m:ctrlPr>
                      </m:dPr>
                      <m:e>
                        <m:r>
                          <a:rPr lang="hu-HU" sz="1100" b="0" i="1">
                            <a:latin typeface="Cambria Math" panose="02040503050406030204" pitchFamily="18" charset="0"/>
                          </a:rPr>
                          <m:t>1−</m:t>
                        </m:r>
                        <m:f>
                          <m:fPr>
                            <m:ctrlPr>
                              <a:rPr lang="hu-HU" sz="1100" b="0" i="1">
                                <a:latin typeface="Cambria Math" panose="02040503050406030204" pitchFamily="18" charset="0"/>
                              </a:rPr>
                            </m:ctrlPr>
                          </m:fPr>
                          <m:num>
                            <m:sSup>
                              <m:sSupPr>
                                <m:ctrlPr>
                                  <a:rPr lang="hu-HU" sz="1100" b="0" i="1">
                                    <a:latin typeface="Cambria Math" panose="02040503050406030204" pitchFamily="18" charset="0"/>
                                  </a:rPr>
                                </m:ctrlPr>
                              </m:sSupPr>
                              <m:e>
                                <m:d>
                                  <m:dPr>
                                    <m:ctrlPr>
                                      <a:rPr lang="hu-HU" sz="1100" b="0" i="1">
                                        <a:latin typeface="Cambria Math" panose="02040503050406030204" pitchFamily="18" charset="0"/>
                                      </a:rPr>
                                    </m:ctrlPr>
                                  </m:dPr>
                                  <m:e>
                                    <m:r>
                                      <a:rPr lang="hu-HU" sz="1100" b="0" i="1">
                                        <a:latin typeface="Cambria Math" panose="02040503050406030204" pitchFamily="18" charset="0"/>
                                      </a:rPr>
                                      <m:t>1+</m:t>
                                    </m:r>
                                    <m:r>
                                      <a:rPr lang="hu-HU" sz="1100" b="0" i="1">
                                        <a:latin typeface="Cambria Math" panose="02040503050406030204" pitchFamily="18" charset="0"/>
                                      </a:rPr>
                                      <m:t>𝑔</m:t>
                                    </m:r>
                                  </m:e>
                                </m:d>
                              </m:e>
                              <m:sup>
                                <m:r>
                                  <a:rPr lang="hu-HU" sz="1100" b="0" i="1">
                                    <a:latin typeface="Cambria Math" panose="02040503050406030204" pitchFamily="18" charset="0"/>
                                  </a:rPr>
                                  <m:t>𝑡</m:t>
                                </m:r>
                              </m:sup>
                            </m:sSup>
                          </m:num>
                          <m:den>
                            <m:sSup>
                              <m:sSupPr>
                                <m:ctrlPr>
                                  <a:rPr lang="hu-HU" sz="1100" b="0" i="1">
                                    <a:solidFill>
                                      <a:schemeClr val="tx1"/>
                                    </a:solidFill>
                                    <a:effectLst/>
                                    <a:latin typeface="Cambria Math" panose="02040503050406030204" pitchFamily="18" charset="0"/>
                                    <a:ea typeface="+mn-ea"/>
                                    <a:cs typeface="+mn-cs"/>
                                  </a:rPr>
                                </m:ctrlPr>
                              </m:sSupPr>
                              <m:e>
                                <m:d>
                                  <m:dPr>
                                    <m:ctrlPr>
                                      <a:rPr lang="hu-HU" sz="1100" b="0" i="1">
                                        <a:solidFill>
                                          <a:schemeClr val="tx1"/>
                                        </a:solidFill>
                                        <a:effectLst/>
                                        <a:latin typeface="Cambria Math" panose="02040503050406030204" pitchFamily="18" charset="0"/>
                                        <a:ea typeface="+mn-ea"/>
                                        <a:cs typeface="+mn-cs"/>
                                      </a:rPr>
                                    </m:ctrlPr>
                                  </m:dPr>
                                  <m:e>
                                    <m:r>
                                      <a:rPr lang="hu-HU" sz="1100" b="0" i="1">
                                        <a:solidFill>
                                          <a:schemeClr val="tx1"/>
                                        </a:solidFill>
                                        <a:effectLst/>
                                        <a:latin typeface="Cambria Math" panose="02040503050406030204" pitchFamily="18" charset="0"/>
                                        <a:ea typeface="+mn-ea"/>
                                        <a:cs typeface="+mn-cs"/>
                                      </a:rPr>
                                      <m:t>1+</m:t>
                                    </m:r>
                                    <m:r>
                                      <a:rPr lang="hu-HU" sz="1100" b="0" i="1">
                                        <a:solidFill>
                                          <a:schemeClr val="tx1"/>
                                        </a:solidFill>
                                        <a:effectLst/>
                                        <a:latin typeface="Cambria Math" panose="02040503050406030204" pitchFamily="18" charset="0"/>
                                        <a:ea typeface="+mn-ea"/>
                                        <a:cs typeface="+mn-cs"/>
                                      </a:rPr>
                                      <m:t>𝑟</m:t>
                                    </m:r>
                                  </m:e>
                                </m:d>
                              </m:e>
                              <m:sup>
                                <m:r>
                                  <a:rPr lang="hu-HU" sz="1100" b="0" i="1">
                                    <a:solidFill>
                                      <a:schemeClr val="tx1"/>
                                    </a:solidFill>
                                    <a:effectLst/>
                                    <a:latin typeface="Cambria Math" panose="02040503050406030204" pitchFamily="18" charset="0"/>
                                    <a:ea typeface="+mn-ea"/>
                                    <a:cs typeface="+mn-cs"/>
                                  </a:rPr>
                                  <m:t>𝑡</m:t>
                                </m:r>
                              </m:sup>
                            </m:sSup>
                          </m:den>
                        </m:f>
                      </m:e>
                    </m:d>
                  </m:oMath>
                </m:oMathPara>
              </a14:m>
              <a:endParaRPr lang="hu-HU" sz="1100" b="0"/>
            </a:p>
            <a:p>
              <a:endParaRPr lang="en-US" sz="1100"/>
            </a:p>
          </xdr:txBody>
        </xdr:sp>
      </mc:Choice>
      <mc:Fallback xmlns="">
        <xdr:sp macro="" textlink="">
          <xdr:nvSpPr>
            <xdr:cNvPr id="4" name="TextBox 3">
              <a:extLst>
                <a:ext uri="{FF2B5EF4-FFF2-40B4-BE49-F238E27FC236}">
                  <a16:creationId xmlns:a16="http://schemas.microsoft.com/office/drawing/2014/main" id="{0ADB209C-78E1-4A3F-98AA-7D07DBD48F5F}"/>
                </a:ext>
              </a:extLst>
            </xdr:cNvPr>
            <xdr:cNvSpPr txBox="1"/>
          </xdr:nvSpPr>
          <xdr:spPr>
            <a:xfrm>
              <a:off x="9009343" y="10199300"/>
              <a:ext cx="2869406" cy="5539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hu-HU" sz="1100" b="0" i="0">
                  <a:latin typeface="Cambria Math" panose="02040503050406030204" pitchFamily="18" charset="0"/>
                </a:rPr>
                <a:t>〖𝑃𝑉〗_(𝑔𝑟𝑜𝑤𝑖𝑛𝑔 𝑎𝑛𝑛𝑢𝑖𝑡𝑦 )</a:t>
              </a:r>
              <a:r>
                <a:rPr lang="en-US" sz="1100" i="0">
                  <a:latin typeface="Cambria Math" panose="02040503050406030204" pitchFamily="18" charset="0"/>
                </a:rPr>
                <a:t>=</a:t>
              </a:r>
              <a:r>
                <a:rPr lang="hu-HU" sz="1100" b="0" i="0">
                  <a:latin typeface="Cambria Math" panose="02040503050406030204" pitchFamily="18" charset="0"/>
                </a:rPr>
                <a:t>𝐶/(𝑟−𝑔)  ∗(1−(1+𝑔)^𝑡/</a:t>
              </a:r>
              <a:r>
                <a:rPr lang="hu-HU" sz="1100" b="0" i="0">
                  <a:solidFill>
                    <a:schemeClr val="tx1"/>
                  </a:solidFill>
                  <a:effectLst/>
                  <a:latin typeface="Cambria Math" panose="02040503050406030204" pitchFamily="18" charset="0"/>
                  <a:ea typeface="+mn-ea"/>
                  <a:cs typeface="+mn-cs"/>
                </a:rPr>
                <a:t>(1+𝑟)^𝑡 )</a:t>
              </a:r>
              <a:endParaRPr lang="hu-HU" sz="1100" b="0"/>
            </a:p>
            <a:p>
              <a:endParaRPr lang="en-US"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twoCellAnchor>
    <xdr:from>
      <xdr:col>10</xdr:col>
      <xdr:colOff>21772</xdr:colOff>
      <xdr:row>0</xdr:row>
      <xdr:rowOff>174172</xdr:rowOff>
    </xdr:from>
    <xdr:to>
      <xdr:col>21</xdr:col>
      <xdr:colOff>359229</xdr:colOff>
      <xdr:row>20</xdr:row>
      <xdr:rowOff>76200</xdr:rowOff>
    </xdr:to>
    <xdr:sp macro="" textlink="">
      <xdr:nvSpPr>
        <xdr:cNvPr id="2" name="Szövegdoboz 1">
          <a:extLst>
            <a:ext uri="{FF2B5EF4-FFF2-40B4-BE49-F238E27FC236}">
              <a16:creationId xmlns:a16="http://schemas.microsoft.com/office/drawing/2014/main" id="{41E0B8EB-1B5C-470E-921C-2E60F6081BDB}"/>
            </a:ext>
          </a:extLst>
        </xdr:cNvPr>
        <xdr:cNvSpPr txBox="1"/>
      </xdr:nvSpPr>
      <xdr:spPr>
        <a:xfrm>
          <a:off x="8356147" y="174172"/>
          <a:ext cx="9710057" cy="3902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dk1"/>
              </a:solidFill>
              <a:effectLst/>
              <a:latin typeface="+mn-lt"/>
              <a:ea typeface="+mn-ea"/>
              <a:cs typeface="+mn-cs"/>
            </a:rPr>
            <a:t>Together We Can</a:t>
          </a:r>
          <a:endParaRPr lang="hu-HU" sz="14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Albert teamed up with Julian some ten years ago. They opened a toy retail shop, Toy Story, where they both had 50% ownership, but as Albert acted as a COE for a depressed wage, he received 60% of the dividends. Now, the huge grocery chain, WSIA (We Sell It All) has contacted them with a takeover offer. WSIA expects both to extend its operation with toy coverage and go online using the established web shop of Toy Story after some initial investment financed up to 50 percent from debt.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WSIA analysis predicts that thanks to some cost advantages (joint accounting, HR, one CEO), the joint ROIC will be higher than the weigher average, and the growth will also be boosted for a short period.</a:t>
          </a:r>
          <a:r>
            <a:rPr lang="hu-HU" sz="1200">
              <a:solidFill>
                <a:schemeClr val="dk1"/>
              </a:solidFill>
              <a:effectLst/>
              <a:latin typeface="+mn-lt"/>
              <a:ea typeface="+mn-ea"/>
              <a:cs typeface="+mn-cs"/>
            </a:rPr>
            <a:t> WSIA will apply it current D/IC strategy</a:t>
          </a:r>
          <a:r>
            <a:rPr lang="hu-HU" sz="1200" baseline="0">
              <a:solidFill>
                <a:schemeClr val="dk1"/>
              </a:solidFill>
              <a:effectLst/>
              <a:latin typeface="+mn-lt"/>
              <a:ea typeface="+mn-ea"/>
              <a:cs typeface="+mn-cs"/>
            </a:rPr>
            <a:t> after the transaction, while WACC is kept at the same level.</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1. </a:t>
          </a:r>
          <a:r>
            <a:rPr lang="en-GB" sz="1200">
              <a:solidFill>
                <a:schemeClr val="dk1"/>
              </a:solidFill>
              <a:effectLst/>
              <a:latin typeface="+mn-lt"/>
              <a:ea typeface="+mn-ea"/>
              <a:cs typeface="+mn-cs"/>
            </a:rPr>
            <a:t>What is the minimum price Albert and Julian would accept? What is the maximum price WSIA would pay?</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2. </a:t>
          </a:r>
          <a:r>
            <a:rPr lang="en-GB" sz="1200">
              <a:solidFill>
                <a:schemeClr val="dk1"/>
              </a:solidFill>
              <a:effectLst/>
              <a:latin typeface="+mn-lt"/>
              <a:ea typeface="+mn-ea"/>
              <a:cs typeface="+mn-cs"/>
            </a:rPr>
            <a:t>How would your answer change if the seller faced transaction costs (advisory and legal costs) amounting to 300, while the buyer would have to pay 600 for the same?</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3. </a:t>
          </a:r>
          <a:r>
            <a:rPr lang="en-GB" sz="1200">
              <a:solidFill>
                <a:schemeClr val="dk1"/>
              </a:solidFill>
              <a:effectLst/>
              <a:latin typeface="+mn-lt"/>
              <a:ea typeface="+mn-ea"/>
              <a:cs typeface="+mn-cs"/>
            </a:rPr>
            <a:t>How much is the total synergy predicted? What part of that comes from cost synergy (change of initial ROIC) and sales synergy (higher growth)?</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4. </a:t>
          </a:r>
          <a:r>
            <a:rPr lang="en-GB" sz="1200">
              <a:solidFill>
                <a:schemeClr val="dk1"/>
              </a:solidFill>
              <a:effectLst/>
              <a:latin typeface="+mn-lt"/>
              <a:ea typeface="+mn-ea"/>
              <a:cs typeface="+mn-cs"/>
            </a:rPr>
            <a:t>After several weeks of bargaining, they agreed on a price that covers handing over 30 percent of the synergies expected by WSIA to the current owners. As Julian is in bad need of money, Toy Story owners ask for 40 percent of the price in cash, while for the remainder, they will become owners of the new, merged firm. What percentage of ownership should they get?</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5. </a:t>
          </a:r>
          <a:r>
            <a:rPr lang="en-GB" sz="1200">
              <a:solidFill>
                <a:schemeClr val="dk1"/>
              </a:solidFill>
              <a:effectLst/>
              <a:latin typeface="+mn-lt"/>
              <a:ea typeface="+mn-ea"/>
              <a:cs typeface="+mn-cs"/>
            </a:rPr>
            <a:t>Would it make any difference in the takeover price if WSIA were of half the size (consider IC) as it is now?</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endParaRPr lang="hu-HU" sz="12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391887</xdr:colOff>
      <xdr:row>1</xdr:row>
      <xdr:rowOff>70758</xdr:rowOff>
    </xdr:from>
    <xdr:to>
      <xdr:col>22</xdr:col>
      <xdr:colOff>32658</xdr:colOff>
      <xdr:row>20</xdr:row>
      <xdr:rowOff>174172</xdr:rowOff>
    </xdr:to>
    <xdr:sp macro="" textlink="">
      <xdr:nvSpPr>
        <xdr:cNvPr id="2" name="Szövegdoboz 1">
          <a:extLst>
            <a:ext uri="{FF2B5EF4-FFF2-40B4-BE49-F238E27FC236}">
              <a16:creationId xmlns:a16="http://schemas.microsoft.com/office/drawing/2014/main" id="{E1DDB629-BD72-48EE-9C49-B8A1CDAF4A4D}"/>
            </a:ext>
          </a:extLst>
        </xdr:cNvPr>
        <xdr:cNvSpPr txBox="1"/>
      </xdr:nvSpPr>
      <xdr:spPr>
        <a:xfrm>
          <a:off x="8707212" y="270783"/>
          <a:ext cx="8108496" cy="39038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dk1"/>
              </a:solidFill>
              <a:effectLst/>
              <a:latin typeface="+mn-lt"/>
              <a:ea typeface="+mn-ea"/>
              <a:cs typeface="+mn-cs"/>
            </a:rPr>
            <a:t>Together We Can</a:t>
          </a:r>
          <a:endParaRPr lang="hu-HU" sz="14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Albert teamed up with Julian some ten years ago. They opened a toy retail shop, Toy Story, where they both had 50% ownership, but as Albert acted as a COE for a depressed wage, he received 60% of the dividends. Now, the huge grocery chain, WSIA (We Sell It All) has contacted them with a takeover offer. WSIA expects both to extend its operation with toy coverage and go online using the established web shop of Toy Story after some initial investment financed up to 50 percent from debt.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WSIA analysis predicts that thanks to some cost advantages (joint accounting, HR, one CEO), the joint ROIC will be higher than the weigher average, and the growth will also be boosted for a short period.</a:t>
          </a:r>
          <a:r>
            <a:rPr lang="hu-HU" sz="1200">
              <a:solidFill>
                <a:schemeClr val="dk1"/>
              </a:solidFill>
              <a:effectLst/>
              <a:latin typeface="+mn-lt"/>
              <a:ea typeface="+mn-ea"/>
              <a:cs typeface="+mn-cs"/>
            </a:rPr>
            <a:t> WSIA will apply it current D/IC strategy</a:t>
          </a:r>
          <a:r>
            <a:rPr lang="hu-HU" sz="1200" baseline="0">
              <a:solidFill>
                <a:schemeClr val="dk1"/>
              </a:solidFill>
              <a:effectLst/>
              <a:latin typeface="+mn-lt"/>
              <a:ea typeface="+mn-ea"/>
              <a:cs typeface="+mn-cs"/>
            </a:rPr>
            <a:t> after the transaction, while WACC is kept at the same level.</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1. </a:t>
          </a:r>
          <a:r>
            <a:rPr lang="en-GB" sz="1200">
              <a:solidFill>
                <a:schemeClr val="dk1"/>
              </a:solidFill>
              <a:effectLst/>
              <a:latin typeface="+mn-lt"/>
              <a:ea typeface="+mn-ea"/>
              <a:cs typeface="+mn-cs"/>
            </a:rPr>
            <a:t>What is the minimum price Albert and Julian would accept? What is the maximum price WSIA would pay?</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2. </a:t>
          </a:r>
          <a:r>
            <a:rPr lang="en-GB" sz="1200">
              <a:solidFill>
                <a:schemeClr val="dk1"/>
              </a:solidFill>
              <a:effectLst/>
              <a:latin typeface="+mn-lt"/>
              <a:ea typeface="+mn-ea"/>
              <a:cs typeface="+mn-cs"/>
            </a:rPr>
            <a:t>How would your answer change if the seller faced transaction costs (advisory and legal costs) amounting to 300, while the buyer would have to pay 600 for the same?</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3. </a:t>
          </a:r>
          <a:r>
            <a:rPr lang="en-GB" sz="1200">
              <a:solidFill>
                <a:schemeClr val="dk1"/>
              </a:solidFill>
              <a:effectLst/>
              <a:latin typeface="+mn-lt"/>
              <a:ea typeface="+mn-ea"/>
              <a:cs typeface="+mn-cs"/>
            </a:rPr>
            <a:t>How much is the total synergy predicted? What part of that comes from cost synergy (change of initial ROIC) and sales synergy (higher growth)?</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4. </a:t>
          </a:r>
          <a:r>
            <a:rPr lang="en-GB" sz="1200">
              <a:solidFill>
                <a:schemeClr val="dk1"/>
              </a:solidFill>
              <a:effectLst/>
              <a:latin typeface="+mn-lt"/>
              <a:ea typeface="+mn-ea"/>
              <a:cs typeface="+mn-cs"/>
            </a:rPr>
            <a:t>After several weeks of bargaining, they agreed on a price that covers handing over 30 percent of the synergies expected by WSIA to the current owners. As Julian is in bad need of money, Toy Story owners ask for 40 percent of the price in cash, while for the remainder, they will become owners of the new, merged firm. What percentage of ownership should they get?</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5. </a:t>
          </a:r>
          <a:r>
            <a:rPr lang="en-GB" sz="1200">
              <a:solidFill>
                <a:schemeClr val="dk1"/>
              </a:solidFill>
              <a:effectLst/>
              <a:latin typeface="+mn-lt"/>
              <a:ea typeface="+mn-ea"/>
              <a:cs typeface="+mn-cs"/>
            </a:rPr>
            <a:t>Would it make any difference in the takeover price if WSIA were of half the size (consider IC) as it is now?</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endParaRPr lang="hu-HU" sz="12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xdr:col>
      <xdr:colOff>248556</xdr:colOff>
      <xdr:row>2</xdr:row>
      <xdr:rowOff>143329</xdr:rowOff>
    </xdr:from>
    <xdr:to>
      <xdr:col>13</xdr:col>
      <xdr:colOff>52614</xdr:colOff>
      <xdr:row>17</xdr:row>
      <xdr:rowOff>145143</xdr:rowOff>
    </xdr:to>
    <xdr:sp macro="" textlink="">
      <xdr:nvSpPr>
        <xdr:cNvPr id="2" name="Szövegdoboz 1">
          <a:extLst>
            <a:ext uri="{FF2B5EF4-FFF2-40B4-BE49-F238E27FC236}">
              <a16:creationId xmlns:a16="http://schemas.microsoft.com/office/drawing/2014/main" id="{C5CA7AD6-E8B8-4857-B9E2-E4EB6C244E37}"/>
            </a:ext>
          </a:extLst>
        </xdr:cNvPr>
        <xdr:cNvSpPr txBox="1"/>
      </xdr:nvSpPr>
      <xdr:spPr>
        <a:xfrm>
          <a:off x="3829956" y="537029"/>
          <a:ext cx="7176408" cy="2960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2</xdr:col>
      <xdr:colOff>800100</xdr:colOff>
      <xdr:row>23</xdr:row>
      <xdr:rowOff>139700</xdr:rowOff>
    </xdr:from>
    <xdr:to>
      <xdr:col>4</xdr:col>
      <xdr:colOff>615950</xdr:colOff>
      <xdr:row>28</xdr:row>
      <xdr:rowOff>158750</xdr:rowOff>
    </xdr:to>
    <xdr:cxnSp macro="">
      <xdr:nvCxnSpPr>
        <xdr:cNvPr id="3" name="Straight Arrow Connector 2">
          <a:extLst>
            <a:ext uri="{FF2B5EF4-FFF2-40B4-BE49-F238E27FC236}">
              <a16:creationId xmlns:a16="http://schemas.microsoft.com/office/drawing/2014/main" id="{46C1C455-FBBF-4FA9-AC6C-B9E2BC58F473}"/>
            </a:ext>
          </a:extLst>
        </xdr:cNvPr>
        <xdr:cNvCxnSpPr/>
      </xdr:nvCxnSpPr>
      <xdr:spPr>
        <a:xfrm flipV="1">
          <a:off x="2901950" y="4673600"/>
          <a:ext cx="1295400" cy="100330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38100</xdr:colOff>
      <xdr:row>29</xdr:row>
      <xdr:rowOff>31750</xdr:rowOff>
    </xdr:from>
    <xdr:to>
      <xdr:col>4</xdr:col>
      <xdr:colOff>577850</xdr:colOff>
      <xdr:row>29</xdr:row>
      <xdr:rowOff>31750</xdr:rowOff>
    </xdr:to>
    <xdr:cxnSp macro="">
      <xdr:nvCxnSpPr>
        <xdr:cNvPr id="4" name="Straight Arrow Connector 3">
          <a:extLst>
            <a:ext uri="{FF2B5EF4-FFF2-40B4-BE49-F238E27FC236}">
              <a16:creationId xmlns:a16="http://schemas.microsoft.com/office/drawing/2014/main" id="{5F0055CA-26A2-4B6F-B254-1ECA5DB6C117}"/>
            </a:ext>
          </a:extLst>
        </xdr:cNvPr>
        <xdr:cNvCxnSpPr/>
      </xdr:nvCxnSpPr>
      <xdr:spPr>
        <a:xfrm>
          <a:off x="2959100" y="5746750"/>
          <a:ext cx="12001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7</xdr:col>
      <xdr:colOff>209550</xdr:colOff>
      <xdr:row>29</xdr:row>
      <xdr:rowOff>12700</xdr:rowOff>
    </xdr:from>
    <xdr:to>
      <xdr:col>9</xdr:col>
      <xdr:colOff>88900</xdr:colOff>
      <xdr:row>29</xdr:row>
      <xdr:rowOff>12700</xdr:rowOff>
    </xdr:to>
    <xdr:cxnSp macro="">
      <xdr:nvCxnSpPr>
        <xdr:cNvPr id="5" name="Straight Arrow Connector 4">
          <a:extLst>
            <a:ext uri="{FF2B5EF4-FFF2-40B4-BE49-F238E27FC236}">
              <a16:creationId xmlns:a16="http://schemas.microsoft.com/office/drawing/2014/main" id="{A0684209-E2C1-4B3F-84AC-11300344B493}"/>
            </a:ext>
          </a:extLst>
        </xdr:cNvPr>
        <xdr:cNvCxnSpPr/>
      </xdr:nvCxnSpPr>
      <xdr:spPr>
        <a:xfrm>
          <a:off x="6419850" y="5727700"/>
          <a:ext cx="12001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248556</xdr:colOff>
      <xdr:row>2</xdr:row>
      <xdr:rowOff>143328</xdr:rowOff>
    </xdr:from>
    <xdr:to>
      <xdr:col>13</xdr:col>
      <xdr:colOff>234950</xdr:colOff>
      <xdr:row>18</xdr:row>
      <xdr:rowOff>158749</xdr:rowOff>
    </xdr:to>
    <xdr:sp macro="" textlink="">
      <xdr:nvSpPr>
        <xdr:cNvPr id="2" name="Szövegdoboz 1">
          <a:extLst>
            <a:ext uri="{FF2B5EF4-FFF2-40B4-BE49-F238E27FC236}">
              <a16:creationId xmlns:a16="http://schemas.microsoft.com/office/drawing/2014/main" id="{8B6E6E06-3E8C-457A-9078-05D990D73BAF}"/>
            </a:ext>
          </a:extLst>
        </xdr:cNvPr>
        <xdr:cNvSpPr txBox="1"/>
      </xdr:nvSpPr>
      <xdr:spPr>
        <a:xfrm>
          <a:off x="3829956" y="537028"/>
          <a:ext cx="7358744" cy="31713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2</xdr:col>
      <xdr:colOff>800100</xdr:colOff>
      <xdr:row>23</xdr:row>
      <xdr:rowOff>139700</xdr:rowOff>
    </xdr:from>
    <xdr:to>
      <xdr:col>4</xdr:col>
      <xdr:colOff>615950</xdr:colOff>
      <xdr:row>28</xdr:row>
      <xdr:rowOff>158750</xdr:rowOff>
    </xdr:to>
    <xdr:cxnSp macro="">
      <xdr:nvCxnSpPr>
        <xdr:cNvPr id="3" name="Straight Arrow Connector 2">
          <a:extLst>
            <a:ext uri="{FF2B5EF4-FFF2-40B4-BE49-F238E27FC236}">
              <a16:creationId xmlns:a16="http://schemas.microsoft.com/office/drawing/2014/main" id="{30693D8B-E9FC-4434-9930-CD777C5CCE2D}"/>
            </a:ext>
          </a:extLst>
        </xdr:cNvPr>
        <xdr:cNvCxnSpPr/>
      </xdr:nvCxnSpPr>
      <xdr:spPr>
        <a:xfrm flipV="1">
          <a:off x="2901950" y="4673600"/>
          <a:ext cx="1295400" cy="100330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38100</xdr:colOff>
      <xdr:row>29</xdr:row>
      <xdr:rowOff>31750</xdr:rowOff>
    </xdr:from>
    <xdr:to>
      <xdr:col>4</xdr:col>
      <xdr:colOff>577850</xdr:colOff>
      <xdr:row>29</xdr:row>
      <xdr:rowOff>31750</xdr:rowOff>
    </xdr:to>
    <xdr:cxnSp macro="">
      <xdr:nvCxnSpPr>
        <xdr:cNvPr id="4" name="Straight Arrow Connector 3">
          <a:extLst>
            <a:ext uri="{FF2B5EF4-FFF2-40B4-BE49-F238E27FC236}">
              <a16:creationId xmlns:a16="http://schemas.microsoft.com/office/drawing/2014/main" id="{200F4C8F-8D52-426E-823A-D48D50D5E276}"/>
            </a:ext>
          </a:extLst>
        </xdr:cNvPr>
        <xdr:cNvCxnSpPr/>
      </xdr:nvCxnSpPr>
      <xdr:spPr>
        <a:xfrm>
          <a:off x="2959100" y="5746750"/>
          <a:ext cx="12001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7</xdr:col>
      <xdr:colOff>209550</xdr:colOff>
      <xdr:row>29</xdr:row>
      <xdr:rowOff>12700</xdr:rowOff>
    </xdr:from>
    <xdr:to>
      <xdr:col>9</xdr:col>
      <xdr:colOff>88900</xdr:colOff>
      <xdr:row>29</xdr:row>
      <xdr:rowOff>12700</xdr:rowOff>
    </xdr:to>
    <xdr:cxnSp macro="">
      <xdr:nvCxnSpPr>
        <xdr:cNvPr id="5" name="Straight Arrow Connector 4">
          <a:extLst>
            <a:ext uri="{FF2B5EF4-FFF2-40B4-BE49-F238E27FC236}">
              <a16:creationId xmlns:a16="http://schemas.microsoft.com/office/drawing/2014/main" id="{03EF9DC4-12DB-4EAD-BF69-8ADD290E9714}"/>
            </a:ext>
          </a:extLst>
        </xdr:cNvPr>
        <xdr:cNvCxnSpPr/>
      </xdr:nvCxnSpPr>
      <xdr:spPr>
        <a:xfrm>
          <a:off x="6419850" y="5727700"/>
          <a:ext cx="12001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Pustoselova Kristina" id="{2BD59F4C-17F5-4A8B-8AA5-EE5E2BC96E11}" userId="S::kristina.pustoselova@stud.uni-corvinus.hu::de50e634-225d-48c0-a822-5e13b36e7f3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0" dT="2023-12-12T15:48:14.53" personId="{2BD59F4C-17F5-4A8B-8AA5-EE5E2BC96E11}" id="{BFC2A3EC-3E59-4128-A3A0-4817A54DA556}">
    <text xml:space="preserve">Post additional investmen tin year 2 of 100
</text>
  </threadedComment>
  <threadedComment ref="G20" dT="2023-12-12T15:03:30.00" personId="{2BD59F4C-17F5-4A8B-8AA5-EE5E2BC96E11}" id="{FC01016E-649F-414B-8A6D-A44C84B2770C}">
    <text xml:space="preserve">4 years (6 yeat -2 years=T-t)
</text>
  </threadedComment>
  <threadedComment ref="C23" dT="2023-12-12T15:50:13.87" personId="{2BD59F4C-17F5-4A8B-8AA5-EE5E2BC96E11}" id="{9397ABD0-3A8C-4EBF-AA5F-C1C37F6A5E03}">
    <text xml:space="preserve">Cleared from investment of 70
</text>
  </threadedComment>
  <threadedComment ref="F23" dT="2023-12-12T15:48:50.14" personId="{2BD59F4C-17F5-4A8B-8AA5-EE5E2BC96E11}" id="{19B8F7B3-38C4-4534-830F-767B2949D5DB}">
    <text xml:space="preserve">Cleared from 100 investment in year 2
</text>
  </threadedComment>
  <threadedComment ref="K24" dT="2023-12-12T15:01:42.66" personId="{2BD59F4C-17F5-4A8B-8AA5-EE5E2BC96E11}" id="{01B43ADB-0E13-4B94-8B5F-7D200A2A2522}">
    <text xml:space="preserve">Equity in 6 years
</text>
  </threadedComment>
  <threadedComment ref="F25" dT="2023-12-12T15:35:49.65" personId="{2BD59F4C-17F5-4A8B-8AA5-EE5E2BC96E11}" id="{1A02C00C-83A1-420D-AD51-EE690B504AF7}">
    <text>In year 6 it will be the same cuz there are no additonal investments</text>
  </threadedComment>
  <threadedComment ref="C26" dT="2023-12-12T15:49:31.42" personId="{2BD59F4C-17F5-4A8B-8AA5-EE5E2BC96E11}" id="{D270414E-0622-401A-A2A2-DD49C7EE0A37}">
    <text xml:space="preserve">After 70 invesement pre money of year two discounted to money value of year 0
</text>
  </threadedComment>
  <threadedComment ref="K26" dT="2023-12-12T15:35:49.65" personId="{2BD59F4C-17F5-4A8B-8AA5-EE5E2BC96E11}" id="{A7B3D6EF-42F0-4037-9298-906BCC206919}">
    <text>In year 6 it will be the same cuz there are no additonal investments</text>
  </threadedComment>
  <threadedComment ref="D27" dT="2023-12-12T14:56:46.75" personId="{2BD59F4C-17F5-4A8B-8AA5-EE5E2BC96E11}" id="{46A45849-CEB8-49E0-9D28-D5FABB1C3B95}">
    <text xml:space="preserve">Probability of succeeding </text>
  </threadedComment>
  <threadedComment ref="B28" dT="2023-12-12T15:06:33.97" personId="{2BD59F4C-17F5-4A8B-8AA5-EE5E2BC96E11}" id="{834A05A2-80BF-45B5-A67A-C092D09D7504}">
    <text xml:space="preserve">If we fail one year we liquidate 90% - 18
</text>
  </threadedComment>
  <threadedComment ref="C30" dT="2023-12-12T15:27:47.48" personId="{2BD59F4C-17F5-4A8B-8AA5-EE5E2BC96E11}" id="{63F4AF96-173D-48C2-B78A-C31D1235A793}">
    <text xml:space="preserve">Stake guess was put randomly, we have used solved by setting the difference of two guessed stakes at 0 by adjusting value of the first random stake 
</text>
  </threadedComment>
  <threadedComment ref="D30" dT="2023-12-12T14:56:23.20" personId="{2BD59F4C-17F5-4A8B-8AA5-EE5E2BC96E11}" id="{76BA2BF3-CD49-4D11-BFEE-82FDF43C9B1A}">
    <text xml:space="preserve">Probability of failing
</text>
  </threadedComment>
  <threadedComment ref="A31" dT="2023-12-12T15:37:16.52" personId="{2BD59F4C-17F5-4A8B-8AA5-EE5E2BC96E11}" id="{722ABA97-A56A-4EB1-AE8D-61E71A9731FC}">
    <text xml:space="preserve">Founders stake decreased from 46% to 33% in the year two because of the loan investment, but in the year 6 it doesn’t change because there are no extra invesments
</text>
  </threadedComment>
</ThreadedComments>
</file>

<file path=xl/threadedComments/threadedComment2.xml><?xml version="1.0" encoding="utf-8"?>
<ThreadedComments xmlns="http://schemas.microsoft.com/office/spreadsheetml/2018/threadedcomments" xmlns:x="http://schemas.openxmlformats.org/spreadsheetml/2006/main">
  <threadedComment ref="F20" dT="2023-12-12T15:48:14.53" personId="{2BD59F4C-17F5-4A8B-8AA5-EE5E2BC96E11}" id="{8939A9DC-8412-41A3-849F-A80BEFDD5E94}">
    <text xml:space="preserve">Post additional investmen tin year 2 of 100
</text>
  </threadedComment>
  <threadedComment ref="G20" dT="2023-12-12T15:03:30.00" personId="{2BD59F4C-17F5-4A8B-8AA5-EE5E2BC96E11}" id="{39082D58-C4F8-4052-9E28-FE5EB02E15F5}">
    <text xml:space="preserve">4 years (6 yeat -2 years=T-t)
</text>
  </threadedComment>
  <threadedComment ref="C23" dT="2023-12-12T15:50:13.87" personId="{2BD59F4C-17F5-4A8B-8AA5-EE5E2BC96E11}" id="{03E4B220-7C17-4557-BAC1-00B793209450}">
    <text xml:space="preserve">Cleared from investment of 70
</text>
  </threadedComment>
  <threadedComment ref="F23" dT="2023-12-12T15:48:50.14" personId="{2BD59F4C-17F5-4A8B-8AA5-EE5E2BC96E11}" id="{6A9B35FD-EA0C-48B9-82E4-F59001C2C128}">
    <text xml:space="preserve">Cleared from 100 investment in year 2
</text>
  </threadedComment>
  <threadedComment ref="K24" dT="2023-12-12T15:01:42.66" personId="{2BD59F4C-17F5-4A8B-8AA5-EE5E2BC96E11}" id="{F4B6C94C-4245-4726-9FC9-53E0F5025032}">
    <text xml:space="preserve">Equity in 6 years
</text>
  </threadedComment>
  <threadedComment ref="F25" dT="2023-12-12T15:35:49.65" personId="{2BD59F4C-17F5-4A8B-8AA5-EE5E2BC96E11}" id="{D9C44DDC-233B-4681-8829-10CD132C860A}">
    <text>In year 6 it will be the same cuz there are no additonal investments</text>
  </threadedComment>
  <threadedComment ref="C26" dT="2023-12-12T15:49:31.42" personId="{2BD59F4C-17F5-4A8B-8AA5-EE5E2BC96E11}" id="{B4862AD9-8D5B-4DBE-9010-45477524A430}">
    <text xml:space="preserve">After 70 invesement pre money of year two discounted to money value of year 0
</text>
  </threadedComment>
  <threadedComment ref="K26" dT="2023-12-12T15:35:49.65" personId="{2BD59F4C-17F5-4A8B-8AA5-EE5E2BC96E11}" id="{578FF1A2-7AAA-406B-8C7C-D2EE4B862784}">
    <text>In year 6 it will be the same cuz there are no additonal investments</text>
  </threadedComment>
  <threadedComment ref="D27" dT="2023-12-12T14:56:46.75" personId="{2BD59F4C-17F5-4A8B-8AA5-EE5E2BC96E11}" id="{D00CE78D-4E6C-4064-AF41-42627CB831BC}">
    <text xml:space="preserve">Probability of succeeding </text>
  </threadedComment>
  <threadedComment ref="B28" dT="2023-12-12T15:06:33.97" personId="{2BD59F4C-17F5-4A8B-8AA5-EE5E2BC96E11}" id="{6EC237E2-921E-4913-9B30-BC9D85A40319}">
    <text xml:space="preserve">If we fail one year we liquidate 90% - 18
</text>
  </threadedComment>
  <threadedComment ref="C30" dT="2023-12-12T15:27:47.48" personId="{2BD59F4C-17F5-4A8B-8AA5-EE5E2BC96E11}" id="{4B77A672-B1F6-4753-9251-406B8A185034}">
    <text xml:space="preserve">Stake guess was put randomly, we have used solved by setting the difference of two guessed stakes at 0 by adjusting value of the first random stake 
</text>
  </threadedComment>
  <threadedComment ref="D30" dT="2023-12-12T14:56:23.20" personId="{2BD59F4C-17F5-4A8B-8AA5-EE5E2BC96E11}" id="{CCC7C555-9B64-4489-850A-E8619C933F22}">
    <text xml:space="preserve">Probability of failing
</text>
  </threadedComment>
  <threadedComment ref="A31" dT="2023-12-12T15:37:16.52" personId="{2BD59F4C-17F5-4A8B-8AA5-EE5E2BC96E11}" id="{63E3978E-867F-46C7-B840-0A30761A3444}">
    <text xml:space="preserve">Founders stake decreased from 46% to 33% in the year two because of the loan investment, but in the year 6 it doesn’t change because there are no extra invesments
</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8.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9.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AA70-1854-4EE4-BF86-2300B42E6D0A}">
  <dimension ref="A1:E11"/>
  <sheetViews>
    <sheetView topLeftCell="A11" workbookViewId="0">
      <selection activeCell="E27" sqref="E27"/>
    </sheetView>
  </sheetViews>
  <sheetFormatPr baseColWidth="10" defaultColWidth="8.83203125" defaultRowHeight="16" x14ac:dyDescent="0.2"/>
  <cols>
    <col min="2" max="2" width="28.1640625" customWidth="1"/>
    <col min="3" max="3" width="19.1640625" customWidth="1"/>
    <col min="5" max="5" width="109.1640625" customWidth="1"/>
  </cols>
  <sheetData>
    <row r="1" spans="1:5" x14ac:dyDescent="0.2">
      <c r="A1" s="161" t="s">
        <v>0</v>
      </c>
      <c r="B1" s="161" t="s">
        <v>1</v>
      </c>
      <c r="C1" s="161" t="s">
        <v>2</v>
      </c>
      <c r="D1" s="161"/>
      <c r="E1" s="161" t="s">
        <v>3</v>
      </c>
    </row>
    <row r="2" spans="1:5" x14ac:dyDescent="0.2">
      <c r="A2" s="161">
        <v>1</v>
      </c>
      <c r="B2" s="161" t="s">
        <v>4</v>
      </c>
      <c r="C2" s="161"/>
      <c r="D2" s="161"/>
    </row>
    <row r="3" spans="1:5" ht="102" x14ac:dyDescent="0.2">
      <c r="A3" s="161">
        <v>2</v>
      </c>
      <c r="B3" s="162" t="s">
        <v>5</v>
      </c>
      <c r="C3" s="162"/>
      <c r="D3" s="162"/>
      <c r="E3" s="56" t="s">
        <v>6</v>
      </c>
    </row>
    <row r="4" spans="1:5" ht="68" x14ac:dyDescent="0.2">
      <c r="A4" s="161">
        <v>3</v>
      </c>
      <c r="B4" s="162" t="s">
        <v>7</v>
      </c>
      <c r="C4" s="162" t="s">
        <v>8</v>
      </c>
      <c r="D4" s="162" t="s">
        <v>9</v>
      </c>
      <c r="E4" s="56" t="s">
        <v>10</v>
      </c>
    </row>
    <row r="5" spans="1:5" ht="85" x14ac:dyDescent="0.2">
      <c r="A5" s="161">
        <v>4</v>
      </c>
      <c r="B5" s="161" t="s">
        <v>11</v>
      </c>
      <c r="C5" s="161" t="s">
        <v>8</v>
      </c>
      <c r="D5" s="161" t="s">
        <v>9</v>
      </c>
      <c r="E5" s="64" t="s">
        <v>12</v>
      </c>
    </row>
    <row r="6" spans="1:5" ht="68" x14ac:dyDescent="0.2">
      <c r="A6" s="161">
        <v>5</v>
      </c>
      <c r="B6" s="161" t="s">
        <v>13</v>
      </c>
      <c r="C6" s="161" t="s">
        <v>8</v>
      </c>
      <c r="D6" s="161"/>
      <c r="E6" s="64" t="s">
        <v>14</v>
      </c>
    </row>
    <row r="7" spans="1:5" ht="102" x14ac:dyDescent="0.2">
      <c r="A7" s="161">
        <v>6</v>
      </c>
      <c r="B7" s="161" t="s">
        <v>15</v>
      </c>
      <c r="C7" s="161"/>
      <c r="D7" s="161"/>
      <c r="E7" s="64" t="s">
        <v>16</v>
      </c>
    </row>
    <row r="8" spans="1:5" ht="50.25" customHeight="1" x14ac:dyDescent="0.2">
      <c r="A8" s="161">
        <v>7</v>
      </c>
      <c r="B8" s="161" t="s">
        <v>17</v>
      </c>
      <c r="C8" s="161" t="s">
        <v>18</v>
      </c>
      <c r="D8" s="161"/>
      <c r="E8" s="64" t="s">
        <v>19</v>
      </c>
    </row>
    <row r="9" spans="1:5" ht="120" x14ac:dyDescent="0.2">
      <c r="A9" s="161">
        <v>8</v>
      </c>
      <c r="B9" s="161" t="s">
        <v>20</v>
      </c>
      <c r="C9" s="161" t="s">
        <v>20</v>
      </c>
      <c r="D9" s="161"/>
      <c r="E9" s="163" t="s">
        <v>21</v>
      </c>
    </row>
    <row r="10" spans="1:5" ht="140" x14ac:dyDescent="0.2">
      <c r="A10" s="161">
        <v>9</v>
      </c>
      <c r="B10" s="161" t="s">
        <v>22</v>
      </c>
      <c r="C10" s="161"/>
      <c r="D10" s="161"/>
      <c r="E10" s="164" t="s">
        <v>23</v>
      </c>
    </row>
    <row r="11" spans="1:5" ht="220" x14ac:dyDescent="0.2">
      <c r="A11" s="161">
        <v>10</v>
      </c>
      <c r="B11" s="161" t="s">
        <v>24</v>
      </c>
      <c r="C11" s="161" t="s">
        <v>25</v>
      </c>
      <c r="D11" s="161"/>
      <c r="E11" s="164"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562F6-EF43-41F7-8F7D-68BBAD27B482}">
  <sheetPr>
    <tabColor theme="1" tint="0.499984740745262"/>
  </sheetPr>
  <dimension ref="B5:N135"/>
  <sheetViews>
    <sheetView topLeftCell="K2" workbookViewId="0">
      <selection activeCell="D54" sqref="D54"/>
    </sheetView>
  </sheetViews>
  <sheetFormatPr baseColWidth="10" defaultColWidth="8.83203125" defaultRowHeight="16" x14ac:dyDescent="0.2"/>
  <cols>
    <col min="2" max="2" width="29" bestFit="1" customWidth="1"/>
    <col min="3" max="12" width="8.83203125" bestFit="1" customWidth="1"/>
    <col min="13" max="13" width="9.5" bestFit="1" customWidth="1"/>
    <col min="14" max="14" width="8.83203125" bestFit="1" customWidth="1"/>
  </cols>
  <sheetData>
    <row r="5" spans="2:14" x14ac:dyDescent="0.2">
      <c r="C5" s="1">
        <f t="shared" ref="C5:F5" si="0">+D5-1</f>
        <v>2019</v>
      </c>
      <c r="D5" s="1">
        <f t="shared" si="0"/>
        <v>2020</v>
      </c>
      <c r="E5" s="1">
        <f t="shared" si="0"/>
        <v>2021</v>
      </c>
      <c r="F5" s="1">
        <f t="shared" si="0"/>
        <v>2022</v>
      </c>
      <c r="G5" s="1">
        <f>+H5-1</f>
        <v>2023</v>
      </c>
      <c r="H5" s="50">
        <v>2024</v>
      </c>
      <c r="I5" s="1">
        <f>+H5+1</f>
        <v>2025</v>
      </c>
      <c r="J5" s="1">
        <f t="shared" ref="J5:M5" si="1">+I5+1</f>
        <v>2026</v>
      </c>
      <c r="K5" s="1">
        <f t="shared" si="1"/>
        <v>2027</v>
      </c>
      <c r="L5" s="1">
        <f t="shared" si="1"/>
        <v>2028</v>
      </c>
      <c r="M5" s="1">
        <f t="shared" si="1"/>
        <v>2029</v>
      </c>
    </row>
    <row r="6" spans="2:14" x14ac:dyDescent="0.2">
      <c r="B6" t="s">
        <v>27</v>
      </c>
      <c r="C6" s="68">
        <v>10000</v>
      </c>
      <c r="D6" s="68">
        <v>10700</v>
      </c>
      <c r="E6" s="68">
        <v>11400</v>
      </c>
      <c r="F6" s="68">
        <v>12100</v>
      </c>
      <c r="G6" s="68">
        <v>12800</v>
      </c>
      <c r="H6" s="68">
        <f>+G6*(1+H30)</f>
        <v>14719.999999999998</v>
      </c>
      <c r="I6" s="68">
        <f t="shared" ref="I6:N6" si="2">+H6*(1+I30)</f>
        <v>16486.399999999998</v>
      </c>
      <c r="J6" s="68">
        <f t="shared" si="2"/>
        <v>17805.311999999998</v>
      </c>
      <c r="K6" s="68">
        <f t="shared" si="2"/>
        <v>18873.630719999997</v>
      </c>
      <c r="L6" s="68">
        <f t="shared" si="2"/>
        <v>19817.312255999997</v>
      </c>
      <c r="M6" s="68">
        <f t="shared" si="2"/>
        <v>20808.177868799998</v>
      </c>
      <c r="N6" s="68">
        <f t="shared" si="2"/>
        <v>21848.58676224</v>
      </c>
    </row>
    <row r="7" spans="2:14" x14ac:dyDescent="0.2">
      <c r="B7" t="s">
        <v>28</v>
      </c>
      <c r="C7" s="68">
        <v>6500</v>
      </c>
      <c r="D7" s="68">
        <v>6900</v>
      </c>
      <c r="E7" s="68">
        <v>7300</v>
      </c>
      <c r="F7" s="68">
        <v>7800</v>
      </c>
      <c r="G7" s="68">
        <v>8200</v>
      </c>
      <c r="H7" s="68">
        <f>+H31*H6</f>
        <v>9126.4</v>
      </c>
      <c r="I7" s="68">
        <f t="shared" ref="I7:M7" si="3">+I31*I6</f>
        <v>10221.567999999999</v>
      </c>
      <c r="J7" s="68">
        <f t="shared" si="3"/>
        <v>11039.293439999999</v>
      </c>
      <c r="K7" s="68">
        <f t="shared" si="3"/>
        <v>11701.651046399998</v>
      </c>
      <c r="L7" s="68">
        <f t="shared" si="3"/>
        <v>12286.733598719999</v>
      </c>
      <c r="M7" s="68">
        <f t="shared" si="3"/>
        <v>12901.070278655998</v>
      </c>
    </row>
    <row r="8" spans="2:14" x14ac:dyDescent="0.2">
      <c r="B8" t="s">
        <v>29</v>
      </c>
      <c r="C8" s="68">
        <v>1800</v>
      </c>
      <c r="D8" s="68">
        <v>2000</v>
      </c>
      <c r="E8" s="68">
        <v>2100</v>
      </c>
      <c r="F8" s="68">
        <v>2200</v>
      </c>
      <c r="G8" s="68">
        <v>2400</v>
      </c>
      <c r="H8" s="68">
        <f>+H6*H32</f>
        <v>2355.1999999999998</v>
      </c>
      <c r="I8" s="68">
        <f t="shared" ref="I8:M8" si="4">+I6*I32</f>
        <v>2637.8239999999996</v>
      </c>
      <c r="J8" s="68">
        <f t="shared" si="4"/>
        <v>2848.8499199999997</v>
      </c>
      <c r="K8" s="68">
        <f t="shared" si="4"/>
        <v>3019.7809151999995</v>
      </c>
      <c r="L8" s="68">
        <f t="shared" si="4"/>
        <v>3170.7699609599995</v>
      </c>
      <c r="M8" s="68">
        <f t="shared" si="4"/>
        <v>3329.3084590079998</v>
      </c>
    </row>
    <row r="9" spans="2:14" x14ac:dyDescent="0.2">
      <c r="B9" s="67" t="s">
        <v>30</v>
      </c>
      <c r="C9" s="68">
        <v>735</v>
      </c>
      <c r="D9" s="68">
        <v>750</v>
      </c>
      <c r="E9" s="68">
        <v>800</v>
      </c>
      <c r="F9" s="68">
        <v>890</v>
      </c>
      <c r="G9" s="68">
        <v>970</v>
      </c>
      <c r="H9" s="68">
        <f>+G21*H33</f>
        <v>996</v>
      </c>
      <c r="I9" s="68">
        <f t="shared" ref="I9:M9" si="5">+H21*I33</f>
        <v>1094.69696</v>
      </c>
      <c r="J9" s="68">
        <f t="shared" si="5"/>
        <v>1182.2727167999999</v>
      </c>
      <c r="K9" s="68">
        <f t="shared" si="5"/>
        <v>1253.2090798080001</v>
      </c>
      <c r="L9" s="68">
        <f t="shared" si="5"/>
        <v>1315.8695337984</v>
      </c>
      <c r="M9" s="68">
        <f t="shared" si="5"/>
        <v>1381.66301048832</v>
      </c>
    </row>
    <row r="10" spans="2:14" x14ac:dyDescent="0.2">
      <c r="B10" t="s">
        <v>31</v>
      </c>
      <c r="C10" s="68">
        <v>965</v>
      </c>
      <c r="D10" s="68">
        <v>1050</v>
      </c>
      <c r="E10" s="68">
        <v>1200</v>
      </c>
      <c r="F10" s="68">
        <v>1210</v>
      </c>
      <c r="G10" s="68">
        <v>1230</v>
      </c>
      <c r="H10" s="68">
        <f>+H6-H7-H8-H9</f>
        <v>2242.3999999999987</v>
      </c>
      <c r="I10" s="68">
        <f t="shared" ref="I10:M10" si="6">+I6-I7-I8-I9</f>
        <v>2532.3110399999987</v>
      </c>
      <c r="J10" s="68">
        <f t="shared" si="6"/>
        <v>2734.8959231999988</v>
      </c>
      <c r="K10" s="68">
        <f t="shared" si="6"/>
        <v>2898.989678592</v>
      </c>
      <c r="L10" s="68">
        <f t="shared" si="6"/>
        <v>3043.9391625215994</v>
      </c>
      <c r="M10" s="68">
        <f t="shared" si="6"/>
        <v>3196.1361206476804</v>
      </c>
    </row>
    <row r="11" spans="2:14" x14ac:dyDescent="0.2">
      <c r="B11" t="s">
        <v>32</v>
      </c>
      <c r="C11" s="68">
        <v>0</v>
      </c>
      <c r="D11" s="68">
        <v>0</v>
      </c>
      <c r="E11" s="68">
        <v>0</v>
      </c>
      <c r="F11" s="68">
        <v>0</v>
      </c>
      <c r="G11" s="68">
        <v>0</v>
      </c>
      <c r="H11" s="68">
        <f>+G27*H40</f>
        <v>0</v>
      </c>
      <c r="I11" s="68">
        <f t="shared" ref="I11:M11" si="7">+H27*I40</f>
        <v>0</v>
      </c>
      <c r="J11" s="68">
        <f t="shared" si="7"/>
        <v>51.970628266666672</v>
      </c>
      <c r="K11" s="68">
        <f t="shared" si="7"/>
        <v>111.77878118400001</v>
      </c>
      <c r="L11" s="68">
        <f t="shared" si="7"/>
        <v>175.80157894655997</v>
      </c>
      <c r="M11" s="68">
        <f t="shared" si="7"/>
        <v>245.64439310745601</v>
      </c>
    </row>
    <row r="12" spans="2:14" x14ac:dyDescent="0.2">
      <c r="B12" t="s">
        <v>33</v>
      </c>
      <c r="C12" s="68">
        <v>965</v>
      </c>
      <c r="D12" s="68">
        <v>1050</v>
      </c>
      <c r="E12" s="68">
        <v>1200</v>
      </c>
      <c r="F12" s="68">
        <v>1210</v>
      </c>
      <c r="G12" s="68">
        <v>1230</v>
      </c>
      <c r="H12" s="68">
        <f>+H10-H11</f>
        <v>2242.3999999999987</v>
      </c>
      <c r="I12" s="68">
        <f t="shared" ref="I12:M12" si="8">+I10-I11</f>
        <v>2532.3110399999987</v>
      </c>
      <c r="J12" s="68">
        <f t="shared" si="8"/>
        <v>2682.9252949333322</v>
      </c>
      <c r="K12" s="68">
        <f t="shared" si="8"/>
        <v>2787.2108974080002</v>
      </c>
      <c r="L12" s="68">
        <f t="shared" si="8"/>
        <v>2868.1375835750396</v>
      </c>
      <c r="M12" s="68">
        <f t="shared" si="8"/>
        <v>2950.4917275402245</v>
      </c>
    </row>
    <row r="13" spans="2:14" x14ac:dyDescent="0.2">
      <c r="B13" t="s">
        <v>34</v>
      </c>
      <c r="C13" s="68">
        <v>100</v>
      </c>
      <c r="D13" s="68">
        <v>90</v>
      </c>
      <c r="E13" s="68">
        <v>110</v>
      </c>
      <c r="F13" s="68">
        <v>100</v>
      </c>
      <c r="G13" s="68">
        <v>90</v>
      </c>
      <c r="H13" s="68">
        <f>+IF(H12&gt;0,H12*H41,0)</f>
        <v>448.47999999999979</v>
      </c>
      <c r="I13" s="68">
        <f t="shared" ref="I13:M13" si="9">+IF(I12&gt;0,I12*I41,0)</f>
        <v>506.46220799999975</v>
      </c>
      <c r="J13" s="68">
        <f t="shared" si="9"/>
        <v>536.58505898666647</v>
      </c>
      <c r="K13" s="68">
        <f t="shared" si="9"/>
        <v>557.44217948160008</v>
      </c>
      <c r="L13" s="68">
        <f t="shared" si="9"/>
        <v>573.62751671500791</v>
      </c>
      <c r="M13" s="68">
        <f t="shared" si="9"/>
        <v>590.09834550804487</v>
      </c>
    </row>
    <row r="14" spans="2:14" x14ac:dyDescent="0.2">
      <c r="B14" t="s">
        <v>35</v>
      </c>
      <c r="C14" s="68">
        <v>865</v>
      </c>
      <c r="D14" s="68">
        <v>960</v>
      </c>
      <c r="E14" s="68">
        <v>1090</v>
      </c>
      <c r="F14" s="68">
        <v>1110</v>
      </c>
      <c r="G14" s="68">
        <v>1140</v>
      </c>
      <c r="H14" s="68">
        <f>+H12-H13</f>
        <v>1793.9199999999989</v>
      </c>
      <c r="I14" s="68">
        <f t="shared" ref="I14:M14" si="10">+I12-I13</f>
        <v>2025.848831999999</v>
      </c>
      <c r="J14" s="68">
        <f t="shared" si="10"/>
        <v>2146.3402359466659</v>
      </c>
      <c r="K14" s="68">
        <f t="shared" si="10"/>
        <v>2229.7687179264003</v>
      </c>
      <c r="L14" s="68">
        <f t="shared" si="10"/>
        <v>2294.5100668600317</v>
      </c>
      <c r="M14" s="68">
        <f t="shared" si="10"/>
        <v>2360.3933820321795</v>
      </c>
    </row>
    <row r="15" spans="2:14" x14ac:dyDescent="0.2">
      <c r="B15" t="s">
        <v>36</v>
      </c>
      <c r="C15" s="68"/>
      <c r="D15" s="68">
        <f>+D14-D16</f>
        <v>525</v>
      </c>
      <c r="E15" s="68">
        <f t="shared" ref="E15:M15" si="11">+E14-E16</f>
        <v>35</v>
      </c>
      <c r="F15" s="68">
        <f t="shared" si="11"/>
        <v>595</v>
      </c>
      <c r="G15" s="68">
        <f t="shared" si="11"/>
        <v>615</v>
      </c>
      <c r="H15" s="68">
        <f t="shared" si="11"/>
        <v>437.38222222222316</v>
      </c>
      <c r="I15" s="68">
        <f t="shared" si="11"/>
        <v>1551.0732231111081</v>
      </c>
      <c r="J15" s="68">
        <f t="shared" si="11"/>
        <v>1881.0960418133332</v>
      </c>
      <c r="K15" s="68">
        <f t="shared" si="11"/>
        <v>2229.7687179264003</v>
      </c>
      <c r="L15" s="68">
        <f t="shared" si="11"/>
        <v>2294.5100668600317</v>
      </c>
      <c r="M15" s="68">
        <f t="shared" si="11"/>
        <v>1658.5522588680174</v>
      </c>
    </row>
    <row r="16" spans="2:14" x14ac:dyDescent="0.2">
      <c r="B16" t="s">
        <v>37</v>
      </c>
      <c r="C16" s="68"/>
      <c r="D16" s="68">
        <f>+IF(D14&lt;0,D14,MAX(0,MIN(D14,D18)))</f>
        <v>435</v>
      </c>
      <c r="E16" s="68">
        <f t="shared" ref="E16:M16" si="12">+IF(E14&lt;0,E14,MAX(0,MIN(E14,E18)))</f>
        <v>1055</v>
      </c>
      <c r="F16" s="68">
        <f t="shared" si="12"/>
        <v>515</v>
      </c>
      <c r="G16" s="68">
        <f t="shared" si="12"/>
        <v>525</v>
      </c>
      <c r="H16" s="68">
        <f t="shared" si="12"/>
        <v>1356.5377777777758</v>
      </c>
      <c r="I16" s="68">
        <f t="shared" si="12"/>
        <v>474.77560888889093</v>
      </c>
      <c r="J16" s="68">
        <f t="shared" si="12"/>
        <v>265.24419413333271</v>
      </c>
      <c r="K16" s="68">
        <f t="shared" si="12"/>
        <v>0</v>
      </c>
      <c r="L16" s="68">
        <f t="shared" si="12"/>
        <v>0</v>
      </c>
      <c r="M16" s="68">
        <f t="shared" si="12"/>
        <v>701.84112316416213</v>
      </c>
    </row>
    <row r="17" spans="2:14" x14ac:dyDescent="0.2">
      <c r="C17" s="68"/>
      <c r="D17" s="68"/>
      <c r="E17" s="68"/>
      <c r="F17" s="68"/>
      <c r="G17" s="68"/>
      <c r="H17" s="68"/>
      <c r="I17" s="68"/>
      <c r="J17" s="68"/>
      <c r="K17" s="68"/>
      <c r="L17" s="68"/>
      <c r="M17" s="68"/>
    </row>
    <row r="18" spans="2:14" x14ac:dyDescent="0.2">
      <c r="B18" t="s">
        <v>38</v>
      </c>
      <c r="C18" s="68"/>
      <c r="D18" s="68">
        <f>+D28-C28</f>
        <v>435</v>
      </c>
      <c r="E18" s="68">
        <f t="shared" ref="E18:M18" si="13">+E28-D28</f>
        <v>1055</v>
      </c>
      <c r="F18" s="68">
        <f t="shared" si="13"/>
        <v>515</v>
      </c>
      <c r="G18" s="68">
        <f t="shared" si="13"/>
        <v>525</v>
      </c>
      <c r="H18" s="68">
        <f t="shared" si="13"/>
        <v>1356.5377777777758</v>
      </c>
      <c r="I18" s="68">
        <f t="shared" si="13"/>
        <v>474.77560888889093</v>
      </c>
      <c r="J18" s="68">
        <f t="shared" si="13"/>
        <v>265.24419413333271</v>
      </c>
      <c r="K18" s="68">
        <f t="shared" si="13"/>
        <v>-140.00118988800023</v>
      </c>
      <c r="L18" s="68">
        <f t="shared" si="13"/>
        <v>-194.7339276288003</v>
      </c>
      <c r="M18" s="68">
        <f t="shared" si="13"/>
        <v>701.84112316416213</v>
      </c>
    </row>
    <row r="19" spans="2:14" x14ac:dyDescent="0.2">
      <c r="B19" t="s">
        <v>39</v>
      </c>
      <c r="C19" s="68"/>
      <c r="D19" s="68">
        <f>+D18-D16</f>
        <v>0</v>
      </c>
      <c r="E19" s="68">
        <f t="shared" ref="E19:M19" si="14">+E18-E16</f>
        <v>0</v>
      </c>
      <c r="F19" s="68">
        <f t="shared" si="14"/>
        <v>0</v>
      </c>
      <c r="G19" s="68">
        <f t="shared" si="14"/>
        <v>0</v>
      </c>
      <c r="H19" s="68">
        <f t="shared" si="14"/>
        <v>0</v>
      </c>
      <c r="I19" s="68">
        <f t="shared" si="14"/>
        <v>0</v>
      </c>
      <c r="J19" s="68">
        <f t="shared" si="14"/>
        <v>0</v>
      </c>
      <c r="K19" s="68">
        <f t="shared" si="14"/>
        <v>-140.00118988800023</v>
      </c>
      <c r="L19" s="68">
        <f t="shared" si="14"/>
        <v>-194.7339276288003</v>
      </c>
      <c r="M19" s="68">
        <f t="shared" si="14"/>
        <v>0</v>
      </c>
    </row>
    <row r="20" spans="2:14" x14ac:dyDescent="0.2">
      <c r="C20" s="68"/>
      <c r="D20" s="68"/>
      <c r="E20" s="68"/>
      <c r="F20" s="68"/>
      <c r="G20" s="68"/>
      <c r="H20" s="68"/>
      <c r="I20" s="68"/>
      <c r="J20" s="68"/>
      <c r="K20" s="68"/>
      <c r="L20" s="68"/>
      <c r="M20" s="68"/>
    </row>
    <row r="21" spans="2:14" x14ac:dyDescent="0.2">
      <c r="B21" s="67" t="s">
        <v>40</v>
      </c>
      <c r="C21" s="68">
        <v>9500</v>
      </c>
      <c r="D21" s="68">
        <v>10000</v>
      </c>
      <c r="E21" s="68">
        <v>11000</v>
      </c>
      <c r="F21" s="68">
        <v>11500</v>
      </c>
      <c r="G21" s="68">
        <v>12000</v>
      </c>
      <c r="H21" s="68">
        <f>+I34*I6</f>
        <v>13189.119999999999</v>
      </c>
      <c r="I21" s="68">
        <f t="shared" ref="I21:M21" si="15">+J34*J6</f>
        <v>14244.249599999999</v>
      </c>
      <c r="J21" s="68">
        <f t="shared" si="15"/>
        <v>15098.904575999999</v>
      </c>
      <c r="K21" s="68">
        <f t="shared" si="15"/>
        <v>15853.849804799998</v>
      </c>
      <c r="L21" s="68">
        <f t="shared" si="15"/>
        <v>16646.542295039999</v>
      </c>
      <c r="M21" s="68">
        <f t="shared" si="15"/>
        <v>17478.869409792002</v>
      </c>
    </row>
    <row r="22" spans="2:14" x14ac:dyDescent="0.2">
      <c r="B22" s="112" t="s">
        <v>41</v>
      </c>
      <c r="C22" s="68">
        <v>115</v>
      </c>
      <c r="D22" s="68">
        <v>130</v>
      </c>
      <c r="E22" s="68">
        <v>135</v>
      </c>
      <c r="F22" s="68">
        <v>140</v>
      </c>
      <c r="G22" s="68">
        <v>155</v>
      </c>
      <c r="H22" s="68">
        <f>+H35/360*H7</f>
        <v>177.45777777777778</v>
      </c>
      <c r="I22" s="68">
        <f t="shared" ref="I22:M22" si="16">+I35/360*I7</f>
        <v>198.7527111111111</v>
      </c>
      <c r="J22" s="68">
        <f t="shared" si="16"/>
        <v>214.652928</v>
      </c>
      <c r="K22" s="68">
        <f t="shared" si="16"/>
        <v>227.53210367999998</v>
      </c>
      <c r="L22" s="68">
        <f t="shared" si="16"/>
        <v>238.90870886399998</v>
      </c>
      <c r="M22" s="68">
        <f t="shared" si="16"/>
        <v>250.85414430719996</v>
      </c>
    </row>
    <row r="23" spans="2:14" x14ac:dyDescent="0.2">
      <c r="B23" s="112" t="s">
        <v>42</v>
      </c>
      <c r="C23" s="68">
        <v>0</v>
      </c>
      <c r="D23" s="68">
        <v>0</v>
      </c>
      <c r="E23" s="68">
        <v>0</v>
      </c>
      <c r="F23" s="68">
        <v>0</v>
      </c>
      <c r="G23" s="68">
        <v>0</v>
      </c>
      <c r="H23" s="68">
        <f>+H36/360*H6</f>
        <v>81.777777777777771</v>
      </c>
      <c r="I23" s="68">
        <f t="shared" ref="I23:M23" si="17">+I36/360*I6</f>
        <v>228.97777777777773</v>
      </c>
      <c r="J23" s="68">
        <f t="shared" si="17"/>
        <v>494.59199999999993</v>
      </c>
      <c r="K23" s="68">
        <f t="shared" si="17"/>
        <v>524.26751999999988</v>
      </c>
      <c r="L23" s="68">
        <f t="shared" si="17"/>
        <v>550.48089599999992</v>
      </c>
      <c r="M23" s="68">
        <f t="shared" si="17"/>
        <v>578.00494079999987</v>
      </c>
    </row>
    <row r="24" spans="2:14" x14ac:dyDescent="0.2">
      <c r="B24" s="112" t="s">
        <v>43</v>
      </c>
      <c r="C24" s="68">
        <v>430</v>
      </c>
      <c r="D24" s="68">
        <v>400</v>
      </c>
      <c r="E24" s="68">
        <v>470</v>
      </c>
      <c r="F24" s="68">
        <v>500</v>
      </c>
      <c r="G24" s="68">
        <v>520</v>
      </c>
      <c r="H24" s="68">
        <f>+H37*H6</f>
        <v>588.79999999999995</v>
      </c>
      <c r="I24" s="68">
        <f t="shared" ref="I24:M24" si="18">+I37*I6</f>
        <v>659.4559999999999</v>
      </c>
      <c r="J24" s="68">
        <f t="shared" si="18"/>
        <v>712.21247999999991</v>
      </c>
      <c r="K24" s="68">
        <f t="shared" si="18"/>
        <v>754.94522879999988</v>
      </c>
      <c r="L24" s="68">
        <f t="shared" si="18"/>
        <v>792.69249023999987</v>
      </c>
      <c r="M24" s="68">
        <f t="shared" si="18"/>
        <v>832.32711475199994</v>
      </c>
    </row>
    <row r="25" spans="2:14" x14ac:dyDescent="0.2">
      <c r="C25" s="68"/>
      <c r="D25" s="68"/>
      <c r="E25" s="68"/>
      <c r="F25" s="68"/>
      <c r="G25" s="68"/>
      <c r="H25" s="68"/>
      <c r="I25" s="68"/>
      <c r="J25" s="68"/>
      <c r="K25" s="68"/>
      <c r="L25" s="68"/>
      <c r="M25" s="68"/>
    </row>
    <row r="26" spans="2:14" x14ac:dyDescent="0.2">
      <c r="B26" s="112" t="s">
        <v>44</v>
      </c>
      <c r="C26" s="68">
        <v>300</v>
      </c>
      <c r="D26" s="68">
        <v>350</v>
      </c>
      <c r="E26" s="68">
        <v>370</v>
      </c>
      <c r="F26" s="68">
        <v>390</v>
      </c>
      <c r="G26" s="68">
        <v>400</v>
      </c>
      <c r="H26" s="68">
        <f>+H38/360*H7</f>
        <v>405.6177777777778</v>
      </c>
      <c r="I26" s="68">
        <f t="shared" ref="I26:M26" si="19">+I38/360*I7</f>
        <v>482.68515555555553</v>
      </c>
      <c r="J26" s="68">
        <f t="shared" si="19"/>
        <v>551.96467199999995</v>
      </c>
      <c r="K26" s="68">
        <f t="shared" si="19"/>
        <v>617.58713855999997</v>
      </c>
      <c r="L26" s="68">
        <f t="shared" si="19"/>
        <v>682.59631103999993</v>
      </c>
      <c r="M26" s="68">
        <f t="shared" si="19"/>
        <v>716.72612659199979</v>
      </c>
    </row>
    <row r="27" spans="2:14" x14ac:dyDescent="0.2">
      <c r="B27" s="165" t="s">
        <v>45</v>
      </c>
      <c r="C27" s="68">
        <v>0</v>
      </c>
      <c r="D27" s="68">
        <v>0</v>
      </c>
      <c r="E27" s="68">
        <v>0</v>
      </c>
      <c r="F27" s="68">
        <v>0</v>
      </c>
      <c r="G27" s="68">
        <v>0</v>
      </c>
      <c r="H27" s="68">
        <f>+H44*H39</f>
        <v>0</v>
      </c>
      <c r="I27" s="68">
        <f t="shared" ref="I27:M27" si="20">+I44*I39</f>
        <v>742.43754666666666</v>
      </c>
      <c r="J27" s="68">
        <f t="shared" si="20"/>
        <v>1596.8397312</v>
      </c>
      <c r="K27" s="68">
        <f t="shared" si="20"/>
        <v>2511.4511278079995</v>
      </c>
      <c r="L27" s="68">
        <f t="shared" si="20"/>
        <v>3509.2056158207997</v>
      </c>
      <c r="M27" s="68">
        <f t="shared" si="20"/>
        <v>3684.6658966118407</v>
      </c>
    </row>
    <row r="28" spans="2:14" x14ac:dyDescent="0.2">
      <c r="B28" s="166" t="s">
        <v>46</v>
      </c>
      <c r="C28" s="68">
        <v>9745</v>
      </c>
      <c r="D28" s="68">
        <v>10180</v>
      </c>
      <c r="E28" s="68">
        <v>11235</v>
      </c>
      <c r="F28" s="68">
        <v>11750</v>
      </c>
      <c r="G28" s="68">
        <v>12275</v>
      </c>
      <c r="H28" s="68">
        <f>+H44-H27</f>
        <v>13631.537777777776</v>
      </c>
      <c r="I28" s="68">
        <f t="shared" ref="I28:M28" si="21">+I44-I27</f>
        <v>14106.313386666667</v>
      </c>
      <c r="J28" s="68">
        <f t="shared" si="21"/>
        <v>14371.557580799999</v>
      </c>
      <c r="K28" s="68">
        <f t="shared" si="21"/>
        <v>14231.556390911999</v>
      </c>
      <c r="L28" s="68">
        <f t="shared" si="21"/>
        <v>14036.822463283199</v>
      </c>
      <c r="M28" s="68">
        <f t="shared" si="21"/>
        <v>14738.663586447361</v>
      </c>
    </row>
    <row r="30" spans="2:14" x14ac:dyDescent="0.2">
      <c r="B30" t="s">
        <v>47</v>
      </c>
      <c r="D30" s="2">
        <f>+D6/C6-1</f>
        <v>7.0000000000000062E-2</v>
      </c>
      <c r="E30" s="2">
        <f t="shared" ref="E30:G30" si="22">+E6/D6-1</f>
        <v>6.5420560747663448E-2</v>
      </c>
      <c r="F30" s="2">
        <f t="shared" si="22"/>
        <v>6.1403508771929793E-2</v>
      </c>
      <c r="G30" s="2">
        <f t="shared" si="22"/>
        <v>5.7851239669421517E-2</v>
      </c>
      <c r="H30" s="167">
        <v>0.15</v>
      </c>
      <c r="I30" s="167">
        <v>0.12</v>
      </c>
      <c r="J30" s="167">
        <v>0.08</v>
      </c>
      <c r="K30" s="167">
        <v>0.06</v>
      </c>
      <c r="L30" s="167">
        <v>0.05</v>
      </c>
      <c r="M30" s="167">
        <v>0.05</v>
      </c>
      <c r="N30" s="167">
        <v>0.05</v>
      </c>
    </row>
    <row r="31" spans="2:14" x14ac:dyDescent="0.2">
      <c r="B31" t="s">
        <v>48</v>
      </c>
      <c r="C31" s="2"/>
      <c r="D31" s="2">
        <f>+D7/D6</f>
        <v>0.64485981308411211</v>
      </c>
      <c r="E31" s="2">
        <f t="shared" ref="E31:G31" si="23">+E7/E6</f>
        <v>0.64035087719298245</v>
      </c>
      <c r="F31" s="2">
        <f t="shared" si="23"/>
        <v>0.64462809917355368</v>
      </c>
      <c r="G31" s="2">
        <f t="shared" si="23"/>
        <v>0.640625</v>
      </c>
      <c r="H31" s="167">
        <v>0.62</v>
      </c>
      <c r="I31" s="167">
        <v>0.62</v>
      </c>
      <c r="J31" s="167">
        <v>0.62</v>
      </c>
      <c r="K31" s="167">
        <v>0.62</v>
      </c>
      <c r="L31" s="167">
        <v>0.62</v>
      </c>
      <c r="M31" s="167">
        <v>0.62</v>
      </c>
    </row>
    <row r="32" spans="2:14" x14ac:dyDescent="0.2">
      <c r="B32" t="s">
        <v>49</v>
      </c>
      <c r="C32" s="2"/>
      <c r="D32" s="2">
        <f>+D8/D6</f>
        <v>0.18691588785046728</v>
      </c>
      <c r="E32" s="2">
        <f t="shared" ref="E32:G32" si="24">+E8/E6</f>
        <v>0.18421052631578946</v>
      </c>
      <c r="F32" s="2">
        <f t="shared" si="24"/>
        <v>0.18181818181818182</v>
      </c>
      <c r="G32" s="2">
        <f t="shared" si="24"/>
        <v>0.1875</v>
      </c>
      <c r="H32" s="167">
        <v>0.16</v>
      </c>
      <c r="I32" s="167">
        <v>0.16</v>
      </c>
      <c r="J32" s="167">
        <v>0.16</v>
      </c>
      <c r="K32" s="167">
        <v>0.16</v>
      </c>
      <c r="L32" s="167">
        <v>0.16</v>
      </c>
      <c r="M32" s="167">
        <v>0.16</v>
      </c>
    </row>
    <row r="33" spans="2:14" x14ac:dyDescent="0.2">
      <c r="B33" t="s">
        <v>50</v>
      </c>
      <c r="D33" s="2"/>
      <c r="E33" s="2"/>
      <c r="F33" s="2"/>
      <c r="G33" s="2"/>
      <c r="H33" s="47">
        <v>8.3000000000000004E-2</v>
      </c>
      <c r="I33" s="47">
        <v>8.3000000000000004E-2</v>
      </c>
      <c r="J33" s="47">
        <v>8.3000000000000004E-2</v>
      </c>
      <c r="K33" s="47">
        <v>8.3000000000000004E-2</v>
      </c>
      <c r="L33" s="47">
        <v>8.3000000000000004E-2</v>
      </c>
      <c r="M33" s="47">
        <v>8.3000000000000004E-2</v>
      </c>
    </row>
    <row r="34" spans="2:14" x14ac:dyDescent="0.2">
      <c r="B34" t="s">
        <v>51</v>
      </c>
      <c r="D34" s="68">
        <f>+C21/D6</f>
        <v>0.88785046728971961</v>
      </c>
      <c r="E34" s="68">
        <f t="shared" ref="E34:G34" si="25">+D21/E6</f>
        <v>0.8771929824561403</v>
      </c>
      <c r="F34" s="68">
        <f t="shared" si="25"/>
        <v>0.90909090909090906</v>
      </c>
      <c r="G34" s="68">
        <f t="shared" si="25"/>
        <v>0.8984375</v>
      </c>
      <c r="H34" s="3"/>
      <c r="I34" s="44">
        <v>0.8</v>
      </c>
      <c r="J34" s="44">
        <v>0.8</v>
      </c>
      <c r="K34" s="44">
        <v>0.8</v>
      </c>
      <c r="L34" s="44">
        <v>0.8</v>
      </c>
      <c r="M34" s="44">
        <v>0.8</v>
      </c>
      <c r="N34" s="44">
        <v>0.8</v>
      </c>
    </row>
    <row r="35" spans="2:14" x14ac:dyDescent="0.2">
      <c r="B35" t="s">
        <v>52</v>
      </c>
      <c r="C35" s="68"/>
      <c r="D35" s="68"/>
      <c r="E35" s="68"/>
      <c r="F35" s="68"/>
      <c r="G35" s="68"/>
      <c r="H35" s="44">
        <v>7</v>
      </c>
      <c r="I35" s="44">
        <v>7</v>
      </c>
      <c r="J35" s="44">
        <v>7</v>
      </c>
      <c r="K35" s="44">
        <v>7</v>
      </c>
      <c r="L35" s="44">
        <v>7</v>
      </c>
      <c r="M35" s="44">
        <v>7</v>
      </c>
    </row>
    <row r="36" spans="2:14" x14ac:dyDescent="0.2">
      <c r="B36" t="s">
        <v>53</v>
      </c>
      <c r="C36" s="68"/>
      <c r="D36" s="68"/>
      <c r="E36" s="68"/>
      <c r="F36" s="68"/>
      <c r="G36" s="68"/>
      <c r="H36" s="44">
        <v>2</v>
      </c>
      <c r="I36" s="44">
        <v>5</v>
      </c>
      <c r="J36" s="44">
        <v>10</v>
      </c>
      <c r="K36" s="44">
        <v>10</v>
      </c>
      <c r="L36" s="44">
        <v>10</v>
      </c>
      <c r="M36" s="44">
        <v>10</v>
      </c>
    </row>
    <row r="37" spans="2:14" x14ac:dyDescent="0.2">
      <c r="B37" t="s">
        <v>54</v>
      </c>
      <c r="C37" s="2"/>
      <c r="D37" s="2"/>
      <c r="E37" s="2"/>
      <c r="F37" s="2"/>
      <c r="G37" s="2"/>
      <c r="H37" s="46">
        <v>0.04</v>
      </c>
      <c r="I37" s="46">
        <v>0.04</v>
      </c>
      <c r="J37" s="46">
        <v>0.04</v>
      </c>
      <c r="K37" s="46">
        <v>0.04</v>
      </c>
      <c r="L37" s="46">
        <v>0.04</v>
      </c>
      <c r="M37" s="46">
        <v>0.04</v>
      </c>
    </row>
    <row r="38" spans="2:14" x14ac:dyDescent="0.2">
      <c r="B38" t="s">
        <v>55</v>
      </c>
      <c r="C38" s="68"/>
      <c r="D38" s="68"/>
      <c r="E38" s="68"/>
      <c r="F38" s="68"/>
      <c r="G38" s="68"/>
      <c r="H38" s="44">
        <v>16</v>
      </c>
      <c r="I38" s="44">
        <v>17</v>
      </c>
      <c r="J38" s="44">
        <v>18</v>
      </c>
      <c r="K38" s="44">
        <v>19</v>
      </c>
      <c r="L38" s="44">
        <v>20</v>
      </c>
      <c r="M38" s="44">
        <v>20</v>
      </c>
    </row>
    <row r="39" spans="2:14" x14ac:dyDescent="0.2">
      <c r="B39" t="s">
        <v>56</v>
      </c>
      <c r="C39" s="2"/>
      <c r="D39" s="2"/>
      <c r="E39" s="2"/>
      <c r="F39" s="2"/>
      <c r="G39" s="2"/>
      <c r="H39" s="46">
        <v>0</v>
      </c>
      <c r="I39" s="46">
        <v>0.05</v>
      </c>
      <c r="J39" s="46">
        <v>0.1</v>
      </c>
      <c r="K39" s="46">
        <v>0.15</v>
      </c>
      <c r="L39" s="46">
        <v>0.2</v>
      </c>
      <c r="M39" s="46">
        <v>0.2</v>
      </c>
    </row>
    <row r="40" spans="2:14" x14ac:dyDescent="0.2">
      <c r="B40" t="s">
        <v>57</v>
      </c>
      <c r="C40" s="3"/>
      <c r="D40" s="3"/>
      <c r="E40" s="3"/>
      <c r="F40" s="3"/>
      <c r="G40" s="3"/>
      <c r="H40" s="3"/>
      <c r="I40" s="47">
        <v>7.0000000000000007E-2</v>
      </c>
      <c r="J40" s="47">
        <v>7.0000000000000007E-2</v>
      </c>
      <c r="K40" s="47">
        <v>7.0000000000000007E-2</v>
      </c>
      <c r="L40" s="47">
        <v>7.0000000000000007E-2</v>
      </c>
      <c r="M40" s="47">
        <v>7.0000000000000007E-2</v>
      </c>
    </row>
    <row r="41" spans="2:14" x14ac:dyDescent="0.2">
      <c r="B41" t="s">
        <v>58</v>
      </c>
      <c r="C41" s="2"/>
      <c r="D41" s="2"/>
      <c r="E41" s="2"/>
      <c r="F41" s="2"/>
      <c r="G41" s="2"/>
      <c r="H41" s="47">
        <v>0.2</v>
      </c>
      <c r="I41" s="47">
        <v>0.2</v>
      </c>
      <c r="J41" s="47">
        <v>0.2</v>
      </c>
      <c r="K41" s="47">
        <v>0.2</v>
      </c>
      <c r="L41" s="47">
        <v>0.2</v>
      </c>
      <c r="M41" s="47">
        <v>0.2</v>
      </c>
    </row>
    <row r="44" spans="2:14" x14ac:dyDescent="0.2">
      <c r="B44" t="s">
        <v>59</v>
      </c>
      <c r="C44" s="68">
        <f>+C27+C28</f>
        <v>9745</v>
      </c>
      <c r="D44" s="68">
        <f t="shared" ref="D44:G44" si="26">+D27+D28</f>
        <v>10180</v>
      </c>
      <c r="E44" s="68">
        <f t="shared" si="26"/>
        <v>11235</v>
      </c>
      <c r="F44" s="68">
        <f t="shared" si="26"/>
        <v>11750</v>
      </c>
      <c r="G44" s="68">
        <f t="shared" si="26"/>
        <v>12275</v>
      </c>
      <c r="H44" s="68">
        <f>+H21+H22+H23+H24-H26</f>
        <v>13631.537777777776</v>
      </c>
      <c r="I44" s="68">
        <f t="shared" ref="I44:M44" si="27">+I21+I22+I23+I24-I26</f>
        <v>14848.750933333333</v>
      </c>
      <c r="J44" s="68">
        <f t="shared" si="27"/>
        <v>15968.397311999999</v>
      </c>
      <c r="K44" s="68">
        <f t="shared" si="27"/>
        <v>16743.007518719998</v>
      </c>
      <c r="L44" s="68">
        <f t="shared" si="27"/>
        <v>17546.028079103999</v>
      </c>
      <c r="M44" s="68">
        <f t="shared" si="27"/>
        <v>18423.329483059202</v>
      </c>
    </row>
    <row r="53" spans="2:13" x14ac:dyDescent="0.2">
      <c r="B53" t="s">
        <v>60</v>
      </c>
      <c r="D53" s="2">
        <f>+D15/D14</f>
        <v>0.546875</v>
      </c>
      <c r="E53" s="2">
        <f t="shared" ref="E53:M53" si="28">+E15/E14</f>
        <v>3.2110091743119268E-2</v>
      </c>
      <c r="F53" s="2">
        <f t="shared" si="28"/>
        <v>0.536036036036036</v>
      </c>
      <c r="G53" s="2">
        <f t="shared" si="28"/>
        <v>0.53947368421052633</v>
      </c>
      <c r="H53" s="2">
        <f t="shared" si="28"/>
        <v>0.24381367185951627</v>
      </c>
      <c r="I53" s="2">
        <f t="shared" si="28"/>
        <v>0.76564114686673168</v>
      </c>
      <c r="J53" s="2">
        <f t="shared" si="28"/>
        <v>0.87642024796858731</v>
      </c>
      <c r="K53" s="2">
        <f t="shared" si="28"/>
        <v>1</v>
      </c>
      <c r="L53" s="2">
        <f t="shared" si="28"/>
        <v>1</v>
      </c>
      <c r="M53" s="2">
        <f t="shared" si="28"/>
        <v>0.70265925650074801</v>
      </c>
    </row>
    <row r="54" spans="2:13" x14ac:dyDescent="0.2">
      <c r="B54" t="s">
        <v>61</v>
      </c>
      <c r="C54" s="2">
        <f>+C13/C12</f>
        <v>0.10362694300518134</v>
      </c>
      <c r="D54" s="2">
        <f>+D13/D12</f>
        <v>8.5714285714285715E-2</v>
      </c>
      <c r="E54" s="2">
        <f t="shared" ref="E54:M54" si="29">+E13/E12</f>
        <v>9.166666666666666E-2</v>
      </c>
      <c r="F54" s="2">
        <f t="shared" si="29"/>
        <v>8.2644628099173556E-2</v>
      </c>
      <c r="G54" s="2">
        <f t="shared" si="29"/>
        <v>7.3170731707317069E-2</v>
      </c>
      <c r="H54" s="2">
        <f t="shared" si="29"/>
        <v>0.2</v>
      </c>
      <c r="I54" s="2">
        <f t="shared" si="29"/>
        <v>0.2</v>
      </c>
      <c r="J54" s="2">
        <f t="shared" si="29"/>
        <v>0.2</v>
      </c>
      <c r="K54" s="2">
        <f t="shared" si="29"/>
        <v>0.2</v>
      </c>
      <c r="L54" s="2">
        <f t="shared" si="29"/>
        <v>0.2</v>
      </c>
      <c r="M54" s="2">
        <f t="shared" si="29"/>
        <v>0.19999999999999998</v>
      </c>
    </row>
    <row r="56" spans="2:13" x14ac:dyDescent="0.2">
      <c r="B56" s="68" t="str">
        <f>+B10</f>
        <v>Operational profit</v>
      </c>
      <c r="C56" s="68">
        <f t="shared" ref="C56:M56" si="30">+C10</f>
        <v>965</v>
      </c>
      <c r="D56" s="68">
        <f t="shared" si="30"/>
        <v>1050</v>
      </c>
      <c r="E56" s="68">
        <f t="shared" si="30"/>
        <v>1200</v>
      </c>
      <c r="F56" s="68">
        <f t="shared" si="30"/>
        <v>1210</v>
      </c>
      <c r="G56" s="68">
        <f t="shared" si="30"/>
        <v>1230</v>
      </c>
      <c r="H56" s="68">
        <f t="shared" si="30"/>
        <v>2242.3999999999987</v>
      </c>
      <c r="I56" s="68">
        <f t="shared" si="30"/>
        <v>2532.3110399999987</v>
      </c>
      <c r="J56" s="68">
        <f t="shared" si="30"/>
        <v>2734.8959231999988</v>
      </c>
      <c r="K56" s="68">
        <f t="shared" si="30"/>
        <v>2898.989678592</v>
      </c>
      <c r="L56" s="68">
        <f t="shared" si="30"/>
        <v>3043.9391625215994</v>
      </c>
      <c r="M56" s="68">
        <f t="shared" si="30"/>
        <v>3196.1361206476804</v>
      </c>
    </row>
    <row r="57" spans="2:13" x14ac:dyDescent="0.2">
      <c r="B57" t="s">
        <v>62</v>
      </c>
      <c r="D57" s="68">
        <f>+D56*D54</f>
        <v>90</v>
      </c>
      <c r="E57" s="68">
        <f t="shared" ref="E57:M57" si="31">+E56*E54</f>
        <v>109.99999999999999</v>
      </c>
      <c r="F57" s="68">
        <f t="shared" si="31"/>
        <v>100</v>
      </c>
      <c r="G57" s="68">
        <f t="shared" si="31"/>
        <v>90</v>
      </c>
      <c r="H57" s="68">
        <f t="shared" si="31"/>
        <v>448.47999999999979</v>
      </c>
      <c r="I57" s="68">
        <f t="shared" si="31"/>
        <v>506.46220799999975</v>
      </c>
      <c r="J57" s="68">
        <f t="shared" si="31"/>
        <v>546.97918463999974</v>
      </c>
      <c r="K57" s="68">
        <f t="shared" si="31"/>
        <v>579.79793571840003</v>
      </c>
      <c r="L57" s="68">
        <f t="shared" si="31"/>
        <v>608.78783250431991</v>
      </c>
      <c r="M57" s="68">
        <f t="shared" si="31"/>
        <v>639.22722412953601</v>
      </c>
    </row>
    <row r="58" spans="2:13" x14ac:dyDescent="0.2">
      <c r="B58" t="s">
        <v>63</v>
      </c>
      <c r="D58" s="68">
        <f>+D56-D57</f>
        <v>960</v>
      </c>
      <c r="E58" s="68">
        <f t="shared" ref="E58:M58" si="32">+E56-E57</f>
        <v>1090</v>
      </c>
      <c r="F58" s="68">
        <f t="shared" si="32"/>
        <v>1110</v>
      </c>
      <c r="G58" s="68">
        <f t="shared" si="32"/>
        <v>1140</v>
      </c>
      <c r="H58" s="68">
        <f t="shared" si="32"/>
        <v>1793.9199999999989</v>
      </c>
      <c r="I58" s="68">
        <f t="shared" si="32"/>
        <v>2025.848831999999</v>
      </c>
      <c r="J58" s="68">
        <f t="shared" si="32"/>
        <v>2187.916738559999</v>
      </c>
      <c r="K58" s="68">
        <f t="shared" si="32"/>
        <v>2319.1917428736001</v>
      </c>
      <c r="L58" s="68">
        <f t="shared" si="32"/>
        <v>2435.1513300172796</v>
      </c>
      <c r="M58" s="68">
        <f t="shared" si="32"/>
        <v>2556.9088965181445</v>
      </c>
    </row>
    <row r="59" spans="2:13" x14ac:dyDescent="0.2">
      <c r="B59" s="68" t="str">
        <f>+B9</f>
        <v>D&amp;A</v>
      </c>
      <c r="C59" s="68">
        <f t="shared" ref="C59:M59" si="33">+C9</f>
        <v>735</v>
      </c>
      <c r="D59" s="68">
        <f t="shared" si="33"/>
        <v>750</v>
      </c>
      <c r="E59" s="68">
        <f t="shared" si="33"/>
        <v>800</v>
      </c>
      <c r="F59" s="68">
        <f t="shared" si="33"/>
        <v>890</v>
      </c>
      <c r="G59" s="68">
        <f t="shared" si="33"/>
        <v>970</v>
      </c>
      <c r="H59" s="68">
        <f t="shared" si="33"/>
        <v>996</v>
      </c>
      <c r="I59" s="68">
        <f t="shared" si="33"/>
        <v>1094.69696</v>
      </c>
      <c r="J59" s="68">
        <f t="shared" si="33"/>
        <v>1182.2727167999999</v>
      </c>
      <c r="K59" s="68">
        <f t="shared" si="33"/>
        <v>1253.2090798080001</v>
      </c>
      <c r="L59" s="68">
        <f t="shared" si="33"/>
        <v>1315.8695337984</v>
      </c>
      <c r="M59" s="68">
        <f t="shared" si="33"/>
        <v>1381.66301048832</v>
      </c>
    </row>
    <row r="60" spans="2:13" x14ac:dyDescent="0.2">
      <c r="B60" t="s">
        <v>64</v>
      </c>
      <c r="D60" s="68">
        <f>+D58+D59</f>
        <v>1710</v>
      </c>
      <c r="E60" s="68">
        <f t="shared" ref="E60:M60" si="34">+E58+E59</f>
        <v>1890</v>
      </c>
      <c r="F60" s="68">
        <f t="shared" si="34"/>
        <v>2000</v>
      </c>
      <c r="G60" s="68">
        <f t="shared" si="34"/>
        <v>2110</v>
      </c>
      <c r="H60" s="68">
        <f t="shared" si="34"/>
        <v>2789.9199999999992</v>
      </c>
      <c r="I60" s="68">
        <f t="shared" si="34"/>
        <v>3120.545791999999</v>
      </c>
      <c r="J60" s="68">
        <f t="shared" si="34"/>
        <v>3370.1894553599986</v>
      </c>
      <c r="K60" s="68">
        <f t="shared" si="34"/>
        <v>3572.4008226816004</v>
      </c>
      <c r="L60" s="68">
        <f t="shared" si="34"/>
        <v>3751.0208638156796</v>
      </c>
      <c r="M60" s="68">
        <f t="shared" si="34"/>
        <v>3938.5719070064642</v>
      </c>
    </row>
    <row r="61" spans="2:13" x14ac:dyDescent="0.2">
      <c r="B61" s="168" t="s">
        <v>65</v>
      </c>
      <c r="D61" s="68">
        <f>+C22-D22</f>
        <v>-15</v>
      </c>
      <c r="E61" s="68">
        <f t="shared" ref="E61:M61" si="35">+D22-E22</f>
        <v>-5</v>
      </c>
      <c r="F61" s="68">
        <f t="shared" si="35"/>
        <v>-5</v>
      </c>
      <c r="G61" s="68">
        <f t="shared" si="35"/>
        <v>-15</v>
      </c>
      <c r="H61" s="68">
        <f t="shared" si="35"/>
        <v>-22.457777777777778</v>
      </c>
      <c r="I61" s="68">
        <f t="shared" si="35"/>
        <v>-21.294933333333319</v>
      </c>
      <c r="J61" s="68">
        <f t="shared" si="35"/>
        <v>-15.900216888888906</v>
      </c>
      <c r="K61" s="68">
        <f t="shared" si="35"/>
        <v>-12.879175679999975</v>
      </c>
      <c r="L61" s="68">
        <f t="shared" si="35"/>
        <v>-11.376605183999999</v>
      </c>
      <c r="M61" s="68">
        <f t="shared" si="35"/>
        <v>-11.945435443199983</v>
      </c>
    </row>
    <row r="62" spans="2:13" x14ac:dyDescent="0.2">
      <c r="B62" s="168" t="s">
        <v>66</v>
      </c>
      <c r="D62" s="68">
        <f t="shared" ref="D62:M63" si="36">+C23-D23</f>
        <v>0</v>
      </c>
      <c r="E62" s="68">
        <f t="shared" si="36"/>
        <v>0</v>
      </c>
      <c r="F62" s="68">
        <f t="shared" si="36"/>
        <v>0</v>
      </c>
      <c r="G62" s="68">
        <f t="shared" si="36"/>
        <v>0</v>
      </c>
      <c r="H62" s="68">
        <f t="shared" si="36"/>
        <v>-81.777777777777771</v>
      </c>
      <c r="I62" s="68">
        <f t="shared" si="36"/>
        <v>-147.19999999999996</v>
      </c>
      <c r="J62" s="68">
        <f t="shared" si="36"/>
        <v>-265.61422222222222</v>
      </c>
      <c r="K62" s="68">
        <f t="shared" si="36"/>
        <v>-29.675519999999949</v>
      </c>
      <c r="L62" s="68">
        <f t="shared" si="36"/>
        <v>-26.213376000000039</v>
      </c>
      <c r="M62" s="68">
        <f t="shared" si="36"/>
        <v>-27.524044799999956</v>
      </c>
    </row>
    <row r="63" spans="2:13" x14ac:dyDescent="0.2">
      <c r="B63" s="168" t="s">
        <v>67</v>
      </c>
      <c r="D63" s="68">
        <f t="shared" si="36"/>
        <v>30</v>
      </c>
      <c r="E63" s="68">
        <f t="shared" si="36"/>
        <v>-70</v>
      </c>
      <c r="F63" s="68">
        <f t="shared" si="36"/>
        <v>-30</v>
      </c>
      <c r="G63" s="68">
        <f t="shared" si="36"/>
        <v>-20</v>
      </c>
      <c r="H63" s="68">
        <f t="shared" si="36"/>
        <v>-68.799999999999955</v>
      </c>
      <c r="I63" s="68">
        <f t="shared" si="36"/>
        <v>-70.655999999999949</v>
      </c>
      <c r="J63" s="68">
        <f t="shared" si="36"/>
        <v>-52.75648000000001</v>
      </c>
      <c r="K63" s="68">
        <f t="shared" si="36"/>
        <v>-42.732748799999968</v>
      </c>
      <c r="L63" s="68">
        <f t="shared" si="36"/>
        <v>-37.747261439999988</v>
      </c>
      <c r="M63" s="68">
        <f t="shared" si="36"/>
        <v>-39.634624512000073</v>
      </c>
    </row>
    <row r="64" spans="2:13" x14ac:dyDescent="0.2">
      <c r="B64" s="168" t="s">
        <v>68</v>
      </c>
      <c r="D64" s="68">
        <f>+D26-C26</f>
        <v>50</v>
      </c>
      <c r="E64" s="68">
        <f t="shared" ref="E64:M64" si="37">+E26-D26</f>
        <v>20</v>
      </c>
      <c r="F64" s="68">
        <f t="shared" si="37"/>
        <v>20</v>
      </c>
      <c r="G64" s="68">
        <f t="shared" si="37"/>
        <v>10</v>
      </c>
      <c r="H64" s="68">
        <f t="shared" si="37"/>
        <v>5.6177777777778033</v>
      </c>
      <c r="I64" s="68">
        <f t="shared" si="37"/>
        <v>77.067377777777722</v>
      </c>
      <c r="J64" s="68">
        <f t="shared" si="37"/>
        <v>69.279516444444425</v>
      </c>
      <c r="K64" s="68">
        <f t="shared" si="37"/>
        <v>65.622466560000021</v>
      </c>
      <c r="L64" s="68">
        <f t="shared" si="37"/>
        <v>65.009172479999961</v>
      </c>
      <c r="M64" s="68">
        <f t="shared" si="37"/>
        <v>34.129815551999855</v>
      </c>
    </row>
    <row r="65" spans="2:13" x14ac:dyDescent="0.2">
      <c r="B65" s="168" t="s">
        <v>69</v>
      </c>
      <c r="D65" s="68">
        <f>SUM(D60:D64)</f>
        <v>1775</v>
      </c>
      <c r="E65" s="68">
        <f t="shared" ref="E65:M65" si="38">SUM(E60:E64)</f>
        <v>1835</v>
      </c>
      <c r="F65" s="68">
        <f t="shared" si="38"/>
        <v>1985</v>
      </c>
      <c r="G65" s="68">
        <f t="shared" si="38"/>
        <v>2085</v>
      </c>
      <c r="H65" s="68">
        <f t="shared" si="38"/>
        <v>2622.5022222222219</v>
      </c>
      <c r="I65" s="68">
        <f t="shared" si="38"/>
        <v>2958.462236444444</v>
      </c>
      <c r="J65" s="68">
        <f t="shared" si="38"/>
        <v>3105.1980526933321</v>
      </c>
      <c r="K65" s="68">
        <f t="shared" si="38"/>
        <v>3552.7358447616007</v>
      </c>
      <c r="L65" s="68">
        <f t="shared" si="38"/>
        <v>3740.6927936716797</v>
      </c>
      <c r="M65" s="68">
        <f t="shared" si="38"/>
        <v>3893.5976178032643</v>
      </c>
    </row>
    <row r="68" spans="2:13" x14ac:dyDescent="0.2">
      <c r="B68" s="169" t="s">
        <v>70</v>
      </c>
      <c r="D68" s="68">
        <f>-D59</f>
        <v>-750</v>
      </c>
      <c r="E68" s="68">
        <f t="shared" ref="E68:M68" si="39">-E59</f>
        <v>-800</v>
      </c>
      <c r="F68" s="68">
        <f t="shared" si="39"/>
        <v>-890</v>
      </c>
      <c r="G68" s="68">
        <f t="shared" si="39"/>
        <v>-970</v>
      </c>
      <c r="H68" s="68">
        <f t="shared" si="39"/>
        <v>-996</v>
      </c>
      <c r="I68" s="68">
        <f t="shared" si="39"/>
        <v>-1094.69696</v>
      </c>
      <c r="J68" s="68">
        <f t="shared" si="39"/>
        <v>-1182.2727167999999</v>
      </c>
      <c r="K68" s="68">
        <f t="shared" si="39"/>
        <v>-1253.2090798080001</v>
      </c>
      <c r="L68" s="68">
        <f t="shared" si="39"/>
        <v>-1315.8695337984</v>
      </c>
      <c r="M68" s="68">
        <f t="shared" si="39"/>
        <v>-1381.66301048832</v>
      </c>
    </row>
    <row r="69" spans="2:13" x14ac:dyDescent="0.2">
      <c r="B69" t="s">
        <v>71</v>
      </c>
      <c r="D69" s="68">
        <f>+C21-D21</f>
        <v>-500</v>
      </c>
      <c r="E69" s="68">
        <f t="shared" ref="E69:M69" si="40">+D21-E21</f>
        <v>-1000</v>
      </c>
      <c r="F69" s="68">
        <f t="shared" si="40"/>
        <v>-500</v>
      </c>
      <c r="G69" s="68">
        <f t="shared" si="40"/>
        <v>-500</v>
      </c>
      <c r="H69" s="68">
        <f t="shared" si="40"/>
        <v>-1189.119999999999</v>
      </c>
      <c r="I69" s="68">
        <f t="shared" si="40"/>
        <v>-1055.1296000000002</v>
      </c>
      <c r="J69" s="68">
        <f t="shared" si="40"/>
        <v>-854.65497599999981</v>
      </c>
      <c r="K69" s="68">
        <f t="shared" si="40"/>
        <v>-754.94522879999931</v>
      </c>
      <c r="L69" s="68">
        <f t="shared" si="40"/>
        <v>-792.69249024000055</v>
      </c>
      <c r="M69" s="68">
        <f t="shared" si="40"/>
        <v>-832.32711475200267</v>
      </c>
    </row>
    <row r="70" spans="2:13" x14ac:dyDescent="0.2">
      <c r="B70" t="s">
        <v>72</v>
      </c>
    </row>
    <row r="71" spans="2:13" x14ac:dyDescent="0.2">
      <c r="B71" t="s">
        <v>73</v>
      </c>
    </row>
    <row r="72" spans="2:13" x14ac:dyDescent="0.2">
      <c r="B72" t="s">
        <v>74</v>
      </c>
      <c r="D72" s="68">
        <f>+D68+D69+D70-D71</f>
        <v>-1250</v>
      </c>
      <c r="E72" s="68">
        <f t="shared" ref="E72:M72" si="41">+E68+E69+E70-E71</f>
        <v>-1800</v>
      </c>
      <c r="F72" s="68">
        <f t="shared" si="41"/>
        <v>-1390</v>
      </c>
      <c r="G72" s="68">
        <f t="shared" si="41"/>
        <v>-1470</v>
      </c>
      <c r="H72" s="68">
        <f t="shared" si="41"/>
        <v>-2185.119999999999</v>
      </c>
      <c r="I72" s="68">
        <f t="shared" si="41"/>
        <v>-2149.8265600000004</v>
      </c>
      <c r="J72" s="68">
        <f t="shared" si="41"/>
        <v>-2036.9276927999997</v>
      </c>
      <c r="K72" s="68">
        <f t="shared" si="41"/>
        <v>-2008.1543086079994</v>
      </c>
      <c r="L72" s="68">
        <f t="shared" si="41"/>
        <v>-2108.5620240384005</v>
      </c>
      <c r="M72" s="68">
        <f t="shared" si="41"/>
        <v>-2213.9901252403224</v>
      </c>
    </row>
    <row r="74" spans="2:13" x14ac:dyDescent="0.2">
      <c r="B74" s="65" t="s">
        <v>75</v>
      </c>
      <c r="C74" s="65"/>
      <c r="D74" s="159">
        <f>+D65+D72</f>
        <v>525</v>
      </c>
      <c r="E74" s="159">
        <f t="shared" ref="E74:M74" si="42">+E65+E72</f>
        <v>35</v>
      </c>
      <c r="F74" s="159">
        <f t="shared" si="42"/>
        <v>595</v>
      </c>
      <c r="G74" s="159">
        <f t="shared" si="42"/>
        <v>615</v>
      </c>
      <c r="H74" s="159">
        <f t="shared" si="42"/>
        <v>437.38222222222294</v>
      </c>
      <c r="I74" s="159">
        <f t="shared" si="42"/>
        <v>808.63567644444356</v>
      </c>
      <c r="J74" s="159">
        <f t="shared" si="42"/>
        <v>1068.2703598933324</v>
      </c>
      <c r="K74" s="159">
        <f t="shared" si="42"/>
        <v>1544.5815361536013</v>
      </c>
      <c r="L74" s="159">
        <f t="shared" si="42"/>
        <v>1632.1307696332792</v>
      </c>
      <c r="M74" s="159">
        <f t="shared" si="42"/>
        <v>1679.6074925629418</v>
      </c>
    </row>
    <row r="76" spans="2:13" x14ac:dyDescent="0.2">
      <c r="B76" s="68" t="str">
        <f>+B11</f>
        <v>Interest</v>
      </c>
      <c r="C76" s="68"/>
      <c r="D76" s="68">
        <f>-D11</f>
        <v>0</v>
      </c>
      <c r="E76" s="68">
        <f t="shared" ref="E76:M76" si="43">-E11</f>
        <v>0</v>
      </c>
      <c r="F76" s="68">
        <f t="shared" si="43"/>
        <v>0</v>
      </c>
      <c r="G76" s="68">
        <f t="shared" si="43"/>
        <v>0</v>
      </c>
      <c r="H76" s="68">
        <f t="shared" si="43"/>
        <v>0</v>
      </c>
      <c r="I76" s="68">
        <f t="shared" si="43"/>
        <v>0</v>
      </c>
      <c r="J76" s="68">
        <f t="shared" si="43"/>
        <v>-51.970628266666672</v>
      </c>
      <c r="K76" s="68">
        <f t="shared" si="43"/>
        <v>-111.77878118400001</v>
      </c>
      <c r="L76" s="68">
        <f t="shared" si="43"/>
        <v>-175.80157894655997</v>
      </c>
      <c r="M76" s="68">
        <f t="shared" si="43"/>
        <v>-245.64439310745601</v>
      </c>
    </row>
    <row r="77" spans="2:13" x14ac:dyDescent="0.2">
      <c r="B77" t="s">
        <v>76</v>
      </c>
      <c r="D77" s="68">
        <f>-D76*D54</f>
        <v>0</v>
      </c>
      <c r="E77" s="68">
        <f t="shared" ref="E77:M77" si="44">-E76*E54</f>
        <v>0</v>
      </c>
      <c r="F77" s="68">
        <f t="shared" si="44"/>
        <v>0</v>
      </c>
      <c r="G77" s="68">
        <f t="shared" si="44"/>
        <v>0</v>
      </c>
      <c r="H77" s="68">
        <f t="shared" si="44"/>
        <v>0</v>
      </c>
      <c r="I77" s="68">
        <f t="shared" si="44"/>
        <v>0</v>
      </c>
      <c r="J77" s="68">
        <f t="shared" si="44"/>
        <v>10.394125653333335</v>
      </c>
      <c r="K77" s="68">
        <f t="shared" si="44"/>
        <v>22.355756236800005</v>
      </c>
      <c r="L77" s="68">
        <f t="shared" si="44"/>
        <v>35.160315789311994</v>
      </c>
      <c r="M77" s="68">
        <f t="shared" si="44"/>
        <v>49.128878621491197</v>
      </c>
    </row>
    <row r="78" spans="2:13" x14ac:dyDescent="0.2">
      <c r="B78" t="s">
        <v>77</v>
      </c>
      <c r="D78" s="68">
        <f>+D27-C27</f>
        <v>0</v>
      </c>
      <c r="E78" s="68">
        <f t="shared" ref="E78:M78" si="45">+E27-D27</f>
        <v>0</v>
      </c>
      <c r="F78" s="68">
        <f t="shared" si="45"/>
        <v>0</v>
      </c>
      <c r="G78" s="68">
        <f t="shared" si="45"/>
        <v>0</v>
      </c>
      <c r="H78" s="68">
        <f t="shared" si="45"/>
        <v>0</v>
      </c>
      <c r="I78" s="68">
        <f t="shared" si="45"/>
        <v>742.43754666666666</v>
      </c>
      <c r="J78" s="68">
        <f t="shared" si="45"/>
        <v>854.4021845333333</v>
      </c>
      <c r="K78" s="68">
        <f t="shared" si="45"/>
        <v>914.6113966079995</v>
      </c>
      <c r="L78" s="68">
        <f t="shared" si="45"/>
        <v>997.75448801280027</v>
      </c>
      <c r="M78" s="68">
        <f t="shared" si="45"/>
        <v>175.46028079104099</v>
      </c>
    </row>
    <row r="80" spans="2:13" x14ac:dyDescent="0.2">
      <c r="B80" s="65" t="s">
        <v>78</v>
      </c>
      <c r="C80" s="65"/>
      <c r="D80" s="159">
        <f>+D74+D76+D77+D78</f>
        <v>525</v>
      </c>
      <c r="E80" s="159">
        <f t="shared" ref="E80:M80" si="46">+E74+E76+E77+E78</f>
        <v>35</v>
      </c>
      <c r="F80" s="159">
        <f t="shared" si="46"/>
        <v>595</v>
      </c>
      <c r="G80" s="159">
        <f t="shared" si="46"/>
        <v>615</v>
      </c>
      <c r="H80" s="159">
        <f t="shared" si="46"/>
        <v>437.38222222222294</v>
      </c>
      <c r="I80" s="159">
        <f t="shared" si="46"/>
        <v>1551.0732231111101</v>
      </c>
      <c r="J80" s="159">
        <f t="shared" si="46"/>
        <v>1881.0960418133322</v>
      </c>
      <c r="K80" s="159">
        <f t="shared" si="46"/>
        <v>2369.7699078144005</v>
      </c>
      <c r="L80" s="159">
        <f t="shared" si="46"/>
        <v>2489.2439944888315</v>
      </c>
      <c r="M80" s="159">
        <f t="shared" si="46"/>
        <v>1658.552258868018</v>
      </c>
    </row>
    <row r="81" spans="2:13" x14ac:dyDescent="0.2">
      <c r="B81" t="str">
        <f>+B15</f>
        <v>Dividend</v>
      </c>
      <c r="D81" s="68">
        <f>-D15</f>
        <v>-525</v>
      </c>
      <c r="E81" s="68">
        <f t="shared" ref="E81:M81" si="47">-E15</f>
        <v>-35</v>
      </c>
      <c r="F81" s="68">
        <f t="shared" si="47"/>
        <v>-595</v>
      </c>
      <c r="G81" s="68">
        <f t="shared" si="47"/>
        <v>-615</v>
      </c>
      <c r="H81" s="68">
        <f t="shared" si="47"/>
        <v>-437.38222222222316</v>
      </c>
      <c r="I81" s="68">
        <f t="shared" si="47"/>
        <v>-1551.0732231111081</v>
      </c>
      <c r="J81" s="68">
        <f t="shared" si="47"/>
        <v>-1881.0960418133332</v>
      </c>
      <c r="K81" s="68">
        <f t="shared" si="47"/>
        <v>-2229.7687179264003</v>
      </c>
      <c r="L81" s="68">
        <f t="shared" si="47"/>
        <v>-2294.5100668600317</v>
      </c>
      <c r="M81" s="68">
        <f t="shared" si="47"/>
        <v>-1658.5522588680174</v>
      </c>
    </row>
    <row r="82" spans="2:13" x14ac:dyDescent="0.2">
      <c r="B82" t="s">
        <v>79</v>
      </c>
      <c r="D82" s="68">
        <f>+D28-C28-D16</f>
        <v>0</v>
      </c>
      <c r="E82" s="68">
        <f t="shared" ref="E82:M82" si="48">+E28-D28-E16</f>
        <v>0</v>
      </c>
      <c r="F82" s="68">
        <f t="shared" si="48"/>
        <v>0</v>
      </c>
      <c r="G82" s="68">
        <f t="shared" si="48"/>
        <v>0</v>
      </c>
      <c r="H82" s="68">
        <f t="shared" si="48"/>
        <v>0</v>
      </c>
      <c r="I82" s="68">
        <f t="shared" si="48"/>
        <v>0</v>
      </c>
      <c r="J82" s="68">
        <f t="shared" si="48"/>
        <v>0</v>
      </c>
      <c r="K82" s="68">
        <f t="shared" si="48"/>
        <v>-140.00118988800023</v>
      </c>
      <c r="L82" s="68">
        <f t="shared" si="48"/>
        <v>-194.7339276288003</v>
      </c>
      <c r="M82" s="68">
        <f t="shared" si="48"/>
        <v>0</v>
      </c>
    </row>
    <row r="84" spans="2:13" x14ac:dyDescent="0.2">
      <c r="B84" t="s">
        <v>80</v>
      </c>
      <c r="D84" s="68">
        <f>SUM(D80:D83)</f>
        <v>0</v>
      </c>
      <c r="E84" s="68">
        <f t="shared" ref="E84:M84" si="49">SUM(E80:E83)</f>
        <v>0</v>
      </c>
      <c r="F84" s="68">
        <f t="shared" si="49"/>
        <v>0</v>
      </c>
      <c r="G84" s="68">
        <f t="shared" si="49"/>
        <v>0</v>
      </c>
      <c r="H84" s="68">
        <f t="shared" si="49"/>
        <v>-2.2737367544323206E-13</v>
      </c>
      <c r="I84" s="68">
        <f t="shared" si="49"/>
        <v>2.0463630789890885E-12</v>
      </c>
      <c r="J84" s="68">
        <f t="shared" si="49"/>
        <v>-9.0949470177292824E-13</v>
      </c>
      <c r="K84" s="68">
        <f t="shared" si="49"/>
        <v>0</v>
      </c>
      <c r="L84" s="68">
        <f t="shared" si="49"/>
        <v>-4.5474735088646412E-13</v>
      </c>
      <c r="M84" s="68">
        <f t="shared" si="49"/>
        <v>6.8212102632969618E-13</v>
      </c>
    </row>
    <row r="106" spans="2:13" x14ac:dyDescent="0.2">
      <c r="B106" s="68" t="str">
        <f>+B10</f>
        <v>Operational profit</v>
      </c>
      <c r="C106" s="68"/>
      <c r="D106" s="68">
        <f t="shared" ref="D106:M106" si="50">+D10</f>
        <v>1050</v>
      </c>
      <c r="E106" s="68">
        <f t="shared" si="50"/>
        <v>1200</v>
      </c>
      <c r="F106" s="68">
        <f t="shared" si="50"/>
        <v>1210</v>
      </c>
      <c r="G106" s="68">
        <f t="shared" si="50"/>
        <v>1230</v>
      </c>
      <c r="H106" s="68">
        <f t="shared" si="50"/>
        <v>2242.3999999999987</v>
      </c>
      <c r="I106" s="68">
        <f t="shared" si="50"/>
        <v>2532.3110399999987</v>
      </c>
      <c r="J106" s="68">
        <f t="shared" si="50"/>
        <v>2734.8959231999988</v>
      </c>
      <c r="K106" s="68">
        <f t="shared" si="50"/>
        <v>2898.989678592</v>
      </c>
      <c r="L106" s="68">
        <f t="shared" si="50"/>
        <v>3043.9391625215994</v>
      </c>
      <c r="M106" s="68">
        <f t="shared" si="50"/>
        <v>3196.1361206476804</v>
      </c>
    </row>
    <row r="107" spans="2:13" x14ac:dyDescent="0.2">
      <c r="B107" t="s">
        <v>81</v>
      </c>
      <c r="D107" s="68">
        <f>+D106*(1-D41)</f>
        <v>1050</v>
      </c>
      <c r="E107" s="68">
        <f t="shared" ref="E107:M107" si="51">+E106*(1-E41)</f>
        <v>1200</v>
      </c>
      <c r="F107" s="68">
        <f t="shared" si="51"/>
        <v>1210</v>
      </c>
      <c r="G107" s="68">
        <f t="shared" si="51"/>
        <v>1230</v>
      </c>
      <c r="H107" s="68">
        <f t="shared" si="51"/>
        <v>1793.9199999999992</v>
      </c>
      <c r="I107" s="68">
        <f t="shared" si="51"/>
        <v>2025.848831999999</v>
      </c>
      <c r="J107" s="68">
        <f t="shared" si="51"/>
        <v>2187.916738559999</v>
      </c>
      <c r="K107" s="68">
        <f t="shared" si="51"/>
        <v>2319.1917428736001</v>
      </c>
      <c r="L107" s="68">
        <f t="shared" si="51"/>
        <v>2435.1513300172796</v>
      </c>
      <c r="M107" s="68">
        <f t="shared" si="51"/>
        <v>2556.9088965181445</v>
      </c>
    </row>
    <row r="108" spans="2:13" x14ac:dyDescent="0.2">
      <c r="B108" t="s">
        <v>30</v>
      </c>
      <c r="D108" s="68">
        <f>+D9</f>
        <v>750</v>
      </c>
      <c r="E108" s="68">
        <f t="shared" ref="E108:M108" si="52">+E9</f>
        <v>800</v>
      </c>
      <c r="F108" s="68">
        <f t="shared" si="52"/>
        <v>890</v>
      </c>
      <c r="G108" s="68">
        <f t="shared" si="52"/>
        <v>970</v>
      </c>
      <c r="H108" s="68">
        <f t="shared" si="52"/>
        <v>996</v>
      </c>
      <c r="I108" s="68">
        <f t="shared" si="52"/>
        <v>1094.69696</v>
      </c>
      <c r="J108" s="68">
        <f t="shared" si="52"/>
        <v>1182.2727167999999</v>
      </c>
      <c r="K108" s="68">
        <f t="shared" si="52"/>
        <v>1253.2090798080001</v>
      </c>
      <c r="L108" s="68">
        <f t="shared" si="52"/>
        <v>1315.8695337984</v>
      </c>
      <c r="M108" s="68">
        <f t="shared" si="52"/>
        <v>1381.66301048832</v>
      </c>
    </row>
    <row r="109" spans="2:13" x14ac:dyDescent="0.2">
      <c r="B109" t="s">
        <v>64</v>
      </c>
      <c r="D109" s="68">
        <f>+D107+D108</f>
        <v>1800</v>
      </c>
      <c r="E109" s="68">
        <f t="shared" ref="E109:M109" si="53">+E107+E108</f>
        <v>2000</v>
      </c>
      <c r="F109" s="68">
        <f t="shared" si="53"/>
        <v>2100</v>
      </c>
      <c r="G109" s="68">
        <f t="shared" si="53"/>
        <v>2200</v>
      </c>
      <c r="H109" s="68">
        <f t="shared" si="53"/>
        <v>2789.9199999999992</v>
      </c>
      <c r="I109" s="68">
        <f t="shared" si="53"/>
        <v>3120.545791999999</v>
      </c>
      <c r="J109" s="68">
        <f t="shared" si="53"/>
        <v>3370.1894553599986</v>
      </c>
      <c r="K109" s="68">
        <f t="shared" si="53"/>
        <v>3572.4008226816004</v>
      </c>
      <c r="L109" s="68">
        <f t="shared" si="53"/>
        <v>3751.0208638156796</v>
      </c>
      <c r="M109" s="68">
        <f t="shared" si="53"/>
        <v>3938.5719070064642</v>
      </c>
    </row>
    <row r="110" spans="2:13" x14ac:dyDescent="0.2">
      <c r="B110" t="s">
        <v>82</v>
      </c>
      <c r="D110" s="68">
        <f>+C22-D22</f>
        <v>-15</v>
      </c>
      <c r="E110" s="68">
        <f t="shared" ref="E110:M112" si="54">+D22-E22</f>
        <v>-5</v>
      </c>
      <c r="F110" s="68">
        <f t="shared" si="54"/>
        <v>-5</v>
      </c>
      <c r="G110" s="68">
        <f t="shared" si="54"/>
        <v>-15</v>
      </c>
      <c r="H110" s="68">
        <f t="shared" si="54"/>
        <v>-22.457777777777778</v>
      </c>
      <c r="I110" s="68">
        <f t="shared" si="54"/>
        <v>-21.294933333333319</v>
      </c>
      <c r="J110" s="68">
        <f t="shared" si="54"/>
        <v>-15.900216888888906</v>
      </c>
      <c r="K110" s="68">
        <f t="shared" si="54"/>
        <v>-12.879175679999975</v>
      </c>
      <c r="L110" s="68">
        <f t="shared" si="54"/>
        <v>-11.376605183999999</v>
      </c>
      <c r="M110" s="68">
        <f t="shared" si="54"/>
        <v>-11.945435443199983</v>
      </c>
    </row>
    <row r="111" spans="2:13" x14ac:dyDescent="0.2">
      <c r="B111" t="s">
        <v>83</v>
      </c>
      <c r="D111" s="68">
        <f>+C23-D23</f>
        <v>0</v>
      </c>
      <c r="E111" s="68">
        <f t="shared" si="54"/>
        <v>0</v>
      </c>
      <c r="F111" s="68">
        <f t="shared" si="54"/>
        <v>0</v>
      </c>
      <c r="G111" s="68">
        <f t="shared" si="54"/>
        <v>0</v>
      </c>
      <c r="H111" s="68">
        <f t="shared" si="54"/>
        <v>-81.777777777777771</v>
      </c>
      <c r="I111" s="68">
        <f t="shared" si="54"/>
        <v>-147.19999999999996</v>
      </c>
      <c r="J111" s="68">
        <f t="shared" si="54"/>
        <v>-265.61422222222222</v>
      </c>
      <c r="K111" s="68">
        <f t="shared" si="54"/>
        <v>-29.675519999999949</v>
      </c>
      <c r="L111" s="68">
        <f t="shared" si="54"/>
        <v>-26.213376000000039</v>
      </c>
      <c r="M111" s="68">
        <f t="shared" si="54"/>
        <v>-27.524044799999956</v>
      </c>
    </row>
    <row r="112" spans="2:13" x14ac:dyDescent="0.2">
      <c r="B112" t="s">
        <v>84</v>
      </c>
      <c r="D112" s="68">
        <f>+C24-D24</f>
        <v>30</v>
      </c>
      <c r="E112" s="68">
        <f t="shared" si="54"/>
        <v>-70</v>
      </c>
      <c r="F112" s="68">
        <f t="shared" si="54"/>
        <v>-30</v>
      </c>
      <c r="G112" s="68">
        <f t="shared" si="54"/>
        <v>-20</v>
      </c>
      <c r="H112" s="68">
        <f t="shared" si="54"/>
        <v>-68.799999999999955</v>
      </c>
      <c r="I112" s="68">
        <f t="shared" si="54"/>
        <v>-70.655999999999949</v>
      </c>
      <c r="J112" s="68">
        <f t="shared" si="54"/>
        <v>-52.75648000000001</v>
      </c>
      <c r="K112" s="68">
        <f t="shared" si="54"/>
        <v>-42.732748799999968</v>
      </c>
      <c r="L112" s="68">
        <f t="shared" si="54"/>
        <v>-37.747261439999988</v>
      </c>
      <c r="M112" s="68">
        <f t="shared" si="54"/>
        <v>-39.634624512000073</v>
      </c>
    </row>
    <row r="113" spans="2:13" x14ac:dyDescent="0.2">
      <c r="B113" t="s">
        <v>85</v>
      </c>
      <c r="D113" s="68">
        <f>+D26-C26</f>
        <v>50</v>
      </c>
      <c r="E113" s="68">
        <f t="shared" ref="E113:M113" si="55">+E26-D26</f>
        <v>20</v>
      </c>
      <c r="F113" s="68">
        <f t="shared" si="55"/>
        <v>20</v>
      </c>
      <c r="G113" s="68">
        <f t="shared" si="55"/>
        <v>10</v>
      </c>
      <c r="H113" s="68">
        <f t="shared" si="55"/>
        <v>5.6177777777778033</v>
      </c>
      <c r="I113" s="68">
        <f t="shared" si="55"/>
        <v>77.067377777777722</v>
      </c>
      <c r="J113" s="68">
        <f t="shared" si="55"/>
        <v>69.279516444444425</v>
      </c>
      <c r="K113" s="68">
        <f t="shared" si="55"/>
        <v>65.622466560000021</v>
      </c>
      <c r="L113" s="68">
        <f t="shared" si="55"/>
        <v>65.009172479999961</v>
      </c>
      <c r="M113" s="68">
        <f t="shared" si="55"/>
        <v>34.129815551999855</v>
      </c>
    </row>
    <row r="114" spans="2:13" x14ac:dyDescent="0.2">
      <c r="B114" t="s">
        <v>86</v>
      </c>
      <c r="D114" s="68">
        <f>+D109+D110+D111+D112+D113</f>
        <v>1865</v>
      </c>
      <c r="E114" s="68">
        <f t="shared" ref="E114:M114" si="56">+E109+E110+E111+E112+E113</f>
        <v>1945</v>
      </c>
      <c r="F114" s="68">
        <f t="shared" si="56"/>
        <v>2085</v>
      </c>
      <c r="G114" s="68">
        <f t="shared" si="56"/>
        <v>2175</v>
      </c>
      <c r="H114" s="68">
        <f t="shared" si="56"/>
        <v>2622.5022222222219</v>
      </c>
      <c r="I114" s="68">
        <f t="shared" si="56"/>
        <v>2958.462236444444</v>
      </c>
      <c r="J114" s="68">
        <f t="shared" si="56"/>
        <v>3105.1980526933321</v>
      </c>
      <c r="K114" s="68">
        <f t="shared" si="56"/>
        <v>3552.7358447616007</v>
      </c>
      <c r="L114" s="68">
        <f t="shared" si="56"/>
        <v>3740.6927936716797</v>
      </c>
      <c r="M114" s="68">
        <f t="shared" si="56"/>
        <v>3893.5976178032643</v>
      </c>
    </row>
    <row r="115" spans="2:13" x14ac:dyDescent="0.2">
      <c r="B115" t="s">
        <v>71</v>
      </c>
      <c r="D115" s="68">
        <f>+C21-D21</f>
        <v>-500</v>
      </c>
      <c r="E115" s="68">
        <f t="shared" ref="E115:M115" si="57">+D21-E21</f>
        <v>-1000</v>
      </c>
      <c r="F115" s="68">
        <f t="shared" si="57"/>
        <v>-500</v>
      </c>
      <c r="G115" s="68">
        <f t="shared" si="57"/>
        <v>-500</v>
      </c>
      <c r="H115" s="68">
        <f t="shared" si="57"/>
        <v>-1189.119999999999</v>
      </c>
      <c r="I115" s="68">
        <f t="shared" si="57"/>
        <v>-1055.1296000000002</v>
      </c>
      <c r="J115" s="68">
        <f t="shared" si="57"/>
        <v>-854.65497599999981</v>
      </c>
      <c r="K115" s="68">
        <f t="shared" si="57"/>
        <v>-754.94522879999931</v>
      </c>
      <c r="L115" s="68">
        <f t="shared" si="57"/>
        <v>-792.69249024000055</v>
      </c>
      <c r="M115" s="68">
        <f t="shared" si="57"/>
        <v>-832.32711475200267</v>
      </c>
    </row>
    <row r="116" spans="2:13" x14ac:dyDescent="0.2">
      <c r="B116" t="s">
        <v>30</v>
      </c>
      <c r="D116" s="68">
        <f>-D108</f>
        <v>-750</v>
      </c>
      <c r="E116" s="68">
        <f t="shared" ref="E116:M116" si="58">-E108</f>
        <v>-800</v>
      </c>
      <c r="F116" s="68">
        <f t="shared" si="58"/>
        <v>-890</v>
      </c>
      <c r="G116" s="68">
        <f t="shared" si="58"/>
        <v>-970</v>
      </c>
      <c r="H116" s="68">
        <f t="shared" si="58"/>
        <v>-996</v>
      </c>
      <c r="I116" s="68">
        <f t="shared" si="58"/>
        <v>-1094.69696</v>
      </c>
      <c r="J116" s="68">
        <f t="shared" si="58"/>
        <v>-1182.2727167999999</v>
      </c>
      <c r="K116" s="68">
        <f t="shared" si="58"/>
        <v>-1253.2090798080001</v>
      </c>
      <c r="L116" s="68">
        <f t="shared" si="58"/>
        <v>-1315.8695337984</v>
      </c>
      <c r="M116" s="68">
        <f t="shared" si="58"/>
        <v>-1381.66301048832</v>
      </c>
    </row>
    <row r="117" spans="2:13" x14ac:dyDescent="0.2">
      <c r="B117" t="s">
        <v>87</v>
      </c>
      <c r="D117" s="68">
        <f>+D115+D116</f>
        <v>-1250</v>
      </c>
      <c r="E117" s="68">
        <f t="shared" ref="E117:M117" si="59">+E115+E116</f>
        <v>-1800</v>
      </c>
      <c r="F117" s="68">
        <f t="shared" si="59"/>
        <v>-1390</v>
      </c>
      <c r="G117" s="68">
        <f t="shared" si="59"/>
        <v>-1470</v>
      </c>
      <c r="H117" s="68">
        <f t="shared" si="59"/>
        <v>-2185.119999999999</v>
      </c>
      <c r="I117" s="68">
        <f t="shared" si="59"/>
        <v>-2149.8265600000004</v>
      </c>
      <c r="J117" s="68">
        <f t="shared" si="59"/>
        <v>-2036.9276927999997</v>
      </c>
      <c r="K117" s="68">
        <f t="shared" si="59"/>
        <v>-2008.1543086079994</v>
      </c>
      <c r="L117" s="68">
        <f t="shared" si="59"/>
        <v>-2108.5620240384005</v>
      </c>
      <c r="M117" s="68">
        <f t="shared" si="59"/>
        <v>-2213.9901252403224</v>
      </c>
    </row>
    <row r="118" spans="2:13" x14ac:dyDescent="0.2">
      <c r="B118" t="s">
        <v>75</v>
      </c>
      <c r="D118" s="68">
        <f>+D117+D114</f>
        <v>615</v>
      </c>
      <c r="E118" s="68">
        <f t="shared" ref="E118:M118" si="60">+E117+E114</f>
        <v>145</v>
      </c>
      <c r="F118" s="68">
        <f t="shared" si="60"/>
        <v>695</v>
      </c>
      <c r="G118" s="68">
        <f t="shared" si="60"/>
        <v>705</v>
      </c>
      <c r="H118" s="68">
        <f t="shared" si="60"/>
        <v>437.38222222222294</v>
      </c>
      <c r="I118" s="68">
        <f t="shared" si="60"/>
        <v>808.63567644444356</v>
      </c>
      <c r="J118" s="68">
        <f t="shared" si="60"/>
        <v>1068.2703598933324</v>
      </c>
      <c r="K118" s="68">
        <f t="shared" si="60"/>
        <v>1544.5815361536013</v>
      </c>
      <c r="L118" s="68">
        <f t="shared" si="60"/>
        <v>1632.1307696332792</v>
      </c>
      <c r="M118" s="68">
        <f t="shared" si="60"/>
        <v>1679.6074925629418</v>
      </c>
    </row>
    <row r="119" spans="2:13" x14ac:dyDescent="0.2">
      <c r="B119" t="str">
        <f>+B11</f>
        <v>Interest</v>
      </c>
      <c r="D119" s="68">
        <f>-D11</f>
        <v>0</v>
      </c>
      <c r="E119" s="68">
        <f t="shared" ref="E119:M119" si="61">-E11</f>
        <v>0</v>
      </c>
      <c r="F119" s="68">
        <f t="shared" si="61"/>
        <v>0</v>
      </c>
      <c r="G119" s="68">
        <f t="shared" si="61"/>
        <v>0</v>
      </c>
      <c r="H119" s="68">
        <f t="shared" si="61"/>
        <v>0</v>
      </c>
      <c r="I119" s="68">
        <f t="shared" si="61"/>
        <v>0</v>
      </c>
      <c r="J119" s="68">
        <f t="shared" si="61"/>
        <v>-51.970628266666672</v>
      </c>
      <c r="K119" s="68">
        <f t="shared" si="61"/>
        <v>-111.77878118400001</v>
      </c>
      <c r="L119" s="68">
        <f t="shared" si="61"/>
        <v>-175.80157894655997</v>
      </c>
      <c r="M119" s="68">
        <f t="shared" si="61"/>
        <v>-245.64439310745601</v>
      </c>
    </row>
    <row r="120" spans="2:13" x14ac:dyDescent="0.2">
      <c r="B120" t="s">
        <v>88</v>
      </c>
      <c r="D120" s="68">
        <f>-D119*D41</f>
        <v>0</v>
      </c>
      <c r="E120" s="68">
        <f t="shared" ref="E120:M120" si="62">-E119*E41</f>
        <v>0</v>
      </c>
      <c r="F120" s="68">
        <f t="shared" si="62"/>
        <v>0</v>
      </c>
      <c r="G120" s="68">
        <f t="shared" si="62"/>
        <v>0</v>
      </c>
      <c r="H120" s="68">
        <f t="shared" si="62"/>
        <v>0</v>
      </c>
      <c r="I120" s="68">
        <f t="shared" si="62"/>
        <v>0</v>
      </c>
      <c r="J120" s="68">
        <f t="shared" si="62"/>
        <v>10.394125653333335</v>
      </c>
      <c r="K120" s="68">
        <f t="shared" si="62"/>
        <v>22.355756236800005</v>
      </c>
      <c r="L120" s="68">
        <f t="shared" si="62"/>
        <v>35.160315789311994</v>
      </c>
      <c r="M120" s="68">
        <f t="shared" si="62"/>
        <v>49.128878621491204</v>
      </c>
    </row>
    <row r="121" spans="2:13" x14ac:dyDescent="0.2">
      <c r="B121" t="s">
        <v>77</v>
      </c>
      <c r="D121" s="68">
        <f>+D27-C27</f>
        <v>0</v>
      </c>
      <c r="E121" s="68">
        <f t="shared" ref="E121:M121" si="63">+E27-D27</f>
        <v>0</v>
      </c>
      <c r="F121" s="68">
        <f t="shared" si="63"/>
        <v>0</v>
      </c>
      <c r="G121" s="68">
        <f t="shared" si="63"/>
        <v>0</v>
      </c>
      <c r="H121" s="68">
        <f t="shared" si="63"/>
        <v>0</v>
      </c>
      <c r="I121" s="68">
        <f t="shared" si="63"/>
        <v>742.43754666666666</v>
      </c>
      <c r="J121" s="68">
        <f t="shared" si="63"/>
        <v>854.4021845333333</v>
      </c>
      <c r="K121" s="68">
        <f t="shared" si="63"/>
        <v>914.6113966079995</v>
      </c>
      <c r="L121" s="68">
        <f t="shared" si="63"/>
        <v>997.75448801280027</v>
      </c>
      <c r="M121" s="68">
        <f t="shared" si="63"/>
        <v>175.46028079104099</v>
      </c>
    </row>
    <row r="122" spans="2:13" x14ac:dyDescent="0.2">
      <c r="B122" t="s">
        <v>78</v>
      </c>
      <c r="D122" s="68">
        <f>SUM(D118:D121)</f>
        <v>615</v>
      </c>
      <c r="E122" s="68">
        <f t="shared" ref="E122:M122" si="64">SUM(E118:E121)</f>
        <v>145</v>
      </c>
      <c r="F122" s="68">
        <f t="shared" si="64"/>
        <v>695</v>
      </c>
      <c r="G122" s="68">
        <f t="shared" si="64"/>
        <v>705</v>
      </c>
      <c r="H122" s="68">
        <f t="shared" si="64"/>
        <v>437.38222222222294</v>
      </c>
      <c r="I122" s="68">
        <f t="shared" si="64"/>
        <v>1551.0732231111101</v>
      </c>
      <c r="J122" s="68">
        <f t="shared" si="64"/>
        <v>1881.0960418133322</v>
      </c>
      <c r="K122" s="68">
        <f t="shared" si="64"/>
        <v>2369.7699078144005</v>
      </c>
      <c r="L122" s="68">
        <f t="shared" si="64"/>
        <v>2489.2439944888315</v>
      </c>
      <c r="M122" s="68">
        <f t="shared" si="64"/>
        <v>1658.552258868018</v>
      </c>
    </row>
    <row r="123" spans="2:13" x14ac:dyDescent="0.2">
      <c r="B123" t="str">
        <f>+B15</f>
        <v>Dividend</v>
      </c>
      <c r="D123" s="68">
        <f>-D15</f>
        <v>-525</v>
      </c>
      <c r="E123" s="68">
        <f t="shared" ref="E123:M123" si="65">-E15</f>
        <v>-35</v>
      </c>
      <c r="F123" s="68">
        <f t="shared" si="65"/>
        <v>-595</v>
      </c>
      <c r="G123" s="68">
        <f t="shared" si="65"/>
        <v>-615</v>
      </c>
      <c r="H123" s="68">
        <f t="shared" si="65"/>
        <v>-437.38222222222316</v>
      </c>
      <c r="I123" s="68">
        <f t="shared" si="65"/>
        <v>-1551.0732231111081</v>
      </c>
      <c r="J123" s="68">
        <f t="shared" si="65"/>
        <v>-1881.0960418133332</v>
      </c>
      <c r="K123" s="68">
        <f t="shared" si="65"/>
        <v>-2229.7687179264003</v>
      </c>
      <c r="L123" s="68">
        <f t="shared" si="65"/>
        <v>-2294.5100668600317</v>
      </c>
      <c r="M123" s="68">
        <f t="shared" si="65"/>
        <v>-1658.5522588680174</v>
      </c>
    </row>
    <row r="124" spans="2:13" x14ac:dyDescent="0.2">
      <c r="B124" t="s">
        <v>89</v>
      </c>
      <c r="D124" s="68">
        <f>+D28-C28-D16</f>
        <v>0</v>
      </c>
      <c r="E124" s="68">
        <f t="shared" ref="E124:M124" si="66">+E28-D28-E16</f>
        <v>0</v>
      </c>
      <c r="F124" s="68">
        <f t="shared" si="66"/>
        <v>0</v>
      </c>
      <c r="G124" s="68">
        <f t="shared" si="66"/>
        <v>0</v>
      </c>
      <c r="H124" s="68">
        <f t="shared" si="66"/>
        <v>0</v>
      </c>
      <c r="I124" s="68">
        <f t="shared" si="66"/>
        <v>0</v>
      </c>
      <c r="J124" s="68">
        <f t="shared" si="66"/>
        <v>0</v>
      </c>
      <c r="K124" s="68">
        <f t="shared" si="66"/>
        <v>-140.00118988800023</v>
      </c>
      <c r="L124" s="68">
        <f t="shared" si="66"/>
        <v>-194.7339276288003</v>
      </c>
      <c r="M124" s="68">
        <f t="shared" si="66"/>
        <v>0</v>
      </c>
    </row>
    <row r="125" spans="2:13" x14ac:dyDescent="0.2">
      <c r="B125" t="s">
        <v>80</v>
      </c>
      <c r="D125" s="68">
        <f>+D122+D123+D124</f>
        <v>90</v>
      </c>
      <c r="E125" s="68">
        <f t="shared" ref="E125:M125" si="67">+E122+E123+E124</f>
        <v>110</v>
      </c>
      <c r="F125" s="68">
        <f t="shared" si="67"/>
        <v>100</v>
      </c>
      <c r="G125" s="68">
        <f t="shared" si="67"/>
        <v>90</v>
      </c>
      <c r="H125" s="68">
        <f t="shared" si="67"/>
        <v>-2.2737367544323206E-13</v>
      </c>
      <c r="I125" s="68">
        <f t="shared" si="67"/>
        <v>2.0463630789890885E-12</v>
      </c>
      <c r="J125" s="68">
        <f t="shared" si="67"/>
        <v>-9.0949470177292824E-13</v>
      </c>
      <c r="K125" s="68">
        <f t="shared" si="67"/>
        <v>0</v>
      </c>
      <c r="L125" s="68">
        <f t="shared" si="67"/>
        <v>-4.5474735088646412E-13</v>
      </c>
      <c r="M125" s="68">
        <f t="shared" si="67"/>
        <v>6.8212102632969618E-13</v>
      </c>
    </row>
    <row r="128" spans="2:13" x14ac:dyDescent="0.2">
      <c r="B128" t="s">
        <v>90</v>
      </c>
      <c r="D128" s="68">
        <f>+C27+C28</f>
        <v>9745</v>
      </c>
      <c r="E128" s="68">
        <f t="shared" ref="E128:M128" si="68">+D27+D28</f>
        <v>10180</v>
      </c>
      <c r="F128" s="68">
        <f t="shared" si="68"/>
        <v>11235</v>
      </c>
      <c r="G128" s="68">
        <f t="shared" si="68"/>
        <v>11750</v>
      </c>
      <c r="H128" s="68">
        <f t="shared" si="68"/>
        <v>12275</v>
      </c>
      <c r="I128" s="68">
        <f t="shared" si="68"/>
        <v>13631.537777777776</v>
      </c>
      <c r="J128" s="68">
        <f t="shared" si="68"/>
        <v>14848.750933333333</v>
      </c>
      <c r="K128" s="68">
        <f t="shared" si="68"/>
        <v>15968.397311999999</v>
      </c>
      <c r="L128" s="68">
        <f t="shared" si="68"/>
        <v>16743.007518719998</v>
      </c>
      <c r="M128" s="68">
        <f t="shared" si="68"/>
        <v>17546.028079103999</v>
      </c>
    </row>
    <row r="129" spans="2:13" x14ac:dyDescent="0.2">
      <c r="B129" t="s">
        <v>91</v>
      </c>
      <c r="D129" s="68">
        <f>+E128-D128</f>
        <v>435</v>
      </c>
      <c r="E129" s="68">
        <f t="shared" ref="E129:M129" si="69">+F128-E128</f>
        <v>1055</v>
      </c>
      <c r="F129" s="68">
        <f t="shared" si="69"/>
        <v>515</v>
      </c>
      <c r="G129" s="68">
        <f t="shared" si="69"/>
        <v>525</v>
      </c>
      <c r="H129" s="68">
        <f t="shared" si="69"/>
        <v>1356.5377777777758</v>
      </c>
      <c r="I129" s="68">
        <f t="shared" si="69"/>
        <v>1217.213155555557</v>
      </c>
      <c r="J129" s="68">
        <f t="shared" si="69"/>
        <v>1119.6463786666664</v>
      </c>
      <c r="K129" s="68">
        <f t="shared" si="69"/>
        <v>774.61020671999904</v>
      </c>
      <c r="L129" s="68">
        <f t="shared" si="69"/>
        <v>803.02056038400042</v>
      </c>
      <c r="M129" s="68">
        <f t="shared" si="69"/>
        <v>-17546.028079103999</v>
      </c>
    </row>
    <row r="130" spans="2:13" x14ac:dyDescent="0.2">
      <c r="B130" t="s">
        <v>81</v>
      </c>
      <c r="D130" s="68">
        <f>+D107</f>
        <v>1050</v>
      </c>
      <c r="E130" s="68">
        <f t="shared" ref="E130:M130" si="70">+E107</f>
        <v>1200</v>
      </c>
      <c r="F130" s="68">
        <f t="shared" si="70"/>
        <v>1210</v>
      </c>
      <c r="G130" s="68">
        <f t="shared" si="70"/>
        <v>1230</v>
      </c>
      <c r="H130" s="68">
        <f t="shared" si="70"/>
        <v>1793.9199999999992</v>
      </c>
      <c r="I130" s="68">
        <f t="shared" si="70"/>
        <v>2025.848831999999</v>
      </c>
      <c r="J130" s="68">
        <f t="shared" si="70"/>
        <v>2187.916738559999</v>
      </c>
      <c r="K130" s="68">
        <f t="shared" si="70"/>
        <v>2319.1917428736001</v>
      </c>
      <c r="L130" s="68">
        <f t="shared" si="70"/>
        <v>2435.1513300172796</v>
      </c>
      <c r="M130" s="68">
        <f t="shared" si="70"/>
        <v>2556.9088965181445</v>
      </c>
    </row>
    <row r="131" spans="2:13" x14ac:dyDescent="0.2">
      <c r="B131" t="s">
        <v>75</v>
      </c>
      <c r="D131" s="68">
        <f>+D118</f>
        <v>615</v>
      </c>
      <c r="E131" s="68">
        <f t="shared" ref="E131:M131" si="71">+E118</f>
        <v>145</v>
      </c>
      <c r="F131" s="68">
        <f t="shared" si="71"/>
        <v>695</v>
      </c>
      <c r="G131" s="68">
        <f t="shared" si="71"/>
        <v>705</v>
      </c>
      <c r="H131" s="68">
        <f t="shared" si="71"/>
        <v>437.38222222222294</v>
      </c>
      <c r="I131" s="68">
        <f t="shared" si="71"/>
        <v>808.63567644444356</v>
      </c>
      <c r="J131" s="68">
        <f t="shared" si="71"/>
        <v>1068.2703598933324</v>
      </c>
      <c r="K131" s="68">
        <f t="shared" si="71"/>
        <v>1544.5815361536013</v>
      </c>
      <c r="L131" s="68">
        <f t="shared" si="71"/>
        <v>1632.1307696332792</v>
      </c>
      <c r="M131" s="68">
        <f t="shared" si="71"/>
        <v>1679.6074925629418</v>
      </c>
    </row>
    <row r="132" spans="2:13" x14ac:dyDescent="0.2">
      <c r="B132" t="s">
        <v>92</v>
      </c>
      <c r="D132" s="2">
        <f>+E107/D107-1</f>
        <v>0.14285714285714279</v>
      </c>
      <c r="E132" s="2">
        <f t="shared" ref="E132:L132" si="72">+F107/E107-1</f>
        <v>8.3333333333333037E-3</v>
      </c>
      <c r="F132" s="2">
        <f t="shared" si="72"/>
        <v>1.6528925619834656E-2</v>
      </c>
      <c r="G132" s="2">
        <f t="shared" si="72"/>
        <v>0.45847154471544638</v>
      </c>
      <c r="H132" s="2">
        <f t="shared" si="72"/>
        <v>0.12928605066000709</v>
      </c>
      <c r="I132" s="2">
        <f t="shared" si="72"/>
        <v>8.0000000000000071E-2</v>
      </c>
      <c r="J132" s="2">
        <f t="shared" si="72"/>
        <v>6.0000000000000497E-2</v>
      </c>
      <c r="K132" s="2">
        <f t="shared" si="72"/>
        <v>4.9999999999999822E-2</v>
      </c>
      <c r="L132" s="2">
        <f t="shared" si="72"/>
        <v>5.0000000000000266E-2</v>
      </c>
      <c r="M132" s="2"/>
    </row>
    <row r="133" spans="2:13" x14ac:dyDescent="0.2">
      <c r="B133" t="s">
        <v>93</v>
      </c>
      <c r="D133" s="2">
        <f>+D130/D128</f>
        <v>0.10774756285274499</v>
      </c>
      <c r="E133" s="2">
        <f t="shared" ref="E133:M133" si="73">+E130/E128</f>
        <v>0.11787819253438114</v>
      </c>
      <c r="F133" s="2">
        <f t="shared" si="73"/>
        <v>0.10769915442812639</v>
      </c>
      <c r="G133" s="2">
        <f t="shared" si="73"/>
        <v>0.10468085106382979</v>
      </c>
      <c r="H133" s="2">
        <f t="shared" si="73"/>
        <v>0.14614419551934821</v>
      </c>
      <c r="I133" s="2">
        <f t="shared" si="73"/>
        <v>0.14861484192213084</v>
      </c>
      <c r="J133" s="2">
        <f t="shared" si="73"/>
        <v>0.14734685418208729</v>
      </c>
      <c r="K133" s="2">
        <f t="shared" si="73"/>
        <v>0.14523635012079542</v>
      </c>
      <c r="L133" s="2">
        <f t="shared" si="73"/>
        <v>0.14544288577154307</v>
      </c>
      <c r="M133" s="2">
        <f t="shared" si="73"/>
        <v>0.14572579531906887</v>
      </c>
    </row>
    <row r="134" spans="2:13" x14ac:dyDescent="0.2">
      <c r="B134" t="s">
        <v>94</v>
      </c>
      <c r="E134" s="2">
        <f>+(E130-D130)/D129</f>
        <v>0.34482758620689657</v>
      </c>
      <c r="F134" s="2">
        <f t="shared" ref="F134:M134" si="74">+(F130-E130)/E129</f>
        <v>9.4786729857819912E-3</v>
      </c>
      <c r="G134" s="2">
        <f t="shared" si="74"/>
        <v>3.8834951456310676E-2</v>
      </c>
      <c r="H134" s="2">
        <f t="shared" si="74"/>
        <v>1.0741333333333318</v>
      </c>
      <c r="I134" s="2">
        <f t="shared" si="74"/>
        <v>0.17097115598205903</v>
      </c>
      <c r="J134" s="2">
        <f t="shared" si="74"/>
        <v>0.13314669318212338</v>
      </c>
      <c r="K134" s="2">
        <f t="shared" si="74"/>
        <v>0.1172468440168853</v>
      </c>
      <c r="L134" s="2">
        <f t="shared" si="74"/>
        <v>0.14970056699187781</v>
      </c>
      <c r="M134" s="2">
        <f t="shared" si="74"/>
        <v>0.15162446954364531</v>
      </c>
    </row>
    <row r="135" spans="2:13" x14ac:dyDescent="0.2">
      <c r="B135" t="s">
        <v>95</v>
      </c>
      <c r="D135" s="2">
        <f>+D129/D130</f>
        <v>0.41428571428571431</v>
      </c>
      <c r="E135" s="2">
        <f t="shared" ref="E135:M135" si="75">+E129/E130</f>
        <v>0.87916666666666665</v>
      </c>
      <c r="F135" s="2">
        <f t="shared" si="75"/>
        <v>0.42561983471074383</v>
      </c>
      <c r="G135" s="2">
        <f t="shared" si="75"/>
        <v>0.42682926829268292</v>
      </c>
      <c r="H135" s="2">
        <f t="shared" si="75"/>
        <v>0.75618632814048359</v>
      </c>
      <c r="I135" s="2">
        <f t="shared" si="75"/>
        <v>0.60084105799437937</v>
      </c>
      <c r="J135" s="2">
        <f t="shared" si="75"/>
        <v>0.51174085326646102</v>
      </c>
      <c r="K135" s="2">
        <f t="shared" si="75"/>
        <v>0.33400007097309531</v>
      </c>
      <c r="L135" s="2">
        <f t="shared" si="75"/>
        <v>0.32976207699515014</v>
      </c>
      <c r="M135" s="2">
        <f t="shared" si="75"/>
        <v>-6.8622030698853598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29C3-5D86-411E-8DC3-4E35348195A5}">
  <sheetPr>
    <tabColor rgb="FFCCFF99"/>
  </sheetPr>
  <dimension ref="A5:M46"/>
  <sheetViews>
    <sheetView zoomScaleNormal="100" workbookViewId="0">
      <selection activeCell="L19" sqref="L19"/>
    </sheetView>
  </sheetViews>
  <sheetFormatPr baseColWidth="10" defaultColWidth="8.83203125" defaultRowHeight="16" x14ac:dyDescent="0.2"/>
  <cols>
    <col min="1" max="1" width="13.1640625" style="10" bestFit="1" customWidth="1"/>
    <col min="2" max="2" width="28.5" bestFit="1" customWidth="1"/>
    <col min="3" max="8" width="10.33203125" bestFit="1" customWidth="1"/>
    <col min="9" max="9" width="10.1640625" bestFit="1" customWidth="1"/>
    <col min="10" max="10" width="10.1640625" customWidth="1"/>
    <col min="11" max="11" width="9" style="59"/>
    <col min="12" max="12" width="39.1640625" customWidth="1"/>
    <col min="13" max="13" width="17.5" customWidth="1"/>
    <col min="14" max="14" width="15" customWidth="1"/>
  </cols>
  <sheetData>
    <row r="5" spans="1:13" ht="15.5" customHeight="1" x14ac:dyDescent="0.2">
      <c r="C5" s="15">
        <v>2024</v>
      </c>
      <c r="D5" s="1">
        <f>+C5+1</f>
        <v>2025</v>
      </c>
      <c r="E5" s="1">
        <f t="shared" ref="E5:H5" si="0">+D5+1</f>
        <v>2026</v>
      </c>
      <c r="F5" s="1">
        <f t="shared" si="0"/>
        <v>2027</v>
      </c>
      <c r="G5" s="1">
        <f t="shared" si="0"/>
        <v>2028</v>
      </c>
      <c r="H5" s="1">
        <f t="shared" si="0"/>
        <v>2029</v>
      </c>
      <c r="K5" s="62" t="s">
        <v>96</v>
      </c>
    </row>
    <row r="6" spans="1:13" ht="15.5" customHeight="1" x14ac:dyDescent="0.2">
      <c r="A6" s="10" t="s">
        <v>97</v>
      </c>
      <c r="B6" t="s">
        <v>90</v>
      </c>
      <c r="C6" s="24">
        <v>12000</v>
      </c>
      <c r="D6" s="5">
        <f>C6+C7</f>
        <v>13350</v>
      </c>
      <c r="E6" s="5">
        <f>D6+D7</f>
        <v>14500</v>
      </c>
      <c r="F6" s="5">
        <f>E6+E7</f>
        <v>15600</v>
      </c>
      <c r="G6" s="5">
        <f>F6+F7</f>
        <v>16390.432499999999</v>
      </c>
      <c r="H6" s="5">
        <f>G6+G7</f>
        <v>17219.99140875</v>
      </c>
      <c r="I6" s="5">
        <f t="shared" ref="I6" si="1">H6+H7</f>
        <v>18090.613483483125</v>
      </c>
      <c r="J6" s="5"/>
      <c r="K6" s="59">
        <v>1</v>
      </c>
      <c r="L6" t="s">
        <v>98</v>
      </c>
      <c r="M6" t="s">
        <v>99</v>
      </c>
    </row>
    <row r="7" spans="1:13" x14ac:dyDescent="0.2">
      <c r="A7" s="10" t="s">
        <v>100</v>
      </c>
      <c r="B7" t="s">
        <v>101</v>
      </c>
      <c r="C7" s="24">
        <v>1350</v>
      </c>
      <c r="D7" s="24">
        <v>1150</v>
      </c>
      <c r="E7" s="24">
        <v>1100</v>
      </c>
      <c r="F7" s="5">
        <f>F22*F10</f>
        <v>790.4325</v>
      </c>
      <c r="G7" s="5">
        <f>G22*G10</f>
        <v>829.55890875</v>
      </c>
      <c r="H7" s="5">
        <f>H22*S3_Moving_Q1!H10</f>
        <v>870.62207473312503</v>
      </c>
      <c r="I7" s="5"/>
      <c r="J7" s="5"/>
      <c r="L7" t="s">
        <v>102</v>
      </c>
      <c r="M7" t="s">
        <v>103</v>
      </c>
    </row>
    <row r="8" spans="1:13" ht="34" x14ac:dyDescent="0.2">
      <c r="B8" t="s">
        <v>93</v>
      </c>
      <c r="C8" s="13">
        <v>0.15</v>
      </c>
      <c r="D8" s="2"/>
      <c r="E8" s="2"/>
      <c r="F8" s="2"/>
      <c r="G8" s="2"/>
      <c r="H8" s="2"/>
      <c r="L8" t="s">
        <v>104</v>
      </c>
      <c r="M8" s="56" t="s">
        <v>105</v>
      </c>
    </row>
    <row r="9" spans="1:13" x14ac:dyDescent="0.2">
      <c r="B9" t="s">
        <v>94</v>
      </c>
      <c r="C9" s="2"/>
      <c r="D9" s="13">
        <v>0.17</v>
      </c>
      <c r="E9" s="13">
        <v>0.16500000000000001</v>
      </c>
      <c r="F9" s="13">
        <v>0.16</v>
      </c>
      <c r="G9" s="13">
        <v>0.15</v>
      </c>
      <c r="H9" s="13">
        <v>0.15</v>
      </c>
      <c r="L9" s="55" t="s">
        <v>106</v>
      </c>
      <c r="M9" s="56"/>
    </row>
    <row r="10" spans="1:13" x14ac:dyDescent="0.2">
      <c r="B10" t="s">
        <v>95</v>
      </c>
      <c r="C10" s="2"/>
      <c r="D10" s="2"/>
      <c r="E10" s="2"/>
      <c r="F10" s="13">
        <v>0.33</v>
      </c>
      <c r="G10" s="13">
        <v>0.33</v>
      </c>
      <c r="H10" s="13">
        <v>0.33</v>
      </c>
      <c r="L10" t="s">
        <v>107</v>
      </c>
      <c r="M10" t="s">
        <v>108</v>
      </c>
    </row>
    <row r="11" spans="1:13" x14ac:dyDescent="0.2">
      <c r="B11" t="s">
        <v>109</v>
      </c>
      <c r="C11" s="13">
        <v>0</v>
      </c>
      <c r="D11" s="13">
        <v>0.05</v>
      </c>
      <c r="E11" s="13">
        <v>0.1</v>
      </c>
      <c r="F11" s="13">
        <v>0.15</v>
      </c>
      <c r="G11" s="13">
        <v>0.2</v>
      </c>
      <c r="H11" s="13">
        <v>0.2</v>
      </c>
      <c r="L11" t="s">
        <v>110</v>
      </c>
      <c r="M11" t="s">
        <v>108</v>
      </c>
    </row>
    <row r="12" spans="1:13" x14ac:dyDescent="0.2">
      <c r="B12" t="s">
        <v>57</v>
      </c>
      <c r="C12" s="3"/>
      <c r="D12" s="14">
        <v>7.0000000000000007E-2</v>
      </c>
      <c r="E12" s="14">
        <v>7.0000000000000007E-2</v>
      </c>
      <c r="F12" s="14">
        <v>7.0000000000000007E-2</v>
      </c>
      <c r="G12" s="14">
        <v>7.0000000000000007E-2</v>
      </c>
      <c r="H12" s="14">
        <v>7.0000000000000007E-2</v>
      </c>
      <c r="L12" t="s">
        <v>111</v>
      </c>
    </row>
    <row r="13" spans="1:13" x14ac:dyDescent="0.2">
      <c r="B13" t="s">
        <v>112</v>
      </c>
      <c r="C13" s="14">
        <v>0.12</v>
      </c>
      <c r="D13" s="14">
        <v>0.12</v>
      </c>
      <c r="E13" s="14">
        <v>0.12</v>
      </c>
      <c r="F13" s="14">
        <v>0.12</v>
      </c>
      <c r="G13" s="14">
        <v>0.12</v>
      </c>
      <c r="H13" s="14">
        <v>0.12</v>
      </c>
      <c r="L13" t="s">
        <v>113</v>
      </c>
    </row>
    <row r="14" spans="1:13" x14ac:dyDescent="0.2">
      <c r="B14" t="s">
        <v>58</v>
      </c>
      <c r="C14" s="14">
        <v>0.2</v>
      </c>
      <c r="D14" s="14">
        <v>0.2</v>
      </c>
      <c r="E14" s="14">
        <v>0.2</v>
      </c>
      <c r="F14" s="14">
        <v>0.2</v>
      </c>
      <c r="G14" s="14">
        <v>0.2</v>
      </c>
      <c r="H14" s="14">
        <v>0.2</v>
      </c>
      <c r="L14" t="s">
        <v>114</v>
      </c>
      <c r="M14" t="s">
        <v>115</v>
      </c>
    </row>
    <row r="15" spans="1:13" x14ac:dyDescent="0.2">
      <c r="B15" t="s">
        <v>116</v>
      </c>
      <c r="C15" s="4"/>
      <c r="D15" s="4"/>
      <c r="E15" s="4"/>
      <c r="F15" s="4"/>
      <c r="G15" s="4"/>
      <c r="H15" s="14">
        <v>0.1</v>
      </c>
      <c r="L15" t="s">
        <v>117</v>
      </c>
    </row>
    <row r="16" spans="1:13" x14ac:dyDescent="0.2">
      <c r="L16" t="s">
        <v>118</v>
      </c>
    </row>
    <row r="17" spans="1:12" x14ac:dyDescent="0.2">
      <c r="A17" s="10" t="s">
        <v>119</v>
      </c>
      <c r="B17" t="s">
        <v>120</v>
      </c>
      <c r="C17" s="5">
        <f>+C6*C11</f>
        <v>0</v>
      </c>
      <c r="D17" s="5">
        <f>+D6*D11</f>
        <v>667.5</v>
      </c>
      <c r="E17" s="5">
        <f t="shared" ref="E17:G17" si="2">+E6*E11</f>
        <v>1450</v>
      </c>
      <c r="F17" s="5">
        <f t="shared" si="2"/>
        <v>2340</v>
      </c>
      <c r="G17" s="5">
        <f t="shared" si="2"/>
        <v>3278.0864999999999</v>
      </c>
      <c r="H17" s="5">
        <f>+H6*H11</f>
        <v>3443.9982817500004</v>
      </c>
      <c r="I17" s="5">
        <v>0</v>
      </c>
      <c r="J17" s="5"/>
      <c r="L17" t="s">
        <v>121</v>
      </c>
    </row>
    <row r="18" spans="1:12" x14ac:dyDescent="0.2">
      <c r="A18" s="10" t="s">
        <v>122</v>
      </c>
      <c r="B18" t="s">
        <v>123</v>
      </c>
      <c r="C18" s="5">
        <f>+C6-C17</f>
        <v>12000</v>
      </c>
      <c r="D18" s="5">
        <f>+D6-D17</f>
        <v>12682.5</v>
      </c>
      <c r="E18" s="5">
        <f t="shared" ref="E18:G18" si="3">+E6-E17</f>
        <v>13050</v>
      </c>
      <c r="F18" s="5">
        <f t="shared" si="3"/>
        <v>13260</v>
      </c>
      <c r="G18" s="5">
        <f t="shared" si="3"/>
        <v>13112.346</v>
      </c>
      <c r="H18" s="5">
        <f>+H6-H17</f>
        <v>13775.993127</v>
      </c>
      <c r="I18" s="5">
        <f>+I6-I17</f>
        <v>18090.613483483125</v>
      </c>
      <c r="J18" s="5"/>
      <c r="L18" s="57" t="s">
        <v>124</v>
      </c>
    </row>
    <row r="19" spans="1:12" x14ac:dyDescent="0.2">
      <c r="L19" t="s">
        <v>125</v>
      </c>
    </row>
    <row r="20" spans="1:12" x14ac:dyDescent="0.2">
      <c r="L20" t="s">
        <v>126</v>
      </c>
    </row>
    <row r="21" spans="1:12" x14ac:dyDescent="0.2">
      <c r="A21" s="10" t="s">
        <v>127</v>
      </c>
      <c r="B21" t="s">
        <v>128</v>
      </c>
      <c r="C21" s="5">
        <f t="shared" ref="C21:H21" si="4">+C22/(1-C14)</f>
        <v>2250</v>
      </c>
      <c r="D21" s="5">
        <f t="shared" si="4"/>
        <v>2536.875</v>
      </c>
      <c r="E21" s="5">
        <f t="shared" si="4"/>
        <v>2774.0625</v>
      </c>
      <c r="F21" s="5">
        <f t="shared" si="4"/>
        <v>2994.0625</v>
      </c>
      <c r="G21" s="5">
        <f t="shared" si="4"/>
        <v>3142.26859375</v>
      </c>
      <c r="H21" s="5">
        <f t="shared" si="4"/>
        <v>3297.8108891406246</v>
      </c>
      <c r="L21" t="s">
        <v>129</v>
      </c>
    </row>
    <row r="22" spans="1:12" x14ac:dyDescent="0.2">
      <c r="A22" s="10" t="s">
        <v>130</v>
      </c>
      <c r="B22" t="s">
        <v>63</v>
      </c>
      <c r="C22" s="5">
        <f>C8*C6</f>
        <v>1800</v>
      </c>
      <c r="D22" s="5">
        <f>+C22+C7*D9</f>
        <v>2029.5</v>
      </c>
      <c r="E22" s="5">
        <f>+D22+D7*E9</f>
        <v>2219.25</v>
      </c>
      <c r="F22" s="5">
        <f>+E22+E7*F9</f>
        <v>2395.25</v>
      </c>
      <c r="G22" s="5">
        <f>+F22+F7*G9</f>
        <v>2513.814875</v>
      </c>
      <c r="H22" s="5">
        <f>+G22+G7*H9</f>
        <v>2638.2487113124998</v>
      </c>
      <c r="L22" t="s">
        <v>131</v>
      </c>
    </row>
    <row r="23" spans="1:12" x14ac:dyDescent="0.2">
      <c r="A23" s="10" t="s">
        <v>132</v>
      </c>
      <c r="B23" t="s">
        <v>133</v>
      </c>
      <c r="C23" s="5"/>
      <c r="D23" s="5"/>
      <c r="E23" s="5"/>
      <c r="F23" s="5"/>
      <c r="G23" s="5"/>
      <c r="H23" s="5">
        <f>+I6*H15</f>
        <v>1809.0613483483125</v>
      </c>
      <c r="L23" s="57" t="s">
        <v>134</v>
      </c>
    </row>
    <row r="24" spans="1:12" x14ac:dyDescent="0.2">
      <c r="A24" s="10" t="s">
        <v>135</v>
      </c>
      <c r="B24" t="s">
        <v>136</v>
      </c>
      <c r="C24" s="5">
        <f>+C21-C23</f>
        <v>2250</v>
      </c>
      <c r="D24" s="5">
        <f>+D21-D23</f>
        <v>2536.875</v>
      </c>
      <c r="E24" s="5">
        <f t="shared" ref="E24:H24" si="5">+E21-E23</f>
        <v>2774.0625</v>
      </c>
      <c r="F24" s="5">
        <f t="shared" si="5"/>
        <v>2994.0625</v>
      </c>
      <c r="G24" s="5">
        <f t="shared" si="5"/>
        <v>3142.26859375</v>
      </c>
      <c r="H24" s="5">
        <f t="shared" si="5"/>
        <v>1488.749540792312</v>
      </c>
      <c r="L24" t="s">
        <v>137</v>
      </c>
    </row>
    <row r="25" spans="1:12" x14ac:dyDescent="0.2">
      <c r="A25" s="10" t="s">
        <v>138</v>
      </c>
      <c r="B25" t="s">
        <v>139</v>
      </c>
      <c r="C25" s="5">
        <f>+C24*(1-C14)</f>
        <v>1800</v>
      </c>
      <c r="D25" s="5">
        <f>+D24*(1-D14)</f>
        <v>2029.5</v>
      </c>
      <c r="E25" s="5">
        <f>+E24*(1-E14)</f>
        <v>2219.25</v>
      </c>
      <c r="F25" s="5">
        <f>+F24*(1-F14)</f>
        <v>2395.25</v>
      </c>
      <c r="G25" s="5">
        <f t="shared" ref="G25:H25" si="6">+G24*(1-G14)</f>
        <v>2513.814875</v>
      </c>
      <c r="H25" s="5">
        <f t="shared" si="6"/>
        <v>1190.9996326338496</v>
      </c>
      <c r="L25" t="s">
        <v>140</v>
      </c>
    </row>
    <row r="26" spans="1:12" x14ac:dyDescent="0.2">
      <c r="A26" s="10" t="s">
        <v>141</v>
      </c>
      <c r="B26" t="s">
        <v>91</v>
      </c>
      <c r="C26" s="5">
        <f>+D6-C6</f>
        <v>1350</v>
      </c>
      <c r="D26" s="5">
        <f>+E6-D6</f>
        <v>1150</v>
      </c>
      <c r="E26" s="5">
        <f>+F6-E6</f>
        <v>1100</v>
      </c>
      <c r="F26" s="5">
        <f t="shared" ref="F26:H26" si="7">+G6-F6</f>
        <v>790.43249999999898</v>
      </c>
      <c r="G26" s="5">
        <f t="shared" si="7"/>
        <v>829.55890875000114</v>
      </c>
      <c r="H26" s="5">
        <f t="shared" si="7"/>
        <v>870.62207473312446</v>
      </c>
      <c r="L26" t="s">
        <v>142</v>
      </c>
    </row>
    <row r="27" spans="1:12" x14ac:dyDescent="0.2">
      <c r="A27" s="10" t="s">
        <v>143</v>
      </c>
      <c r="B27" s="7" t="s">
        <v>75</v>
      </c>
      <c r="C27" s="8">
        <f>C25-C26</f>
        <v>450</v>
      </c>
      <c r="D27" s="8">
        <f>D25-D26</f>
        <v>879.5</v>
      </c>
      <c r="E27" s="8">
        <f>E25-E26</f>
        <v>1119.25</v>
      </c>
      <c r="F27" s="8">
        <f>F25-F26</f>
        <v>1604.817500000001</v>
      </c>
      <c r="G27" s="8">
        <f>G25-G26</f>
        <v>1684.2559662499989</v>
      </c>
      <c r="H27" s="8">
        <f t="shared" ref="H27" si="8">H25-H26</f>
        <v>320.37755790072515</v>
      </c>
      <c r="L27" s="58" t="s">
        <v>144</v>
      </c>
    </row>
    <row r="28" spans="1:12" x14ac:dyDescent="0.2">
      <c r="A28" s="10" t="s">
        <v>145</v>
      </c>
      <c r="B28" t="s">
        <v>32</v>
      </c>
      <c r="C28" s="5">
        <f>C17*C12</f>
        <v>0</v>
      </c>
      <c r="D28" s="5">
        <f>D17*D12</f>
        <v>46.725000000000001</v>
      </c>
      <c r="E28" s="5">
        <f t="shared" ref="E28:H28" si="9">E17*E12</f>
        <v>101.50000000000001</v>
      </c>
      <c r="F28" s="5">
        <f t="shared" si="9"/>
        <v>163.80000000000001</v>
      </c>
      <c r="G28" s="5">
        <f t="shared" si="9"/>
        <v>229.46605500000001</v>
      </c>
      <c r="H28" s="5">
        <f t="shared" si="9"/>
        <v>241.07987972250004</v>
      </c>
      <c r="L28" s="58" t="s">
        <v>146</v>
      </c>
    </row>
    <row r="29" spans="1:12" x14ac:dyDescent="0.2">
      <c r="A29" s="10" t="s">
        <v>147</v>
      </c>
      <c r="B29" t="s">
        <v>148</v>
      </c>
      <c r="C29" s="5">
        <f>C28*C14</f>
        <v>0</v>
      </c>
      <c r="D29" s="5">
        <f>D28*D14</f>
        <v>9.3450000000000006</v>
      </c>
      <c r="E29" s="5">
        <f>E28*E14</f>
        <v>20.300000000000004</v>
      </c>
      <c r="F29" s="5">
        <f t="shared" ref="F29:H29" si="10">F28*F14</f>
        <v>32.760000000000005</v>
      </c>
      <c r="G29" s="5">
        <f t="shared" si="10"/>
        <v>45.893211000000008</v>
      </c>
      <c r="H29" s="5">
        <f t="shared" si="10"/>
        <v>48.215975944500009</v>
      </c>
      <c r="L29" s="19" t="s">
        <v>149</v>
      </c>
    </row>
    <row r="30" spans="1:12" x14ac:dyDescent="0.2">
      <c r="A30" s="10" t="s">
        <v>150</v>
      </c>
      <c r="B30" t="s">
        <v>151</v>
      </c>
      <c r="C30" s="6">
        <f>D17-C17</f>
        <v>667.5</v>
      </c>
      <c r="D30" s="6">
        <f>E17-D17</f>
        <v>782.5</v>
      </c>
      <c r="E30" s="6">
        <f t="shared" ref="E30:G30" si="11">F17-E17</f>
        <v>890</v>
      </c>
      <c r="F30" s="6">
        <f t="shared" si="11"/>
        <v>938.08649999999989</v>
      </c>
      <c r="G30" s="6">
        <f t="shared" si="11"/>
        <v>165.9117817500005</v>
      </c>
      <c r="H30" s="6">
        <f>I17-H17</f>
        <v>-3443.9982817500004</v>
      </c>
      <c r="I30" s="5">
        <f>K17-I17</f>
        <v>0</v>
      </c>
      <c r="J30" s="5"/>
      <c r="L30" t="s">
        <v>78</v>
      </c>
    </row>
    <row r="31" spans="1:12" x14ac:dyDescent="0.2">
      <c r="A31" s="10" t="s">
        <v>152</v>
      </c>
      <c r="B31" s="7" t="s">
        <v>78</v>
      </c>
      <c r="C31" s="9">
        <f>+C27-C28+C29+C30</f>
        <v>1117.5</v>
      </c>
      <c r="D31" s="9">
        <f t="shared" ref="D31:G31" si="12">+D27-D28+D29+D30</f>
        <v>1624.62</v>
      </c>
      <c r="E31" s="9">
        <f t="shared" si="12"/>
        <v>1928.05</v>
      </c>
      <c r="F31" s="9">
        <f t="shared" si="12"/>
        <v>2411.8640000000009</v>
      </c>
      <c r="G31" s="9">
        <f t="shared" si="12"/>
        <v>1666.5949039999994</v>
      </c>
      <c r="H31" s="9">
        <f>+H27-H28+H29+H30</f>
        <v>-3316.4846276272751</v>
      </c>
      <c r="L31" t="s">
        <v>153</v>
      </c>
    </row>
    <row r="32" spans="1:12" x14ac:dyDescent="0.2">
      <c r="L32" t="s">
        <v>154</v>
      </c>
    </row>
    <row r="33" spans="1:12" x14ac:dyDescent="0.2">
      <c r="A33" s="12" t="s">
        <v>155</v>
      </c>
      <c r="B33" t="s">
        <v>156</v>
      </c>
      <c r="C33" s="16">
        <f>C27+C29</f>
        <v>450</v>
      </c>
      <c r="D33" s="16">
        <f t="shared" ref="D33:H33" si="13">D27+D29</f>
        <v>888.84500000000003</v>
      </c>
      <c r="E33" s="16">
        <f t="shared" si="13"/>
        <v>1139.55</v>
      </c>
      <c r="F33" s="16">
        <f t="shared" si="13"/>
        <v>1637.577500000001</v>
      </c>
      <c r="G33" s="16">
        <f t="shared" si="13"/>
        <v>1730.149177249999</v>
      </c>
      <c r="H33" s="16">
        <f t="shared" si="13"/>
        <v>368.59353384522518</v>
      </c>
      <c r="L33" t="s">
        <v>157</v>
      </c>
    </row>
    <row r="34" spans="1:12" x14ac:dyDescent="0.2">
      <c r="B34" s="17" t="s">
        <v>158</v>
      </c>
      <c r="C34" s="18">
        <f t="shared" ref="C34:E34" si="14">(D34+C33)/(1+C13)</f>
        <v>13295.928648616722</v>
      </c>
      <c r="D34" s="18">
        <f t="shared" si="14"/>
        <v>14441.44008645073</v>
      </c>
      <c r="E34" s="18">
        <f t="shared" si="14"/>
        <v>15285.567896824819</v>
      </c>
      <c r="F34" s="18">
        <f>(G34+F33)/(1+F13)</f>
        <v>15980.286044443799</v>
      </c>
      <c r="G34" s="18">
        <f>(H34+G33)/(1+G13)</f>
        <v>16260.342869777058</v>
      </c>
      <c r="H34" s="18">
        <f>(I34+H33)/(1+H13)</f>
        <v>16481.434836900309</v>
      </c>
      <c r="I34" s="18">
        <f>I18</f>
        <v>18090.613483483125</v>
      </c>
      <c r="J34" s="18"/>
      <c r="L34" s="58" t="s">
        <v>159</v>
      </c>
    </row>
    <row r="35" spans="1:12" x14ac:dyDescent="0.2">
      <c r="B35" t="s">
        <v>90</v>
      </c>
      <c r="C35" s="5">
        <f t="shared" ref="C35:I35" si="15">C6</f>
        <v>12000</v>
      </c>
      <c r="D35" s="5">
        <f t="shared" si="15"/>
        <v>13350</v>
      </c>
      <c r="E35" s="5">
        <f t="shared" si="15"/>
        <v>14500</v>
      </c>
      <c r="F35" s="5">
        <f t="shared" si="15"/>
        <v>15600</v>
      </c>
      <c r="G35" s="5">
        <f t="shared" si="15"/>
        <v>16390.432499999999</v>
      </c>
      <c r="H35" s="5">
        <f t="shared" si="15"/>
        <v>17219.99140875</v>
      </c>
      <c r="I35" s="5">
        <f t="shared" si="15"/>
        <v>18090.613483483125</v>
      </c>
      <c r="J35" s="5"/>
    </row>
    <row r="37" spans="1:12" x14ac:dyDescent="0.2">
      <c r="A37" s="11" t="s">
        <v>160</v>
      </c>
      <c r="B37" s="19" t="s">
        <v>161</v>
      </c>
      <c r="C37" s="20">
        <f>C34-C35</f>
        <v>1295.9286486167221</v>
      </c>
      <c r="D37" s="16"/>
      <c r="E37" s="16"/>
      <c r="F37" s="16"/>
      <c r="G37" s="16"/>
      <c r="H37" s="16"/>
      <c r="I37" s="16"/>
      <c r="J37" s="16"/>
    </row>
    <row r="40" spans="1:12" x14ac:dyDescent="0.2">
      <c r="B40" t="s">
        <v>162</v>
      </c>
      <c r="C40" s="2">
        <f>+C17/C34</f>
        <v>0</v>
      </c>
      <c r="D40" s="2">
        <f>+D17/D34</f>
        <v>4.622115218455692E-2</v>
      </c>
      <c r="E40" s="2">
        <f t="shared" ref="E40:H40" si="16">+E17/E34</f>
        <v>9.4860721550371702E-2</v>
      </c>
      <c r="F40" s="2">
        <f t="shared" si="16"/>
        <v>0.1464304201747125</v>
      </c>
      <c r="G40" s="2">
        <f t="shared" si="16"/>
        <v>0.20160008471241694</v>
      </c>
      <c r="H40" s="2">
        <f t="shared" si="16"/>
        <v>0.20896228488791688</v>
      </c>
      <c r="I40" s="21"/>
      <c r="J40" s="21"/>
    </row>
    <row r="41" spans="1:12" x14ac:dyDescent="0.2">
      <c r="B41" t="s">
        <v>163</v>
      </c>
      <c r="C41" s="2">
        <f>+(C13-C12*C40)/(1-C40)</f>
        <v>0.12</v>
      </c>
      <c r="D41" s="2">
        <f t="shared" ref="D41:H41" si="17">+(D13-D12*D40)/(1-D40)</f>
        <v>0.12242305395482521</v>
      </c>
      <c r="E41" s="2">
        <f t="shared" si="17"/>
        <v>0.1252401173945768</v>
      </c>
      <c r="F41" s="2">
        <f t="shared" si="17"/>
        <v>0.12857753273052941</v>
      </c>
      <c r="G41" s="2">
        <f t="shared" si="17"/>
        <v>0.13262525714571252</v>
      </c>
      <c r="H41" s="2">
        <f t="shared" si="17"/>
        <v>0.1332081113767318</v>
      </c>
      <c r="I41" s="21"/>
      <c r="J41" s="21"/>
    </row>
    <row r="43" spans="1:12" x14ac:dyDescent="0.2">
      <c r="A43" s="12" t="s">
        <v>164</v>
      </c>
      <c r="B43" t="s">
        <v>78</v>
      </c>
      <c r="C43" s="16">
        <f>+C31</f>
        <v>1117.5</v>
      </c>
      <c r="D43" s="16">
        <f t="shared" ref="D43:G43" si="18">+D31</f>
        <v>1624.62</v>
      </c>
      <c r="E43" s="16">
        <f t="shared" si="18"/>
        <v>1928.05</v>
      </c>
      <c r="F43" s="16">
        <f t="shared" si="18"/>
        <v>2411.8640000000009</v>
      </c>
      <c r="G43" s="16">
        <f t="shared" si="18"/>
        <v>1666.5949039999994</v>
      </c>
      <c r="H43" s="16">
        <f>+H31</f>
        <v>-3316.4846276272751</v>
      </c>
    </row>
    <row r="44" spans="1:12" x14ac:dyDescent="0.2">
      <c r="B44" t="s">
        <v>165</v>
      </c>
      <c r="C44" s="5">
        <f>+(C43+D44)/(1+C41)</f>
        <v>13295.928648616733</v>
      </c>
      <c r="D44" s="5">
        <f t="shared" ref="D44:E44" si="19">+(D43+E44)/(1+D41)</f>
        <v>13773.940086450742</v>
      </c>
      <c r="E44" s="5">
        <f t="shared" si="19"/>
        <v>13835.56789682483</v>
      </c>
      <c r="F44" s="5">
        <f>+(F43+G44)/(1+F41)</f>
        <v>13640.28604444381</v>
      </c>
      <c r="G44" s="5">
        <f>+(G43+H44)/(1+G41)</f>
        <v>12982.256369777066</v>
      </c>
      <c r="H44" s="5">
        <f>+(H43+I44)/(1+H41)</f>
        <v>13037.436555150312</v>
      </c>
      <c r="I44" s="5">
        <f>I34</f>
        <v>18090.613483483125</v>
      </c>
      <c r="J44" s="5"/>
    </row>
    <row r="45" spans="1:12" x14ac:dyDescent="0.2">
      <c r="B45" s="17" t="s">
        <v>158</v>
      </c>
      <c r="C45" s="18">
        <f>+C44+C17</f>
        <v>13295.928648616733</v>
      </c>
      <c r="D45" s="18">
        <f t="shared" ref="D45:I45" si="20">+D44+D17</f>
        <v>14441.440086450742</v>
      </c>
      <c r="E45" s="18">
        <f t="shared" si="20"/>
        <v>15285.56789682483</v>
      </c>
      <c r="F45" s="18">
        <f t="shared" si="20"/>
        <v>15980.28604444381</v>
      </c>
      <c r="G45" s="18">
        <f t="shared" si="20"/>
        <v>16260.342869777065</v>
      </c>
      <c r="H45" s="18">
        <f>+H44+H17</f>
        <v>16481.434836900313</v>
      </c>
      <c r="I45" s="18">
        <f t="shared" si="20"/>
        <v>18090.613483483125</v>
      </c>
      <c r="J45" s="18"/>
    </row>
    <row r="46" spans="1:12" x14ac:dyDescent="0.2">
      <c r="B46" t="s">
        <v>166</v>
      </c>
      <c r="C46" s="16">
        <f>+C45-C34</f>
        <v>0</v>
      </c>
      <c r="D46" s="16">
        <f t="shared" ref="D46:I46" si="21">+D45-D34</f>
        <v>0</v>
      </c>
      <c r="E46" s="16">
        <f t="shared" si="21"/>
        <v>0</v>
      </c>
      <c r="F46" s="16">
        <f t="shared" si="21"/>
        <v>0</v>
      </c>
      <c r="G46" s="16">
        <f t="shared" si="21"/>
        <v>0</v>
      </c>
      <c r="H46" s="16">
        <f t="shared" si="21"/>
        <v>0</v>
      </c>
      <c r="I46" s="16">
        <f t="shared" si="21"/>
        <v>0</v>
      </c>
      <c r="J46" s="16"/>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378EA-E5ED-4949-955D-6F71E744C8F6}">
  <sheetPr>
    <tabColor rgb="FFCCFF99"/>
  </sheetPr>
  <dimension ref="A1:L57"/>
  <sheetViews>
    <sheetView zoomScaleNormal="100" workbookViewId="0">
      <selection activeCell="K13" sqref="K13"/>
    </sheetView>
  </sheetViews>
  <sheetFormatPr baseColWidth="10" defaultColWidth="8.83203125" defaultRowHeight="16" x14ac:dyDescent="0.2"/>
  <cols>
    <col min="1" max="1" width="6.1640625" style="10" customWidth="1"/>
    <col min="2" max="2" width="28.5" bestFit="1" customWidth="1"/>
    <col min="3" max="3" width="12.6640625" bestFit="1" customWidth="1"/>
    <col min="4" max="8" width="10.33203125" bestFit="1" customWidth="1"/>
    <col min="9" max="9" width="10.1640625" bestFit="1" customWidth="1"/>
    <col min="11" max="11" width="48.33203125" customWidth="1"/>
    <col min="12" max="12" width="25.5" customWidth="1"/>
  </cols>
  <sheetData>
    <row r="1" spans="2:12" x14ac:dyDescent="0.2">
      <c r="K1" t="s">
        <v>167</v>
      </c>
    </row>
    <row r="2" spans="2:12" x14ac:dyDescent="0.2">
      <c r="K2" t="s">
        <v>168</v>
      </c>
      <c r="L2" t="s">
        <v>99</v>
      </c>
    </row>
    <row r="3" spans="2:12" x14ac:dyDescent="0.2">
      <c r="K3" t="s">
        <v>102</v>
      </c>
      <c r="L3" t="s">
        <v>103</v>
      </c>
    </row>
    <row r="4" spans="2:12" ht="34" x14ac:dyDescent="0.2">
      <c r="K4" t="s">
        <v>104</v>
      </c>
      <c r="L4" s="56" t="s">
        <v>105</v>
      </c>
    </row>
    <row r="5" spans="2:12" x14ac:dyDescent="0.2">
      <c r="C5" s="15">
        <v>2024</v>
      </c>
      <c r="D5" s="1">
        <f>+C5+1</f>
        <v>2025</v>
      </c>
      <c r="E5" s="1">
        <f t="shared" ref="E5:H5" si="0">+D5+1</f>
        <v>2026</v>
      </c>
      <c r="F5" s="1">
        <f t="shared" si="0"/>
        <v>2027</v>
      </c>
      <c r="G5" s="1">
        <f t="shared" si="0"/>
        <v>2028</v>
      </c>
      <c r="H5" s="1">
        <f t="shared" si="0"/>
        <v>2029</v>
      </c>
      <c r="K5" s="55" t="s">
        <v>106</v>
      </c>
      <c r="L5" s="56"/>
    </row>
    <row r="6" spans="2:12" x14ac:dyDescent="0.2">
      <c r="B6" t="s">
        <v>90</v>
      </c>
      <c r="C6" s="24">
        <v>12000</v>
      </c>
      <c r="D6" s="5">
        <f>C6+C7</f>
        <v>13350</v>
      </c>
      <c r="E6" s="5">
        <f t="shared" ref="E6:H6" si="1">D6+D7</f>
        <v>14500</v>
      </c>
      <c r="F6" s="5">
        <f t="shared" si="1"/>
        <v>15600</v>
      </c>
      <c r="G6" s="5">
        <f t="shared" si="1"/>
        <v>16390.432499999999</v>
      </c>
      <c r="H6" s="5">
        <f t="shared" si="1"/>
        <v>17219.99140875</v>
      </c>
      <c r="I6" s="5">
        <f>H6+H7</f>
        <v>18090.613483483125</v>
      </c>
      <c r="K6" t="s">
        <v>107</v>
      </c>
      <c r="L6" t="s">
        <v>108</v>
      </c>
    </row>
    <row r="7" spans="2:12" x14ac:dyDescent="0.2">
      <c r="B7" t="s">
        <v>101</v>
      </c>
      <c r="C7" s="24">
        <v>1350</v>
      </c>
      <c r="D7" s="24">
        <v>1150</v>
      </c>
      <c r="E7" s="24">
        <v>1100</v>
      </c>
      <c r="F7" s="5">
        <f>F22*F10</f>
        <v>790.4325</v>
      </c>
      <c r="G7" s="5">
        <f t="shared" ref="G7:H7" si="2">G22*G10</f>
        <v>829.55890875</v>
      </c>
      <c r="H7" s="5">
        <f t="shared" si="2"/>
        <v>870.62207473312503</v>
      </c>
      <c r="I7" s="5"/>
      <c r="K7" t="s">
        <v>110</v>
      </c>
      <c r="L7" t="s">
        <v>108</v>
      </c>
    </row>
    <row r="8" spans="2:12" x14ac:dyDescent="0.2">
      <c r="B8" t="s">
        <v>93</v>
      </c>
      <c r="C8" s="13">
        <v>0.15</v>
      </c>
      <c r="D8" s="2"/>
      <c r="E8" s="2"/>
      <c r="F8" s="2"/>
      <c r="G8" s="2"/>
      <c r="H8" s="2"/>
      <c r="K8" t="s">
        <v>114</v>
      </c>
    </row>
    <row r="9" spans="2:12" x14ac:dyDescent="0.2">
      <c r="B9" t="s">
        <v>94</v>
      </c>
      <c r="C9" s="2"/>
      <c r="D9" s="13">
        <v>0.17</v>
      </c>
      <c r="E9" s="13">
        <v>0.16500000000000001</v>
      </c>
      <c r="F9" s="13">
        <v>0.16</v>
      </c>
      <c r="G9" s="13">
        <v>0.15</v>
      </c>
      <c r="H9" s="13">
        <v>0.15</v>
      </c>
      <c r="K9" s="196" t="s">
        <v>169</v>
      </c>
    </row>
    <row r="10" spans="2:12" x14ac:dyDescent="0.2">
      <c r="B10" t="s">
        <v>95</v>
      </c>
      <c r="C10" s="2"/>
      <c r="D10" s="2"/>
      <c r="E10" s="2"/>
      <c r="F10" s="13">
        <v>0.33</v>
      </c>
      <c r="G10" s="13">
        <v>0.33</v>
      </c>
      <c r="H10" s="13">
        <v>0.33</v>
      </c>
      <c r="K10" s="196"/>
      <c r="L10" t="s">
        <v>115</v>
      </c>
    </row>
    <row r="11" spans="2:12" ht="15.75" customHeight="1" x14ac:dyDescent="0.2">
      <c r="B11" t="s">
        <v>109</v>
      </c>
      <c r="C11" s="13">
        <v>0</v>
      </c>
      <c r="D11" s="13">
        <v>0.05</v>
      </c>
      <c r="E11" s="13">
        <v>0.1</v>
      </c>
      <c r="F11" s="13">
        <v>0.15</v>
      </c>
      <c r="G11" s="13">
        <v>0.2</v>
      </c>
      <c r="H11" s="13">
        <v>0.2</v>
      </c>
      <c r="J11">
        <v>9</v>
      </c>
      <c r="K11" s="196"/>
    </row>
    <row r="12" spans="2:12" x14ac:dyDescent="0.2">
      <c r="B12" t="s">
        <v>57</v>
      </c>
      <c r="C12" s="3"/>
      <c r="D12" s="14">
        <v>7.0000000000000007E-2</v>
      </c>
      <c r="E12" s="14">
        <v>7.0000000000000007E-2</v>
      </c>
      <c r="F12" s="14">
        <v>7.0000000000000007E-2</v>
      </c>
      <c r="G12" s="14">
        <v>7.0000000000000007E-2</v>
      </c>
      <c r="H12" s="14">
        <v>7.0000000000000007E-2</v>
      </c>
      <c r="K12" s="196"/>
    </row>
    <row r="13" spans="2:12" x14ac:dyDescent="0.2">
      <c r="B13" t="s">
        <v>112</v>
      </c>
      <c r="C13" s="14">
        <v>0.12</v>
      </c>
      <c r="D13" s="14">
        <v>0.12</v>
      </c>
      <c r="E13" s="14">
        <v>0.12</v>
      </c>
      <c r="F13" s="14">
        <v>0.12</v>
      </c>
      <c r="G13" s="14">
        <v>0.12</v>
      </c>
      <c r="H13" s="14">
        <v>0.12</v>
      </c>
      <c r="K13" s="22" t="s">
        <v>170</v>
      </c>
    </row>
    <row r="14" spans="2:12" x14ac:dyDescent="0.2">
      <c r="B14" t="s">
        <v>58</v>
      </c>
      <c r="C14" s="14">
        <v>0.2</v>
      </c>
      <c r="D14" s="14">
        <v>0.2</v>
      </c>
      <c r="E14" s="14">
        <v>0.2</v>
      </c>
      <c r="F14" s="14">
        <v>0.2</v>
      </c>
      <c r="G14" s="14">
        <v>0.2</v>
      </c>
      <c r="H14" s="14">
        <v>0.2</v>
      </c>
      <c r="K14" s="22" t="s">
        <v>171</v>
      </c>
    </row>
    <row r="15" spans="2:12" x14ac:dyDescent="0.2">
      <c r="B15" t="s">
        <v>116</v>
      </c>
      <c r="C15" s="4"/>
      <c r="D15" s="4"/>
      <c r="E15" s="4"/>
      <c r="F15" s="4"/>
      <c r="G15" s="4"/>
      <c r="H15" s="14">
        <v>0.1</v>
      </c>
      <c r="J15">
        <v>10</v>
      </c>
      <c r="K15" t="s">
        <v>172</v>
      </c>
    </row>
    <row r="16" spans="2:12" x14ac:dyDescent="0.2">
      <c r="B16" s="27" t="s">
        <v>173</v>
      </c>
      <c r="C16" s="29">
        <v>1501.7370756435801</v>
      </c>
      <c r="D16" s="29">
        <f>C16-1/6*$C$16</f>
        <v>1251.4475630363168</v>
      </c>
      <c r="E16" s="29">
        <f>D16-1/6*$C$16</f>
        <v>1001.1580504290534</v>
      </c>
      <c r="F16" s="29">
        <f>E16-1/6*$C$16</f>
        <v>750.86853782179014</v>
      </c>
      <c r="G16" s="29">
        <f t="shared" ref="G16" si="3">F16-1/6*$C$16</f>
        <v>500.57902521452684</v>
      </c>
      <c r="H16" s="29">
        <f>G16-1/6*$C$16</f>
        <v>250.2895126072635</v>
      </c>
      <c r="J16">
        <v>11</v>
      </c>
      <c r="K16" t="s">
        <v>174</v>
      </c>
      <c r="L16" t="s">
        <v>175</v>
      </c>
    </row>
    <row r="17" spans="2:12" x14ac:dyDescent="0.2">
      <c r="B17" t="s">
        <v>120</v>
      </c>
      <c r="C17" s="5">
        <f>+C6*C11</f>
        <v>0</v>
      </c>
      <c r="D17" s="5">
        <f>+D6*D11</f>
        <v>667.5</v>
      </c>
      <c r="E17" s="5">
        <f t="shared" ref="E17:H17" si="4">+E6*E11</f>
        <v>1450</v>
      </c>
      <c r="F17" s="5">
        <f>+F6*F11</f>
        <v>2340</v>
      </c>
      <c r="G17" s="5">
        <f t="shared" si="4"/>
        <v>3278.0864999999999</v>
      </c>
      <c r="H17" s="5">
        <f t="shared" si="4"/>
        <v>3443.9982817500004</v>
      </c>
      <c r="I17" s="5">
        <v>0</v>
      </c>
      <c r="J17">
        <v>12</v>
      </c>
      <c r="K17" t="s">
        <v>176</v>
      </c>
    </row>
    <row r="18" spans="2:12" x14ac:dyDescent="0.2">
      <c r="B18" s="22" t="s">
        <v>123</v>
      </c>
      <c r="C18" s="23">
        <f>+C6-C17+C16</f>
        <v>13501.737075643579</v>
      </c>
      <c r="D18" s="23">
        <f t="shared" ref="D18:I18" si="5">+D6-D17+D16</f>
        <v>13933.947563036316</v>
      </c>
      <c r="E18" s="23">
        <f t="shared" si="5"/>
        <v>14051.158050429054</v>
      </c>
      <c r="F18" s="23">
        <f t="shared" si="5"/>
        <v>14010.868537821791</v>
      </c>
      <c r="G18" s="23">
        <f t="shared" si="5"/>
        <v>13612.925025214527</v>
      </c>
      <c r="H18" s="23">
        <f>+H6-H17+H16</f>
        <v>14026.282639607263</v>
      </c>
      <c r="I18" s="23">
        <f t="shared" si="5"/>
        <v>18090.613483483125</v>
      </c>
      <c r="J18">
        <v>13</v>
      </c>
      <c r="K18" s="22" t="s">
        <v>177</v>
      </c>
      <c r="L18" t="s">
        <v>178</v>
      </c>
    </row>
    <row r="19" spans="2:12" x14ac:dyDescent="0.2">
      <c r="J19">
        <v>14</v>
      </c>
      <c r="K19" s="57" t="s">
        <v>179</v>
      </c>
    </row>
    <row r="20" spans="2:12" x14ac:dyDescent="0.2">
      <c r="J20">
        <v>15</v>
      </c>
      <c r="K20" t="s">
        <v>180</v>
      </c>
    </row>
    <row r="21" spans="2:12" x14ac:dyDescent="0.2">
      <c r="B21" t="s">
        <v>128</v>
      </c>
      <c r="C21" s="5">
        <f>+C22/(1-C14)</f>
        <v>2250</v>
      </c>
      <c r="D21" s="5">
        <f t="shared" ref="D21:H21" si="6">+D22/(1-D14)</f>
        <v>2536.875</v>
      </c>
      <c r="E21" s="5">
        <f t="shared" si="6"/>
        <v>2774.0625</v>
      </c>
      <c r="F21" s="5">
        <f t="shared" si="6"/>
        <v>2994.0625</v>
      </c>
      <c r="G21" s="5">
        <f t="shared" si="6"/>
        <v>3142.26859375</v>
      </c>
      <c r="H21" s="5">
        <f t="shared" si="6"/>
        <v>3297.8108891406246</v>
      </c>
      <c r="J21">
        <v>16</v>
      </c>
      <c r="K21" t="s">
        <v>181</v>
      </c>
    </row>
    <row r="22" spans="2:12" x14ac:dyDescent="0.2">
      <c r="B22" t="s">
        <v>63</v>
      </c>
      <c r="C22" s="5">
        <f>C8*C6</f>
        <v>1800</v>
      </c>
      <c r="D22" s="5">
        <f>+C22+C7*D9</f>
        <v>2029.5</v>
      </c>
      <c r="E22" s="5">
        <f>+D22+D7*E9</f>
        <v>2219.25</v>
      </c>
      <c r="F22" s="5">
        <f>+E22+E7*F9</f>
        <v>2395.25</v>
      </c>
      <c r="G22" s="5">
        <f>+F22+F7*G9</f>
        <v>2513.814875</v>
      </c>
      <c r="H22" s="5">
        <f>+G22+G7*H9</f>
        <v>2638.2487113124998</v>
      </c>
      <c r="J22">
        <v>17</v>
      </c>
      <c r="K22" t="s">
        <v>182</v>
      </c>
    </row>
    <row r="23" spans="2:12" x14ac:dyDescent="0.2">
      <c r="B23" t="s">
        <v>133</v>
      </c>
      <c r="C23" s="5"/>
      <c r="D23" s="5"/>
      <c r="E23" s="5"/>
      <c r="F23" s="5"/>
      <c r="G23" s="5"/>
      <c r="H23" s="5">
        <f>+I6*H15</f>
        <v>1809.0613483483125</v>
      </c>
      <c r="J23">
        <v>18</v>
      </c>
      <c r="K23" t="s">
        <v>131</v>
      </c>
    </row>
    <row r="24" spans="2:12" x14ac:dyDescent="0.2">
      <c r="B24" s="22" t="s">
        <v>183</v>
      </c>
      <c r="C24" s="23">
        <f>$C$16/6</f>
        <v>250.28951260726333</v>
      </c>
      <c r="D24" s="23">
        <f>$C$16/6</f>
        <v>250.28951260726333</v>
      </c>
      <c r="E24" s="23">
        <f t="shared" ref="E24:H24" si="7">$C$16/6</f>
        <v>250.28951260726333</v>
      </c>
      <c r="F24" s="23">
        <f t="shared" si="7"/>
        <v>250.28951260726333</v>
      </c>
      <c r="G24" s="23">
        <f t="shared" si="7"/>
        <v>250.28951260726333</v>
      </c>
      <c r="H24" s="23">
        <f t="shared" si="7"/>
        <v>250.28951260726333</v>
      </c>
      <c r="J24">
        <v>19</v>
      </c>
      <c r="K24" s="57" t="s">
        <v>184</v>
      </c>
    </row>
    <row r="25" spans="2:12" x14ac:dyDescent="0.2">
      <c r="B25" t="s">
        <v>136</v>
      </c>
      <c r="C25" s="23">
        <f>+C21-C23-C24</f>
        <v>1999.7104873927367</v>
      </c>
      <c r="D25" s="23">
        <f t="shared" ref="D25:H25" si="8">+D21-D23-D24</f>
        <v>2286.5854873927365</v>
      </c>
      <c r="E25" s="23">
        <f t="shared" si="8"/>
        <v>2523.7729873927365</v>
      </c>
      <c r="F25" s="23">
        <f t="shared" si="8"/>
        <v>2743.7729873927365</v>
      </c>
      <c r="G25" s="23">
        <f t="shared" si="8"/>
        <v>2891.9790811427365</v>
      </c>
      <c r="H25" s="23">
        <f t="shared" si="8"/>
        <v>1238.4600281850487</v>
      </c>
      <c r="J25">
        <v>20</v>
      </c>
      <c r="K25" t="s">
        <v>137</v>
      </c>
    </row>
    <row r="26" spans="2:12" x14ac:dyDescent="0.2">
      <c r="B26" t="s">
        <v>139</v>
      </c>
      <c r="C26" s="5">
        <f>+C25*(1-C14)</f>
        <v>1599.7683899141894</v>
      </c>
      <c r="D26" s="5">
        <f t="shared" ref="D26:H26" si="9">+D25*(1-D14)</f>
        <v>1829.2683899141894</v>
      </c>
      <c r="E26" s="5">
        <f t="shared" si="9"/>
        <v>2019.0183899141894</v>
      </c>
      <c r="F26" s="5">
        <f t="shared" si="9"/>
        <v>2195.0183899141894</v>
      </c>
      <c r="G26" s="5">
        <f t="shared" si="9"/>
        <v>2313.5832649141894</v>
      </c>
      <c r="H26" s="5">
        <f t="shared" si="9"/>
        <v>990.76802254803897</v>
      </c>
      <c r="J26">
        <v>21</v>
      </c>
      <c r="K26" t="s">
        <v>140</v>
      </c>
    </row>
    <row r="27" spans="2:12" x14ac:dyDescent="0.2">
      <c r="B27" t="s">
        <v>91</v>
      </c>
      <c r="C27" s="5">
        <f>+D6-C6</f>
        <v>1350</v>
      </c>
      <c r="D27" s="5">
        <f t="shared" ref="D27:H27" si="10">+E6-D6</f>
        <v>1150</v>
      </c>
      <c r="E27" s="5">
        <f t="shared" si="10"/>
        <v>1100</v>
      </c>
      <c r="F27" s="5">
        <f t="shared" si="10"/>
        <v>790.43249999999898</v>
      </c>
      <c r="G27" s="5">
        <f t="shared" si="10"/>
        <v>829.55890875000114</v>
      </c>
      <c r="H27" s="5">
        <f t="shared" si="10"/>
        <v>870.62207473312446</v>
      </c>
      <c r="J27">
        <v>22</v>
      </c>
      <c r="K27" t="s">
        <v>185</v>
      </c>
    </row>
    <row r="28" spans="2:12" x14ac:dyDescent="0.2">
      <c r="B28" s="22" t="s">
        <v>186</v>
      </c>
      <c r="C28" s="23">
        <f>+D16-C16</f>
        <v>-250.2895126072633</v>
      </c>
      <c r="D28" s="23">
        <f t="shared" ref="D28:H28" si="11">+E16-D16</f>
        <v>-250.2895126072633</v>
      </c>
      <c r="E28" s="23">
        <f t="shared" si="11"/>
        <v>-250.2895126072633</v>
      </c>
      <c r="F28" s="23">
        <f t="shared" si="11"/>
        <v>-250.2895126072633</v>
      </c>
      <c r="G28" s="23">
        <f t="shared" si="11"/>
        <v>-250.28951260726333</v>
      </c>
      <c r="H28" s="23">
        <f t="shared" si="11"/>
        <v>-250.2895126072635</v>
      </c>
      <c r="J28">
        <v>23</v>
      </c>
      <c r="K28" s="58" t="s">
        <v>187</v>
      </c>
    </row>
    <row r="29" spans="2:12" x14ac:dyDescent="0.2">
      <c r="B29" s="7" t="s">
        <v>75</v>
      </c>
      <c r="C29" s="25">
        <f>C26-C27-C28</f>
        <v>500.05790252145266</v>
      </c>
      <c r="D29" s="25">
        <f>D26-D27-D28</f>
        <v>929.55790252145266</v>
      </c>
      <c r="E29" s="25">
        <f t="shared" ref="E29:H29" si="12">E26-E27-E28</f>
        <v>1169.3079025214527</v>
      </c>
      <c r="F29" s="25">
        <f t="shared" si="12"/>
        <v>1654.8754025214537</v>
      </c>
      <c r="G29" s="25">
        <f t="shared" si="12"/>
        <v>1734.3138687714516</v>
      </c>
      <c r="H29" s="25">
        <f t="shared" si="12"/>
        <v>370.43546042217804</v>
      </c>
      <c r="J29">
        <v>24</v>
      </c>
      <c r="K29" s="58" t="s">
        <v>146</v>
      </c>
    </row>
    <row r="30" spans="2:12" x14ac:dyDescent="0.2">
      <c r="B30" t="s">
        <v>32</v>
      </c>
      <c r="C30" s="5">
        <f>C17*C12</f>
        <v>0</v>
      </c>
      <c r="D30" s="5">
        <f>D17*D12</f>
        <v>46.725000000000001</v>
      </c>
      <c r="E30" s="5">
        <f t="shared" ref="E30:H30" si="13">E17*E12</f>
        <v>101.50000000000001</v>
      </c>
      <c r="F30" s="5">
        <f t="shared" si="13"/>
        <v>163.80000000000001</v>
      </c>
      <c r="G30" s="5">
        <f t="shared" si="13"/>
        <v>229.46605500000001</v>
      </c>
      <c r="H30" s="5">
        <f t="shared" si="13"/>
        <v>241.07987972250004</v>
      </c>
      <c r="J30">
        <v>25</v>
      </c>
      <c r="K30" s="22" t="s">
        <v>188</v>
      </c>
    </row>
    <row r="31" spans="2:12" ht="15.75" customHeight="1" x14ac:dyDescent="0.2">
      <c r="B31" t="s">
        <v>148</v>
      </c>
      <c r="C31" s="5">
        <f>C30*C14</f>
        <v>0</v>
      </c>
      <c r="D31" s="5">
        <f t="shared" ref="D31:H31" si="14">D30*D14</f>
        <v>9.3450000000000006</v>
      </c>
      <c r="E31" s="5">
        <f t="shared" si="14"/>
        <v>20.300000000000004</v>
      </c>
      <c r="F31" s="5">
        <f t="shared" si="14"/>
        <v>32.760000000000005</v>
      </c>
      <c r="G31" s="5">
        <f t="shared" si="14"/>
        <v>45.893211000000008</v>
      </c>
      <c r="H31" s="5">
        <f t="shared" si="14"/>
        <v>48.215975944500009</v>
      </c>
      <c r="J31">
        <v>26</v>
      </c>
      <c r="K31" s="27" t="s">
        <v>189</v>
      </c>
    </row>
    <row r="32" spans="2:12" x14ac:dyDescent="0.2">
      <c r="B32" t="s">
        <v>151</v>
      </c>
      <c r="C32" s="6">
        <f>D17-C17</f>
        <v>667.5</v>
      </c>
      <c r="D32" s="6">
        <f t="shared" ref="D32:H32" si="15">E17-D17</f>
        <v>782.5</v>
      </c>
      <c r="E32" s="6">
        <f t="shared" si="15"/>
        <v>890</v>
      </c>
      <c r="F32" s="6">
        <f t="shared" si="15"/>
        <v>938.08649999999989</v>
      </c>
      <c r="G32" s="6">
        <f t="shared" si="15"/>
        <v>165.9117817500005</v>
      </c>
      <c r="H32" s="6">
        <f t="shared" si="15"/>
        <v>-3443.9982817500004</v>
      </c>
      <c r="I32" s="5" t="e">
        <f>#REF!-I17</f>
        <v>#REF!</v>
      </c>
      <c r="K32" s="27" t="s">
        <v>190</v>
      </c>
    </row>
    <row r="33" spans="1:11" x14ac:dyDescent="0.2">
      <c r="B33" s="7" t="s">
        <v>78</v>
      </c>
      <c r="C33" s="9">
        <f>+C29-C30+C31+C32</f>
        <v>1167.5579025214527</v>
      </c>
      <c r="D33" s="9">
        <f t="shared" ref="D33:H33" si="16">+D29-D30+D31+D32</f>
        <v>1674.6779025214528</v>
      </c>
      <c r="E33" s="9">
        <f t="shared" si="16"/>
        <v>1978.1079025214526</v>
      </c>
      <c r="F33" s="9">
        <f t="shared" si="16"/>
        <v>2461.9219025214534</v>
      </c>
      <c r="G33" s="9">
        <f t="shared" si="16"/>
        <v>1716.652806521452</v>
      </c>
      <c r="H33" s="9">
        <f t="shared" si="16"/>
        <v>-3266.4267251058222</v>
      </c>
      <c r="K33" s="27"/>
    </row>
    <row r="34" spans="1:11" x14ac:dyDescent="0.2">
      <c r="J34">
        <v>27</v>
      </c>
      <c r="K34" t="s">
        <v>191</v>
      </c>
    </row>
    <row r="35" spans="1:11" x14ac:dyDescent="0.2">
      <c r="A35" s="12"/>
      <c r="B35" t="s">
        <v>156</v>
      </c>
      <c r="C35" s="16">
        <f>C29+C31</f>
        <v>500.05790252145266</v>
      </c>
      <c r="D35" s="16">
        <f t="shared" ref="D35:H35" si="17">D29+D31</f>
        <v>938.90290252145269</v>
      </c>
      <c r="E35" s="16">
        <f t="shared" si="17"/>
        <v>1189.6079025214526</v>
      </c>
      <c r="F35" s="16">
        <f t="shared" si="17"/>
        <v>1687.6354025214537</v>
      </c>
      <c r="G35" s="16">
        <f t="shared" si="17"/>
        <v>1780.2070797714516</v>
      </c>
      <c r="H35" s="16">
        <f t="shared" si="17"/>
        <v>418.65143636667807</v>
      </c>
      <c r="J35">
        <v>28</v>
      </c>
      <c r="K35" t="s">
        <v>192</v>
      </c>
    </row>
    <row r="36" spans="1:11" x14ac:dyDescent="0.2">
      <c r="B36" s="17" t="s">
        <v>158</v>
      </c>
      <c r="C36" s="18">
        <f t="shared" ref="C36:G36" si="18">(D36+C35)/(1+C13)</f>
        <v>13501.737075643592</v>
      </c>
      <c r="D36" s="18">
        <f t="shared" si="18"/>
        <v>14621.887622199372</v>
      </c>
      <c r="E36" s="18">
        <f t="shared" si="18"/>
        <v>15437.611234341844</v>
      </c>
      <c r="F36" s="18">
        <f t="shared" si="18"/>
        <v>16100.516679941416</v>
      </c>
      <c r="G36" s="18">
        <f t="shared" si="18"/>
        <v>16344.943279012934</v>
      </c>
      <c r="H36" s="18">
        <f>(I36+H35)/(1+H13)</f>
        <v>16526.129392723036</v>
      </c>
      <c r="I36" s="18">
        <f>I18</f>
        <v>18090.613483483125</v>
      </c>
      <c r="K36" t="s">
        <v>78</v>
      </c>
    </row>
    <row r="37" spans="1:11" x14ac:dyDescent="0.2">
      <c r="B37" t="s">
        <v>90</v>
      </c>
      <c r="C37" s="5">
        <f>C6</f>
        <v>12000</v>
      </c>
      <c r="D37" s="5">
        <f t="shared" ref="D37:I37" si="19">D6</f>
        <v>13350</v>
      </c>
      <c r="E37" s="5">
        <f t="shared" si="19"/>
        <v>14500</v>
      </c>
      <c r="F37" s="5">
        <f t="shared" si="19"/>
        <v>15600</v>
      </c>
      <c r="G37" s="5">
        <f t="shared" si="19"/>
        <v>16390.432499999999</v>
      </c>
      <c r="H37" s="5">
        <f t="shared" si="19"/>
        <v>17219.99140875</v>
      </c>
      <c r="I37" s="5">
        <f t="shared" si="19"/>
        <v>18090.613483483125</v>
      </c>
      <c r="K37" t="s">
        <v>153</v>
      </c>
    </row>
    <row r="38" spans="1:11" x14ac:dyDescent="0.2">
      <c r="B38" s="22" t="s">
        <v>193</v>
      </c>
      <c r="C38" s="26">
        <f>C16</f>
        <v>1501.7370756435801</v>
      </c>
      <c r="J38">
        <v>30</v>
      </c>
      <c r="K38" t="s">
        <v>194</v>
      </c>
    </row>
    <row r="39" spans="1:11" x14ac:dyDescent="0.2">
      <c r="A39" s="11"/>
      <c r="B39" s="27" t="s">
        <v>195</v>
      </c>
      <c r="C39" s="28">
        <f>C36-C37-C38</f>
        <v>1.2050804798491299E-11</v>
      </c>
      <c r="D39" s="16"/>
      <c r="E39" s="16"/>
      <c r="F39" s="16"/>
      <c r="G39" s="16"/>
      <c r="H39" s="16"/>
      <c r="I39" s="16"/>
      <c r="K39" t="s">
        <v>157</v>
      </c>
    </row>
    <row r="40" spans="1:11" x14ac:dyDescent="0.2">
      <c r="J40">
        <v>31</v>
      </c>
      <c r="K40" s="58" t="s">
        <v>196</v>
      </c>
    </row>
    <row r="41" spans="1:11" x14ac:dyDescent="0.2">
      <c r="J41">
        <v>32</v>
      </c>
      <c r="K41" t="s">
        <v>197</v>
      </c>
    </row>
    <row r="42" spans="1:11" x14ac:dyDescent="0.2">
      <c r="B42" t="s">
        <v>162</v>
      </c>
      <c r="C42" s="2">
        <f>+C17/C36</f>
        <v>0</v>
      </c>
      <c r="D42" s="2">
        <f>+D17/D36</f>
        <v>4.5650740673631097E-2</v>
      </c>
      <c r="E42" s="2">
        <f t="shared" ref="E42:H42" si="20">+E17/E36</f>
        <v>9.3926448722480627E-2</v>
      </c>
      <c r="F42" s="2">
        <f t="shared" si="20"/>
        <v>0.14533695076476977</v>
      </c>
      <c r="G42" s="2">
        <f t="shared" si="20"/>
        <v>0.20055661521989462</v>
      </c>
      <c r="H42" s="2">
        <f t="shared" si="20"/>
        <v>0.20839715095456646</v>
      </c>
      <c r="I42" s="21"/>
      <c r="J42">
        <v>33</v>
      </c>
      <c r="K42" s="30" t="s">
        <v>198</v>
      </c>
    </row>
    <row r="43" spans="1:11" x14ac:dyDescent="0.2">
      <c r="B43" t="s">
        <v>163</v>
      </c>
      <c r="C43" s="2">
        <f>+(C13-C12*C42)/(1-C42)</f>
        <v>0.12</v>
      </c>
      <c r="D43" s="2">
        <f t="shared" ref="D43:H43" si="21">+(D13-D12*D42)/(1-D42)</f>
        <v>0.12239172086254113</v>
      </c>
      <c r="E43" s="2">
        <f t="shared" si="21"/>
        <v>0.12518315806647534</v>
      </c>
      <c r="F43" s="2">
        <f>+(F13-F12*F42)/(1-F42)</f>
        <v>0.12850258770955525</v>
      </c>
      <c r="G43" s="2">
        <f t="shared" si="21"/>
        <v>0.13254351584102855</v>
      </c>
      <c r="H43" s="2">
        <f t="shared" si="21"/>
        <v>0.13316298641458058</v>
      </c>
      <c r="I43" s="21"/>
      <c r="J43">
        <v>34</v>
      </c>
      <c r="K43" s="32" t="s">
        <v>199</v>
      </c>
    </row>
    <row r="44" spans="1:11" x14ac:dyDescent="0.2">
      <c r="J44">
        <v>35</v>
      </c>
      <c r="K44" s="32" t="s">
        <v>200</v>
      </c>
    </row>
    <row r="45" spans="1:11" x14ac:dyDescent="0.2">
      <c r="A45" s="12"/>
      <c r="B45" t="s">
        <v>78</v>
      </c>
      <c r="C45" s="16">
        <f>+C33</f>
        <v>1167.5579025214527</v>
      </c>
      <c r="D45" s="16">
        <f t="shared" ref="D45:H45" si="22">+D33</f>
        <v>1674.6779025214528</v>
      </c>
      <c r="E45" s="16">
        <f t="shared" si="22"/>
        <v>1978.1079025214526</v>
      </c>
      <c r="F45" s="16">
        <f t="shared" si="22"/>
        <v>2461.9219025214534</v>
      </c>
      <c r="G45" s="16">
        <f t="shared" si="22"/>
        <v>1716.652806521452</v>
      </c>
      <c r="H45" s="16">
        <f t="shared" si="22"/>
        <v>-3266.4267251058222</v>
      </c>
      <c r="J45">
        <v>36</v>
      </c>
      <c r="K45" s="27" t="s">
        <v>201</v>
      </c>
    </row>
    <row r="46" spans="1:11" x14ac:dyDescent="0.2">
      <c r="B46" t="s">
        <v>165</v>
      </c>
      <c r="C46" s="5">
        <f>+(C45+D46)/(1+C43)</f>
        <v>13501.737075643596</v>
      </c>
      <c r="D46" s="5">
        <f t="shared" ref="D46:G46" si="23">+(D45+E46)/(1+D43)</f>
        <v>13954.387622199376</v>
      </c>
      <c r="E46" s="5">
        <f t="shared" si="23"/>
        <v>13987.611234341848</v>
      </c>
      <c r="F46" s="5">
        <f t="shared" si="23"/>
        <v>13760.516679941416</v>
      </c>
      <c r="G46" s="5">
        <f t="shared" si="23"/>
        <v>13066.856779012935</v>
      </c>
      <c r="H46" s="5">
        <f>+(H45+I46)/(1+H43)</f>
        <v>13082.131110973036</v>
      </c>
      <c r="I46" s="5">
        <f>I36</f>
        <v>18090.613483483125</v>
      </c>
      <c r="J46">
        <v>37</v>
      </c>
      <c r="K46" t="s">
        <v>202</v>
      </c>
    </row>
    <row r="47" spans="1:11" x14ac:dyDescent="0.2">
      <c r="B47" s="17" t="s">
        <v>158</v>
      </c>
      <c r="C47" s="18">
        <f>+C46+C17</f>
        <v>13501.737075643596</v>
      </c>
      <c r="D47" s="18">
        <f t="shared" ref="D47:I47" si="24">+D46+D17</f>
        <v>14621.887622199376</v>
      </c>
      <c r="E47" s="18">
        <f t="shared" si="24"/>
        <v>15437.611234341848</v>
      </c>
      <c r="F47" s="18">
        <f t="shared" si="24"/>
        <v>16100.516679941416</v>
      </c>
      <c r="G47" s="18">
        <f t="shared" si="24"/>
        <v>16344.943279012934</v>
      </c>
      <c r="H47" s="18">
        <f t="shared" si="24"/>
        <v>16526.129392723036</v>
      </c>
      <c r="I47" s="18">
        <f t="shared" si="24"/>
        <v>18090.613483483125</v>
      </c>
    </row>
    <row r="48" spans="1:11" x14ac:dyDescent="0.2">
      <c r="B48" t="s">
        <v>166</v>
      </c>
      <c r="C48" s="16">
        <f>+C47-C36</f>
        <v>0</v>
      </c>
      <c r="D48" s="16">
        <f t="shared" ref="D48:I48" si="25">+D47-D36</f>
        <v>0</v>
      </c>
      <c r="E48" s="16">
        <f t="shared" si="25"/>
        <v>0</v>
      </c>
      <c r="F48" s="16">
        <f t="shared" si="25"/>
        <v>0</v>
      </c>
      <c r="G48" s="16">
        <f t="shared" si="25"/>
        <v>0</v>
      </c>
      <c r="H48" s="16">
        <f t="shared" si="25"/>
        <v>0</v>
      </c>
      <c r="I48" s="16">
        <f t="shared" si="25"/>
        <v>0</v>
      </c>
    </row>
    <row r="51" spans="2:9" x14ac:dyDescent="0.2">
      <c r="B51" t="s">
        <v>203</v>
      </c>
      <c r="C51" s="5">
        <f>C24*C14</f>
        <v>50.057902521452668</v>
      </c>
      <c r="D51" s="5">
        <f t="shared" ref="D51:H51" si="26">D24*D14</f>
        <v>50.057902521452668</v>
      </c>
      <c r="E51" s="5">
        <f t="shared" si="26"/>
        <v>50.057902521452668</v>
      </c>
      <c r="F51" s="5">
        <f t="shared" si="26"/>
        <v>50.057902521452668</v>
      </c>
      <c r="G51" s="5">
        <f t="shared" si="26"/>
        <v>50.057902521452668</v>
      </c>
      <c r="H51" s="5">
        <f t="shared" si="26"/>
        <v>50.057902521452668</v>
      </c>
      <c r="I51" s="5"/>
    </row>
    <row r="52" spans="2:9" x14ac:dyDescent="0.2">
      <c r="B52" s="30" t="s">
        <v>204</v>
      </c>
      <c r="C52" s="31">
        <f>+(C51+D52)/(1+C13)</f>
        <v>205.80842702686715</v>
      </c>
      <c r="D52" s="5">
        <f t="shared" ref="D52:G52" si="27">+(D51+E52)/(1+D13)</f>
        <v>180.44753574863856</v>
      </c>
      <c r="E52" s="5">
        <f t="shared" si="27"/>
        <v>152.04333751702254</v>
      </c>
      <c r="F52" s="5">
        <f t="shared" si="27"/>
        <v>120.23063549761257</v>
      </c>
      <c r="G52" s="5">
        <f t="shared" si="27"/>
        <v>84.600409235873428</v>
      </c>
      <c r="H52" s="5">
        <f>+(H51+I52)/(1+H13)</f>
        <v>44.69455582272559</v>
      </c>
      <c r="I52" s="5">
        <v>0</v>
      </c>
    </row>
    <row r="53" spans="2:9" x14ac:dyDescent="0.2">
      <c r="C53" s="5"/>
    </row>
    <row r="54" spans="2:9" x14ac:dyDescent="0.2">
      <c r="B54" s="32" t="s">
        <v>205</v>
      </c>
      <c r="C54" s="37">
        <f>S3_Moving_Q1!C37</f>
        <v>1295.9286486167221</v>
      </c>
    </row>
    <row r="55" spans="2:9" x14ac:dyDescent="0.2">
      <c r="B55" s="32" t="s">
        <v>206</v>
      </c>
      <c r="C55" s="37">
        <f>C16</f>
        <v>1501.7370756435801</v>
      </c>
    </row>
    <row r="56" spans="2:9" x14ac:dyDescent="0.2">
      <c r="B56" s="27" t="s">
        <v>207</v>
      </c>
      <c r="C56" s="29">
        <f>C55-C54</f>
        <v>205.808427026858</v>
      </c>
    </row>
    <row r="57" spans="2:9" x14ac:dyDescent="0.2">
      <c r="B57" t="s">
        <v>166</v>
      </c>
      <c r="C57" s="5">
        <f>C56-C52</f>
        <v>-9.1517904365900904E-12</v>
      </c>
    </row>
  </sheetData>
  <mergeCells count="1">
    <mergeCell ref="K9:K12"/>
  </mergeCell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EC74B-4266-4F6C-B546-EDF99527F3A5}">
  <sheetPr>
    <tabColor rgb="FFCCFF99"/>
  </sheetPr>
  <dimension ref="A5:M58"/>
  <sheetViews>
    <sheetView workbookViewId="0">
      <selection activeCell="C43" sqref="C43"/>
    </sheetView>
  </sheetViews>
  <sheetFormatPr baseColWidth="10" defaultColWidth="8.83203125" defaultRowHeight="16" x14ac:dyDescent="0.2"/>
  <cols>
    <col min="1" max="1" width="6.1640625" style="10" customWidth="1"/>
    <col min="2" max="2" width="28.5" bestFit="1" customWidth="1"/>
    <col min="3" max="3" width="12.6640625" bestFit="1" customWidth="1"/>
    <col min="4" max="8" width="10.33203125" bestFit="1" customWidth="1"/>
    <col min="9" max="9" width="10.1640625" bestFit="1" customWidth="1"/>
    <col min="12" max="12" width="38.1640625" customWidth="1"/>
    <col min="13" max="13" width="20.5" customWidth="1"/>
  </cols>
  <sheetData>
    <row r="5" spans="2:13" x14ac:dyDescent="0.2">
      <c r="C5" s="15">
        <v>2024</v>
      </c>
      <c r="D5" s="1">
        <f>+C5+1</f>
        <v>2025</v>
      </c>
      <c r="E5" s="1">
        <f t="shared" ref="E5:H5" si="0">+D5+1</f>
        <v>2026</v>
      </c>
      <c r="F5" s="1">
        <f t="shared" si="0"/>
        <v>2027</v>
      </c>
      <c r="G5" s="1">
        <f t="shared" si="0"/>
        <v>2028</v>
      </c>
      <c r="H5" s="1">
        <f t="shared" si="0"/>
        <v>2029</v>
      </c>
      <c r="L5" t="s">
        <v>167</v>
      </c>
    </row>
    <row r="6" spans="2:13" x14ac:dyDescent="0.2">
      <c r="B6" t="s">
        <v>90</v>
      </c>
      <c r="C6" s="24">
        <v>12000</v>
      </c>
      <c r="D6" s="5">
        <f>C6+C7</f>
        <v>13350</v>
      </c>
      <c r="E6" s="5">
        <f t="shared" ref="E6:H6" si="1">D6+D7</f>
        <v>14500</v>
      </c>
      <c r="F6" s="5">
        <f t="shared" si="1"/>
        <v>15600</v>
      </c>
      <c r="G6" s="5">
        <f t="shared" si="1"/>
        <v>16390.432499999999</v>
      </c>
      <c r="H6" s="5">
        <f t="shared" si="1"/>
        <v>17219.99140875</v>
      </c>
      <c r="I6" s="5">
        <f>H6+H7</f>
        <v>18090.613483483125</v>
      </c>
      <c r="L6" t="s">
        <v>168</v>
      </c>
      <c r="M6" t="s">
        <v>99</v>
      </c>
    </row>
    <row r="7" spans="2:13" x14ac:dyDescent="0.2">
      <c r="B7" t="s">
        <v>101</v>
      </c>
      <c r="C7" s="24">
        <v>1350</v>
      </c>
      <c r="D7" s="24">
        <v>1150</v>
      </c>
      <c r="E7" s="24">
        <v>1100</v>
      </c>
      <c r="F7" s="5">
        <f>F22*F10</f>
        <v>790.4325</v>
      </c>
      <c r="G7" s="5">
        <f t="shared" ref="G7:H7" si="2">G22*G10</f>
        <v>829.55890875</v>
      </c>
      <c r="H7" s="5">
        <f t="shared" si="2"/>
        <v>870.62207473312503</v>
      </c>
      <c r="I7" s="5"/>
      <c r="L7" t="s">
        <v>102</v>
      </c>
      <c r="M7" t="s">
        <v>103</v>
      </c>
    </row>
    <row r="8" spans="2:13" ht="34" x14ac:dyDescent="0.2">
      <c r="B8" t="s">
        <v>93</v>
      </c>
      <c r="C8" s="13">
        <v>0.15</v>
      </c>
      <c r="D8" s="2"/>
      <c r="E8" s="2"/>
      <c r="F8" s="2"/>
      <c r="G8" s="2"/>
      <c r="H8" s="2"/>
      <c r="L8" t="s">
        <v>104</v>
      </c>
      <c r="M8" s="56" t="s">
        <v>105</v>
      </c>
    </row>
    <row r="9" spans="2:13" x14ac:dyDescent="0.2">
      <c r="B9" t="s">
        <v>94</v>
      </c>
      <c r="C9" s="2"/>
      <c r="D9" s="13">
        <v>0.17</v>
      </c>
      <c r="E9" s="13">
        <v>0.16500000000000001</v>
      </c>
      <c r="F9" s="13">
        <v>0.16</v>
      </c>
      <c r="G9" s="13">
        <v>0.15</v>
      </c>
      <c r="H9" s="13">
        <v>0.15</v>
      </c>
      <c r="L9" s="55" t="s">
        <v>106</v>
      </c>
      <c r="M9" s="56"/>
    </row>
    <row r="10" spans="2:13" x14ac:dyDescent="0.2">
      <c r="B10" t="s">
        <v>95</v>
      </c>
      <c r="C10" s="2"/>
      <c r="D10" s="2"/>
      <c r="E10" s="2"/>
      <c r="F10" s="13">
        <v>0.33</v>
      </c>
      <c r="G10" s="13">
        <v>0.33</v>
      </c>
      <c r="H10" s="13">
        <v>0.33</v>
      </c>
      <c r="L10" t="s">
        <v>107</v>
      </c>
      <c r="M10" t="s">
        <v>108</v>
      </c>
    </row>
    <row r="11" spans="2:13" x14ac:dyDescent="0.2">
      <c r="B11" t="s">
        <v>109</v>
      </c>
      <c r="C11" s="13">
        <v>0</v>
      </c>
      <c r="D11" s="13">
        <v>0.05</v>
      </c>
      <c r="E11" s="13">
        <v>0.1</v>
      </c>
      <c r="F11" s="13">
        <v>0.15</v>
      </c>
      <c r="G11" s="13">
        <v>0.2</v>
      </c>
      <c r="H11" s="13">
        <v>0.2</v>
      </c>
      <c r="L11" t="s">
        <v>110</v>
      </c>
      <c r="M11" t="s">
        <v>108</v>
      </c>
    </row>
    <row r="12" spans="2:13" x14ac:dyDescent="0.2">
      <c r="B12" t="s">
        <v>57</v>
      </c>
      <c r="C12" s="3"/>
      <c r="D12" s="14">
        <v>7.0000000000000007E-2</v>
      </c>
      <c r="E12" s="14">
        <v>7.0000000000000007E-2</v>
      </c>
      <c r="F12" s="14">
        <v>7.0000000000000007E-2</v>
      </c>
      <c r="G12" s="14">
        <v>7.0000000000000007E-2</v>
      </c>
      <c r="H12" s="14">
        <v>7.0000000000000007E-2</v>
      </c>
      <c r="L12" t="s">
        <v>114</v>
      </c>
    </row>
    <row r="13" spans="2:13" ht="15.75" customHeight="1" x14ac:dyDescent="0.2">
      <c r="B13" t="s">
        <v>112</v>
      </c>
      <c r="C13" s="14">
        <v>0.12</v>
      </c>
      <c r="D13" s="14">
        <v>0.12</v>
      </c>
      <c r="E13" s="14">
        <v>0.12</v>
      </c>
      <c r="F13" s="14">
        <v>0.12</v>
      </c>
      <c r="G13" s="14">
        <v>0.12</v>
      </c>
      <c r="H13" s="14">
        <v>0.12</v>
      </c>
      <c r="L13" t="s">
        <v>208</v>
      </c>
    </row>
    <row r="14" spans="2:13" ht="15.75" customHeight="1" x14ac:dyDescent="0.2">
      <c r="B14" t="s">
        <v>58</v>
      </c>
      <c r="C14" s="14">
        <v>0.2</v>
      </c>
      <c r="D14" s="14">
        <v>0.2</v>
      </c>
      <c r="E14" s="14">
        <v>0.2</v>
      </c>
      <c r="F14" s="14">
        <v>0.2</v>
      </c>
      <c r="G14" s="14">
        <v>0.2</v>
      </c>
      <c r="H14" s="14">
        <v>0.2</v>
      </c>
      <c r="K14">
        <v>9</v>
      </c>
      <c r="L14" s="61" t="s">
        <v>209</v>
      </c>
      <c r="M14" t="s">
        <v>175</v>
      </c>
    </row>
    <row r="15" spans="2:13" x14ac:dyDescent="0.2">
      <c r="B15" t="s">
        <v>116</v>
      </c>
      <c r="C15" s="4"/>
      <c r="D15" s="4"/>
      <c r="E15" s="4"/>
      <c r="F15" s="4"/>
      <c r="G15" s="4"/>
      <c r="H15" s="14">
        <v>0.1</v>
      </c>
      <c r="L15" s="22" t="s">
        <v>170</v>
      </c>
      <c r="M15" t="s">
        <v>115</v>
      </c>
    </row>
    <row r="16" spans="2:13" x14ac:dyDescent="0.2">
      <c r="B16" s="27" t="s">
        <v>173</v>
      </c>
      <c r="C16" s="29">
        <v>0</v>
      </c>
      <c r="D16" s="29">
        <f>C16-1/6*$C$16</f>
        <v>0</v>
      </c>
      <c r="E16" s="29">
        <f t="shared" ref="E16:H16" si="3">D16-1/6*$C$16</f>
        <v>0</v>
      </c>
      <c r="F16" s="29">
        <f t="shared" si="3"/>
        <v>0</v>
      </c>
      <c r="G16" s="29">
        <f t="shared" si="3"/>
        <v>0</v>
      </c>
      <c r="H16" s="29">
        <f t="shared" si="3"/>
        <v>0</v>
      </c>
      <c r="L16" s="22" t="s">
        <v>171</v>
      </c>
    </row>
    <row r="17" spans="2:13" x14ac:dyDescent="0.2">
      <c r="B17" t="s">
        <v>120</v>
      </c>
      <c r="C17" s="5">
        <f>+C6*C11</f>
        <v>0</v>
      </c>
      <c r="D17" s="5">
        <f>+D6*D11</f>
        <v>667.5</v>
      </c>
      <c r="E17" s="5">
        <f t="shared" ref="E17:H17" si="4">+E6*E11</f>
        <v>1450</v>
      </c>
      <c r="F17" s="5">
        <f t="shared" si="4"/>
        <v>2340</v>
      </c>
      <c r="G17" s="5">
        <f t="shared" si="4"/>
        <v>3278.0864999999999</v>
      </c>
      <c r="H17" s="5">
        <f t="shared" si="4"/>
        <v>3443.9982817500004</v>
      </c>
      <c r="I17" s="5">
        <v>0</v>
      </c>
      <c r="L17" t="s">
        <v>210</v>
      </c>
    </row>
    <row r="18" spans="2:13" x14ac:dyDescent="0.2">
      <c r="B18" t="s">
        <v>123</v>
      </c>
      <c r="C18" s="5">
        <f>+C6-C17</f>
        <v>12000</v>
      </c>
      <c r="D18" s="5">
        <f t="shared" ref="D18:I18" si="5">+D6-D17</f>
        <v>12682.5</v>
      </c>
      <c r="E18" s="5">
        <f t="shared" si="5"/>
        <v>13050</v>
      </c>
      <c r="F18" s="5">
        <f t="shared" si="5"/>
        <v>13260</v>
      </c>
      <c r="G18" s="5">
        <f t="shared" si="5"/>
        <v>13112.346</v>
      </c>
      <c r="H18" s="5">
        <f t="shared" si="5"/>
        <v>13775.993127</v>
      </c>
      <c r="I18" s="5">
        <f t="shared" si="5"/>
        <v>18090.613483483125</v>
      </c>
      <c r="L18" t="s">
        <v>174</v>
      </c>
    </row>
    <row r="19" spans="2:13" x14ac:dyDescent="0.2">
      <c r="L19" t="s">
        <v>176</v>
      </c>
    </row>
    <row r="20" spans="2:13" x14ac:dyDescent="0.2">
      <c r="K20">
        <v>10</v>
      </c>
      <c r="L20" s="22" t="s">
        <v>211</v>
      </c>
    </row>
    <row r="21" spans="2:13" x14ac:dyDescent="0.2">
      <c r="B21" t="s">
        <v>128</v>
      </c>
      <c r="C21" s="5">
        <f>+C22/(1-C14)</f>
        <v>2250</v>
      </c>
      <c r="D21" s="5">
        <f t="shared" ref="D21:H21" si="6">+D22/(1-D14)</f>
        <v>2536.875</v>
      </c>
      <c r="E21" s="5">
        <f t="shared" si="6"/>
        <v>2774.0625</v>
      </c>
      <c r="F21" s="5">
        <f t="shared" si="6"/>
        <v>2994.0625</v>
      </c>
      <c r="G21" s="5">
        <f t="shared" si="6"/>
        <v>3142.26859375</v>
      </c>
      <c r="H21" s="5">
        <f t="shared" si="6"/>
        <v>3297.8108891406246</v>
      </c>
      <c r="K21">
        <v>11</v>
      </c>
      <c r="L21" s="57" t="s">
        <v>179</v>
      </c>
      <c r="M21" t="s">
        <v>175</v>
      </c>
    </row>
    <row r="22" spans="2:13" x14ac:dyDescent="0.2">
      <c r="B22" t="s">
        <v>63</v>
      </c>
      <c r="C22" s="5">
        <f>C8*C6</f>
        <v>1800</v>
      </c>
      <c r="D22" s="5">
        <f>+C22+C7*D9</f>
        <v>2029.5</v>
      </c>
      <c r="E22" s="5">
        <f>+D22+D7*E9</f>
        <v>2219.25</v>
      </c>
      <c r="F22" s="5">
        <f>+E22+E7*F9</f>
        <v>2395.25</v>
      </c>
      <c r="G22" s="5">
        <f>+F22+F7*G9</f>
        <v>2513.814875</v>
      </c>
      <c r="H22" s="5">
        <f>+G22+G7*H9</f>
        <v>2638.2487113124998</v>
      </c>
      <c r="K22">
        <v>12</v>
      </c>
      <c r="L22" t="s">
        <v>180</v>
      </c>
    </row>
    <row r="23" spans="2:13" x14ac:dyDescent="0.2">
      <c r="B23" t="s">
        <v>133</v>
      </c>
      <c r="C23" s="5"/>
      <c r="D23" s="5"/>
      <c r="E23" s="5"/>
      <c r="F23" s="5"/>
      <c r="G23" s="5"/>
      <c r="H23" s="5">
        <f>+I6*H15</f>
        <v>1809.0613483483125</v>
      </c>
      <c r="K23">
        <v>13</v>
      </c>
      <c r="L23" t="s">
        <v>181</v>
      </c>
      <c r="M23" t="s">
        <v>178</v>
      </c>
    </row>
    <row r="24" spans="2:13" x14ac:dyDescent="0.2">
      <c r="B24" s="39" t="s">
        <v>212</v>
      </c>
      <c r="C24" s="40">
        <v>394.00397073357902</v>
      </c>
      <c r="D24" s="40">
        <f>+C24</f>
        <v>394.00397073357902</v>
      </c>
      <c r="E24" s="40">
        <f t="shared" ref="E24:H24" si="7">+D24</f>
        <v>394.00397073357902</v>
      </c>
      <c r="F24" s="40">
        <f t="shared" si="7"/>
        <v>394.00397073357902</v>
      </c>
      <c r="G24" s="40">
        <f t="shared" si="7"/>
        <v>394.00397073357902</v>
      </c>
      <c r="H24" s="40">
        <f t="shared" si="7"/>
        <v>394.00397073357902</v>
      </c>
      <c r="K24">
        <v>14</v>
      </c>
      <c r="L24" t="s">
        <v>182</v>
      </c>
    </row>
    <row r="25" spans="2:13" x14ac:dyDescent="0.2">
      <c r="B25" t="s">
        <v>136</v>
      </c>
      <c r="C25" s="38">
        <f>+C21-C23-C24</f>
        <v>1855.9960292664209</v>
      </c>
      <c r="D25" s="38">
        <f t="shared" ref="D25:H25" si="8">+D21-D23-D24</f>
        <v>2142.8710292664209</v>
      </c>
      <c r="E25" s="38">
        <f t="shared" si="8"/>
        <v>2380.0585292664209</v>
      </c>
      <c r="F25" s="38">
        <f t="shared" si="8"/>
        <v>2600.0585292664209</v>
      </c>
      <c r="G25" s="38">
        <f t="shared" si="8"/>
        <v>2748.264623016421</v>
      </c>
      <c r="H25" s="38">
        <f t="shared" si="8"/>
        <v>1094.7455700587329</v>
      </c>
      <c r="K25">
        <v>15</v>
      </c>
      <c r="L25" t="s">
        <v>131</v>
      </c>
    </row>
    <row r="26" spans="2:13" x14ac:dyDescent="0.2">
      <c r="B26" t="s">
        <v>139</v>
      </c>
      <c r="C26" s="5">
        <f>+C25*(1-C14)</f>
        <v>1484.7968234131367</v>
      </c>
      <c r="D26" s="5">
        <f t="shared" ref="D26:H26" si="9">+D25*(1-D14)</f>
        <v>1714.2968234131367</v>
      </c>
      <c r="E26" s="5">
        <f t="shared" si="9"/>
        <v>1904.0468234131367</v>
      </c>
      <c r="F26" s="5">
        <f t="shared" si="9"/>
        <v>2080.0468234131367</v>
      </c>
      <c r="G26" s="5">
        <f t="shared" si="9"/>
        <v>2198.6116984131368</v>
      </c>
      <c r="H26" s="5">
        <f t="shared" si="9"/>
        <v>875.79645604698635</v>
      </c>
      <c r="K26">
        <v>16</v>
      </c>
      <c r="L26" s="57" t="s">
        <v>184</v>
      </c>
    </row>
    <row r="27" spans="2:13" x14ac:dyDescent="0.2">
      <c r="B27" t="s">
        <v>91</v>
      </c>
      <c r="C27" s="5">
        <f t="shared" ref="C27:H27" si="10">+D6-C6</f>
        <v>1350</v>
      </c>
      <c r="D27" s="5">
        <f t="shared" si="10"/>
        <v>1150</v>
      </c>
      <c r="E27" s="5">
        <f t="shared" si="10"/>
        <v>1100</v>
      </c>
      <c r="F27" s="5">
        <f t="shared" si="10"/>
        <v>790.43249999999898</v>
      </c>
      <c r="G27" s="5">
        <f t="shared" si="10"/>
        <v>829.55890875000114</v>
      </c>
      <c r="H27" s="5">
        <f t="shared" si="10"/>
        <v>870.62207473312446</v>
      </c>
      <c r="K27">
        <v>17</v>
      </c>
      <c r="L27" t="s">
        <v>137</v>
      </c>
    </row>
    <row r="28" spans="2:13" x14ac:dyDescent="0.2">
      <c r="B28" s="22" t="s">
        <v>186</v>
      </c>
      <c r="C28" s="23">
        <f>+D16-C16</f>
        <v>0</v>
      </c>
      <c r="D28" s="23">
        <f t="shared" ref="D28:H28" si="11">+E16-D16</f>
        <v>0</v>
      </c>
      <c r="E28" s="23">
        <f t="shared" si="11"/>
        <v>0</v>
      </c>
      <c r="F28" s="23">
        <f t="shared" si="11"/>
        <v>0</v>
      </c>
      <c r="G28" s="23">
        <f t="shared" si="11"/>
        <v>0</v>
      </c>
      <c r="H28" s="23">
        <f t="shared" si="11"/>
        <v>0</v>
      </c>
      <c r="K28">
        <v>18</v>
      </c>
      <c r="L28" t="s">
        <v>140</v>
      </c>
    </row>
    <row r="29" spans="2:13" x14ac:dyDescent="0.2">
      <c r="B29" s="7" t="s">
        <v>75</v>
      </c>
      <c r="C29" s="8">
        <f>C26-C27-C28</f>
        <v>134.79682341313674</v>
      </c>
      <c r="D29" s="8">
        <f t="shared" ref="D29:H29" si="12">D26-D27-D28</f>
        <v>564.29682341313674</v>
      </c>
      <c r="E29" s="8">
        <f t="shared" si="12"/>
        <v>804.04682341313674</v>
      </c>
      <c r="F29" s="8">
        <f t="shared" si="12"/>
        <v>1289.6143234131378</v>
      </c>
      <c r="G29" s="8">
        <f t="shared" si="12"/>
        <v>1369.0527896631356</v>
      </c>
      <c r="H29" s="8">
        <f t="shared" si="12"/>
        <v>5.1743813138618862</v>
      </c>
      <c r="K29">
        <v>19</v>
      </c>
      <c r="L29" t="s">
        <v>185</v>
      </c>
    </row>
    <row r="30" spans="2:13" x14ac:dyDescent="0.2">
      <c r="B30" t="s">
        <v>32</v>
      </c>
      <c r="C30" s="5">
        <f t="shared" ref="C30:H30" si="13">C17*C12</f>
        <v>0</v>
      </c>
      <c r="D30" s="5">
        <f t="shared" si="13"/>
        <v>46.725000000000001</v>
      </c>
      <c r="E30" s="5">
        <f t="shared" si="13"/>
        <v>101.50000000000001</v>
      </c>
      <c r="F30" s="5">
        <f t="shared" si="13"/>
        <v>163.80000000000001</v>
      </c>
      <c r="G30" s="5">
        <f t="shared" si="13"/>
        <v>229.46605500000001</v>
      </c>
      <c r="H30" s="5">
        <f t="shared" si="13"/>
        <v>241.07987972250004</v>
      </c>
      <c r="K30">
        <v>20</v>
      </c>
      <c r="L30" s="58" t="s">
        <v>187</v>
      </c>
    </row>
    <row r="31" spans="2:13" x14ac:dyDescent="0.2">
      <c r="B31" t="s">
        <v>148</v>
      </c>
      <c r="C31" s="5">
        <f t="shared" ref="C31:H31" si="14">C30*C14</f>
        <v>0</v>
      </c>
      <c r="D31" s="5">
        <f t="shared" si="14"/>
        <v>9.3450000000000006</v>
      </c>
      <c r="E31" s="5">
        <f t="shared" si="14"/>
        <v>20.300000000000004</v>
      </c>
      <c r="F31" s="5">
        <f t="shared" si="14"/>
        <v>32.760000000000005</v>
      </c>
      <c r="G31" s="5">
        <f t="shared" si="14"/>
        <v>45.893211000000008</v>
      </c>
      <c r="H31" s="5">
        <f t="shared" si="14"/>
        <v>48.215975944500009</v>
      </c>
      <c r="K31">
        <v>21</v>
      </c>
      <c r="L31" s="58" t="s">
        <v>146</v>
      </c>
    </row>
    <row r="32" spans="2:13" x14ac:dyDescent="0.2">
      <c r="B32" t="s">
        <v>151</v>
      </c>
      <c r="C32" s="6">
        <f t="shared" ref="C32:I32" si="15">D17-C17</f>
        <v>667.5</v>
      </c>
      <c r="D32" s="6">
        <f>E17-D17</f>
        <v>782.5</v>
      </c>
      <c r="E32" s="6">
        <f t="shared" si="15"/>
        <v>890</v>
      </c>
      <c r="F32" s="6">
        <f t="shared" si="15"/>
        <v>938.08649999999989</v>
      </c>
      <c r="G32" s="6">
        <f t="shared" si="15"/>
        <v>165.9117817500005</v>
      </c>
      <c r="H32" s="6">
        <f t="shared" si="15"/>
        <v>-3443.9982817500004</v>
      </c>
      <c r="I32" s="5">
        <f t="shared" si="15"/>
        <v>0</v>
      </c>
      <c r="K32">
        <v>22</v>
      </c>
      <c r="L32" s="22" t="s">
        <v>213</v>
      </c>
    </row>
    <row r="33" spans="1:12" x14ac:dyDescent="0.2">
      <c r="B33" s="7" t="s">
        <v>78</v>
      </c>
      <c r="C33" s="9">
        <f>+C29-C30+C31+C32</f>
        <v>802.29682341313674</v>
      </c>
      <c r="D33" s="9">
        <f t="shared" ref="D33:H33" si="16">+D29-D30+D31+D32</f>
        <v>1309.4168234131366</v>
      </c>
      <c r="E33" s="9">
        <f t="shared" si="16"/>
        <v>1612.8468234131367</v>
      </c>
      <c r="F33" s="9">
        <f t="shared" si="16"/>
        <v>2096.6608234131377</v>
      </c>
      <c r="G33" s="9">
        <f t="shared" si="16"/>
        <v>1351.3917274131361</v>
      </c>
      <c r="H33" s="9">
        <f t="shared" si="16"/>
        <v>-3631.6878042141384</v>
      </c>
      <c r="K33">
        <v>23</v>
      </c>
      <c r="L33" s="27" t="s">
        <v>214</v>
      </c>
    </row>
    <row r="34" spans="1:12" x14ac:dyDescent="0.2">
      <c r="K34">
        <v>24</v>
      </c>
      <c r="L34" t="s">
        <v>191</v>
      </c>
    </row>
    <row r="35" spans="1:12" x14ac:dyDescent="0.2">
      <c r="A35" s="12"/>
      <c r="B35" t="s">
        <v>156</v>
      </c>
      <c r="C35" s="16">
        <f>C29+C31</f>
        <v>134.79682341313674</v>
      </c>
      <c r="D35" s="16">
        <f t="shared" ref="D35:H35" si="17">D29+D31</f>
        <v>573.64182341313676</v>
      </c>
      <c r="E35" s="16">
        <f t="shared" si="17"/>
        <v>824.34682341313669</v>
      </c>
      <c r="F35" s="16">
        <f t="shared" si="17"/>
        <v>1322.3743234131377</v>
      </c>
      <c r="G35" s="16">
        <f t="shared" si="17"/>
        <v>1414.9460006631357</v>
      </c>
      <c r="H35" s="16">
        <f t="shared" si="17"/>
        <v>53.390357258361895</v>
      </c>
      <c r="L35" t="s">
        <v>192</v>
      </c>
    </row>
    <row r="36" spans="1:12" x14ac:dyDescent="0.2">
      <c r="B36" s="17" t="s">
        <v>158</v>
      </c>
      <c r="C36" s="18">
        <f>(D36+C35)/(1+C13)</f>
        <v>11999.999999999995</v>
      </c>
      <c r="D36" s="18">
        <f t="shared" ref="D36:H36" si="18">(E36+D35)/(1+D13)</f>
        <v>13305.203176586858</v>
      </c>
      <c r="E36" s="18">
        <f t="shared" si="18"/>
        <v>14328.185734364146</v>
      </c>
      <c r="F36" s="18">
        <f t="shared" si="18"/>
        <v>15223.221199074709</v>
      </c>
      <c r="G36" s="18">
        <f t="shared" si="18"/>
        <v>15727.633419550539</v>
      </c>
      <c r="H36" s="18">
        <f t="shared" si="18"/>
        <v>16200.003429233469</v>
      </c>
      <c r="I36" s="18">
        <f>I18</f>
        <v>18090.613483483125</v>
      </c>
      <c r="L36" t="s">
        <v>78</v>
      </c>
    </row>
    <row r="37" spans="1:12" x14ac:dyDescent="0.2">
      <c r="B37" t="s">
        <v>90</v>
      </c>
      <c r="C37" s="5">
        <f>C6</f>
        <v>12000</v>
      </c>
      <c r="D37" s="5">
        <f t="shared" ref="D37:I37" si="19">D6</f>
        <v>13350</v>
      </c>
      <c r="E37" s="5">
        <f t="shared" si="19"/>
        <v>14500</v>
      </c>
      <c r="F37" s="5">
        <f t="shared" si="19"/>
        <v>15600</v>
      </c>
      <c r="G37" s="5">
        <f t="shared" si="19"/>
        <v>16390.432499999999</v>
      </c>
      <c r="H37" s="5">
        <f t="shared" si="19"/>
        <v>17219.99140875</v>
      </c>
      <c r="I37" s="5">
        <f t="shared" si="19"/>
        <v>18090.613483483125</v>
      </c>
      <c r="K37">
        <v>25</v>
      </c>
      <c r="L37" t="s">
        <v>153</v>
      </c>
    </row>
    <row r="38" spans="1:12" x14ac:dyDescent="0.2">
      <c r="B38" s="22" t="s">
        <v>193</v>
      </c>
      <c r="C38" s="26">
        <f>C16</f>
        <v>0</v>
      </c>
      <c r="K38">
        <v>26</v>
      </c>
      <c r="L38" t="s">
        <v>194</v>
      </c>
    </row>
    <row r="39" spans="1:12" x14ac:dyDescent="0.2">
      <c r="A39" s="11"/>
      <c r="B39" s="41" t="s">
        <v>215</v>
      </c>
      <c r="C39" s="42">
        <f>C36-C37</f>
        <v>0</v>
      </c>
      <c r="D39" s="16"/>
      <c r="E39" s="16"/>
      <c r="F39" s="16"/>
      <c r="G39" s="16"/>
      <c r="H39" s="16"/>
      <c r="I39" s="16"/>
      <c r="L39" t="s">
        <v>157</v>
      </c>
    </row>
    <row r="40" spans="1:12" x14ac:dyDescent="0.2">
      <c r="L40" s="58" t="s">
        <v>196</v>
      </c>
    </row>
    <row r="41" spans="1:12" x14ac:dyDescent="0.2">
      <c r="K41">
        <v>27</v>
      </c>
      <c r="L41" t="s">
        <v>197</v>
      </c>
    </row>
    <row r="42" spans="1:12" x14ac:dyDescent="0.2">
      <c r="B42" t="s">
        <v>162</v>
      </c>
      <c r="C42" s="2">
        <f t="shared" ref="C42:H42" si="20">+C17/C36</f>
        <v>0</v>
      </c>
      <c r="D42" s="2">
        <f t="shared" si="20"/>
        <v>5.0168343251954135E-2</v>
      </c>
      <c r="E42" s="2">
        <f t="shared" si="20"/>
        <v>0.10119913482991627</v>
      </c>
      <c r="F42" s="2">
        <f t="shared" si="20"/>
        <v>0.15371254016477331</v>
      </c>
      <c r="G42" s="2">
        <f t="shared" si="20"/>
        <v>0.20842846552648608</v>
      </c>
      <c r="H42" s="2">
        <f t="shared" si="20"/>
        <v>0.21259244152598053</v>
      </c>
      <c r="I42" s="21"/>
      <c r="L42" t="s">
        <v>216</v>
      </c>
    </row>
    <row r="43" spans="1:12" x14ac:dyDescent="0.2">
      <c r="B43" t="s">
        <v>163</v>
      </c>
      <c r="C43" s="2">
        <f t="shared" ref="C43:H43" si="21">+(C13-C12*C42)/(1-C42)</f>
        <v>0.12</v>
      </c>
      <c r="D43" s="2">
        <f t="shared" si="21"/>
        <v>0.12264090709630149</v>
      </c>
      <c r="E43" s="2">
        <f t="shared" si="21"/>
        <v>0.12562967497871544</v>
      </c>
      <c r="F43" s="2">
        <f t="shared" si="21"/>
        <v>0.12908157969129669</v>
      </c>
      <c r="G43" s="2">
        <f t="shared" si="21"/>
        <v>0.13316548514248397</v>
      </c>
      <c r="H43" s="2">
        <f t="shared" si="21"/>
        <v>0.13349951745052971</v>
      </c>
      <c r="I43" s="21"/>
      <c r="K43">
        <v>28</v>
      </c>
      <c r="L43" t="s">
        <v>217</v>
      </c>
    </row>
    <row r="44" spans="1:12" x14ac:dyDescent="0.2">
      <c r="K44">
        <v>29</v>
      </c>
      <c r="L44" s="32" t="s">
        <v>199</v>
      </c>
    </row>
    <row r="45" spans="1:12" x14ac:dyDescent="0.2">
      <c r="A45" s="12"/>
      <c r="B45" t="s">
        <v>78</v>
      </c>
      <c r="C45" s="16">
        <f>+C33</f>
        <v>802.29682341313674</v>
      </c>
      <c r="D45" s="16">
        <f t="shared" ref="D45:H45" si="22">+D33</f>
        <v>1309.4168234131366</v>
      </c>
      <c r="E45" s="16">
        <f t="shared" si="22"/>
        <v>1612.8468234131367</v>
      </c>
      <c r="F45" s="16">
        <f t="shared" si="22"/>
        <v>2096.6608234131377</v>
      </c>
      <c r="G45" s="16">
        <f t="shared" si="22"/>
        <v>1351.3917274131361</v>
      </c>
      <c r="H45" s="16">
        <f t="shared" si="22"/>
        <v>-3631.6878042141384</v>
      </c>
      <c r="K45">
        <v>30</v>
      </c>
      <c r="L45" s="32" t="s">
        <v>200</v>
      </c>
    </row>
    <row r="46" spans="1:12" x14ac:dyDescent="0.2">
      <c r="B46" t="s">
        <v>165</v>
      </c>
      <c r="C46" s="5">
        <f t="shared" ref="C46:G46" si="23">+(C45+D46)/(1+C43)</f>
        <v>12000</v>
      </c>
      <c r="D46" s="5">
        <f t="shared" si="23"/>
        <v>12637.703176586865</v>
      </c>
      <c r="E46" s="5">
        <f t="shared" si="23"/>
        <v>12878.185734364151</v>
      </c>
      <c r="F46" s="5">
        <f t="shared" si="23"/>
        <v>12883.221199074713</v>
      </c>
      <c r="G46" s="5">
        <f t="shared" si="23"/>
        <v>12449.546919550541</v>
      </c>
      <c r="H46" s="5">
        <f>+(H45+I46)/(1+H43)</f>
        <v>12756.005147483469</v>
      </c>
      <c r="I46" s="5">
        <f>I36</f>
        <v>18090.613483483125</v>
      </c>
      <c r="K46">
        <v>31</v>
      </c>
      <c r="L46" s="27" t="s">
        <v>201</v>
      </c>
    </row>
    <row r="47" spans="1:12" x14ac:dyDescent="0.2">
      <c r="B47" s="17" t="s">
        <v>158</v>
      </c>
      <c r="C47" s="18">
        <f t="shared" ref="C47:I47" si="24">+C46+C17</f>
        <v>12000</v>
      </c>
      <c r="D47" s="18">
        <f t="shared" si="24"/>
        <v>13305.203176586865</v>
      </c>
      <c r="E47" s="18">
        <f t="shared" si="24"/>
        <v>14328.185734364151</v>
      </c>
      <c r="F47" s="18">
        <f t="shared" si="24"/>
        <v>15223.221199074713</v>
      </c>
      <c r="G47" s="18">
        <f t="shared" si="24"/>
        <v>15727.633419550541</v>
      </c>
      <c r="H47" s="18">
        <f t="shared" si="24"/>
        <v>16200.003429233469</v>
      </c>
      <c r="I47" s="18">
        <f t="shared" si="24"/>
        <v>18090.613483483125</v>
      </c>
      <c r="K47">
        <v>32</v>
      </c>
      <c r="L47" t="s">
        <v>202</v>
      </c>
    </row>
    <row r="48" spans="1:12" x14ac:dyDescent="0.2">
      <c r="B48" t="s">
        <v>166</v>
      </c>
      <c r="C48" s="16">
        <f>+C47-C36</f>
        <v>0</v>
      </c>
      <c r="D48" s="16">
        <f t="shared" ref="D48:I48" si="25">+D47-D36</f>
        <v>0</v>
      </c>
      <c r="E48" s="16">
        <f t="shared" si="25"/>
        <v>0</v>
      </c>
      <c r="F48" s="16">
        <f t="shared" si="25"/>
        <v>0</v>
      </c>
      <c r="G48" s="16">
        <f t="shared" si="25"/>
        <v>0</v>
      </c>
      <c r="H48" s="16">
        <f t="shared" si="25"/>
        <v>0</v>
      </c>
      <c r="I48" s="16">
        <f t="shared" si="25"/>
        <v>0</v>
      </c>
    </row>
    <row r="50" spans="2:9" x14ac:dyDescent="0.2">
      <c r="B50" t="s">
        <v>212</v>
      </c>
      <c r="C50" s="16">
        <f>C24</f>
        <v>394.00397073357902</v>
      </c>
      <c r="D50" s="16">
        <f t="shared" ref="D50:H50" si="26">D24</f>
        <v>394.00397073357902</v>
      </c>
      <c r="E50" s="16">
        <f t="shared" si="26"/>
        <v>394.00397073357902</v>
      </c>
      <c r="F50" s="16">
        <f t="shared" si="26"/>
        <v>394.00397073357902</v>
      </c>
      <c r="G50" s="16">
        <f t="shared" si="26"/>
        <v>394.00397073357902</v>
      </c>
      <c r="H50" s="16">
        <f t="shared" si="26"/>
        <v>394.00397073357902</v>
      </c>
    </row>
    <row r="51" spans="2:9" x14ac:dyDescent="0.2">
      <c r="B51" t="s">
        <v>203</v>
      </c>
      <c r="C51" s="5">
        <f>C24*C14</f>
        <v>78.800794146715816</v>
      </c>
      <c r="D51" s="5">
        <f t="shared" ref="D51:H51" si="27">D24*D14</f>
        <v>78.800794146715816</v>
      </c>
      <c r="E51" s="5">
        <f t="shared" si="27"/>
        <v>78.800794146715816</v>
      </c>
      <c r="F51" s="5">
        <f t="shared" si="27"/>
        <v>78.800794146715816</v>
      </c>
      <c r="G51" s="5">
        <f t="shared" si="27"/>
        <v>78.800794146715816</v>
      </c>
      <c r="H51" s="5">
        <f t="shared" si="27"/>
        <v>78.800794146715816</v>
      </c>
      <c r="I51" s="5"/>
    </row>
    <row r="52" spans="2:9" x14ac:dyDescent="0.2">
      <c r="B52" t="s">
        <v>218</v>
      </c>
      <c r="C52" s="5">
        <f>+C50-C51</f>
        <v>315.20317658686321</v>
      </c>
      <c r="D52" s="5">
        <f t="shared" ref="D52:H52" si="28">+D50-D51</f>
        <v>315.20317658686321</v>
      </c>
      <c r="E52" s="5">
        <f t="shared" si="28"/>
        <v>315.20317658686321</v>
      </c>
      <c r="F52" s="5">
        <f t="shared" si="28"/>
        <v>315.20317658686321</v>
      </c>
      <c r="G52" s="5">
        <f t="shared" si="28"/>
        <v>315.20317658686321</v>
      </c>
      <c r="H52" s="5">
        <f t="shared" si="28"/>
        <v>315.20317658686321</v>
      </c>
      <c r="I52" s="5"/>
    </row>
    <row r="53" spans="2:9" x14ac:dyDescent="0.2">
      <c r="B53" s="30" t="s">
        <v>219</v>
      </c>
      <c r="C53" s="33">
        <f>+(C52+D53)/(1+C13)</f>
        <v>1295.92864861673</v>
      </c>
      <c r="D53" s="31">
        <f t="shared" ref="D53:G53" si="29">+(D52+E53)/(1+D13)</f>
        <v>1136.2369098638744</v>
      </c>
      <c r="E53" s="31">
        <f t="shared" si="29"/>
        <v>957.38216246067623</v>
      </c>
      <c r="F53" s="31">
        <f t="shared" si="29"/>
        <v>757.06484536909431</v>
      </c>
      <c r="G53" s="31">
        <f t="shared" si="29"/>
        <v>532.70945022652256</v>
      </c>
      <c r="H53" s="31">
        <f>+(H52+I53)/(1+H13)</f>
        <v>281.43140766684212</v>
      </c>
      <c r="I53" s="31">
        <v>0</v>
      </c>
    </row>
    <row r="54" spans="2:9" x14ac:dyDescent="0.2">
      <c r="C54" s="34"/>
    </row>
    <row r="55" spans="2:9" x14ac:dyDescent="0.2">
      <c r="B55" s="32" t="s">
        <v>205</v>
      </c>
      <c r="C55" s="35">
        <f>S3_Moving_Q1!C37</f>
        <v>1295.9286486167221</v>
      </c>
    </row>
    <row r="56" spans="2:9" x14ac:dyDescent="0.2">
      <c r="B56" s="32" t="s">
        <v>220</v>
      </c>
      <c r="C56" s="35">
        <f>+S3_Moving_Q2!C55-S3_Moving_Q2!C52</f>
        <v>1295.928648616713</v>
      </c>
    </row>
    <row r="57" spans="2:9" x14ac:dyDescent="0.2">
      <c r="B57" s="27" t="s">
        <v>207</v>
      </c>
      <c r="C57" s="36">
        <f>C56-C55</f>
        <v>-9.0949470177292824E-12</v>
      </c>
    </row>
    <row r="58" spans="2:9" x14ac:dyDescent="0.2">
      <c r="C58"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CCDD9-0E7A-49D9-8B7D-BA2B8E79CB56}">
  <sheetPr>
    <tabColor rgb="FFFFC000"/>
  </sheetPr>
  <dimension ref="A17:V108"/>
  <sheetViews>
    <sheetView topLeftCell="A5" zoomScale="90" zoomScaleNormal="90" workbookViewId="0">
      <selection activeCell="D29" sqref="D29"/>
    </sheetView>
  </sheetViews>
  <sheetFormatPr baseColWidth="10" defaultColWidth="8.83203125" defaultRowHeight="16" x14ac:dyDescent="0.2"/>
  <cols>
    <col min="1" max="1" width="14.1640625" customWidth="1"/>
    <col min="2" max="2" width="29.33203125" bestFit="1" customWidth="1"/>
    <col min="3" max="9" width="10.1640625" bestFit="1" customWidth="1"/>
    <col min="12" max="12" width="38.83203125" customWidth="1"/>
    <col min="13" max="13" width="19.1640625" customWidth="1"/>
    <col min="14" max="14" width="12" bestFit="1" customWidth="1"/>
    <col min="15" max="15" width="29.5" bestFit="1" customWidth="1"/>
    <col min="16" max="16" width="9.5" customWidth="1"/>
    <col min="17" max="22" width="8.6640625" bestFit="1" customWidth="1"/>
  </cols>
  <sheetData>
    <row r="17" spans="2:22" x14ac:dyDescent="0.2">
      <c r="B17" s="63" t="s">
        <v>221</v>
      </c>
    </row>
    <row r="18" spans="2:22" x14ac:dyDescent="0.2">
      <c r="C18" s="50">
        <v>2024</v>
      </c>
      <c r="D18" s="1">
        <f>+C18+1</f>
        <v>2025</v>
      </c>
      <c r="E18" s="1">
        <f>+D18+1</f>
        <v>2026</v>
      </c>
      <c r="F18" s="1">
        <f>+E18+1</f>
        <v>2027</v>
      </c>
      <c r="G18" s="1">
        <f>+F18+1</f>
        <v>2028</v>
      </c>
      <c r="H18" s="1">
        <f>+G18+1</f>
        <v>2029</v>
      </c>
      <c r="P18" s="1">
        <f>+C18</f>
        <v>2024</v>
      </c>
      <c r="Q18" s="1">
        <f>+P18+1</f>
        <v>2025</v>
      </c>
      <c r="R18" s="1">
        <f>+Q18+1</f>
        <v>2026</v>
      </c>
      <c r="S18" s="1">
        <f>+R18+1</f>
        <v>2027</v>
      </c>
      <c r="T18" s="1">
        <f>+S18+1</f>
        <v>2028</v>
      </c>
      <c r="U18" s="1">
        <f>+T18+1</f>
        <v>2029</v>
      </c>
    </row>
    <row r="19" spans="2:22" x14ac:dyDescent="0.2">
      <c r="B19" t="s">
        <v>90</v>
      </c>
      <c r="C19" s="44">
        <v>12000</v>
      </c>
      <c r="D19" s="5">
        <f t="shared" ref="D19:I19" si="0">C19+C20</f>
        <v>13350</v>
      </c>
      <c r="E19" s="5">
        <f t="shared" si="0"/>
        <v>14500</v>
      </c>
      <c r="F19" s="5">
        <f t="shared" si="0"/>
        <v>15600</v>
      </c>
      <c r="G19" s="5">
        <f t="shared" si="0"/>
        <v>16390.432499999999</v>
      </c>
      <c r="H19" s="5">
        <f t="shared" si="0"/>
        <v>17219.99140875</v>
      </c>
      <c r="I19" s="5">
        <f t="shared" si="0"/>
        <v>18090.613483483125</v>
      </c>
      <c r="O19" t="s">
        <v>90</v>
      </c>
      <c r="P19" s="44">
        <f>+C19</f>
        <v>12000</v>
      </c>
      <c r="Q19" s="5">
        <f t="shared" ref="Q19:V19" si="1">P19+P20</f>
        <v>13600</v>
      </c>
      <c r="R19" s="5">
        <f t="shared" si="1"/>
        <v>15000</v>
      </c>
      <c r="S19" s="5">
        <f t="shared" si="1"/>
        <v>16200</v>
      </c>
      <c r="T19" s="5">
        <f t="shared" si="1"/>
        <v>17069.88</v>
      </c>
      <c r="U19" s="5">
        <f t="shared" si="1"/>
        <v>17985.689664000001</v>
      </c>
      <c r="V19" s="5">
        <f t="shared" si="1"/>
        <v>18946.831906368003</v>
      </c>
    </row>
    <row r="20" spans="2:22" x14ac:dyDescent="0.2">
      <c r="B20" t="s">
        <v>91</v>
      </c>
      <c r="C20" s="44">
        <v>1350</v>
      </c>
      <c r="D20" s="44">
        <v>1150</v>
      </c>
      <c r="E20" s="44">
        <v>1100</v>
      </c>
      <c r="F20" s="5">
        <f>F35*F23</f>
        <v>790.4325</v>
      </c>
      <c r="G20" s="5">
        <f>G35*G23</f>
        <v>829.55890875</v>
      </c>
      <c r="H20" s="5">
        <f>H35*H23</f>
        <v>870.62207473312503</v>
      </c>
      <c r="O20" t="s">
        <v>91</v>
      </c>
      <c r="P20" s="49">
        <v>1600</v>
      </c>
      <c r="Q20" s="49">
        <v>1400</v>
      </c>
      <c r="R20" s="49">
        <v>1200</v>
      </c>
      <c r="S20" s="5">
        <f>S35*S23</f>
        <v>869.88</v>
      </c>
      <c r="T20" s="5">
        <f>T35*T23</f>
        <v>915.80966400000011</v>
      </c>
      <c r="U20" s="5">
        <f>U35*U23</f>
        <v>961.1422423680001</v>
      </c>
    </row>
    <row r="21" spans="2:22" x14ac:dyDescent="0.2">
      <c r="B21" t="s">
        <v>93</v>
      </c>
      <c r="C21" s="46">
        <v>0.15</v>
      </c>
      <c r="D21" s="2"/>
      <c r="E21" s="2"/>
      <c r="F21" s="2"/>
      <c r="G21" s="2"/>
      <c r="H21" s="2"/>
      <c r="O21" t="s">
        <v>93</v>
      </c>
      <c r="P21" s="48">
        <v>0.16</v>
      </c>
      <c r="Q21" s="2"/>
      <c r="R21" s="2"/>
      <c r="S21" s="2"/>
      <c r="T21" s="2"/>
      <c r="U21" s="2"/>
    </row>
    <row r="22" spans="2:22" x14ac:dyDescent="0.2">
      <c r="B22" t="s">
        <v>94</v>
      </c>
      <c r="C22" s="2"/>
      <c r="D22" s="46">
        <v>0.17</v>
      </c>
      <c r="E22" s="46">
        <v>0.16500000000000001</v>
      </c>
      <c r="F22" s="46">
        <v>0.16</v>
      </c>
      <c r="G22" s="46">
        <v>0.15</v>
      </c>
      <c r="H22" s="46">
        <v>0.15</v>
      </c>
      <c r="O22" t="s">
        <v>94</v>
      </c>
      <c r="P22" s="2"/>
      <c r="Q22" s="48">
        <v>0.17499999999999999</v>
      </c>
      <c r="R22" s="48">
        <v>0.17</v>
      </c>
      <c r="S22" s="48">
        <v>0.16500000000000001</v>
      </c>
      <c r="T22" s="48">
        <v>0.16</v>
      </c>
      <c r="U22" s="46">
        <v>0.15</v>
      </c>
    </row>
    <row r="23" spans="2:22" x14ac:dyDescent="0.2">
      <c r="B23" t="s">
        <v>95</v>
      </c>
      <c r="C23" s="2"/>
      <c r="D23" s="2"/>
      <c r="E23" s="2"/>
      <c r="F23" s="46">
        <v>0.33</v>
      </c>
      <c r="G23" s="46">
        <v>0.33</v>
      </c>
      <c r="H23" s="46">
        <v>0.33</v>
      </c>
      <c r="O23" t="s">
        <v>95</v>
      </c>
      <c r="P23" s="2"/>
      <c r="Q23" s="2"/>
      <c r="R23" s="2"/>
      <c r="S23" s="46">
        <v>0.33</v>
      </c>
      <c r="T23" s="46">
        <v>0.33</v>
      </c>
      <c r="U23" s="46">
        <v>0.33</v>
      </c>
    </row>
    <row r="24" spans="2:22" x14ac:dyDescent="0.2">
      <c r="B24" t="s">
        <v>109</v>
      </c>
      <c r="C24" s="46">
        <v>0</v>
      </c>
      <c r="D24" s="46">
        <v>0.05</v>
      </c>
      <c r="E24" s="46">
        <v>0.1</v>
      </c>
      <c r="F24" s="46">
        <v>0.15</v>
      </c>
      <c r="G24" s="46">
        <v>0.2</v>
      </c>
      <c r="H24" s="46">
        <v>0.2</v>
      </c>
      <c r="O24" t="s">
        <v>109</v>
      </c>
      <c r="P24" s="46">
        <f t="shared" ref="P24:U24" si="2">+C24</f>
        <v>0</v>
      </c>
      <c r="Q24" s="46">
        <f t="shared" si="2"/>
        <v>0.05</v>
      </c>
      <c r="R24" s="46">
        <f t="shared" si="2"/>
        <v>0.1</v>
      </c>
      <c r="S24" s="46">
        <f t="shared" si="2"/>
        <v>0.15</v>
      </c>
      <c r="T24" s="46">
        <f t="shared" si="2"/>
        <v>0.2</v>
      </c>
      <c r="U24" s="46">
        <f t="shared" si="2"/>
        <v>0.2</v>
      </c>
    </row>
    <row r="25" spans="2:22" x14ac:dyDescent="0.2">
      <c r="B25" t="s">
        <v>57</v>
      </c>
      <c r="C25" s="3"/>
      <c r="D25" s="47">
        <v>7.0000000000000007E-2</v>
      </c>
      <c r="E25" s="47">
        <v>7.0000000000000007E-2</v>
      </c>
      <c r="F25" s="47">
        <v>7.0000000000000007E-2</v>
      </c>
      <c r="G25" s="47">
        <v>7.0000000000000007E-2</v>
      </c>
      <c r="H25" s="47">
        <v>7.0000000000000007E-2</v>
      </c>
      <c r="O25" t="s">
        <v>57</v>
      </c>
      <c r="P25" s="3"/>
      <c r="Q25" s="46">
        <f t="shared" ref="Q25:U27" si="3">+D25</f>
        <v>7.0000000000000007E-2</v>
      </c>
      <c r="R25" s="46">
        <f t="shared" si="3"/>
        <v>7.0000000000000007E-2</v>
      </c>
      <c r="S25" s="46">
        <f t="shared" si="3"/>
        <v>7.0000000000000007E-2</v>
      </c>
      <c r="T25" s="46">
        <f t="shared" si="3"/>
        <v>7.0000000000000007E-2</v>
      </c>
      <c r="U25" s="46">
        <f t="shared" si="3"/>
        <v>7.0000000000000007E-2</v>
      </c>
    </row>
    <row r="26" spans="2:22" ht="15.75" customHeight="1" x14ac:dyDescent="0.2">
      <c r="B26" t="s">
        <v>112</v>
      </c>
      <c r="C26" s="47">
        <v>0.12</v>
      </c>
      <c r="D26" s="47">
        <v>0.12</v>
      </c>
      <c r="E26" s="47">
        <v>0.12</v>
      </c>
      <c r="F26" s="47">
        <v>0.12</v>
      </c>
      <c r="G26" s="47">
        <v>0.12</v>
      </c>
      <c r="H26" s="47">
        <v>0.12</v>
      </c>
      <c r="O26" t="s">
        <v>112</v>
      </c>
      <c r="P26" s="46">
        <f>+C26</f>
        <v>0.12</v>
      </c>
      <c r="Q26" s="46">
        <f t="shared" si="3"/>
        <v>0.12</v>
      </c>
      <c r="R26" s="46">
        <f t="shared" si="3"/>
        <v>0.12</v>
      </c>
      <c r="S26" s="46">
        <f t="shared" si="3"/>
        <v>0.12</v>
      </c>
      <c r="T26" s="46">
        <f t="shared" si="3"/>
        <v>0.12</v>
      </c>
      <c r="U26" s="46">
        <f t="shared" si="3"/>
        <v>0.12</v>
      </c>
    </row>
    <row r="27" spans="2:22" x14ac:dyDescent="0.2">
      <c r="B27" t="s">
        <v>58</v>
      </c>
      <c r="C27" s="47">
        <v>0.2</v>
      </c>
      <c r="D27" s="47">
        <v>0.2</v>
      </c>
      <c r="E27" s="47">
        <v>0.2</v>
      </c>
      <c r="F27" s="47">
        <v>0.2</v>
      </c>
      <c r="G27" s="47">
        <v>0.2</v>
      </c>
      <c r="H27" s="47">
        <v>0.2</v>
      </c>
      <c r="O27" t="s">
        <v>58</v>
      </c>
      <c r="P27" s="46">
        <f>+C27</f>
        <v>0.2</v>
      </c>
      <c r="Q27" s="46">
        <f t="shared" si="3"/>
        <v>0.2</v>
      </c>
      <c r="R27" s="46">
        <f t="shared" si="3"/>
        <v>0.2</v>
      </c>
      <c r="S27" s="46">
        <f t="shared" si="3"/>
        <v>0.2</v>
      </c>
      <c r="T27" s="46">
        <f t="shared" si="3"/>
        <v>0.2</v>
      </c>
      <c r="U27" s="46">
        <f t="shared" si="3"/>
        <v>0.2</v>
      </c>
    </row>
    <row r="28" spans="2:22" x14ac:dyDescent="0.2">
      <c r="B28" t="s">
        <v>116</v>
      </c>
      <c r="C28" s="4"/>
      <c r="D28" s="4"/>
      <c r="E28" s="4"/>
      <c r="F28" s="4"/>
      <c r="G28" s="4"/>
      <c r="H28" s="47">
        <v>0.1</v>
      </c>
      <c r="O28" t="s">
        <v>116</v>
      </c>
      <c r="P28" s="4"/>
      <c r="Q28" s="4"/>
      <c r="R28" s="4"/>
      <c r="S28" s="4"/>
      <c r="T28" s="4"/>
      <c r="U28" s="46">
        <f>+H28</f>
        <v>0.1</v>
      </c>
    </row>
    <row r="29" spans="2:22" x14ac:dyDescent="0.2">
      <c r="B29" s="27" t="s">
        <v>173</v>
      </c>
      <c r="C29" s="45">
        <v>1200</v>
      </c>
      <c r="D29" s="29">
        <f>C29-1/6*$C$29</f>
        <v>1000</v>
      </c>
      <c r="E29" s="29">
        <f>D29-1/6*$C$29</f>
        <v>800</v>
      </c>
      <c r="F29" s="29">
        <f>E29-1/6*$C$29</f>
        <v>600</v>
      </c>
      <c r="G29" s="29">
        <f>F29-1/6*$C$29</f>
        <v>400</v>
      </c>
      <c r="H29" s="29">
        <f>G29-1/6*$C$29</f>
        <v>200</v>
      </c>
      <c r="L29" t="s">
        <v>167</v>
      </c>
      <c r="O29" s="27" t="s">
        <v>173</v>
      </c>
      <c r="P29" s="45">
        <v>1200</v>
      </c>
      <c r="Q29" s="29">
        <f>P29-1/6*$P$29</f>
        <v>1000</v>
      </c>
      <c r="R29" s="29">
        <f t="shared" ref="R29:U29" si="4">Q29-1/6*$P$29</f>
        <v>800</v>
      </c>
      <c r="S29" s="29">
        <f t="shared" si="4"/>
        <v>600</v>
      </c>
      <c r="T29" s="29">
        <f t="shared" si="4"/>
        <v>400</v>
      </c>
      <c r="U29" s="29">
        <f t="shared" si="4"/>
        <v>200</v>
      </c>
    </row>
    <row r="30" spans="2:22" x14ac:dyDescent="0.2">
      <c r="B30" t="s">
        <v>120</v>
      </c>
      <c r="C30" s="5">
        <f t="shared" ref="C30:H30" si="5">+C19*C24</f>
        <v>0</v>
      </c>
      <c r="D30" s="5">
        <f>+D19*D24</f>
        <v>667.5</v>
      </c>
      <c r="E30" s="5">
        <f>+E19*E24</f>
        <v>1450</v>
      </c>
      <c r="F30" s="5">
        <f t="shared" si="5"/>
        <v>2340</v>
      </c>
      <c r="G30" s="5">
        <f t="shared" si="5"/>
        <v>3278.0864999999999</v>
      </c>
      <c r="H30" s="5">
        <f t="shared" si="5"/>
        <v>3443.9982817500004</v>
      </c>
      <c r="I30" s="5">
        <v>0</v>
      </c>
      <c r="L30" t="s">
        <v>168</v>
      </c>
      <c r="O30" t="s">
        <v>120</v>
      </c>
      <c r="P30" s="5">
        <f t="shared" ref="P30:U30" si="6">+P19*P24</f>
        <v>0</v>
      </c>
      <c r="Q30" s="5">
        <f t="shared" si="6"/>
        <v>680</v>
      </c>
      <c r="R30" s="5">
        <f t="shared" si="6"/>
        <v>1500</v>
      </c>
      <c r="S30" s="5">
        <f t="shared" si="6"/>
        <v>2430</v>
      </c>
      <c r="T30" s="5">
        <f t="shared" si="6"/>
        <v>3413.9760000000006</v>
      </c>
      <c r="U30" s="5">
        <f t="shared" si="6"/>
        <v>3597.1379328000003</v>
      </c>
      <c r="V30" s="5">
        <v>0</v>
      </c>
    </row>
    <row r="31" spans="2:22" x14ac:dyDescent="0.2">
      <c r="B31" t="s">
        <v>123</v>
      </c>
      <c r="C31" s="23">
        <f>+C19-C30+C29</f>
        <v>13200</v>
      </c>
      <c r="D31" s="23">
        <f t="shared" ref="D31:I31" si="7">+D19-D30+D29</f>
        <v>13682.5</v>
      </c>
      <c r="E31" s="23">
        <f t="shared" si="7"/>
        <v>13850</v>
      </c>
      <c r="F31" s="23">
        <f t="shared" si="7"/>
        <v>13860</v>
      </c>
      <c r="G31" s="23">
        <f t="shared" si="7"/>
        <v>13512.346</v>
      </c>
      <c r="H31" s="23">
        <f>+H19-H30+H29</f>
        <v>13975.993127</v>
      </c>
      <c r="I31" s="5">
        <f t="shared" si="7"/>
        <v>18090.613483483125</v>
      </c>
      <c r="L31" t="s">
        <v>102</v>
      </c>
      <c r="O31" t="s">
        <v>123</v>
      </c>
      <c r="P31" s="23">
        <f>+P19-P30+P29</f>
        <v>13200</v>
      </c>
      <c r="Q31" s="23">
        <f t="shared" ref="Q31" si="8">+Q19-Q30+Q29</f>
        <v>13920</v>
      </c>
      <c r="R31" s="23">
        <f t="shared" ref="R31" si="9">+R19-R30+R29</f>
        <v>14300</v>
      </c>
      <c r="S31" s="23">
        <f t="shared" ref="S31" si="10">+S19-S30+S29</f>
        <v>14370</v>
      </c>
      <c r="T31" s="23">
        <f t="shared" ref="T31" si="11">+T19-T30+T29</f>
        <v>14055.904</v>
      </c>
      <c r="U31" s="23">
        <f t="shared" ref="U31" si="12">+U19-U30+U29</f>
        <v>14588.551731200001</v>
      </c>
      <c r="V31" s="5">
        <f t="shared" ref="V31" si="13">+V19-V30+V29</f>
        <v>18946.831906368003</v>
      </c>
    </row>
    <row r="32" spans="2:22" x14ac:dyDescent="0.2">
      <c r="L32" t="s">
        <v>104</v>
      </c>
    </row>
    <row r="33" spans="1:22" x14ac:dyDescent="0.2">
      <c r="L33" s="55" t="s">
        <v>106</v>
      </c>
    </row>
    <row r="34" spans="1:22" x14ac:dyDescent="0.2">
      <c r="B34" t="s">
        <v>128</v>
      </c>
      <c r="C34" s="5">
        <f t="shared" ref="C34:H34" si="14">+C35/(1-C27)</f>
        <v>2250</v>
      </c>
      <c r="D34" s="5">
        <f t="shared" si="14"/>
        <v>2536.875</v>
      </c>
      <c r="E34" s="5">
        <f t="shared" si="14"/>
        <v>2774.0625</v>
      </c>
      <c r="F34" s="5">
        <f t="shared" si="14"/>
        <v>2994.0625</v>
      </c>
      <c r="G34" s="5">
        <f t="shared" si="14"/>
        <v>3142.26859375</v>
      </c>
      <c r="H34" s="5">
        <f t="shared" si="14"/>
        <v>3297.8108891406246</v>
      </c>
      <c r="L34" t="s">
        <v>107</v>
      </c>
      <c r="O34" t="s">
        <v>128</v>
      </c>
      <c r="P34" s="5">
        <f t="shared" ref="P34:U34" si="15">+P35/(1-P27)</f>
        <v>2400</v>
      </c>
      <c r="Q34" s="5">
        <f t="shared" si="15"/>
        <v>2750</v>
      </c>
      <c r="R34" s="5">
        <f t="shared" si="15"/>
        <v>3047.5</v>
      </c>
      <c r="S34" s="5">
        <f t="shared" si="15"/>
        <v>3295</v>
      </c>
      <c r="T34" s="5">
        <f t="shared" si="15"/>
        <v>3468.9760000000001</v>
      </c>
      <c r="U34" s="5">
        <f t="shared" si="15"/>
        <v>3640.6903120000002</v>
      </c>
    </row>
    <row r="35" spans="1:22" x14ac:dyDescent="0.2">
      <c r="B35" t="s">
        <v>63</v>
      </c>
      <c r="C35" s="5">
        <f>C21*C19</f>
        <v>1800</v>
      </c>
      <c r="D35" s="5">
        <f>+C35+C20*D22</f>
        <v>2029.5</v>
      </c>
      <c r="E35" s="5">
        <f>+D35+D20*E22</f>
        <v>2219.25</v>
      </c>
      <c r="F35" s="5">
        <f>+E35+E20*F22</f>
        <v>2395.25</v>
      </c>
      <c r="G35" s="5">
        <f>+F35+F20*G22</f>
        <v>2513.814875</v>
      </c>
      <c r="H35" s="5">
        <f>+G35+G20*H22</f>
        <v>2638.2487113124998</v>
      </c>
      <c r="L35" t="s">
        <v>110</v>
      </c>
      <c r="O35" t="s">
        <v>63</v>
      </c>
      <c r="P35" s="5">
        <f>P21*P19</f>
        <v>1920</v>
      </c>
      <c r="Q35" s="5">
        <f>+P35+P20*Q22</f>
        <v>2200</v>
      </c>
      <c r="R35" s="5">
        <f>+Q35+Q20*R22</f>
        <v>2438</v>
      </c>
      <c r="S35" s="5">
        <f>+R35+R20*S22</f>
        <v>2636</v>
      </c>
      <c r="T35" s="5">
        <f>+S35+S20*T22</f>
        <v>2775.1808000000001</v>
      </c>
      <c r="U35" s="5">
        <f>+T35+T20*U22</f>
        <v>2912.5522496000003</v>
      </c>
    </row>
    <row r="36" spans="1:22" x14ac:dyDescent="0.2">
      <c r="B36" t="s">
        <v>133</v>
      </c>
      <c r="C36" s="5"/>
      <c r="D36" s="5"/>
      <c r="E36" s="5"/>
      <c r="F36" s="5"/>
      <c r="G36" s="5"/>
      <c r="H36" s="5">
        <f>+I19*H28</f>
        <v>1809.0613483483125</v>
      </c>
      <c r="L36" t="s">
        <v>114</v>
      </c>
      <c r="O36" t="s">
        <v>133</v>
      </c>
      <c r="P36" s="5"/>
      <c r="Q36" s="5"/>
      <c r="R36" s="5"/>
      <c r="S36" s="5"/>
      <c r="T36" s="5"/>
      <c r="U36" s="5">
        <f>+V19*U28</f>
        <v>1894.6831906368004</v>
      </c>
    </row>
    <row r="37" spans="1:22" ht="51" x14ac:dyDescent="0.2">
      <c r="B37" t="s">
        <v>183</v>
      </c>
      <c r="C37" s="38">
        <f t="shared" ref="C37:H37" si="16">$C$29/6</f>
        <v>200</v>
      </c>
      <c r="D37" s="38">
        <f t="shared" si="16"/>
        <v>200</v>
      </c>
      <c r="E37" s="38">
        <f t="shared" si="16"/>
        <v>200</v>
      </c>
      <c r="F37" s="38">
        <f t="shared" si="16"/>
        <v>200</v>
      </c>
      <c r="G37" s="38">
        <f t="shared" si="16"/>
        <v>200</v>
      </c>
      <c r="H37" s="38">
        <f t="shared" si="16"/>
        <v>200</v>
      </c>
      <c r="K37">
        <v>9</v>
      </c>
      <c r="L37" s="60" t="s">
        <v>222</v>
      </c>
      <c r="O37" t="s">
        <v>183</v>
      </c>
      <c r="P37" s="38">
        <f>$P$29/6</f>
        <v>200</v>
      </c>
      <c r="Q37" s="38">
        <f t="shared" ref="Q37:U37" si="17">$P$29/6</f>
        <v>200</v>
      </c>
      <c r="R37" s="38">
        <f t="shared" si="17"/>
        <v>200</v>
      </c>
      <c r="S37" s="38">
        <f t="shared" si="17"/>
        <v>200</v>
      </c>
      <c r="T37" s="38">
        <f t="shared" si="17"/>
        <v>200</v>
      </c>
      <c r="U37" s="38">
        <f t="shared" si="17"/>
        <v>200</v>
      </c>
    </row>
    <row r="38" spans="1:22" x14ac:dyDescent="0.2">
      <c r="B38" t="s">
        <v>136</v>
      </c>
      <c r="C38" s="38">
        <f>+C34-C36-C37</f>
        <v>2050</v>
      </c>
      <c r="D38" s="38">
        <f t="shared" ref="D38:H38" si="18">+D34-D36-D37</f>
        <v>2336.875</v>
      </c>
      <c r="E38" s="38">
        <f t="shared" si="18"/>
        <v>2574.0625</v>
      </c>
      <c r="F38" s="38">
        <f t="shared" si="18"/>
        <v>2794.0625</v>
      </c>
      <c r="G38" s="38">
        <f t="shared" si="18"/>
        <v>2942.26859375</v>
      </c>
      <c r="H38" s="38">
        <f t="shared" si="18"/>
        <v>1288.749540792312</v>
      </c>
      <c r="K38">
        <v>10</v>
      </c>
      <c r="L38" s="22" t="s">
        <v>223</v>
      </c>
      <c r="O38" t="s">
        <v>136</v>
      </c>
      <c r="P38" s="38">
        <f t="shared" ref="P38:U38" si="19">+P34-P36-P37</f>
        <v>2200</v>
      </c>
      <c r="Q38" s="38">
        <f t="shared" si="19"/>
        <v>2550</v>
      </c>
      <c r="R38" s="38">
        <f t="shared" si="19"/>
        <v>2847.5</v>
      </c>
      <c r="S38" s="38">
        <f t="shared" si="19"/>
        <v>3095</v>
      </c>
      <c r="T38" s="38">
        <f t="shared" si="19"/>
        <v>3268.9760000000001</v>
      </c>
      <c r="U38" s="38">
        <f t="shared" si="19"/>
        <v>1546.0071213631998</v>
      </c>
    </row>
    <row r="39" spans="1:22" x14ac:dyDescent="0.2">
      <c r="B39" t="s">
        <v>139</v>
      </c>
      <c r="C39" s="38">
        <f t="shared" ref="C39:H39" si="20">+C38*(1-C27)</f>
        <v>1640</v>
      </c>
      <c r="D39" s="38">
        <f t="shared" si="20"/>
        <v>1869.5</v>
      </c>
      <c r="E39" s="38">
        <f t="shared" si="20"/>
        <v>2059.25</v>
      </c>
      <c r="F39" s="38">
        <f t="shared" si="20"/>
        <v>2235.25</v>
      </c>
      <c r="G39" s="38">
        <f t="shared" si="20"/>
        <v>2353.814875</v>
      </c>
      <c r="H39" s="38">
        <f t="shared" si="20"/>
        <v>1030.9996326338496</v>
      </c>
      <c r="K39">
        <v>11</v>
      </c>
      <c r="L39" t="s">
        <v>170</v>
      </c>
      <c r="O39" t="s">
        <v>139</v>
      </c>
      <c r="P39" s="38">
        <f t="shared" ref="P39:U39" si="21">+P38*(1-P27)</f>
        <v>1760</v>
      </c>
      <c r="Q39" s="38">
        <f t="shared" si="21"/>
        <v>2040</v>
      </c>
      <c r="R39" s="38">
        <f t="shared" si="21"/>
        <v>2278</v>
      </c>
      <c r="S39" s="38">
        <f t="shared" si="21"/>
        <v>2476</v>
      </c>
      <c r="T39" s="38">
        <f t="shared" si="21"/>
        <v>2615.1808000000001</v>
      </c>
      <c r="U39" s="38">
        <f t="shared" si="21"/>
        <v>1236.80569709056</v>
      </c>
    </row>
    <row r="40" spans="1:22" x14ac:dyDescent="0.2">
      <c r="B40" t="s">
        <v>91</v>
      </c>
      <c r="C40" s="38">
        <f t="shared" ref="C40:H40" si="22">+D19-C19</f>
        <v>1350</v>
      </c>
      <c r="D40" s="38">
        <f t="shared" si="22"/>
        <v>1150</v>
      </c>
      <c r="E40" s="38">
        <f t="shared" si="22"/>
        <v>1100</v>
      </c>
      <c r="F40" s="38">
        <f t="shared" si="22"/>
        <v>790.43249999999898</v>
      </c>
      <c r="G40" s="38">
        <f t="shared" si="22"/>
        <v>829.55890875000114</v>
      </c>
      <c r="H40" s="38">
        <f t="shared" si="22"/>
        <v>870.62207473312446</v>
      </c>
      <c r="K40">
        <v>12</v>
      </c>
      <c r="L40" t="s">
        <v>171</v>
      </c>
      <c r="O40" t="s">
        <v>91</v>
      </c>
      <c r="P40" s="38">
        <f t="shared" ref="P40:U40" si="23">+Q19-P19</f>
        <v>1600</v>
      </c>
      <c r="Q40" s="38">
        <f t="shared" si="23"/>
        <v>1400</v>
      </c>
      <c r="R40" s="38">
        <f t="shared" si="23"/>
        <v>1200</v>
      </c>
      <c r="S40" s="38">
        <f t="shared" si="23"/>
        <v>869.88000000000102</v>
      </c>
      <c r="T40" s="38">
        <f t="shared" si="23"/>
        <v>915.80966400000034</v>
      </c>
      <c r="U40" s="38">
        <f t="shared" si="23"/>
        <v>961.14224236800146</v>
      </c>
    </row>
    <row r="41" spans="1:22" x14ac:dyDescent="0.2">
      <c r="B41" t="s">
        <v>186</v>
      </c>
      <c r="C41" s="38">
        <f t="shared" ref="C41:H41" si="24">+D29-C29</f>
        <v>-200</v>
      </c>
      <c r="D41" s="38">
        <f t="shared" si="24"/>
        <v>-200</v>
      </c>
      <c r="E41" s="38">
        <f t="shared" si="24"/>
        <v>-200</v>
      </c>
      <c r="F41" s="38">
        <f t="shared" si="24"/>
        <v>-200</v>
      </c>
      <c r="G41" s="38">
        <f t="shared" si="24"/>
        <v>-200</v>
      </c>
      <c r="H41" s="38">
        <f t="shared" si="24"/>
        <v>-200</v>
      </c>
      <c r="K41">
        <v>13</v>
      </c>
      <c r="L41" t="s">
        <v>172</v>
      </c>
      <c r="M41" t="s">
        <v>224</v>
      </c>
      <c r="O41" t="s">
        <v>186</v>
      </c>
      <c r="P41" s="38">
        <f t="shared" ref="P41:U41" si="25">+Q29-P29</f>
        <v>-200</v>
      </c>
      <c r="Q41" s="38">
        <f t="shared" si="25"/>
        <v>-200</v>
      </c>
      <c r="R41" s="38">
        <f t="shared" si="25"/>
        <v>-200</v>
      </c>
      <c r="S41" s="38">
        <f t="shared" si="25"/>
        <v>-200</v>
      </c>
      <c r="T41" s="38">
        <f t="shared" si="25"/>
        <v>-200</v>
      </c>
      <c r="U41" s="38">
        <f t="shared" si="25"/>
        <v>-200</v>
      </c>
    </row>
    <row r="42" spans="1:22" x14ac:dyDescent="0.2">
      <c r="B42" s="7" t="s">
        <v>75</v>
      </c>
      <c r="C42" s="9">
        <f t="shared" ref="C42:H42" si="26">C39-C40-C41</f>
        <v>490</v>
      </c>
      <c r="D42" s="9">
        <f t="shared" si="26"/>
        <v>919.5</v>
      </c>
      <c r="E42" s="9">
        <f t="shared" si="26"/>
        <v>1159.25</v>
      </c>
      <c r="F42" s="9">
        <f t="shared" si="26"/>
        <v>1644.817500000001</v>
      </c>
      <c r="G42" s="9">
        <f t="shared" si="26"/>
        <v>1724.2559662499989</v>
      </c>
      <c r="H42" s="9">
        <f t="shared" si="26"/>
        <v>360.37755790072515</v>
      </c>
      <c r="K42">
        <v>14</v>
      </c>
      <c r="L42" t="s">
        <v>174</v>
      </c>
      <c r="O42" s="7" t="s">
        <v>75</v>
      </c>
      <c r="P42" s="9">
        <f t="shared" ref="P42:U42" si="27">P39-P40-P41</f>
        <v>360</v>
      </c>
      <c r="Q42" s="9">
        <f t="shared" si="27"/>
        <v>840</v>
      </c>
      <c r="R42" s="9">
        <f t="shared" si="27"/>
        <v>1278</v>
      </c>
      <c r="S42" s="9">
        <f t="shared" si="27"/>
        <v>1806.119999999999</v>
      </c>
      <c r="T42" s="9">
        <f t="shared" si="27"/>
        <v>1899.3711359999998</v>
      </c>
      <c r="U42" s="9">
        <f t="shared" si="27"/>
        <v>475.66345472255853</v>
      </c>
    </row>
    <row r="43" spans="1:22" x14ac:dyDescent="0.2">
      <c r="B43" t="s">
        <v>32</v>
      </c>
      <c r="C43" s="5">
        <f t="shared" ref="C43:H43" si="28">C30*C25</f>
        <v>0</v>
      </c>
      <c r="D43" s="5">
        <f>D30*D25</f>
        <v>46.725000000000001</v>
      </c>
      <c r="E43" s="5">
        <f t="shared" si="28"/>
        <v>101.50000000000001</v>
      </c>
      <c r="F43" s="5">
        <f t="shared" si="28"/>
        <v>163.80000000000001</v>
      </c>
      <c r="G43" s="5">
        <f t="shared" si="28"/>
        <v>229.46605500000001</v>
      </c>
      <c r="H43" s="5">
        <f t="shared" si="28"/>
        <v>241.07987972250004</v>
      </c>
      <c r="K43">
        <v>15</v>
      </c>
      <c r="L43" t="s">
        <v>176</v>
      </c>
      <c r="O43" t="s">
        <v>32</v>
      </c>
      <c r="P43" s="5">
        <f t="shared" ref="P43:U43" si="29">P30*P25</f>
        <v>0</v>
      </c>
      <c r="Q43" s="5">
        <f t="shared" si="29"/>
        <v>47.6</v>
      </c>
      <c r="R43" s="5">
        <f t="shared" si="29"/>
        <v>105.00000000000001</v>
      </c>
      <c r="S43" s="5">
        <f t="shared" si="29"/>
        <v>170.10000000000002</v>
      </c>
      <c r="T43" s="5">
        <f t="shared" si="29"/>
        <v>238.97832000000005</v>
      </c>
      <c r="U43" s="5">
        <f t="shared" si="29"/>
        <v>251.79965529600005</v>
      </c>
    </row>
    <row r="44" spans="1:22" x14ac:dyDescent="0.2">
      <c r="B44" t="s">
        <v>148</v>
      </c>
      <c r="C44" s="5">
        <f>C43*C27</f>
        <v>0</v>
      </c>
      <c r="D44" s="5">
        <f>D43*D27</f>
        <v>9.3450000000000006</v>
      </c>
      <c r="E44" s="5">
        <f t="shared" ref="E44:H44" si="30">E43*E27</f>
        <v>20.300000000000004</v>
      </c>
      <c r="F44" s="5">
        <f t="shared" si="30"/>
        <v>32.760000000000005</v>
      </c>
      <c r="G44" s="5">
        <f t="shared" si="30"/>
        <v>45.893211000000008</v>
      </c>
      <c r="H44" s="5">
        <f t="shared" si="30"/>
        <v>48.215975944500009</v>
      </c>
      <c r="K44">
        <v>16</v>
      </c>
      <c r="L44" s="22" t="s">
        <v>177</v>
      </c>
      <c r="O44" t="s">
        <v>148</v>
      </c>
      <c r="P44" s="5">
        <f t="shared" ref="P44:U44" si="31">P43*P27</f>
        <v>0</v>
      </c>
      <c r="Q44" s="5">
        <f t="shared" si="31"/>
        <v>9.5200000000000014</v>
      </c>
      <c r="R44" s="5">
        <f t="shared" si="31"/>
        <v>21.000000000000004</v>
      </c>
      <c r="S44" s="5">
        <f t="shared" si="31"/>
        <v>34.020000000000003</v>
      </c>
      <c r="T44" s="5">
        <f t="shared" si="31"/>
        <v>47.795664000000016</v>
      </c>
      <c r="U44" s="5">
        <f t="shared" si="31"/>
        <v>50.359931059200015</v>
      </c>
    </row>
    <row r="45" spans="1:22" x14ac:dyDescent="0.2">
      <c r="B45" t="s">
        <v>151</v>
      </c>
      <c r="C45" s="6">
        <f>D30-C30</f>
        <v>667.5</v>
      </c>
      <c r="D45" s="6">
        <f t="shared" ref="D45:I45" si="32">E30-D30</f>
        <v>782.5</v>
      </c>
      <c r="E45" s="6">
        <f t="shared" si="32"/>
        <v>890</v>
      </c>
      <c r="F45" s="6">
        <f t="shared" si="32"/>
        <v>938.08649999999989</v>
      </c>
      <c r="G45" s="6">
        <f t="shared" si="32"/>
        <v>165.9117817500005</v>
      </c>
      <c r="H45" s="6">
        <f t="shared" si="32"/>
        <v>-3443.9982817500004</v>
      </c>
      <c r="I45" s="5">
        <f t="shared" si="32"/>
        <v>0</v>
      </c>
      <c r="K45">
        <v>17</v>
      </c>
      <c r="L45" s="57" t="s">
        <v>179</v>
      </c>
      <c r="O45" t="s">
        <v>151</v>
      </c>
      <c r="P45" s="6">
        <f t="shared" ref="P45:V45" si="33">Q30-P30</f>
        <v>680</v>
      </c>
      <c r="Q45" s="6">
        <f t="shared" si="33"/>
        <v>820</v>
      </c>
      <c r="R45" s="6">
        <f t="shared" si="33"/>
        <v>930</v>
      </c>
      <c r="S45" s="6">
        <f t="shared" si="33"/>
        <v>983.97600000000057</v>
      </c>
      <c r="T45" s="6">
        <f t="shared" si="33"/>
        <v>183.1619327999997</v>
      </c>
      <c r="U45" s="6">
        <f t="shared" si="33"/>
        <v>-3597.1379328000003</v>
      </c>
      <c r="V45" s="5">
        <f t="shared" si="33"/>
        <v>0</v>
      </c>
    </row>
    <row r="46" spans="1:22" x14ac:dyDescent="0.2">
      <c r="B46" s="7" t="s">
        <v>78</v>
      </c>
      <c r="C46" s="9">
        <f t="shared" ref="C46:H46" si="34">+C42-C43+C44+C45</f>
        <v>1157.5</v>
      </c>
      <c r="D46" s="9">
        <f t="shared" si="34"/>
        <v>1664.62</v>
      </c>
      <c r="E46" s="9">
        <f t="shared" si="34"/>
        <v>1968.05</v>
      </c>
      <c r="F46" s="9">
        <f t="shared" si="34"/>
        <v>2451.8640000000009</v>
      </c>
      <c r="G46" s="9">
        <f t="shared" si="34"/>
        <v>1706.5949039999994</v>
      </c>
      <c r="H46" s="9">
        <f t="shared" si="34"/>
        <v>-3276.4846276272751</v>
      </c>
      <c r="K46">
        <v>18</v>
      </c>
      <c r="L46" t="s">
        <v>180</v>
      </c>
      <c r="O46" s="7" t="s">
        <v>78</v>
      </c>
      <c r="P46" s="9">
        <f t="shared" ref="P46:U46" si="35">+P42-P43+P44+P45</f>
        <v>1040</v>
      </c>
      <c r="Q46" s="9">
        <f t="shared" si="35"/>
        <v>1621.92</v>
      </c>
      <c r="R46" s="9">
        <f t="shared" si="35"/>
        <v>2124</v>
      </c>
      <c r="S46" s="9">
        <f t="shared" si="35"/>
        <v>2654.0159999999996</v>
      </c>
      <c r="T46" s="9">
        <f t="shared" si="35"/>
        <v>1891.3504127999993</v>
      </c>
      <c r="U46" s="9">
        <f t="shared" si="35"/>
        <v>-3322.9142023142417</v>
      </c>
    </row>
    <row r="47" spans="1:22" x14ac:dyDescent="0.2">
      <c r="K47">
        <v>19</v>
      </c>
      <c r="L47" t="s">
        <v>181</v>
      </c>
    </row>
    <row r="48" spans="1:22" x14ac:dyDescent="0.2">
      <c r="A48" s="43" t="s">
        <v>225</v>
      </c>
      <c r="B48" t="s">
        <v>156</v>
      </c>
      <c r="C48" s="16">
        <f>C42+C44</f>
        <v>490</v>
      </c>
      <c r="D48" s="16">
        <f t="shared" ref="D48:H48" si="36">D42+D44</f>
        <v>928.84500000000003</v>
      </c>
      <c r="E48" s="16">
        <f t="shared" si="36"/>
        <v>1179.55</v>
      </c>
      <c r="F48" s="16">
        <f t="shared" si="36"/>
        <v>1677.577500000001</v>
      </c>
      <c r="G48" s="16">
        <f t="shared" si="36"/>
        <v>1770.149177249999</v>
      </c>
      <c r="H48" s="16">
        <f t="shared" si="36"/>
        <v>408.59353384522518</v>
      </c>
      <c r="K48">
        <v>20</v>
      </c>
      <c r="L48" t="s">
        <v>182</v>
      </c>
      <c r="N48" s="43" t="s">
        <v>225</v>
      </c>
      <c r="O48" t="s">
        <v>156</v>
      </c>
      <c r="P48" s="16">
        <f t="shared" ref="P48:U48" si="37">P42+P44</f>
        <v>360</v>
      </c>
      <c r="Q48" s="16">
        <f t="shared" si="37"/>
        <v>849.52</v>
      </c>
      <c r="R48" s="16">
        <f t="shared" si="37"/>
        <v>1299</v>
      </c>
      <c r="S48" s="16">
        <f t="shared" si="37"/>
        <v>1840.139999999999</v>
      </c>
      <c r="T48" s="16">
        <f t="shared" si="37"/>
        <v>1947.1667999999997</v>
      </c>
      <c r="U48" s="16">
        <f t="shared" si="37"/>
        <v>526.02338578175852</v>
      </c>
    </row>
    <row r="49" spans="1:22" ht="51" x14ac:dyDescent="0.2">
      <c r="A49" s="43"/>
      <c r="B49" s="17" t="s">
        <v>158</v>
      </c>
      <c r="C49" s="18">
        <f t="shared" ref="C49:G49" si="38">(D49+C48)/(1+C26)</f>
        <v>13460.384941557615</v>
      </c>
      <c r="D49" s="18">
        <f t="shared" si="38"/>
        <v>14585.63113454453</v>
      </c>
      <c r="E49" s="18">
        <f t="shared" si="38"/>
        <v>15407.061870689877</v>
      </c>
      <c r="F49" s="18">
        <f t="shared" si="38"/>
        <v>16076.359295172664</v>
      </c>
      <c r="G49" s="18">
        <f t="shared" si="38"/>
        <v>16327.944910593385</v>
      </c>
      <c r="H49" s="18">
        <f>(I49+H48)/(1+H26)</f>
        <v>16517.149122614595</v>
      </c>
      <c r="I49" s="18">
        <f>I31</f>
        <v>18090.613483483125</v>
      </c>
      <c r="K49">
        <v>21</v>
      </c>
      <c r="L49" s="64" t="s">
        <v>131</v>
      </c>
      <c r="N49" s="43"/>
      <c r="O49" s="17" t="s">
        <v>158</v>
      </c>
      <c r="P49" s="18">
        <f t="shared" ref="P49:U49" si="39">(Q49+P48)/(1+P26)</f>
        <v>14063.134737060402</v>
      </c>
      <c r="Q49" s="18">
        <f t="shared" si="39"/>
        <v>15390.710905507651</v>
      </c>
      <c r="R49" s="18">
        <f t="shared" si="39"/>
        <v>16388.07621416857</v>
      </c>
      <c r="S49" s="18">
        <f t="shared" si="39"/>
        <v>17055.645359868799</v>
      </c>
      <c r="T49" s="18">
        <f t="shared" si="39"/>
        <v>17262.182803053056</v>
      </c>
      <c r="U49" s="18">
        <f t="shared" si="39"/>
        <v>17386.477939419427</v>
      </c>
      <c r="V49" s="18">
        <f>V31</f>
        <v>18946.831906368003</v>
      </c>
    </row>
    <row r="50" spans="1:22" x14ac:dyDescent="0.2">
      <c r="A50" s="43"/>
      <c r="B50" t="s">
        <v>90</v>
      </c>
      <c r="C50" s="5">
        <f t="shared" ref="C50:F50" si="40">C19</f>
        <v>12000</v>
      </c>
      <c r="D50" s="5">
        <f t="shared" si="40"/>
        <v>13350</v>
      </c>
      <c r="E50" s="5">
        <f t="shared" si="40"/>
        <v>14500</v>
      </c>
      <c r="F50" s="5">
        <f t="shared" si="40"/>
        <v>15600</v>
      </c>
      <c r="G50" s="5">
        <f>G19</f>
        <v>16390.432499999999</v>
      </c>
      <c r="H50" s="5">
        <f>H19</f>
        <v>17219.99140875</v>
      </c>
      <c r="I50" s="5">
        <f>I19</f>
        <v>18090.613483483125</v>
      </c>
      <c r="K50">
        <v>22</v>
      </c>
      <c r="L50" s="57" t="s">
        <v>184</v>
      </c>
      <c r="N50" s="43"/>
      <c r="O50" t="s">
        <v>90</v>
      </c>
      <c r="P50" s="5">
        <f t="shared" ref="P50:V50" si="41">P19</f>
        <v>12000</v>
      </c>
      <c r="Q50" s="5">
        <f t="shared" si="41"/>
        <v>13600</v>
      </c>
      <c r="R50" s="5">
        <f t="shared" si="41"/>
        <v>15000</v>
      </c>
      <c r="S50" s="5">
        <f t="shared" si="41"/>
        <v>16200</v>
      </c>
      <c r="T50" s="5">
        <f t="shared" si="41"/>
        <v>17069.88</v>
      </c>
      <c r="U50" s="5">
        <f t="shared" si="41"/>
        <v>17985.689664000001</v>
      </c>
      <c r="V50" s="5">
        <f t="shared" si="41"/>
        <v>18946.831906368003</v>
      </c>
    </row>
    <row r="51" spans="1:22" x14ac:dyDescent="0.2">
      <c r="A51" s="43"/>
      <c r="C51" s="5"/>
      <c r="D51" s="5"/>
      <c r="E51" s="5"/>
      <c r="F51" s="5"/>
      <c r="G51" s="5"/>
      <c r="H51" s="5"/>
      <c r="I51" s="5"/>
      <c r="N51" s="43"/>
      <c r="P51" s="5"/>
      <c r="Q51" s="5"/>
      <c r="R51" s="5"/>
      <c r="S51" s="5"/>
      <c r="T51" s="5"/>
      <c r="U51" s="5"/>
      <c r="V51" s="5"/>
    </row>
    <row r="52" spans="1:22" x14ac:dyDescent="0.2">
      <c r="A52" s="43"/>
      <c r="L52" s="43" t="s">
        <v>137</v>
      </c>
      <c r="N52" s="43"/>
    </row>
    <row r="53" spans="1:22" x14ac:dyDescent="0.2">
      <c r="A53" s="43"/>
      <c r="B53" t="s">
        <v>162</v>
      </c>
      <c r="C53" s="2">
        <f>+C30/C49</f>
        <v>0</v>
      </c>
      <c r="D53" s="2">
        <f t="shared" ref="D53:H53" si="42">+D30/D49</f>
        <v>4.5764217800565145E-2</v>
      </c>
      <c r="E53" s="2">
        <f t="shared" si="42"/>
        <v>9.4112687556506439E-2</v>
      </c>
      <c r="F53" s="2">
        <f t="shared" si="42"/>
        <v>0.14555534353494107</v>
      </c>
      <c r="G53" s="2">
        <f t="shared" si="42"/>
        <v>0.20076540666628626</v>
      </c>
      <c r="H53" s="2">
        <f t="shared" si="42"/>
        <v>0.2085104551750169</v>
      </c>
      <c r="I53" s="21"/>
      <c r="L53" s="66" t="s">
        <v>140</v>
      </c>
      <c r="N53" s="43"/>
      <c r="O53" t="s">
        <v>162</v>
      </c>
      <c r="P53" s="2">
        <f t="shared" ref="P53:U53" si="43">+P30/P49</f>
        <v>0</v>
      </c>
      <c r="Q53" s="2">
        <f t="shared" si="43"/>
        <v>4.4182494504308979E-2</v>
      </c>
      <c r="R53" s="2">
        <f t="shared" si="43"/>
        <v>9.1529962418843966E-2</v>
      </c>
      <c r="S53" s="2">
        <f t="shared" si="43"/>
        <v>0.14247481984573188</v>
      </c>
      <c r="T53" s="2">
        <f t="shared" si="43"/>
        <v>0.19777197582429679</v>
      </c>
      <c r="U53" s="2">
        <f t="shared" si="43"/>
        <v>0.20689284772532354</v>
      </c>
      <c r="V53" s="21"/>
    </row>
    <row r="54" spans="1:22" x14ac:dyDescent="0.2">
      <c r="A54" s="43"/>
      <c r="B54" t="s">
        <v>163</v>
      </c>
      <c r="C54" s="2">
        <f>+(C26-C25*C53)/(1-C53)</f>
        <v>0.12</v>
      </c>
      <c r="D54" s="2">
        <f t="shared" ref="D54:G54" si="44">+(D26-D25*D53)/(1-D53)</f>
        <v>0.12239795125346706</v>
      </c>
      <c r="E54" s="2">
        <f t="shared" si="44"/>
        <v>0.1251945030173042</v>
      </c>
      <c r="F54" s="2">
        <f t="shared" si="44"/>
        <v>0.12851754074612162</v>
      </c>
      <c r="G54" s="2">
        <f t="shared" si="44"/>
        <v>0.13255985466225048</v>
      </c>
      <c r="H54" s="2">
        <f>+(H26-H25*H53)/(1-H53)</f>
        <v>0.13317202839496275</v>
      </c>
      <c r="I54" s="21"/>
      <c r="L54" t="s">
        <v>226</v>
      </c>
      <c r="N54" s="43"/>
      <c r="O54" t="s">
        <v>163</v>
      </c>
      <c r="P54" s="2">
        <f t="shared" ref="P54:U54" si="45">+(P26-P25*P53)/(1-P53)</f>
        <v>0.12</v>
      </c>
      <c r="Q54" s="2">
        <f t="shared" si="45"/>
        <v>0.12231124112345042</v>
      </c>
      <c r="R54" s="2">
        <f t="shared" si="45"/>
        <v>0.12503758839766177</v>
      </c>
      <c r="S54" s="2">
        <f t="shared" si="45"/>
        <v>0.12830732572891332</v>
      </c>
      <c r="T54" s="2">
        <f t="shared" si="45"/>
        <v>0.13232641903949377</v>
      </c>
      <c r="U54" s="2">
        <f t="shared" si="45"/>
        <v>0.13304318383284927</v>
      </c>
      <c r="V54" s="21"/>
    </row>
    <row r="55" spans="1:22" x14ac:dyDescent="0.2">
      <c r="A55" s="43"/>
      <c r="K55">
        <v>1</v>
      </c>
      <c r="L55" t="s">
        <v>185</v>
      </c>
      <c r="N55" s="43"/>
    </row>
    <row r="56" spans="1:22" x14ac:dyDescent="0.2">
      <c r="A56" s="43" t="s">
        <v>227</v>
      </c>
      <c r="B56" t="s">
        <v>78</v>
      </c>
      <c r="C56" s="16">
        <f t="shared" ref="C56:F56" si="46">+C46</f>
        <v>1157.5</v>
      </c>
      <c r="D56" s="16">
        <f t="shared" si="46"/>
        <v>1664.62</v>
      </c>
      <c r="E56" s="16">
        <f t="shared" si="46"/>
        <v>1968.05</v>
      </c>
      <c r="F56" s="16">
        <f t="shared" si="46"/>
        <v>2451.8640000000009</v>
      </c>
      <c r="G56" s="16">
        <f>+G46</f>
        <v>1706.5949039999994</v>
      </c>
      <c r="H56" s="16">
        <f>+H46</f>
        <v>-3276.4846276272751</v>
      </c>
      <c r="K56">
        <v>1</v>
      </c>
      <c r="L56" s="58" t="s">
        <v>187</v>
      </c>
      <c r="N56" s="43" t="s">
        <v>227</v>
      </c>
      <c r="O56" t="s">
        <v>78</v>
      </c>
      <c r="P56" s="16">
        <f t="shared" ref="P56:U56" si="47">+P46</f>
        <v>1040</v>
      </c>
      <c r="Q56" s="16">
        <f t="shared" si="47"/>
        <v>1621.92</v>
      </c>
      <c r="R56" s="16">
        <f t="shared" si="47"/>
        <v>2124</v>
      </c>
      <c r="S56" s="16">
        <f t="shared" si="47"/>
        <v>2654.0159999999996</v>
      </c>
      <c r="T56" s="16">
        <f t="shared" si="47"/>
        <v>1891.3504127999993</v>
      </c>
      <c r="U56" s="16">
        <f t="shared" si="47"/>
        <v>-3322.9142023142417</v>
      </c>
    </row>
    <row r="57" spans="1:22" x14ac:dyDescent="0.2">
      <c r="B57" t="s">
        <v>165</v>
      </c>
      <c r="C57" s="5">
        <f t="shared" ref="C57:G57" si="48">+(C56+D57)/(1+C54)</f>
        <v>13460.384941557624</v>
      </c>
      <c r="D57" s="5">
        <f t="shared" si="48"/>
        <v>13918.131134544541</v>
      </c>
      <c r="E57" s="5">
        <f t="shared" si="48"/>
        <v>13957.061870689884</v>
      </c>
      <c r="F57" s="5">
        <f t="shared" si="48"/>
        <v>13736.359295172671</v>
      </c>
      <c r="G57" s="5">
        <f t="shared" si="48"/>
        <v>13049.858410593391</v>
      </c>
      <c r="H57" s="5">
        <f>+(H56+I57)/(1+H54)</f>
        <v>13073.150840864599</v>
      </c>
      <c r="I57" s="5">
        <f>I49</f>
        <v>18090.613483483125</v>
      </c>
      <c r="L57" s="58" t="s">
        <v>146</v>
      </c>
      <c r="O57" t="s">
        <v>165</v>
      </c>
      <c r="P57" s="5">
        <f t="shared" ref="P57:U57" si="49">+(P56+Q57)/(1+P54)</f>
        <v>14063.134737060407</v>
      </c>
      <c r="Q57" s="5">
        <f t="shared" si="49"/>
        <v>14710.710905507658</v>
      </c>
      <c r="R57" s="5">
        <f t="shared" si="49"/>
        <v>14888.076214168574</v>
      </c>
      <c r="S57" s="5">
        <f t="shared" si="49"/>
        <v>14625.645359868804</v>
      </c>
      <c r="T57" s="5">
        <f t="shared" si="49"/>
        <v>13848.206803053061</v>
      </c>
      <c r="U57" s="5">
        <f t="shared" si="49"/>
        <v>13789.34000661943</v>
      </c>
      <c r="V57" s="5">
        <f>V49</f>
        <v>18946.831906368003</v>
      </c>
    </row>
    <row r="58" spans="1:22" x14ac:dyDescent="0.2">
      <c r="B58" s="17" t="s">
        <v>158</v>
      </c>
      <c r="C58" s="18">
        <f t="shared" ref="C58:H58" si="50">+C57+C30</f>
        <v>13460.384941557624</v>
      </c>
      <c r="D58" s="18">
        <f t="shared" si="50"/>
        <v>14585.631134544541</v>
      </c>
      <c r="E58" s="18">
        <f t="shared" si="50"/>
        <v>15407.061870689884</v>
      </c>
      <c r="F58" s="18">
        <f t="shared" si="50"/>
        <v>16076.359295172671</v>
      </c>
      <c r="G58" s="18">
        <f t="shared" si="50"/>
        <v>16327.944910593391</v>
      </c>
      <c r="H58" s="18">
        <f t="shared" si="50"/>
        <v>16517.149122614599</v>
      </c>
      <c r="I58" s="18">
        <f>+I57+I30</f>
        <v>18090.613483483125</v>
      </c>
      <c r="O58" s="17" t="s">
        <v>158</v>
      </c>
      <c r="P58" s="18">
        <f t="shared" ref="P58:V58" si="51">+P57+P30</f>
        <v>14063.134737060407</v>
      </c>
      <c r="Q58" s="18">
        <f t="shared" si="51"/>
        <v>15390.710905507658</v>
      </c>
      <c r="R58" s="18">
        <f t="shared" si="51"/>
        <v>16388.076214168574</v>
      </c>
      <c r="S58" s="18">
        <f t="shared" si="51"/>
        <v>17055.645359868802</v>
      </c>
      <c r="T58" s="18">
        <f t="shared" si="51"/>
        <v>17262.18280305306</v>
      </c>
      <c r="U58" s="18">
        <f t="shared" si="51"/>
        <v>17386.47793941943</v>
      </c>
      <c r="V58" s="18">
        <f t="shared" si="51"/>
        <v>18946.831906368003</v>
      </c>
    </row>
    <row r="59" spans="1:22" x14ac:dyDescent="0.2">
      <c r="B59" t="s">
        <v>166</v>
      </c>
      <c r="C59" s="16">
        <f t="shared" ref="C59:I59" si="52">+C58-C$49</f>
        <v>0</v>
      </c>
      <c r="D59" s="16">
        <f t="shared" si="52"/>
        <v>0</v>
      </c>
      <c r="E59" s="16">
        <f t="shared" si="52"/>
        <v>0</v>
      </c>
      <c r="F59" s="16">
        <f t="shared" si="52"/>
        <v>0</v>
      </c>
      <c r="G59" s="16">
        <f t="shared" si="52"/>
        <v>0</v>
      </c>
      <c r="H59" s="16">
        <f t="shared" si="52"/>
        <v>0</v>
      </c>
      <c r="I59" s="16">
        <f t="shared" si="52"/>
        <v>0</v>
      </c>
      <c r="L59" s="43" t="s">
        <v>227</v>
      </c>
      <c r="O59" t="s">
        <v>166</v>
      </c>
      <c r="P59" s="16">
        <f t="shared" ref="P59:V59" si="53">+P58-P$49</f>
        <v>0</v>
      </c>
      <c r="Q59" s="16">
        <f t="shared" si="53"/>
        <v>0</v>
      </c>
      <c r="R59" s="16">
        <f t="shared" si="53"/>
        <v>0</v>
      </c>
      <c r="S59" s="16">
        <f t="shared" si="53"/>
        <v>0</v>
      </c>
      <c r="T59" s="16">
        <f t="shared" si="53"/>
        <v>0</v>
      </c>
      <c r="U59" s="16">
        <f t="shared" si="53"/>
        <v>0</v>
      </c>
      <c r="V59" s="16">
        <f t="shared" si="53"/>
        <v>0</v>
      </c>
    </row>
    <row r="60" spans="1:22" x14ac:dyDescent="0.2">
      <c r="L60" s="66" t="s">
        <v>153</v>
      </c>
    </row>
    <row r="61" spans="1:22" x14ac:dyDescent="0.2">
      <c r="A61" s="43" t="s">
        <v>228</v>
      </c>
      <c r="B61" t="s">
        <v>229</v>
      </c>
      <c r="C61" s="4">
        <f>C54*(1-C53)+C25*C53*(1-C27)</f>
        <v>0.12</v>
      </c>
      <c r="D61" s="4">
        <f t="shared" ref="D61:H61" si="54">D54*(1-D53)+D25*D53*(1-D27)</f>
        <v>0.11935930095079209</v>
      </c>
      <c r="E61" s="4">
        <f t="shared" si="54"/>
        <v>0.1186824223742089</v>
      </c>
      <c r="F61" s="4">
        <f t="shared" si="54"/>
        <v>0.11796222519051081</v>
      </c>
      <c r="G61" s="4">
        <f t="shared" si="54"/>
        <v>0.11718928430667198</v>
      </c>
      <c r="H61" s="4">
        <f t="shared" si="54"/>
        <v>0.11708085362754975</v>
      </c>
      <c r="I61" s="4"/>
      <c r="L61" t="s">
        <v>230</v>
      </c>
      <c r="N61" s="43" t="s">
        <v>228</v>
      </c>
      <c r="O61" t="s">
        <v>229</v>
      </c>
      <c r="P61" s="4">
        <f t="shared" ref="P61:U61" si="55">P54*(1-P53)+P25*P53*(1-P27)</f>
        <v>0.12</v>
      </c>
      <c r="Q61" s="4">
        <f t="shared" si="55"/>
        <v>0.11938144507693967</v>
      </c>
      <c r="R61" s="4">
        <f t="shared" si="55"/>
        <v>0.11871858052613618</v>
      </c>
      <c r="S61" s="4">
        <f t="shared" si="55"/>
        <v>0.11800535252215974</v>
      </c>
      <c r="T61" s="4">
        <f t="shared" si="55"/>
        <v>0.11723119233845986</v>
      </c>
      <c r="U61" s="4">
        <f t="shared" si="55"/>
        <v>0.11710350013184548</v>
      </c>
      <c r="V61" s="4"/>
    </row>
    <row r="62" spans="1:22" x14ac:dyDescent="0.2">
      <c r="B62" t="s">
        <v>75</v>
      </c>
      <c r="C62" s="5">
        <f>C42</f>
        <v>490</v>
      </c>
      <c r="D62" s="5">
        <f t="shared" ref="D62:G62" si="56">D42</f>
        <v>919.5</v>
      </c>
      <c r="E62" s="5">
        <f t="shared" si="56"/>
        <v>1159.25</v>
      </c>
      <c r="F62" s="5">
        <f t="shared" si="56"/>
        <v>1644.817500000001</v>
      </c>
      <c r="G62" s="5">
        <f t="shared" si="56"/>
        <v>1724.2559662499989</v>
      </c>
      <c r="H62" s="5">
        <f>H42</f>
        <v>360.37755790072515</v>
      </c>
      <c r="I62" s="5"/>
      <c r="K62">
        <v>1</v>
      </c>
      <c r="L62" t="s">
        <v>231</v>
      </c>
      <c r="O62" t="s">
        <v>75</v>
      </c>
      <c r="P62" s="5">
        <f t="shared" ref="P62:U62" si="57">P42</f>
        <v>360</v>
      </c>
      <c r="Q62" s="5">
        <f t="shared" si="57"/>
        <v>840</v>
      </c>
      <c r="R62" s="5">
        <f t="shared" si="57"/>
        <v>1278</v>
      </c>
      <c r="S62" s="5">
        <f t="shared" si="57"/>
        <v>1806.119999999999</v>
      </c>
      <c r="T62" s="5">
        <f t="shared" si="57"/>
        <v>1899.3711359999998</v>
      </c>
      <c r="U62" s="5">
        <f t="shared" si="57"/>
        <v>475.66345472255853</v>
      </c>
      <c r="V62" s="5"/>
    </row>
    <row r="63" spans="1:22" x14ac:dyDescent="0.2">
      <c r="B63" s="17" t="s">
        <v>158</v>
      </c>
      <c r="C63" s="18">
        <f t="shared" ref="C63:G63" si="58">+(D63+C62)/(1+C61)</f>
        <v>13460.384941557628</v>
      </c>
      <c r="D63" s="18">
        <f t="shared" si="58"/>
        <v>14585.631134544545</v>
      </c>
      <c r="E63" s="18">
        <f t="shared" si="58"/>
        <v>15407.061870689889</v>
      </c>
      <c r="F63" s="18">
        <f t="shared" si="58"/>
        <v>16076.359295172673</v>
      </c>
      <c r="G63" s="18">
        <f t="shared" si="58"/>
        <v>16327.944910593391</v>
      </c>
      <c r="H63" s="18">
        <f>+(I63+H62)/(1+H61)</f>
        <v>16517.149122614599</v>
      </c>
      <c r="I63" s="18">
        <f>+I58</f>
        <v>18090.613483483125</v>
      </c>
      <c r="K63">
        <v>2</v>
      </c>
      <c r="L63" t="s">
        <v>192</v>
      </c>
      <c r="O63" s="17" t="s">
        <v>158</v>
      </c>
      <c r="P63" s="18">
        <f t="shared" ref="P63:U63" si="59">+(Q63+P62)/(1+P61)</f>
        <v>14063.134737060403</v>
      </c>
      <c r="Q63" s="18">
        <f t="shared" si="59"/>
        <v>15390.710905507654</v>
      </c>
      <c r="R63" s="18">
        <f t="shared" si="59"/>
        <v>16388.076214168574</v>
      </c>
      <c r="S63" s="18">
        <f t="shared" si="59"/>
        <v>17055.645359868802</v>
      </c>
      <c r="T63" s="18">
        <f t="shared" si="59"/>
        <v>17262.18280305306</v>
      </c>
      <c r="U63" s="18">
        <f t="shared" si="59"/>
        <v>17386.47793941943</v>
      </c>
      <c r="V63" s="18">
        <f>+V58</f>
        <v>18946.831906368003</v>
      </c>
    </row>
    <row r="64" spans="1:22" x14ac:dyDescent="0.2">
      <c r="B64" t="s">
        <v>166</v>
      </c>
      <c r="C64" s="16">
        <f t="shared" ref="C64:I64" si="60">+C63-C$49</f>
        <v>0</v>
      </c>
      <c r="D64" s="16">
        <f t="shared" si="60"/>
        <v>1.4551915228366852E-11</v>
      </c>
      <c r="E64" s="16">
        <f t="shared" si="60"/>
        <v>0</v>
      </c>
      <c r="F64" s="16">
        <f t="shared" si="60"/>
        <v>0</v>
      </c>
      <c r="G64" s="16">
        <f t="shared" si="60"/>
        <v>0</v>
      </c>
      <c r="H64" s="16">
        <f t="shared" si="60"/>
        <v>0</v>
      </c>
      <c r="I64" s="16">
        <f t="shared" si="60"/>
        <v>0</v>
      </c>
      <c r="K64">
        <v>3</v>
      </c>
      <c r="L64" t="s">
        <v>232</v>
      </c>
      <c r="O64" t="s">
        <v>166</v>
      </c>
      <c r="P64" s="16">
        <f t="shared" ref="P64:V64" si="61">+P63-P$49</f>
        <v>0</v>
      </c>
      <c r="Q64" s="16">
        <f t="shared" si="61"/>
        <v>0</v>
      </c>
      <c r="R64" s="16">
        <f t="shared" si="61"/>
        <v>0</v>
      </c>
      <c r="S64" s="16">
        <f t="shared" si="61"/>
        <v>0</v>
      </c>
      <c r="T64" s="16">
        <f t="shared" si="61"/>
        <v>0</v>
      </c>
      <c r="U64" s="16">
        <f t="shared" si="61"/>
        <v>0</v>
      </c>
      <c r="V64" s="16">
        <f t="shared" si="61"/>
        <v>0</v>
      </c>
    </row>
    <row r="65" spans="1:22" x14ac:dyDescent="0.2">
      <c r="C65" s="16"/>
      <c r="D65" s="16"/>
      <c r="E65" s="16"/>
      <c r="F65" s="16"/>
      <c r="G65" s="16"/>
      <c r="H65" s="16"/>
      <c r="I65" s="16"/>
      <c r="K65">
        <v>4</v>
      </c>
      <c r="L65" t="s">
        <v>194</v>
      </c>
      <c r="P65" s="16"/>
      <c r="Q65" s="16"/>
      <c r="R65" s="16"/>
      <c r="S65" s="16"/>
      <c r="T65" s="16"/>
      <c r="U65" s="16"/>
      <c r="V65" s="16"/>
    </row>
    <row r="66" spans="1:22" x14ac:dyDescent="0.2">
      <c r="K66">
        <v>5</v>
      </c>
      <c r="L66" t="s">
        <v>157</v>
      </c>
    </row>
    <row r="67" spans="1:22" x14ac:dyDescent="0.2">
      <c r="I67" s="5"/>
      <c r="K67">
        <v>6</v>
      </c>
      <c r="L67" s="58" t="s">
        <v>196</v>
      </c>
      <c r="V67" s="5"/>
    </row>
    <row r="68" spans="1:22" x14ac:dyDescent="0.2">
      <c r="A68" s="43"/>
      <c r="C68" s="5"/>
      <c r="D68" s="5"/>
      <c r="E68" s="5"/>
      <c r="F68" s="5"/>
      <c r="G68" s="5"/>
      <c r="H68" s="5"/>
      <c r="I68" s="5"/>
      <c r="N68" s="43"/>
      <c r="P68" s="5"/>
      <c r="Q68" s="5"/>
      <c r="R68" s="5"/>
      <c r="S68" s="5"/>
      <c r="T68" s="5"/>
      <c r="U68" s="5"/>
      <c r="V68" s="5"/>
    </row>
    <row r="69" spans="1:22" x14ac:dyDescent="0.2">
      <c r="A69" s="43" t="s">
        <v>233</v>
      </c>
      <c r="B69" t="s">
        <v>139</v>
      </c>
      <c r="C69" s="5">
        <f>C39</f>
        <v>1640</v>
      </c>
      <c r="D69" s="5">
        <f>D39</f>
        <v>1869.5</v>
      </c>
      <c r="E69" s="5">
        <f>E39</f>
        <v>2059.25</v>
      </c>
      <c r="F69" s="5">
        <f t="shared" ref="F69:H69" si="62">F39</f>
        <v>2235.25</v>
      </c>
      <c r="G69" s="5">
        <f t="shared" si="62"/>
        <v>2353.814875</v>
      </c>
      <c r="H69" s="5">
        <f t="shared" si="62"/>
        <v>1030.9996326338496</v>
      </c>
      <c r="I69" s="5"/>
      <c r="L69" s="43" t="s">
        <v>228</v>
      </c>
      <c r="N69" s="43" t="s">
        <v>233</v>
      </c>
      <c r="O69" t="s">
        <v>139</v>
      </c>
      <c r="P69" s="5">
        <f t="shared" ref="P69:U69" si="63">P39</f>
        <v>1760</v>
      </c>
      <c r="Q69" s="5">
        <f t="shared" si="63"/>
        <v>2040</v>
      </c>
      <c r="R69" s="5">
        <f t="shared" si="63"/>
        <v>2278</v>
      </c>
      <c r="S69" s="5">
        <f t="shared" si="63"/>
        <v>2476</v>
      </c>
      <c r="T69" s="5">
        <f t="shared" si="63"/>
        <v>2615.1808000000001</v>
      </c>
      <c r="U69" s="5">
        <f t="shared" si="63"/>
        <v>1236.80569709056</v>
      </c>
      <c r="V69" s="5"/>
    </row>
    <row r="70" spans="1:22" x14ac:dyDescent="0.2">
      <c r="B70" t="s">
        <v>234</v>
      </c>
      <c r="C70" s="5">
        <f>+C73*C61</f>
        <v>1584</v>
      </c>
      <c r="D70" s="5">
        <f t="shared" ref="D70:H70" si="64">+D73*D61</f>
        <v>1712.8059686438664</v>
      </c>
      <c r="E70" s="5">
        <f t="shared" si="64"/>
        <v>1815.841062325396</v>
      </c>
      <c r="F70" s="5">
        <f t="shared" si="64"/>
        <v>1910.9880480862751</v>
      </c>
      <c r="G70" s="5">
        <f t="shared" si="64"/>
        <v>1967.6587678744852</v>
      </c>
      <c r="H70" s="5">
        <f t="shared" si="64"/>
        <v>2039.547464321033</v>
      </c>
      <c r="L70" s="66" t="s">
        <v>235</v>
      </c>
      <c r="O70" t="s">
        <v>234</v>
      </c>
      <c r="P70" s="5">
        <f t="shared" ref="P70:U70" si="65">+P73*P61</f>
        <v>1584</v>
      </c>
      <c r="Q70" s="5">
        <f t="shared" si="65"/>
        <v>1742.9690981233191</v>
      </c>
      <c r="R70" s="5">
        <f t="shared" si="65"/>
        <v>1875.7535723129517</v>
      </c>
      <c r="S70" s="5">
        <f t="shared" si="65"/>
        <v>1982.4899223722837</v>
      </c>
      <c r="T70" s="5">
        <f t="shared" si="65"/>
        <v>2048.0148624098133</v>
      </c>
      <c r="U70" s="5">
        <f t="shared" si="65"/>
        <v>2129.6079119659253</v>
      </c>
    </row>
    <row r="71" spans="1:22" x14ac:dyDescent="0.2">
      <c r="B71" t="s">
        <v>236</v>
      </c>
      <c r="C71" s="16">
        <f t="shared" ref="C71:G71" si="66">+C69-C70</f>
        <v>56</v>
      </c>
      <c r="D71" s="16">
        <f t="shared" si="66"/>
        <v>156.69403135613356</v>
      </c>
      <c r="E71" s="16">
        <f t="shared" si="66"/>
        <v>243.40893767460398</v>
      </c>
      <c r="F71" s="16">
        <f t="shared" si="66"/>
        <v>324.26195191372494</v>
      </c>
      <c r="G71" s="16">
        <f t="shared" si="66"/>
        <v>386.15610712551484</v>
      </c>
      <c r="H71" s="16">
        <f>+H69-H70</f>
        <v>-1008.5478316871834</v>
      </c>
      <c r="K71">
        <v>1</v>
      </c>
      <c r="L71" t="s">
        <v>237</v>
      </c>
      <c r="O71" t="s">
        <v>236</v>
      </c>
      <c r="P71" s="16">
        <f t="shared" ref="P71:U71" si="67">+P69-P70</f>
        <v>176</v>
      </c>
      <c r="Q71" s="16">
        <f t="shared" si="67"/>
        <v>297.0309018766809</v>
      </c>
      <c r="R71" s="16">
        <f t="shared" si="67"/>
        <v>402.24642768704825</v>
      </c>
      <c r="S71" s="16">
        <f t="shared" si="67"/>
        <v>493.51007762771633</v>
      </c>
      <c r="T71" s="16">
        <f t="shared" si="67"/>
        <v>567.16593759018679</v>
      </c>
      <c r="U71" s="16">
        <f t="shared" si="67"/>
        <v>-892.80221487536528</v>
      </c>
    </row>
    <row r="72" spans="1:22" x14ac:dyDescent="0.2">
      <c r="B72" t="s">
        <v>238</v>
      </c>
      <c r="C72" s="5">
        <f t="shared" ref="C72:G72" si="68">+(C71+D72)/(1+C61)</f>
        <v>260.38494155762538</v>
      </c>
      <c r="D72" s="5">
        <f t="shared" si="68"/>
        <v>235.63113454454046</v>
      </c>
      <c r="E72" s="5">
        <f t="shared" si="68"/>
        <v>107.06187068988525</v>
      </c>
      <c r="F72" s="5">
        <f t="shared" si="68"/>
        <v>-123.64070482732882</v>
      </c>
      <c r="G72" s="5">
        <f t="shared" si="68"/>
        <v>-462.48758940660861</v>
      </c>
      <c r="H72" s="5">
        <f>+(H71+I72)/(1+H61)</f>
        <v>-902.84228613540188</v>
      </c>
      <c r="I72">
        <v>0</v>
      </c>
      <c r="K72">
        <v>2</v>
      </c>
      <c r="L72" t="s">
        <v>239</v>
      </c>
      <c r="O72" t="s">
        <v>238</v>
      </c>
      <c r="P72" s="5">
        <f t="shared" ref="P72:U72" si="69">+(P71+Q72)/(1+P61)</f>
        <v>863.13473706040759</v>
      </c>
      <c r="Q72" s="5">
        <f t="shared" si="69"/>
        <v>790.71090550765655</v>
      </c>
      <c r="R72" s="5">
        <f t="shared" si="69"/>
        <v>588.07621416857523</v>
      </c>
      <c r="S72" s="5">
        <f t="shared" si="69"/>
        <v>255.64535986880426</v>
      </c>
      <c r="T72" s="5">
        <f t="shared" si="69"/>
        <v>-207.69719694693941</v>
      </c>
      <c r="U72" s="5">
        <f t="shared" si="69"/>
        <v>-799.21172458057185</v>
      </c>
      <c r="V72">
        <v>0</v>
      </c>
    </row>
    <row r="73" spans="1:22" x14ac:dyDescent="0.2">
      <c r="B73" t="s">
        <v>240</v>
      </c>
      <c r="C73" s="5">
        <f>C19+C29</f>
        <v>13200</v>
      </c>
      <c r="D73" s="5">
        <f t="shared" ref="D73:I73" si="70">D19+D29</f>
        <v>14350</v>
      </c>
      <c r="E73" s="5">
        <f t="shared" si="70"/>
        <v>15300</v>
      </c>
      <c r="F73" s="5">
        <f t="shared" si="70"/>
        <v>16200</v>
      </c>
      <c r="G73" s="5">
        <f t="shared" si="70"/>
        <v>16790.432499999999</v>
      </c>
      <c r="H73" s="5">
        <f t="shared" si="70"/>
        <v>17419.99140875</v>
      </c>
      <c r="I73" s="5">
        <f t="shared" si="70"/>
        <v>18090.613483483125</v>
      </c>
      <c r="L73" s="58" t="s">
        <v>187</v>
      </c>
      <c r="O73" t="s">
        <v>240</v>
      </c>
      <c r="P73" s="5">
        <f t="shared" ref="P73:V73" si="71">P19+P29</f>
        <v>13200</v>
      </c>
      <c r="Q73" s="5">
        <f t="shared" si="71"/>
        <v>14600</v>
      </c>
      <c r="R73" s="5">
        <f t="shared" si="71"/>
        <v>15800</v>
      </c>
      <c r="S73" s="5">
        <f t="shared" si="71"/>
        <v>16800</v>
      </c>
      <c r="T73" s="5">
        <f t="shared" si="71"/>
        <v>17469.88</v>
      </c>
      <c r="U73" s="5">
        <f t="shared" si="71"/>
        <v>18185.689664000001</v>
      </c>
      <c r="V73" s="5">
        <f t="shared" si="71"/>
        <v>18946.831906368003</v>
      </c>
    </row>
    <row r="74" spans="1:22" x14ac:dyDescent="0.2">
      <c r="B74" s="17" t="s">
        <v>158</v>
      </c>
      <c r="C74" s="18">
        <f>C73+C72</f>
        <v>13460.384941557626</v>
      </c>
      <c r="D74" s="18">
        <f t="shared" ref="D74" si="72">D73+D72</f>
        <v>14585.631134544541</v>
      </c>
      <c r="E74" s="18">
        <f>E73+E72</f>
        <v>15407.061870689886</v>
      </c>
      <c r="F74" s="18">
        <f>F73+F72</f>
        <v>16076.359295172671</v>
      </c>
      <c r="G74" s="18">
        <f>G73+G72</f>
        <v>16327.944910593391</v>
      </c>
      <c r="H74" s="18">
        <f>H73+H72</f>
        <v>16517.149122614599</v>
      </c>
      <c r="I74" s="18">
        <f>I73+I72</f>
        <v>18090.613483483125</v>
      </c>
      <c r="L74" s="58" t="s">
        <v>241</v>
      </c>
      <c r="O74" s="17" t="s">
        <v>158</v>
      </c>
      <c r="P74" s="18">
        <f t="shared" ref="P74:V74" si="73">P73+P72</f>
        <v>14063.134737060407</v>
      </c>
      <c r="Q74" s="18">
        <f t="shared" si="73"/>
        <v>15390.710905507656</v>
      </c>
      <c r="R74" s="18">
        <f t="shared" si="73"/>
        <v>16388.076214168574</v>
      </c>
      <c r="S74" s="18">
        <f t="shared" si="73"/>
        <v>17055.645359868806</v>
      </c>
      <c r="T74" s="18">
        <f t="shared" si="73"/>
        <v>17262.182803053063</v>
      </c>
      <c r="U74" s="18">
        <f t="shared" si="73"/>
        <v>17386.47793941943</v>
      </c>
      <c r="V74" s="18">
        <f t="shared" si="73"/>
        <v>18946.831906368003</v>
      </c>
    </row>
    <row r="75" spans="1:22" x14ac:dyDescent="0.2">
      <c r="B75" t="s">
        <v>166</v>
      </c>
      <c r="C75" s="16">
        <f t="shared" ref="C75:I75" si="74">+C74-C$49</f>
        <v>0</v>
      </c>
      <c r="D75" s="16">
        <f t="shared" si="74"/>
        <v>0</v>
      </c>
      <c r="E75" s="16">
        <f t="shared" si="74"/>
        <v>0</v>
      </c>
      <c r="F75" s="16">
        <f t="shared" si="74"/>
        <v>0</v>
      </c>
      <c r="G75" s="16">
        <f t="shared" si="74"/>
        <v>0</v>
      </c>
      <c r="H75" s="16">
        <f t="shared" si="74"/>
        <v>0</v>
      </c>
      <c r="I75" s="16">
        <f t="shared" si="74"/>
        <v>0</v>
      </c>
      <c r="O75" t="s">
        <v>166</v>
      </c>
      <c r="P75" s="16">
        <f t="shared" ref="P75:V75" si="75">+P74-P$49</f>
        <v>0</v>
      </c>
      <c r="Q75" s="16">
        <f t="shared" si="75"/>
        <v>0</v>
      </c>
      <c r="R75" s="16">
        <f t="shared" si="75"/>
        <v>0</v>
      </c>
      <c r="S75" s="16">
        <f t="shared" si="75"/>
        <v>0</v>
      </c>
      <c r="T75" s="16">
        <f t="shared" si="75"/>
        <v>0</v>
      </c>
      <c r="U75" s="16">
        <f t="shared" si="75"/>
        <v>0</v>
      </c>
      <c r="V75" s="16">
        <f t="shared" si="75"/>
        <v>0</v>
      </c>
    </row>
    <row r="76" spans="1:22" x14ac:dyDescent="0.2">
      <c r="L76" s="43" t="s">
        <v>242</v>
      </c>
    </row>
    <row r="77" spans="1:22" x14ac:dyDescent="0.2">
      <c r="A77" s="43" t="s">
        <v>243</v>
      </c>
      <c r="B77" t="s">
        <v>136</v>
      </c>
      <c r="C77" s="16">
        <f>+C38</f>
        <v>2050</v>
      </c>
      <c r="D77" s="16">
        <f t="shared" ref="D77:H77" si="76">+D38</f>
        <v>2336.875</v>
      </c>
      <c r="E77" s="16">
        <f t="shared" si="76"/>
        <v>2574.0625</v>
      </c>
      <c r="F77" s="16">
        <f t="shared" si="76"/>
        <v>2794.0625</v>
      </c>
      <c r="G77" s="16">
        <f t="shared" si="76"/>
        <v>2942.26859375</v>
      </c>
      <c r="H77" s="16">
        <f t="shared" si="76"/>
        <v>1288.749540792312</v>
      </c>
      <c r="I77" s="16"/>
      <c r="L77" s="66" t="s">
        <v>235</v>
      </c>
      <c r="N77" s="43" t="s">
        <v>243</v>
      </c>
      <c r="O77" t="s">
        <v>136</v>
      </c>
      <c r="P77" s="16">
        <f t="shared" ref="P77:U77" si="77">+P38</f>
        <v>2200</v>
      </c>
      <c r="Q77" s="16">
        <f t="shared" si="77"/>
        <v>2550</v>
      </c>
      <c r="R77" s="16">
        <f t="shared" si="77"/>
        <v>2847.5</v>
      </c>
      <c r="S77" s="16">
        <f t="shared" si="77"/>
        <v>3095</v>
      </c>
      <c r="T77" s="16">
        <f t="shared" si="77"/>
        <v>3268.9760000000001</v>
      </c>
      <c r="U77" s="16">
        <f t="shared" si="77"/>
        <v>1546.0071213631998</v>
      </c>
      <c r="V77" s="16"/>
    </row>
    <row r="78" spans="1:22" x14ac:dyDescent="0.2">
      <c r="B78" t="s">
        <v>32</v>
      </c>
      <c r="C78" s="16">
        <f t="shared" ref="C78:H78" si="78">C43</f>
        <v>0</v>
      </c>
      <c r="D78" s="16">
        <f t="shared" si="78"/>
        <v>46.725000000000001</v>
      </c>
      <c r="E78" s="16">
        <f t="shared" si="78"/>
        <v>101.50000000000001</v>
      </c>
      <c r="F78" s="16">
        <f t="shared" si="78"/>
        <v>163.80000000000001</v>
      </c>
      <c r="G78" s="16">
        <f t="shared" si="78"/>
        <v>229.46605500000001</v>
      </c>
      <c r="H78" s="16">
        <f t="shared" si="78"/>
        <v>241.07987972250004</v>
      </c>
      <c r="I78" s="16"/>
      <c r="L78" t="s">
        <v>244</v>
      </c>
      <c r="O78" t="s">
        <v>32</v>
      </c>
      <c r="P78" s="16">
        <f t="shared" ref="P78:U78" si="79">P43</f>
        <v>0</v>
      </c>
      <c r="Q78" s="16">
        <f t="shared" si="79"/>
        <v>47.6</v>
      </c>
      <c r="R78" s="16">
        <f t="shared" si="79"/>
        <v>105.00000000000001</v>
      </c>
      <c r="S78" s="16">
        <f t="shared" si="79"/>
        <v>170.10000000000002</v>
      </c>
      <c r="T78" s="16">
        <f t="shared" si="79"/>
        <v>238.97832000000005</v>
      </c>
      <c r="U78" s="16">
        <f t="shared" si="79"/>
        <v>251.79965529600005</v>
      </c>
      <c r="V78" s="16"/>
    </row>
    <row r="79" spans="1:22" x14ac:dyDescent="0.2">
      <c r="B79" t="s">
        <v>33</v>
      </c>
      <c r="C79" s="16">
        <f>C77-C78</f>
        <v>2050</v>
      </c>
      <c r="D79" s="16">
        <f t="shared" ref="D79:H79" si="80">D77-D78</f>
        <v>2290.15</v>
      </c>
      <c r="E79" s="16">
        <f t="shared" si="80"/>
        <v>2472.5625</v>
      </c>
      <c r="F79" s="16">
        <f t="shared" si="80"/>
        <v>2630.2624999999998</v>
      </c>
      <c r="G79" s="16">
        <f t="shared" si="80"/>
        <v>2712.8025387500002</v>
      </c>
      <c r="H79" s="16">
        <f t="shared" si="80"/>
        <v>1047.669661069812</v>
      </c>
      <c r="I79" s="16"/>
      <c r="K79">
        <v>1</v>
      </c>
      <c r="L79" t="s">
        <v>245</v>
      </c>
      <c r="O79" t="s">
        <v>33</v>
      </c>
      <c r="P79" s="16">
        <f t="shared" ref="P79:U79" si="81">P77-P78</f>
        <v>2200</v>
      </c>
      <c r="Q79" s="16">
        <f t="shared" si="81"/>
        <v>2502.4</v>
      </c>
      <c r="R79" s="16">
        <f t="shared" si="81"/>
        <v>2742.5</v>
      </c>
      <c r="S79" s="16">
        <f t="shared" si="81"/>
        <v>2924.9</v>
      </c>
      <c r="T79" s="16">
        <f t="shared" si="81"/>
        <v>3029.9976799999999</v>
      </c>
      <c r="U79" s="16">
        <f t="shared" si="81"/>
        <v>1294.2074660671997</v>
      </c>
      <c r="V79" s="16"/>
    </row>
    <row r="80" spans="1:22" x14ac:dyDescent="0.2">
      <c r="B80" t="s">
        <v>246</v>
      </c>
      <c r="C80" s="16">
        <f>+IF(C79&gt;0,C79*C27,0)</f>
        <v>410</v>
      </c>
      <c r="D80" s="16">
        <f t="shared" ref="D80:H80" si="82">+IF(D79&gt;0,D79*D27,0)</f>
        <v>458.03000000000003</v>
      </c>
      <c r="E80" s="16">
        <f t="shared" si="82"/>
        <v>494.51250000000005</v>
      </c>
      <c r="F80" s="16">
        <f t="shared" si="82"/>
        <v>526.05250000000001</v>
      </c>
      <c r="G80" s="16">
        <f t="shared" si="82"/>
        <v>542.56050775000006</v>
      </c>
      <c r="H80" s="16">
        <f t="shared" si="82"/>
        <v>209.53393221396243</v>
      </c>
      <c r="K80">
        <v>2</v>
      </c>
      <c r="L80" t="s">
        <v>234</v>
      </c>
      <c r="O80" t="s">
        <v>246</v>
      </c>
      <c r="P80" s="16">
        <f t="shared" ref="P80:U80" si="83">+IF(P79&gt;0,P79*P27,0)</f>
        <v>440</v>
      </c>
      <c r="Q80" s="16">
        <f t="shared" si="83"/>
        <v>500.48</v>
      </c>
      <c r="R80" s="16">
        <f t="shared" si="83"/>
        <v>548.5</v>
      </c>
      <c r="S80" s="16">
        <f t="shared" si="83"/>
        <v>584.98</v>
      </c>
      <c r="T80" s="16">
        <f t="shared" si="83"/>
        <v>605.99953600000003</v>
      </c>
      <c r="U80" s="16">
        <f t="shared" si="83"/>
        <v>258.84149321343995</v>
      </c>
    </row>
    <row r="81" spans="2:22" x14ac:dyDescent="0.2">
      <c r="B81" t="s">
        <v>247</v>
      </c>
      <c r="C81" s="16">
        <f>C79-C80</f>
        <v>1640</v>
      </c>
      <c r="D81" s="16">
        <f t="shared" ref="D81:H81" si="84">D79-D80</f>
        <v>1832.1200000000001</v>
      </c>
      <c r="E81" s="16">
        <f t="shared" si="84"/>
        <v>1978.05</v>
      </c>
      <c r="F81" s="16">
        <f t="shared" si="84"/>
        <v>2104.21</v>
      </c>
      <c r="G81" s="16">
        <f t="shared" si="84"/>
        <v>2170.2420310000002</v>
      </c>
      <c r="H81" s="16">
        <f t="shared" si="84"/>
        <v>838.13572885584961</v>
      </c>
      <c r="I81" s="16"/>
      <c r="K81">
        <v>3</v>
      </c>
      <c r="L81" t="s">
        <v>248</v>
      </c>
      <c r="O81" t="s">
        <v>247</v>
      </c>
      <c r="P81" s="16">
        <f t="shared" ref="P81:U81" si="85">P79-P80</f>
        <v>1760</v>
      </c>
      <c r="Q81" s="16">
        <f t="shared" si="85"/>
        <v>2001.92</v>
      </c>
      <c r="R81" s="16">
        <f t="shared" si="85"/>
        <v>2194</v>
      </c>
      <c r="S81" s="16">
        <f t="shared" si="85"/>
        <v>2339.92</v>
      </c>
      <c r="T81" s="16">
        <f t="shared" si="85"/>
        <v>2423.9981440000001</v>
      </c>
      <c r="U81" s="16">
        <f t="shared" si="85"/>
        <v>1035.3659728537598</v>
      </c>
      <c r="V81" s="16"/>
    </row>
    <row r="82" spans="2:22" ht="34" x14ac:dyDescent="0.2">
      <c r="K82">
        <v>4</v>
      </c>
      <c r="L82" s="64" t="s">
        <v>249</v>
      </c>
    </row>
    <row r="83" spans="2:22" x14ac:dyDescent="0.2">
      <c r="B83" t="s">
        <v>123</v>
      </c>
      <c r="C83" s="16">
        <f>C31</f>
        <v>13200</v>
      </c>
      <c r="D83" s="16">
        <f t="shared" ref="D83:I83" si="86">D31</f>
        <v>13682.5</v>
      </c>
      <c r="E83" s="16">
        <f t="shared" si="86"/>
        <v>13850</v>
      </c>
      <c r="F83" s="16">
        <f t="shared" si="86"/>
        <v>13860</v>
      </c>
      <c r="G83" s="16">
        <f t="shared" si="86"/>
        <v>13512.346</v>
      </c>
      <c r="H83" s="16">
        <f t="shared" si="86"/>
        <v>13975.993127</v>
      </c>
      <c r="I83" s="16">
        <f t="shared" si="86"/>
        <v>18090.613483483125</v>
      </c>
      <c r="K83">
        <v>5</v>
      </c>
      <c r="L83" t="s">
        <v>250</v>
      </c>
      <c r="O83" t="s">
        <v>123</v>
      </c>
      <c r="P83" s="16">
        <f t="shared" ref="P83:V83" si="87">P31</f>
        <v>13200</v>
      </c>
      <c r="Q83" s="16">
        <f t="shared" si="87"/>
        <v>13920</v>
      </c>
      <c r="R83" s="16">
        <f t="shared" si="87"/>
        <v>14300</v>
      </c>
      <c r="S83" s="16">
        <f t="shared" si="87"/>
        <v>14370</v>
      </c>
      <c r="T83" s="16">
        <f t="shared" si="87"/>
        <v>14055.904</v>
      </c>
      <c r="U83" s="16">
        <f t="shared" si="87"/>
        <v>14588.551731200001</v>
      </c>
      <c r="V83" s="16">
        <f t="shared" si="87"/>
        <v>18946.831906368003</v>
      </c>
    </row>
    <row r="84" spans="2:22" x14ac:dyDescent="0.2">
      <c r="B84" t="s">
        <v>251</v>
      </c>
      <c r="C84" s="16">
        <f t="shared" ref="C84:H84" si="88">+C83*C54</f>
        <v>1584</v>
      </c>
      <c r="D84" s="16">
        <f t="shared" si="88"/>
        <v>1674.7099680255631</v>
      </c>
      <c r="E84" s="16">
        <f t="shared" si="88"/>
        <v>1733.9438667896632</v>
      </c>
      <c r="F84" s="16">
        <f t="shared" si="88"/>
        <v>1781.2531147412458</v>
      </c>
      <c r="G84" s="16">
        <f t="shared" si="88"/>
        <v>1791.1946219060417</v>
      </c>
      <c r="H84" s="16">
        <f t="shared" si="88"/>
        <v>1861.2113535566482</v>
      </c>
      <c r="I84" s="16"/>
      <c r="K84">
        <v>6</v>
      </c>
      <c r="L84" t="s">
        <v>252</v>
      </c>
      <c r="O84" t="s">
        <v>251</v>
      </c>
      <c r="P84" s="16">
        <f t="shared" ref="P84:U84" si="89">+P83*P54</f>
        <v>1584</v>
      </c>
      <c r="Q84" s="16">
        <f t="shared" si="89"/>
        <v>1702.5724764384297</v>
      </c>
      <c r="R84" s="16">
        <f t="shared" si="89"/>
        <v>1788.0375140865633</v>
      </c>
      <c r="S84" s="16">
        <f t="shared" si="89"/>
        <v>1843.7762707244844</v>
      </c>
      <c r="T84" s="16">
        <f t="shared" si="89"/>
        <v>1859.9674426828967</v>
      </c>
      <c r="U84" s="16">
        <f t="shared" si="89"/>
        <v>1940.9073698290733</v>
      </c>
      <c r="V84" s="16"/>
    </row>
    <row r="85" spans="2:22" x14ac:dyDescent="0.2">
      <c r="B85" t="s">
        <v>253</v>
      </c>
      <c r="C85" s="16">
        <f>+C81-C84</f>
        <v>56</v>
      </c>
      <c r="D85" s="16">
        <f t="shared" ref="D85:H85" si="90">+D81-D84</f>
        <v>157.41003197443706</v>
      </c>
      <c r="E85" s="16">
        <f t="shared" si="90"/>
        <v>244.10613321033679</v>
      </c>
      <c r="F85" s="16">
        <f t="shared" si="90"/>
        <v>322.95688525875426</v>
      </c>
      <c r="G85" s="16">
        <f t="shared" si="90"/>
        <v>379.04740909395855</v>
      </c>
      <c r="H85" s="16">
        <f t="shared" si="90"/>
        <v>-1023.0756247007986</v>
      </c>
      <c r="K85">
        <v>7</v>
      </c>
      <c r="L85" s="17" t="s">
        <v>254</v>
      </c>
      <c r="O85" t="s">
        <v>253</v>
      </c>
      <c r="P85" s="16">
        <f>+P81-P84</f>
        <v>176</v>
      </c>
      <c r="Q85" s="16">
        <f t="shared" ref="Q85" si="91">+Q81-Q84</f>
        <v>299.34752356157037</v>
      </c>
      <c r="R85" s="16">
        <f t="shared" ref="R85" si="92">+R81-R84</f>
        <v>405.96248591343669</v>
      </c>
      <c r="S85" s="16">
        <f t="shared" ref="S85" si="93">+S81-S84</f>
        <v>496.14372927551562</v>
      </c>
      <c r="T85" s="16">
        <f t="shared" ref="T85" si="94">+T81-T84</f>
        <v>564.03070131710342</v>
      </c>
      <c r="U85" s="16">
        <f t="shared" ref="U85" si="95">+U81-U84</f>
        <v>-905.54139697531355</v>
      </c>
    </row>
    <row r="86" spans="2:22" x14ac:dyDescent="0.2">
      <c r="B86" t="s">
        <v>255</v>
      </c>
      <c r="C86" s="5">
        <f t="shared" ref="C86:G86" si="96">(C85+D86)/(1+C54)</f>
        <v>260.38494155762504</v>
      </c>
      <c r="D86" s="5">
        <f t="shared" si="96"/>
        <v>235.63113454454009</v>
      </c>
      <c r="E86" s="5">
        <f t="shared" si="96"/>
        <v>107.06187068988477</v>
      </c>
      <c r="F86" s="5">
        <f t="shared" si="96"/>
        <v>-123.640704827329</v>
      </c>
      <c r="G86" s="5">
        <f t="shared" si="96"/>
        <v>-462.48758940660872</v>
      </c>
      <c r="H86" s="5">
        <f>(H85+I86)/(1+H54)</f>
        <v>-902.84228613540188</v>
      </c>
      <c r="I86">
        <v>0</v>
      </c>
      <c r="O86" t="s">
        <v>255</v>
      </c>
      <c r="P86" s="5">
        <f t="shared" ref="P86" si="97">(P85+Q86)/(1+P54)</f>
        <v>863.1347370604077</v>
      </c>
      <c r="Q86" s="5">
        <f t="shared" ref="Q86" si="98">(Q85+R86)/(1+Q54)</f>
        <v>790.71090550765678</v>
      </c>
      <c r="R86" s="5">
        <f t="shared" ref="R86" si="99">(R85+S86)/(1+R54)</f>
        <v>588.07621416857523</v>
      </c>
      <c r="S86" s="5">
        <f t="shared" ref="S86" si="100">(S85+T86)/(1+S54)</f>
        <v>255.64535986880401</v>
      </c>
      <c r="T86" s="5">
        <f t="shared" ref="T86" si="101">(T85+U86)/(1+T54)</f>
        <v>-207.69719694693967</v>
      </c>
      <c r="U86" s="5">
        <f>(U85+V86)/(1+U54)</f>
        <v>-799.21172458057208</v>
      </c>
      <c r="V86">
        <v>0</v>
      </c>
    </row>
    <row r="87" spans="2:22" x14ac:dyDescent="0.2">
      <c r="B87" t="s">
        <v>165</v>
      </c>
      <c r="C87" s="16">
        <f>C83+C86</f>
        <v>13460.384941557624</v>
      </c>
      <c r="D87" s="16">
        <f t="shared" ref="D87:I87" si="102">D83+D86</f>
        <v>13918.131134544539</v>
      </c>
      <c r="E87" s="16">
        <f t="shared" si="102"/>
        <v>13957.061870689884</v>
      </c>
      <c r="F87" s="16">
        <f t="shared" si="102"/>
        <v>13736.359295172671</v>
      </c>
      <c r="G87" s="16">
        <f t="shared" si="102"/>
        <v>13049.858410593391</v>
      </c>
      <c r="H87" s="16">
        <f>H83+H86</f>
        <v>13073.150840864599</v>
      </c>
      <c r="I87" s="16">
        <f t="shared" si="102"/>
        <v>18090.613483483125</v>
      </c>
      <c r="L87" s="43" t="s">
        <v>243</v>
      </c>
      <c r="O87" t="s">
        <v>165</v>
      </c>
      <c r="P87" s="16">
        <f>P83+P86</f>
        <v>14063.134737060407</v>
      </c>
      <c r="Q87" s="16">
        <f t="shared" ref="Q87" si="103">Q83+Q86</f>
        <v>14710.710905507656</v>
      </c>
      <c r="R87" s="16">
        <f t="shared" ref="R87" si="104">R83+R86</f>
        <v>14888.076214168575</v>
      </c>
      <c r="S87" s="16">
        <f t="shared" ref="S87" si="105">S83+S86</f>
        <v>14625.645359868804</v>
      </c>
      <c r="T87" s="16">
        <f t="shared" ref="T87" si="106">T83+T86</f>
        <v>13848.206803053061</v>
      </c>
      <c r="U87" s="16">
        <f t="shared" ref="U87" si="107">U83+U86</f>
        <v>13789.34000661943</v>
      </c>
      <c r="V87" s="16">
        <f t="shared" ref="V87" si="108">V83+V86</f>
        <v>18946.831906368003</v>
      </c>
    </row>
    <row r="88" spans="2:22" x14ac:dyDescent="0.2">
      <c r="B88" t="s">
        <v>120</v>
      </c>
      <c r="C88" s="16">
        <f>+C30</f>
        <v>0</v>
      </c>
      <c r="D88" s="16">
        <f t="shared" ref="D88:I88" si="109">+D30</f>
        <v>667.5</v>
      </c>
      <c r="E88" s="16">
        <f t="shared" si="109"/>
        <v>1450</v>
      </c>
      <c r="F88" s="16">
        <f t="shared" si="109"/>
        <v>2340</v>
      </c>
      <c r="G88" s="16">
        <f t="shared" si="109"/>
        <v>3278.0864999999999</v>
      </c>
      <c r="H88" s="16">
        <f t="shared" si="109"/>
        <v>3443.9982817500004</v>
      </c>
      <c r="I88" s="16">
        <f t="shared" si="109"/>
        <v>0</v>
      </c>
      <c r="L88" t="s">
        <v>153</v>
      </c>
      <c r="O88" t="s">
        <v>120</v>
      </c>
      <c r="P88" s="16">
        <f>+P30</f>
        <v>0</v>
      </c>
      <c r="Q88" s="16">
        <f t="shared" ref="Q88:V88" si="110">+Q30</f>
        <v>680</v>
      </c>
      <c r="R88" s="16">
        <f t="shared" si="110"/>
        <v>1500</v>
      </c>
      <c r="S88" s="16">
        <f t="shared" si="110"/>
        <v>2430</v>
      </c>
      <c r="T88" s="16">
        <f t="shared" si="110"/>
        <v>3413.9760000000006</v>
      </c>
      <c r="U88" s="16">
        <f t="shared" si="110"/>
        <v>3597.1379328000003</v>
      </c>
      <c r="V88" s="16">
        <f t="shared" si="110"/>
        <v>0</v>
      </c>
    </row>
    <row r="89" spans="2:22" x14ac:dyDescent="0.2">
      <c r="B89" s="17" t="s">
        <v>158</v>
      </c>
      <c r="C89" s="18">
        <f>+C87+C88</f>
        <v>13460.384941557624</v>
      </c>
      <c r="D89" s="18">
        <f t="shared" ref="D89:I89" si="111">+D87+D88</f>
        <v>14585.631134544539</v>
      </c>
      <c r="E89" s="18">
        <f t="shared" si="111"/>
        <v>15407.061870689884</v>
      </c>
      <c r="F89" s="18">
        <f t="shared" si="111"/>
        <v>16076.359295172671</v>
      </c>
      <c r="G89" s="18">
        <f t="shared" si="111"/>
        <v>16327.944910593391</v>
      </c>
      <c r="H89" s="18">
        <f t="shared" si="111"/>
        <v>16517.149122614599</v>
      </c>
      <c r="I89" s="18">
        <f t="shared" si="111"/>
        <v>18090.613483483125</v>
      </c>
      <c r="L89" t="s">
        <v>226</v>
      </c>
      <c r="O89" s="17" t="s">
        <v>158</v>
      </c>
      <c r="P89" s="18">
        <f>+P87+P88</f>
        <v>14063.134737060407</v>
      </c>
      <c r="Q89" s="18">
        <f t="shared" ref="Q89" si="112">+Q87+Q88</f>
        <v>15390.710905507656</v>
      </c>
      <c r="R89" s="18">
        <f t="shared" ref="R89" si="113">+R87+R88</f>
        <v>16388.076214168577</v>
      </c>
      <c r="S89" s="18">
        <f t="shared" ref="S89" si="114">+S87+S88</f>
        <v>17055.645359868802</v>
      </c>
      <c r="T89" s="18">
        <f t="shared" ref="T89" si="115">+T87+T88</f>
        <v>17262.18280305306</v>
      </c>
      <c r="U89" s="18">
        <f t="shared" ref="U89" si="116">+U87+U88</f>
        <v>17386.47793941943</v>
      </c>
      <c r="V89" s="18">
        <f t="shared" ref="V89" si="117">+V87+V88</f>
        <v>18946.831906368003</v>
      </c>
    </row>
    <row r="90" spans="2:22" x14ac:dyDescent="0.2">
      <c r="B90" t="s">
        <v>166</v>
      </c>
      <c r="C90" s="16">
        <f t="shared" ref="C90:I90" si="118">+C89-C$49</f>
        <v>0</v>
      </c>
      <c r="D90" s="16">
        <f t="shared" si="118"/>
        <v>0</v>
      </c>
      <c r="E90" s="16">
        <f t="shared" si="118"/>
        <v>0</v>
      </c>
      <c r="F90" s="16">
        <f t="shared" si="118"/>
        <v>0</v>
      </c>
      <c r="G90" s="16">
        <f t="shared" si="118"/>
        <v>0</v>
      </c>
      <c r="H90" s="16">
        <f t="shared" si="118"/>
        <v>0</v>
      </c>
      <c r="I90" s="16">
        <f t="shared" si="118"/>
        <v>0</v>
      </c>
      <c r="K90">
        <v>1</v>
      </c>
      <c r="L90" t="s">
        <v>136</v>
      </c>
      <c r="O90" t="s">
        <v>166</v>
      </c>
      <c r="P90" s="16">
        <f t="shared" ref="P90:V90" si="119">+P89-P$49</f>
        <v>0</v>
      </c>
      <c r="Q90" s="16">
        <f t="shared" si="119"/>
        <v>0</v>
      </c>
      <c r="R90" s="16">
        <f t="shared" si="119"/>
        <v>0</v>
      </c>
      <c r="S90" s="16">
        <f t="shared" si="119"/>
        <v>0</v>
      </c>
      <c r="T90" s="16">
        <f t="shared" si="119"/>
        <v>0</v>
      </c>
      <c r="U90" s="16">
        <f t="shared" si="119"/>
        <v>0</v>
      </c>
      <c r="V90" s="16">
        <f t="shared" si="119"/>
        <v>0</v>
      </c>
    </row>
    <row r="91" spans="2:22" x14ac:dyDescent="0.2">
      <c r="K91">
        <v>2</v>
      </c>
      <c r="L91" t="s">
        <v>32</v>
      </c>
    </row>
    <row r="92" spans="2:22" x14ac:dyDescent="0.2">
      <c r="K92">
        <v>3</v>
      </c>
      <c r="L92" t="s">
        <v>256</v>
      </c>
    </row>
    <row r="93" spans="2:22" x14ac:dyDescent="0.2">
      <c r="K93">
        <v>4</v>
      </c>
      <c r="L93" t="s">
        <v>257</v>
      </c>
      <c r="O93" s="51" t="s">
        <v>258</v>
      </c>
      <c r="P93" s="52">
        <f>P89-C89</f>
        <v>602.74979550278294</v>
      </c>
      <c r="Q93" t="s">
        <v>259</v>
      </c>
      <c r="R93" s="53"/>
      <c r="S93" s="53"/>
      <c r="T93" s="53"/>
      <c r="U93" s="53"/>
      <c r="V93" s="53"/>
    </row>
    <row r="94" spans="2:22" x14ac:dyDescent="0.2">
      <c r="K94">
        <v>5</v>
      </c>
      <c r="L94" t="s">
        <v>260</v>
      </c>
      <c r="O94" s="16" t="s">
        <v>261</v>
      </c>
      <c r="P94" s="2">
        <f>P93/P87</f>
        <v>4.286027310215295E-2</v>
      </c>
      <c r="Q94" t="s">
        <v>262</v>
      </c>
      <c r="R94" s="54"/>
      <c r="S94" s="54"/>
      <c r="T94" s="54"/>
      <c r="U94" s="54"/>
      <c r="V94" s="54"/>
    </row>
    <row r="95" spans="2:22" x14ac:dyDescent="0.2">
      <c r="K95">
        <v>6</v>
      </c>
      <c r="L95" t="s">
        <v>263</v>
      </c>
    </row>
    <row r="96" spans="2:22" x14ac:dyDescent="0.2">
      <c r="K96">
        <v>7</v>
      </c>
      <c r="L96" t="s">
        <v>264</v>
      </c>
      <c r="O96" t="s">
        <v>265</v>
      </c>
    </row>
    <row r="97" spans="11:12" x14ac:dyDescent="0.2">
      <c r="K97">
        <v>8</v>
      </c>
      <c r="L97" t="s">
        <v>123</v>
      </c>
    </row>
    <row r="98" spans="11:12" x14ac:dyDescent="0.2">
      <c r="K98">
        <v>9</v>
      </c>
      <c r="L98" t="s">
        <v>251</v>
      </c>
    </row>
    <row r="99" spans="11:12" x14ac:dyDescent="0.2">
      <c r="K99">
        <v>10</v>
      </c>
      <c r="L99" t="s">
        <v>266</v>
      </c>
    </row>
    <row r="100" spans="11:12" x14ac:dyDescent="0.2">
      <c r="K100">
        <v>11</v>
      </c>
      <c r="L100" t="s">
        <v>267</v>
      </c>
    </row>
    <row r="101" spans="11:12" x14ac:dyDescent="0.2">
      <c r="K101">
        <v>12</v>
      </c>
      <c r="L101" t="s">
        <v>268</v>
      </c>
    </row>
    <row r="102" spans="11:12" x14ac:dyDescent="0.2">
      <c r="L102" s="17" t="s">
        <v>269</v>
      </c>
    </row>
    <row r="105" spans="11:12" x14ac:dyDescent="0.2">
      <c r="L105" s="63" t="s">
        <v>270</v>
      </c>
    </row>
    <row r="107" spans="11:12" x14ac:dyDescent="0.2">
      <c r="L107" s="51" t="s">
        <v>271</v>
      </c>
    </row>
    <row r="108" spans="11:12" x14ac:dyDescent="0.2">
      <c r="L108" s="16" t="s">
        <v>272</v>
      </c>
    </row>
  </sheetData>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2732-7102-44D6-A30F-0733E3AEBC3E}">
  <sheetPr>
    <tabColor theme="4" tint="0.39997558519241921"/>
  </sheetPr>
  <dimension ref="A19:X83"/>
  <sheetViews>
    <sheetView topLeftCell="A3" zoomScale="90" zoomScaleNormal="90" workbookViewId="0">
      <selection activeCell="B28" sqref="B28"/>
    </sheetView>
  </sheetViews>
  <sheetFormatPr baseColWidth="10" defaultColWidth="8.83203125" defaultRowHeight="16" x14ac:dyDescent="0.2"/>
  <cols>
    <col min="2" max="2" width="17.33203125" bestFit="1" customWidth="1"/>
    <col min="3" max="7" width="12.6640625" bestFit="1" customWidth="1"/>
    <col min="8" max="8" width="12.83203125" bestFit="1" customWidth="1"/>
    <col min="9" max="10" width="12.6640625" bestFit="1" customWidth="1"/>
    <col min="11" max="11" width="11.1640625" bestFit="1" customWidth="1"/>
    <col min="16" max="17" width="11.6640625" bestFit="1" customWidth="1"/>
    <col min="18" max="23" width="14" bestFit="1" customWidth="1"/>
    <col min="24" max="24" width="12.6640625" bestFit="1" customWidth="1"/>
  </cols>
  <sheetData>
    <row r="19" spans="2:24" x14ac:dyDescent="0.2">
      <c r="C19" s="50">
        <v>2024</v>
      </c>
      <c r="D19" s="1">
        <f>+C19+1</f>
        <v>2025</v>
      </c>
      <c r="E19" s="1">
        <f t="shared" ref="E19:H19" si="0">+D19+1</f>
        <v>2026</v>
      </c>
      <c r="F19" s="1">
        <f t="shared" si="0"/>
        <v>2027</v>
      </c>
      <c r="G19" s="1">
        <f t="shared" si="0"/>
        <v>2028</v>
      </c>
      <c r="H19" s="1">
        <f t="shared" si="0"/>
        <v>2029</v>
      </c>
      <c r="I19" s="1" t="s">
        <v>273</v>
      </c>
      <c r="J19" s="1" t="s">
        <v>274</v>
      </c>
      <c r="P19" s="50">
        <v>2024</v>
      </c>
      <c r="Q19" s="1">
        <f>+P19+1</f>
        <v>2025</v>
      </c>
      <c r="R19" s="1">
        <f t="shared" ref="R19:U19" si="1">+Q19+1</f>
        <v>2026</v>
      </c>
      <c r="S19" s="1">
        <f t="shared" si="1"/>
        <v>2027</v>
      </c>
      <c r="T19" s="1">
        <f t="shared" si="1"/>
        <v>2028</v>
      </c>
      <c r="U19" s="1">
        <f t="shared" si="1"/>
        <v>2029</v>
      </c>
      <c r="V19" s="1" t="s">
        <v>273</v>
      </c>
      <c r="W19" s="1" t="s">
        <v>274</v>
      </c>
    </row>
    <row r="20" spans="2:24" x14ac:dyDescent="0.2">
      <c r="B20" t="s">
        <v>90</v>
      </c>
      <c r="C20" s="44">
        <v>15000</v>
      </c>
      <c r="D20" s="68">
        <f>+C20+C37</f>
        <v>16920</v>
      </c>
      <c r="E20" s="68">
        <f t="shared" ref="E20:K20" si="2">+D20+D37</f>
        <v>18609.882352941175</v>
      </c>
      <c r="F20" s="68">
        <f t="shared" si="2"/>
        <v>20075.7150802139</v>
      </c>
      <c r="G20" s="68">
        <f t="shared" si="2"/>
        <v>21300.143480213901</v>
      </c>
      <c r="H20" s="68">
        <f t="shared" si="2"/>
        <v>22569.1954930139</v>
      </c>
      <c r="I20" s="68">
        <f t="shared" si="2"/>
        <v>24291.558109013899</v>
      </c>
      <c r="J20" s="68">
        <f t="shared" si="2"/>
        <v>25943.460436177535</v>
      </c>
      <c r="K20" s="68">
        <f t="shared" si="2"/>
        <v>27677.957879699352</v>
      </c>
      <c r="O20" t="s">
        <v>90</v>
      </c>
      <c r="P20" s="44">
        <v>15000</v>
      </c>
      <c r="Q20" s="68">
        <f>+P20+P37</f>
        <v>16920</v>
      </c>
      <c r="R20" s="68">
        <f t="shared" ref="R20:X20" si="3">+Q20+Q37</f>
        <v>18609.882352941175</v>
      </c>
      <c r="S20" s="68">
        <f t="shared" si="3"/>
        <v>20075.7150802139</v>
      </c>
      <c r="T20" s="68">
        <f t="shared" si="3"/>
        <v>21300.143480213901</v>
      </c>
      <c r="U20" s="68">
        <f t="shared" si="3"/>
        <v>22569.1954930139</v>
      </c>
      <c r="V20" s="68">
        <f t="shared" si="3"/>
        <v>24604.714948286626</v>
      </c>
      <c r="W20" s="68">
        <f t="shared" si="3"/>
        <v>26605.787151239354</v>
      </c>
      <c r="X20" s="68">
        <f t="shared" si="3"/>
        <v>28726.923686369246</v>
      </c>
    </row>
    <row r="21" spans="2:24" x14ac:dyDescent="0.2">
      <c r="B21" t="s">
        <v>93</v>
      </c>
      <c r="C21" s="46">
        <v>0.16</v>
      </c>
      <c r="D21" s="2"/>
      <c r="E21" s="2"/>
      <c r="F21" s="2"/>
      <c r="G21" s="2"/>
      <c r="H21" s="2"/>
      <c r="O21" t="s">
        <v>93</v>
      </c>
      <c r="P21" s="46">
        <v>0.16</v>
      </c>
      <c r="Q21" s="2"/>
      <c r="R21" s="2"/>
      <c r="S21" s="2"/>
      <c r="T21" s="2"/>
      <c r="U21" s="2"/>
    </row>
    <row r="22" spans="2:24" x14ac:dyDescent="0.2">
      <c r="B22" t="s">
        <v>94</v>
      </c>
      <c r="C22" s="2"/>
      <c r="D22" s="46">
        <v>0.17499999999999999</v>
      </c>
      <c r="E22" s="46">
        <v>0.17</v>
      </c>
      <c r="F22" s="46">
        <v>0.16500000000000001</v>
      </c>
      <c r="G22" s="46">
        <v>0.16</v>
      </c>
      <c r="H22" s="46">
        <v>0.15</v>
      </c>
      <c r="I22" s="4">
        <f>+I28</f>
        <v>0.1166</v>
      </c>
      <c r="J22" s="4">
        <f t="shared" ref="J22:K22" si="4">+J28</f>
        <v>0.1166</v>
      </c>
      <c r="K22" s="4">
        <f t="shared" si="4"/>
        <v>0.1166</v>
      </c>
      <c r="O22" t="s">
        <v>94</v>
      </c>
      <c r="P22" s="2"/>
      <c r="Q22" s="46">
        <v>0.17499999999999999</v>
      </c>
      <c r="R22" s="46">
        <v>0.17</v>
      </c>
      <c r="S22" s="46">
        <v>0.16500000000000001</v>
      </c>
      <c r="T22" s="46">
        <v>0.16</v>
      </c>
      <c r="U22" s="46">
        <v>0.15</v>
      </c>
      <c r="V22" s="4">
        <f>+V28</f>
        <v>0.1166</v>
      </c>
      <c r="W22" s="4">
        <f t="shared" ref="W22:X22" si="5">+W28</f>
        <v>0.1166</v>
      </c>
      <c r="X22" s="4">
        <f t="shared" si="5"/>
        <v>0.1166</v>
      </c>
    </row>
    <row r="23" spans="2:24" x14ac:dyDescent="0.2">
      <c r="B23" t="s">
        <v>92</v>
      </c>
      <c r="C23" s="2"/>
      <c r="D23" s="46">
        <v>0.14000000000000001</v>
      </c>
      <c r="E23" s="46">
        <v>0.105</v>
      </c>
      <c r="F23" s="46">
        <v>0.08</v>
      </c>
      <c r="G23" s="46">
        <v>0.06</v>
      </c>
      <c r="H23" s="46">
        <v>5.5E-2</v>
      </c>
      <c r="I23" s="46">
        <v>5.5E-2</v>
      </c>
      <c r="J23" s="46">
        <v>0.05</v>
      </c>
      <c r="K23" s="46">
        <v>0.05</v>
      </c>
      <c r="O23" t="s">
        <v>92</v>
      </c>
      <c r="P23" s="2"/>
      <c r="Q23" s="46">
        <v>0.14000000000000001</v>
      </c>
      <c r="R23" s="46">
        <v>0.105</v>
      </c>
      <c r="S23" s="46">
        <v>0.08</v>
      </c>
      <c r="T23" s="46">
        <v>0.06</v>
      </c>
      <c r="U23" s="46">
        <v>5.5E-2</v>
      </c>
      <c r="V23" s="46">
        <v>6.5000000000000002E-2</v>
      </c>
      <c r="W23" s="46">
        <v>0.06</v>
      </c>
      <c r="X23" s="46">
        <v>0.06</v>
      </c>
    </row>
    <row r="24" spans="2:24" x14ac:dyDescent="0.2">
      <c r="B24" t="s">
        <v>275</v>
      </c>
      <c r="C24" s="46">
        <v>0</v>
      </c>
      <c r="D24" s="46">
        <v>4.4999999999999998E-2</v>
      </c>
      <c r="E24" s="46">
        <v>0.09</v>
      </c>
      <c r="F24" s="46">
        <v>0.14499999999999999</v>
      </c>
      <c r="G24" s="46">
        <v>0.19</v>
      </c>
      <c r="H24" s="46">
        <v>0.2</v>
      </c>
      <c r="I24" s="46">
        <v>0.2</v>
      </c>
      <c r="J24" s="46">
        <v>0.2</v>
      </c>
      <c r="K24" s="46">
        <v>0.2</v>
      </c>
      <c r="O24" t="s">
        <v>275</v>
      </c>
      <c r="P24" s="46">
        <v>0</v>
      </c>
      <c r="Q24" s="46">
        <v>4.4999999999999998E-2</v>
      </c>
      <c r="R24" s="46">
        <v>0.09</v>
      </c>
      <c r="S24" s="46">
        <v>0.14499999999999999</v>
      </c>
      <c r="T24" s="46">
        <v>0.19</v>
      </c>
      <c r="U24" s="46">
        <v>0.2</v>
      </c>
      <c r="V24" s="46">
        <v>0.2</v>
      </c>
      <c r="W24" s="46">
        <v>0.2</v>
      </c>
      <c r="X24" s="46">
        <v>0.2</v>
      </c>
    </row>
    <row r="25" spans="2:24" x14ac:dyDescent="0.2">
      <c r="B25" t="s">
        <v>57</v>
      </c>
      <c r="C25" s="3"/>
      <c r="D25" s="47">
        <v>7.0000000000000007E-2</v>
      </c>
      <c r="E25" s="47">
        <v>7.4999999999999997E-2</v>
      </c>
      <c r="F25" s="47">
        <v>0.08</v>
      </c>
      <c r="G25" s="47">
        <v>8.5000000000000006E-2</v>
      </c>
      <c r="H25" s="47">
        <v>8.5000000000000006E-2</v>
      </c>
      <c r="I25" s="47">
        <v>8.5000000000000006E-2</v>
      </c>
      <c r="J25" s="47">
        <v>8.5000000000000006E-2</v>
      </c>
      <c r="K25" s="47">
        <v>8.5000000000000006E-2</v>
      </c>
      <c r="O25" t="s">
        <v>57</v>
      </c>
      <c r="P25" s="3"/>
      <c r="Q25" s="47">
        <v>7.0000000000000007E-2</v>
      </c>
      <c r="R25" s="47">
        <v>7.4999999999999997E-2</v>
      </c>
      <c r="S25" s="47">
        <v>0.08</v>
      </c>
      <c r="T25" s="47">
        <v>8.5000000000000006E-2</v>
      </c>
      <c r="U25" s="47">
        <v>8.5000000000000006E-2</v>
      </c>
      <c r="V25" s="47">
        <v>8.5000000000000006E-2</v>
      </c>
      <c r="W25" s="47">
        <v>8.5000000000000006E-2</v>
      </c>
      <c r="X25" s="47">
        <v>8.5000000000000006E-2</v>
      </c>
    </row>
    <row r="26" spans="2:24" x14ac:dyDescent="0.2">
      <c r="B26" t="s">
        <v>112</v>
      </c>
      <c r="C26" s="47">
        <v>0.12</v>
      </c>
      <c r="D26" s="47">
        <v>0.12</v>
      </c>
      <c r="E26" s="47">
        <v>0.12</v>
      </c>
      <c r="F26" s="47">
        <v>0.12</v>
      </c>
      <c r="G26" s="47">
        <v>0.12</v>
      </c>
      <c r="H26" s="47">
        <v>0.12</v>
      </c>
      <c r="I26" s="47">
        <v>0.12</v>
      </c>
      <c r="J26" s="47">
        <v>0.12</v>
      </c>
      <c r="K26" s="47">
        <v>0.12</v>
      </c>
      <c r="O26" t="s">
        <v>112</v>
      </c>
      <c r="P26" s="47">
        <v>0.12</v>
      </c>
      <c r="Q26" s="47">
        <v>0.12</v>
      </c>
      <c r="R26" s="47">
        <v>0.12</v>
      </c>
      <c r="S26" s="47">
        <v>0.12</v>
      </c>
      <c r="T26" s="47">
        <v>0.12</v>
      </c>
      <c r="U26" s="47">
        <v>0.12</v>
      </c>
      <c r="V26" s="47">
        <v>0.12</v>
      </c>
      <c r="W26" s="47">
        <v>0.12</v>
      </c>
      <c r="X26" s="47">
        <v>0.12</v>
      </c>
    </row>
    <row r="27" spans="2:24" x14ac:dyDescent="0.2">
      <c r="B27" t="s">
        <v>58</v>
      </c>
      <c r="C27" s="47">
        <v>0.2</v>
      </c>
      <c r="D27" s="47">
        <v>0.2</v>
      </c>
      <c r="E27" s="47">
        <v>0.2</v>
      </c>
      <c r="F27" s="47">
        <v>0.2</v>
      </c>
      <c r="G27" s="47">
        <v>0.2</v>
      </c>
      <c r="H27" s="47">
        <v>0.2</v>
      </c>
      <c r="I27" s="47">
        <v>0.2</v>
      </c>
      <c r="J27" s="47">
        <v>0.2</v>
      </c>
      <c r="K27" s="47">
        <v>0.2</v>
      </c>
      <c r="O27" t="s">
        <v>58</v>
      </c>
      <c r="P27" s="47">
        <v>0.2</v>
      </c>
      <c r="Q27" s="47">
        <v>0.2</v>
      </c>
      <c r="R27" s="47">
        <v>0.2</v>
      </c>
      <c r="S27" s="47">
        <v>0.2</v>
      </c>
      <c r="T27" s="47">
        <v>0.2</v>
      </c>
      <c r="U27" s="47">
        <v>0.2</v>
      </c>
      <c r="V27" s="47">
        <v>0.2</v>
      </c>
      <c r="W27" s="47">
        <v>0.2</v>
      </c>
      <c r="X27" s="47">
        <v>0.2</v>
      </c>
    </row>
    <row r="28" spans="2:24" x14ac:dyDescent="0.2">
      <c r="B28" t="s">
        <v>229</v>
      </c>
      <c r="C28" s="4">
        <f>+C26-C24*C25*C27</f>
        <v>0.12</v>
      </c>
      <c r="D28" s="4">
        <f t="shared" ref="D28:K28" si="6">+D26-D24*D25*D27</f>
        <v>0.11936999999999999</v>
      </c>
      <c r="E28" s="4">
        <f t="shared" si="6"/>
        <v>0.11864999999999999</v>
      </c>
      <c r="F28" s="4">
        <f t="shared" si="6"/>
        <v>0.11767999999999999</v>
      </c>
      <c r="G28" s="4">
        <f t="shared" si="6"/>
        <v>0.11677</v>
      </c>
      <c r="H28" s="4">
        <f t="shared" si="6"/>
        <v>0.1166</v>
      </c>
      <c r="I28" s="4">
        <f t="shared" si="6"/>
        <v>0.1166</v>
      </c>
      <c r="J28" s="4">
        <f t="shared" si="6"/>
        <v>0.1166</v>
      </c>
      <c r="K28" s="4">
        <f t="shared" si="6"/>
        <v>0.1166</v>
      </c>
      <c r="O28" t="s">
        <v>229</v>
      </c>
      <c r="P28" s="4">
        <f>+P26-P24*P25*P27</f>
        <v>0.12</v>
      </c>
      <c r="Q28" s="4">
        <f t="shared" ref="Q28:X28" si="7">+Q26-Q24*Q25*Q27</f>
        <v>0.11936999999999999</v>
      </c>
      <c r="R28" s="4">
        <f t="shared" si="7"/>
        <v>0.11864999999999999</v>
      </c>
      <c r="S28" s="4">
        <f t="shared" si="7"/>
        <v>0.11767999999999999</v>
      </c>
      <c r="T28" s="4">
        <f t="shared" si="7"/>
        <v>0.11677</v>
      </c>
      <c r="U28" s="4">
        <f t="shared" si="7"/>
        <v>0.1166</v>
      </c>
      <c r="V28" s="4">
        <f t="shared" si="7"/>
        <v>0.1166</v>
      </c>
      <c r="W28" s="4">
        <f t="shared" si="7"/>
        <v>0.1166</v>
      </c>
      <c r="X28" s="4">
        <f t="shared" si="7"/>
        <v>0.1166</v>
      </c>
    </row>
    <row r="29" spans="2:24" x14ac:dyDescent="0.2">
      <c r="B29" t="s">
        <v>276</v>
      </c>
      <c r="C29" s="2">
        <f>+D23/D22</f>
        <v>0.80000000000000016</v>
      </c>
      <c r="D29" s="2">
        <f t="shared" ref="D29:J29" si="8">+E23/E22</f>
        <v>0.61764705882352933</v>
      </c>
      <c r="E29" s="2">
        <f t="shared" si="8"/>
        <v>0.48484848484848486</v>
      </c>
      <c r="F29" s="2">
        <f t="shared" si="8"/>
        <v>0.375</v>
      </c>
      <c r="G29" s="2">
        <f t="shared" si="8"/>
        <v>0.3666666666666667</v>
      </c>
      <c r="H29" s="2">
        <f t="shared" si="8"/>
        <v>0.47169811320754718</v>
      </c>
      <c r="I29" s="2">
        <f t="shared" si="8"/>
        <v>0.42881646655231564</v>
      </c>
      <c r="J29" s="2">
        <f t="shared" si="8"/>
        <v>0.42881646655231564</v>
      </c>
      <c r="O29" t="s">
        <v>276</v>
      </c>
      <c r="P29" s="2">
        <f>+Q23/Q22</f>
        <v>0.80000000000000016</v>
      </c>
      <c r="Q29" s="2">
        <f t="shared" ref="Q29:W29" si="9">+R23/R22</f>
        <v>0.61764705882352933</v>
      </c>
      <c r="R29" s="2">
        <f t="shared" si="9"/>
        <v>0.48484848484848486</v>
      </c>
      <c r="S29" s="2">
        <f t="shared" si="9"/>
        <v>0.375</v>
      </c>
      <c r="T29" s="2">
        <f t="shared" si="9"/>
        <v>0.3666666666666667</v>
      </c>
      <c r="U29" s="2">
        <f t="shared" si="9"/>
        <v>0.55746140651801035</v>
      </c>
      <c r="V29" s="2">
        <f t="shared" si="9"/>
        <v>0.51457975986277871</v>
      </c>
      <c r="W29" s="2">
        <f t="shared" si="9"/>
        <v>0.51457975986277871</v>
      </c>
    </row>
    <row r="30" spans="2:24" x14ac:dyDescent="0.2">
      <c r="C30" s="2"/>
      <c r="D30" s="2"/>
      <c r="E30" s="2"/>
      <c r="F30" s="2"/>
      <c r="G30" s="2"/>
      <c r="H30" s="2"/>
      <c r="I30" s="2"/>
      <c r="P30" s="2"/>
      <c r="Q30" s="2"/>
      <c r="R30" s="2"/>
      <c r="S30" s="2"/>
      <c r="T30" s="2"/>
      <c r="U30" s="2"/>
      <c r="V30" s="2"/>
    </row>
    <row r="31" spans="2:24" x14ac:dyDescent="0.2">
      <c r="B31" t="s">
        <v>90</v>
      </c>
      <c r="C31" s="34">
        <f>+C20</f>
        <v>15000</v>
      </c>
      <c r="D31" s="34">
        <f t="shared" ref="D31:J31" si="10">+D20</f>
        <v>16920</v>
      </c>
      <c r="E31" s="34">
        <f t="shared" si="10"/>
        <v>18609.882352941175</v>
      </c>
      <c r="F31" s="34">
        <f t="shared" si="10"/>
        <v>20075.7150802139</v>
      </c>
      <c r="G31" s="34">
        <f t="shared" si="10"/>
        <v>21300.143480213901</v>
      </c>
      <c r="H31" s="34">
        <f t="shared" si="10"/>
        <v>22569.1954930139</v>
      </c>
      <c r="I31" s="34">
        <f t="shared" si="10"/>
        <v>24291.558109013899</v>
      </c>
      <c r="J31" s="34">
        <f t="shared" si="10"/>
        <v>25943.460436177535</v>
      </c>
      <c r="O31" t="s">
        <v>90</v>
      </c>
      <c r="P31" s="34">
        <f>+P20</f>
        <v>15000</v>
      </c>
      <c r="Q31" s="34">
        <f t="shared" ref="Q31:W31" si="11">+Q20</f>
        <v>16920</v>
      </c>
      <c r="R31" s="34">
        <f t="shared" si="11"/>
        <v>18609.882352941175</v>
      </c>
      <c r="S31" s="34">
        <f t="shared" si="11"/>
        <v>20075.7150802139</v>
      </c>
      <c r="T31" s="34">
        <f t="shared" si="11"/>
        <v>21300.143480213901</v>
      </c>
      <c r="U31" s="34">
        <f t="shared" si="11"/>
        <v>22569.1954930139</v>
      </c>
      <c r="V31" s="34">
        <f t="shared" si="11"/>
        <v>24604.714948286626</v>
      </c>
      <c r="W31" s="34">
        <f t="shared" si="11"/>
        <v>26605.787151239354</v>
      </c>
    </row>
    <row r="32" spans="2:24" x14ac:dyDescent="0.2">
      <c r="B32" t="s">
        <v>277</v>
      </c>
      <c r="C32" s="34">
        <f>+C24*C47</f>
        <v>0</v>
      </c>
      <c r="D32" s="34">
        <f t="shared" ref="D32:J32" si="12">+D24*D47</f>
        <v>1128.3759238548225</v>
      </c>
      <c r="E32" s="34">
        <f t="shared" si="12"/>
        <v>2431.989727535451</v>
      </c>
      <c r="F32" s="34">
        <f t="shared" si="12"/>
        <v>4157.2709205944584</v>
      </c>
      <c r="G32" s="34">
        <f t="shared" si="12"/>
        <v>5700.7796977979497</v>
      </c>
      <c r="H32" s="34">
        <f t="shared" si="12"/>
        <v>6263.1367854545433</v>
      </c>
      <c r="I32" s="34">
        <f t="shared" si="12"/>
        <v>6607.6093086545443</v>
      </c>
      <c r="J32" s="34">
        <f t="shared" si="12"/>
        <v>6937.9897740872711</v>
      </c>
      <c r="O32" t="s">
        <v>277</v>
      </c>
      <c r="P32" s="34">
        <f>+P24*P47</f>
        <v>0</v>
      </c>
      <c r="Q32" s="34">
        <f t="shared" ref="Q32:W32" si="13">+Q24*Q47</f>
        <v>1128.375923854823</v>
      </c>
      <c r="R32" s="34">
        <f t="shared" si="13"/>
        <v>2431.9897275354519</v>
      </c>
      <c r="S32" s="34">
        <f t="shared" si="13"/>
        <v>4157.2709205944602</v>
      </c>
      <c r="T32" s="34">
        <f t="shared" si="13"/>
        <v>5700.7796977979524</v>
      </c>
      <c r="U32" s="34">
        <f t="shared" si="13"/>
        <v>6263.136785454546</v>
      </c>
      <c r="V32" s="34">
        <f t="shared" si="13"/>
        <v>6670.2406765090918</v>
      </c>
      <c r="W32" s="34">
        <f t="shared" si="13"/>
        <v>7070.4551170996365</v>
      </c>
    </row>
    <row r="33" spans="1:23" x14ac:dyDescent="0.2">
      <c r="B33" t="s">
        <v>123</v>
      </c>
      <c r="C33" s="34">
        <f>+C31-C32</f>
        <v>15000</v>
      </c>
      <c r="D33" s="34">
        <f t="shared" ref="D33:J33" si="14">+D31-D32</f>
        <v>15791.624076145177</v>
      </c>
      <c r="E33" s="34">
        <f t="shared" si="14"/>
        <v>16177.892625405724</v>
      </c>
      <c r="F33" s="34">
        <f t="shared" si="14"/>
        <v>15918.444159619441</v>
      </c>
      <c r="G33" s="34">
        <f t="shared" si="14"/>
        <v>15599.363782415952</v>
      </c>
      <c r="H33" s="34">
        <f t="shared" si="14"/>
        <v>16306.058707559358</v>
      </c>
      <c r="I33" s="34">
        <f t="shared" si="14"/>
        <v>17683.948800359354</v>
      </c>
      <c r="J33" s="34">
        <f t="shared" si="14"/>
        <v>19005.470662090265</v>
      </c>
      <c r="O33" t="s">
        <v>123</v>
      </c>
      <c r="P33" s="34">
        <f>+P31-P32</f>
        <v>15000</v>
      </c>
      <c r="Q33" s="34">
        <f t="shared" ref="Q33:W33" si="15">+Q31-Q32</f>
        <v>15791.624076145177</v>
      </c>
      <c r="R33" s="34">
        <f t="shared" si="15"/>
        <v>16177.892625405722</v>
      </c>
      <c r="S33" s="34">
        <f t="shared" si="15"/>
        <v>15918.444159619441</v>
      </c>
      <c r="T33" s="34">
        <f t="shared" si="15"/>
        <v>15599.363782415949</v>
      </c>
      <c r="U33" s="34">
        <f t="shared" si="15"/>
        <v>16306.058707559354</v>
      </c>
      <c r="V33" s="34">
        <f t="shared" si="15"/>
        <v>17934.474271777533</v>
      </c>
      <c r="W33" s="34">
        <f t="shared" si="15"/>
        <v>19535.332034139719</v>
      </c>
    </row>
    <row r="36" spans="1:23" x14ac:dyDescent="0.2">
      <c r="B36" t="s">
        <v>81</v>
      </c>
      <c r="C36" s="34">
        <f>+C20*C21</f>
        <v>2400</v>
      </c>
      <c r="D36" s="34">
        <f>+C36+C37*D22</f>
        <v>2736</v>
      </c>
      <c r="E36" s="34">
        <f t="shared" ref="E36:H36" si="16">+D36+D37*E22</f>
        <v>3023.2799999999997</v>
      </c>
      <c r="F36" s="34">
        <f t="shared" si="16"/>
        <v>3265.1423999999997</v>
      </c>
      <c r="G36" s="34">
        <f t="shared" si="16"/>
        <v>3461.0509439999996</v>
      </c>
      <c r="H36" s="34">
        <f t="shared" si="16"/>
        <v>3651.4087459199995</v>
      </c>
      <c r="I36" s="34">
        <f>+H36+H37*I22</f>
        <v>3852.2362269455994</v>
      </c>
      <c r="J36" s="34">
        <f>+I36+I37*J22</f>
        <v>4044.8480382928792</v>
      </c>
      <c r="O36" t="s">
        <v>81</v>
      </c>
      <c r="P36" s="34">
        <f>+P20*P21</f>
        <v>2400</v>
      </c>
      <c r="Q36" s="34">
        <f>+P36+P37*Q22</f>
        <v>2736</v>
      </c>
      <c r="R36" s="34">
        <f t="shared" ref="R36:W36" si="17">+Q36+Q37*R22</f>
        <v>3023.2799999999997</v>
      </c>
      <c r="S36" s="34">
        <f t="shared" si="17"/>
        <v>3265.1423999999997</v>
      </c>
      <c r="T36" s="34">
        <f t="shared" si="17"/>
        <v>3461.0509439999996</v>
      </c>
      <c r="U36" s="34">
        <f t="shared" si="17"/>
        <v>3651.4087459199995</v>
      </c>
      <c r="V36" s="34">
        <f t="shared" si="17"/>
        <v>3888.7503144047996</v>
      </c>
      <c r="W36" s="34">
        <f t="shared" si="17"/>
        <v>4122.0753332690874</v>
      </c>
    </row>
    <row r="37" spans="1:23" x14ac:dyDescent="0.2">
      <c r="A37" t="s">
        <v>278</v>
      </c>
      <c r="B37" t="s">
        <v>91</v>
      </c>
      <c r="C37" s="34">
        <f>+C36*C29</f>
        <v>1920.0000000000005</v>
      </c>
      <c r="D37" s="34">
        <f>+D36*D29</f>
        <v>1689.8823529411764</v>
      </c>
      <c r="E37" s="34">
        <f t="shared" ref="E37:J37" si="18">+E36*E29</f>
        <v>1465.8327272727272</v>
      </c>
      <c r="F37" s="34">
        <f t="shared" si="18"/>
        <v>1224.4283999999998</v>
      </c>
      <c r="G37" s="34">
        <f t="shared" si="18"/>
        <v>1269.0520128000001</v>
      </c>
      <c r="H37" s="34">
        <f t="shared" si="18"/>
        <v>1722.3626159999999</v>
      </c>
      <c r="I37" s="34">
        <f t="shared" si="18"/>
        <v>1651.9023271636363</v>
      </c>
      <c r="J37" s="34">
        <f t="shared" si="18"/>
        <v>1734.497443521818</v>
      </c>
      <c r="O37" t="s">
        <v>91</v>
      </c>
      <c r="P37" s="34">
        <f>+P36*P29</f>
        <v>1920.0000000000005</v>
      </c>
      <c r="Q37" s="34">
        <f>+Q36*Q29</f>
        <v>1689.8823529411764</v>
      </c>
      <c r="R37" s="34">
        <f t="shared" ref="R37:W37" si="19">+R36*R29</f>
        <v>1465.8327272727272</v>
      </c>
      <c r="S37" s="34">
        <f t="shared" si="19"/>
        <v>1224.4283999999998</v>
      </c>
      <c r="T37" s="34">
        <f t="shared" si="19"/>
        <v>1269.0520128000001</v>
      </c>
      <c r="U37" s="34">
        <f t="shared" si="19"/>
        <v>2035.5194552727273</v>
      </c>
      <c r="V37" s="34">
        <f t="shared" si="19"/>
        <v>2001.0722029527269</v>
      </c>
      <c r="W37" s="34">
        <f t="shared" si="19"/>
        <v>2121.1365351298905</v>
      </c>
    </row>
    <row r="38" spans="1:23" x14ac:dyDescent="0.2">
      <c r="B38" t="s">
        <v>75</v>
      </c>
      <c r="C38" s="34">
        <f>+C36-C37</f>
        <v>479.99999999999955</v>
      </c>
      <c r="D38" s="34">
        <f t="shared" ref="D38:J38" si="20">+D36-D37</f>
        <v>1046.1176470588236</v>
      </c>
      <c r="E38" s="34">
        <f t="shared" si="20"/>
        <v>1557.4472727272725</v>
      </c>
      <c r="F38" s="34">
        <f t="shared" si="20"/>
        <v>2040.7139999999999</v>
      </c>
      <c r="G38" s="34">
        <f t="shared" si="20"/>
        <v>2191.9989311999998</v>
      </c>
      <c r="H38" s="34">
        <f t="shared" si="20"/>
        <v>1929.0461299199997</v>
      </c>
      <c r="I38" s="34">
        <f t="shared" si="20"/>
        <v>2200.3338997819628</v>
      </c>
      <c r="J38" s="34">
        <f t="shared" si="20"/>
        <v>2310.350594771061</v>
      </c>
      <c r="O38" t="s">
        <v>75</v>
      </c>
      <c r="P38" s="34">
        <f>+P36-P37</f>
        <v>479.99999999999955</v>
      </c>
      <c r="Q38" s="34">
        <f t="shared" ref="Q38:W38" si="21">+Q36-Q37</f>
        <v>1046.1176470588236</v>
      </c>
      <c r="R38" s="34">
        <f t="shared" si="21"/>
        <v>1557.4472727272725</v>
      </c>
      <c r="S38" s="34">
        <f t="shared" si="21"/>
        <v>2040.7139999999999</v>
      </c>
      <c r="T38" s="34">
        <f t="shared" si="21"/>
        <v>2191.9989311999998</v>
      </c>
      <c r="U38" s="34">
        <f t="shared" si="21"/>
        <v>1615.8892906472722</v>
      </c>
      <c r="V38" s="34">
        <f t="shared" si="21"/>
        <v>1887.6781114520727</v>
      </c>
      <c r="W38" s="34">
        <f t="shared" si="21"/>
        <v>2000.9387981391969</v>
      </c>
    </row>
    <row r="39" spans="1:23" x14ac:dyDescent="0.2">
      <c r="B39" t="s">
        <v>32</v>
      </c>
      <c r="C39" s="34">
        <f>+C25*C32</f>
        <v>0</v>
      </c>
      <c r="D39" s="34">
        <f t="shared" ref="D39:J39" si="22">+D25*D32</f>
        <v>78.986314669837583</v>
      </c>
      <c r="E39" s="34">
        <f t="shared" si="22"/>
        <v>182.39922956515883</v>
      </c>
      <c r="F39" s="34">
        <f t="shared" si="22"/>
        <v>332.58167364755667</v>
      </c>
      <c r="G39" s="34">
        <f t="shared" si="22"/>
        <v>484.56627431282578</v>
      </c>
      <c r="H39" s="34">
        <f t="shared" si="22"/>
        <v>532.36662676363619</v>
      </c>
      <c r="I39" s="34">
        <f t="shared" si="22"/>
        <v>561.64679123563633</v>
      </c>
      <c r="J39" s="34">
        <f t="shared" si="22"/>
        <v>589.72913079741807</v>
      </c>
      <c r="O39" t="s">
        <v>32</v>
      </c>
      <c r="P39" s="34">
        <f>+P25*P32</f>
        <v>0</v>
      </c>
      <c r="Q39" s="34">
        <f t="shared" ref="Q39:W39" si="23">+Q25*Q32</f>
        <v>78.986314669837611</v>
      </c>
      <c r="R39" s="34">
        <f t="shared" si="23"/>
        <v>182.39922956515889</v>
      </c>
      <c r="S39" s="34">
        <f t="shared" si="23"/>
        <v>332.58167364755684</v>
      </c>
      <c r="T39" s="34">
        <f t="shared" si="23"/>
        <v>484.56627431282601</v>
      </c>
      <c r="U39" s="34">
        <f t="shared" si="23"/>
        <v>532.36662676363642</v>
      </c>
      <c r="V39" s="34">
        <f t="shared" si="23"/>
        <v>566.97045750327288</v>
      </c>
      <c r="W39" s="34">
        <f t="shared" si="23"/>
        <v>600.98868495346915</v>
      </c>
    </row>
    <row r="40" spans="1:23" x14ac:dyDescent="0.2">
      <c r="B40" t="s">
        <v>88</v>
      </c>
      <c r="C40" s="34">
        <f>+C39*C27</f>
        <v>0</v>
      </c>
      <c r="D40" s="34">
        <f t="shared" ref="D40:J40" si="24">+D39*D27</f>
        <v>15.797262933967517</v>
      </c>
      <c r="E40" s="34">
        <f t="shared" si="24"/>
        <v>36.479845913031767</v>
      </c>
      <c r="F40" s="34">
        <f t="shared" si="24"/>
        <v>66.516334729511343</v>
      </c>
      <c r="G40" s="34">
        <f t="shared" si="24"/>
        <v>96.913254862565168</v>
      </c>
      <c r="H40" s="34">
        <f t="shared" si="24"/>
        <v>106.47332535272724</v>
      </c>
      <c r="I40" s="34">
        <f t="shared" si="24"/>
        <v>112.32935824712727</v>
      </c>
      <c r="J40" s="34">
        <f t="shared" si="24"/>
        <v>117.94582615948362</v>
      </c>
      <c r="O40" t="s">
        <v>88</v>
      </c>
      <c r="P40" s="34">
        <f>+P39*P27</f>
        <v>0</v>
      </c>
      <c r="Q40" s="34">
        <f t="shared" ref="Q40:W40" si="25">+Q39*Q27</f>
        <v>15.797262933967524</v>
      </c>
      <c r="R40" s="34">
        <f t="shared" si="25"/>
        <v>36.479845913031781</v>
      </c>
      <c r="S40" s="34">
        <f t="shared" si="25"/>
        <v>66.516334729511371</v>
      </c>
      <c r="T40" s="34">
        <f t="shared" si="25"/>
        <v>96.913254862565211</v>
      </c>
      <c r="U40" s="34">
        <f t="shared" si="25"/>
        <v>106.47332535272729</v>
      </c>
      <c r="V40" s="34">
        <f t="shared" si="25"/>
        <v>113.39409150065458</v>
      </c>
      <c r="W40" s="34">
        <f t="shared" si="25"/>
        <v>120.19773699069384</v>
      </c>
    </row>
    <row r="41" spans="1:23" x14ac:dyDescent="0.2">
      <c r="B41" t="s">
        <v>279</v>
      </c>
      <c r="C41" s="34">
        <f>+D32-C32</f>
        <v>1128.3759238548225</v>
      </c>
      <c r="D41" s="34">
        <f t="shared" ref="D41:I41" si="26">+E32-D32</f>
        <v>1303.6138036806285</v>
      </c>
      <c r="E41" s="34">
        <f t="shared" si="26"/>
        <v>1725.2811930590074</v>
      </c>
      <c r="F41" s="34">
        <f t="shared" si="26"/>
        <v>1543.5087772034913</v>
      </c>
      <c r="G41" s="34">
        <f t="shared" si="26"/>
        <v>562.35708765659365</v>
      </c>
      <c r="H41" s="34">
        <f t="shared" si="26"/>
        <v>344.47252320000098</v>
      </c>
      <c r="I41" s="34">
        <f t="shared" si="26"/>
        <v>330.38046543272685</v>
      </c>
      <c r="J41" s="34">
        <f>+J32*K23</f>
        <v>346.89948870436359</v>
      </c>
      <c r="O41" t="s">
        <v>279</v>
      </c>
      <c r="P41" s="34">
        <f>+Q32-P32</f>
        <v>1128.375923854823</v>
      </c>
      <c r="Q41" s="34">
        <f t="shared" ref="Q41:V41" si="27">+R32-Q32</f>
        <v>1303.613803680629</v>
      </c>
      <c r="R41" s="34">
        <f t="shared" si="27"/>
        <v>1725.2811930590083</v>
      </c>
      <c r="S41" s="34">
        <f t="shared" si="27"/>
        <v>1543.5087772034922</v>
      </c>
      <c r="T41" s="34">
        <f t="shared" si="27"/>
        <v>562.35708765659365</v>
      </c>
      <c r="U41" s="34">
        <f t="shared" si="27"/>
        <v>407.10389105454578</v>
      </c>
      <c r="V41" s="34">
        <f t="shared" si="27"/>
        <v>400.21444059054465</v>
      </c>
      <c r="W41" s="34">
        <f>+W32*X23</f>
        <v>424.22730702597818</v>
      </c>
    </row>
    <row r="42" spans="1:23" x14ac:dyDescent="0.2">
      <c r="B42" t="s">
        <v>78</v>
      </c>
      <c r="C42" s="34">
        <f>+C38-C39+C40+C41</f>
        <v>1608.3759238548221</v>
      </c>
      <c r="D42" s="34">
        <f t="shared" ref="D42:J42" si="28">+D38-D39+D40+D41</f>
        <v>2286.542399003582</v>
      </c>
      <c r="E42" s="34">
        <f t="shared" si="28"/>
        <v>3136.809082134153</v>
      </c>
      <c r="F42" s="34">
        <f t="shared" si="28"/>
        <v>3318.157438285446</v>
      </c>
      <c r="G42" s="34">
        <f t="shared" si="28"/>
        <v>2366.7029994063328</v>
      </c>
      <c r="H42" s="34">
        <f t="shared" si="28"/>
        <v>1847.6253517090915</v>
      </c>
      <c r="I42" s="34">
        <f t="shared" si="28"/>
        <v>2081.3969322261805</v>
      </c>
      <c r="J42" s="34">
        <f t="shared" si="28"/>
        <v>2185.46677883749</v>
      </c>
      <c r="O42" t="s">
        <v>78</v>
      </c>
      <c r="P42" s="34">
        <f>+P38-P39+P40+P41</f>
        <v>1608.3759238548225</v>
      </c>
      <c r="Q42" s="34">
        <f t="shared" ref="Q42:W42" si="29">+Q38-Q39+Q40+Q41</f>
        <v>2286.5423990035824</v>
      </c>
      <c r="R42" s="34">
        <f t="shared" si="29"/>
        <v>3136.8090821341539</v>
      </c>
      <c r="S42" s="34">
        <f t="shared" si="29"/>
        <v>3318.1574382854469</v>
      </c>
      <c r="T42" s="34">
        <f t="shared" si="29"/>
        <v>2366.7029994063328</v>
      </c>
      <c r="U42" s="34">
        <f t="shared" si="29"/>
        <v>1597.0998802909087</v>
      </c>
      <c r="V42" s="34">
        <f t="shared" si="29"/>
        <v>1834.3161860399991</v>
      </c>
      <c r="W42" s="34">
        <f t="shared" si="29"/>
        <v>1944.3751572023998</v>
      </c>
    </row>
    <row r="44" spans="1:23" x14ac:dyDescent="0.2">
      <c r="C44" s="50">
        <v>2024</v>
      </c>
      <c r="D44" s="1">
        <f>+C44+1</f>
        <v>2025</v>
      </c>
      <c r="E44" s="1">
        <f t="shared" ref="E44:H44" si="30">+D44+1</f>
        <v>2026</v>
      </c>
      <c r="F44" s="1">
        <f t="shared" si="30"/>
        <v>2027</v>
      </c>
      <c r="G44" s="1">
        <f t="shared" si="30"/>
        <v>2028</v>
      </c>
      <c r="H44" s="1">
        <f t="shared" si="30"/>
        <v>2029</v>
      </c>
      <c r="I44" s="1" t="s">
        <v>273</v>
      </c>
      <c r="J44" s="1" t="s">
        <v>274</v>
      </c>
      <c r="P44" s="50">
        <v>2024</v>
      </c>
      <c r="Q44" s="1">
        <f>+P44+1</f>
        <v>2025</v>
      </c>
      <c r="R44" s="1">
        <f t="shared" ref="R44:U44" si="31">+Q44+1</f>
        <v>2026</v>
      </c>
      <c r="S44" s="1">
        <f t="shared" si="31"/>
        <v>2027</v>
      </c>
      <c r="T44" s="1">
        <f t="shared" si="31"/>
        <v>2028</v>
      </c>
      <c r="U44" s="1">
        <f t="shared" si="31"/>
        <v>2029</v>
      </c>
      <c r="V44" s="1" t="s">
        <v>273</v>
      </c>
      <c r="W44" s="1" t="s">
        <v>274</v>
      </c>
    </row>
    <row r="45" spans="1:23" x14ac:dyDescent="0.2">
      <c r="B45" t="s">
        <v>75</v>
      </c>
      <c r="C45" s="34">
        <f>+C38</f>
        <v>479.99999999999955</v>
      </c>
      <c r="D45" s="34">
        <f>+D38</f>
        <v>1046.1176470588236</v>
      </c>
      <c r="E45" s="34">
        <f t="shared" ref="E45:J45" si="32">+E38</f>
        <v>1557.4472727272725</v>
      </c>
      <c r="F45" s="34">
        <f t="shared" si="32"/>
        <v>2040.7139999999999</v>
      </c>
      <c r="G45" s="34">
        <f t="shared" si="32"/>
        <v>2191.9989311999998</v>
      </c>
      <c r="H45" s="34">
        <f t="shared" si="32"/>
        <v>1929.0461299199997</v>
      </c>
      <c r="I45" s="34">
        <f t="shared" si="32"/>
        <v>2200.3338997819628</v>
      </c>
      <c r="J45" s="34">
        <f t="shared" si="32"/>
        <v>2310.350594771061</v>
      </c>
      <c r="O45" t="s">
        <v>75</v>
      </c>
      <c r="P45" s="34">
        <f>+P38</f>
        <v>479.99999999999955</v>
      </c>
      <c r="Q45" s="34">
        <f t="shared" ref="Q45:W45" si="33">+Q38</f>
        <v>1046.1176470588236</v>
      </c>
      <c r="R45" s="34">
        <f t="shared" si="33"/>
        <v>1557.4472727272725</v>
      </c>
      <c r="S45" s="34">
        <f t="shared" si="33"/>
        <v>2040.7139999999999</v>
      </c>
      <c r="T45" s="34">
        <f t="shared" si="33"/>
        <v>2191.9989311999998</v>
      </c>
      <c r="U45" s="34">
        <f t="shared" si="33"/>
        <v>1615.8892906472722</v>
      </c>
      <c r="V45" s="34">
        <f t="shared" si="33"/>
        <v>1887.6781114520727</v>
      </c>
      <c r="W45" s="34">
        <f t="shared" si="33"/>
        <v>2000.9387981391969</v>
      </c>
    </row>
    <row r="46" spans="1:23" x14ac:dyDescent="0.2">
      <c r="B46" t="str">
        <f>+B28</f>
        <v>WACC</v>
      </c>
      <c r="C46" s="2">
        <f t="shared" ref="C46:J46" si="34">+C28</f>
        <v>0.12</v>
      </c>
      <c r="D46" s="2">
        <f t="shared" si="34"/>
        <v>0.11936999999999999</v>
      </c>
      <c r="E46" s="2">
        <f t="shared" si="34"/>
        <v>0.11864999999999999</v>
      </c>
      <c r="F46" s="2">
        <f t="shared" si="34"/>
        <v>0.11767999999999999</v>
      </c>
      <c r="G46" s="2">
        <f t="shared" si="34"/>
        <v>0.11677</v>
      </c>
      <c r="H46" s="2">
        <f t="shared" si="34"/>
        <v>0.1166</v>
      </c>
      <c r="I46" s="2">
        <f t="shared" si="34"/>
        <v>0.1166</v>
      </c>
      <c r="J46" s="2">
        <f t="shared" si="34"/>
        <v>0.1166</v>
      </c>
      <c r="O46" t="str">
        <f>+O28</f>
        <v>WACC</v>
      </c>
      <c r="P46" s="2">
        <f t="shared" ref="P46:W46" si="35">+P28</f>
        <v>0.12</v>
      </c>
      <c r="Q46" s="2">
        <f t="shared" si="35"/>
        <v>0.11936999999999999</v>
      </c>
      <c r="R46" s="2">
        <f t="shared" si="35"/>
        <v>0.11864999999999999</v>
      </c>
      <c r="S46" s="2">
        <f t="shared" si="35"/>
        <v>0.11767999999999999</v>
      </c>
      <c r="T46" s="2">
        <f t="shared" si="35"/>
        <v>0.11677</v>
      </c>
      <c r="U46" s="2">
        <f t="shared" si="35"/>
        <v>0.1166</v>
      </c>
      <c r="V46" s="2">
        <f t="shared" si="35"/>
        <v>0.1166</v>
      </c>
      <c r="W46" s="2">
        <f t="shared" si="35"/>
        <v>0.1166</v>
      </c>
    </row>
    <row r="47" spans="1:23" x14ac:dyDescent="0.2">
      <c r="B47" t="s">
        <v>158</v>
      </c>
      <c r="C47" s="34">
        <f t="shared" ref="C47:F47" si="36">+(C45+D47)/(1+C46)</f>
        <v>22816.982616167112</v>
      </c>
      <c r="D47" s="34">
        <f t="shared" si="36"/>
        <v>25075.020530107169</v>
      </c>
      <c r="E47" s="34">
        <f t="shared" si="36"/>
        <v>27022.108083727235</v>
      </c>
      <c r="F47" s="34">
        <f t="shared" si="36"/>
        <v>28670.833935134197</v>
      </c>
      <c r="G47" s="34">
        <f>+(G45+H47)/(1+G46)</f>
        <v>30004.103672620789</v>
      </c>
      <c r="H47" s="34">
        <f>+(H45+I47)/(1+H46)</f>
        <v>31315.683927272716</v>
      </c>
      <c r="I47" s="34">
        <f>+I45/(I46-J23)</f>
        <v>33038.046543272721</v>
      </c>
      <c r="J47" s="34">
        <f>+J45/(J46-K23)</f>
        <v>34689.948870436354</v>
      </c>
      <c r="O47" t="s">
        <v>158</v>
      </c>
      <c r="P47" s="34">
        <f t="shared" ref="P47:T47" si="37">+(P45+Q47)/(1+P46)</f>
        <v>22816.982616167119</v>
      </c>
      <c r="Q47" s="34">
        <f t="shared" si="37"/>
        <v>25075.020530107176</v>
      </c>
      <c r="R47" s="34">
        <f t="shared" si="37"/>
        <v>27022.108083727246</v>
      </c>
      <c r="S47" s="34">
        <f t="shared" si="37"/>
        <v>28670.833935134207</v>
      </c>
      <c r="T47" s="34">
        <f t="shared" si="37"/>
        <v>30004.1036726208</v>
      </c>
      <c r="U47" s="34">
        <f>+(U45+V47)/(1+U46)</f>
        <v>31315.68392727273</v>
      </c>
      <c r="V47" s="34">
        <f>+V45/(V46-W23)</f>
        <v>33351.203382545456</v>
      </c>
      <c r="W47" s="69">
        <f>+W45/(W46-X23)</f>
        <v>35352.275585498181</v>
      </c>
    </row>
    <row r="50" spans="2:24" x14ac:dyDescent="0.2">
      <c r="B50" t="s">
        <v>280</v>
      </c>
      <c r="C50" s="34">
        <f>+C45+C40</f>
        <v>479.99999999999955</v>
      </c>
      <c r="D50" s="34">
        <f>+D45+D40</f>
        <v>1061.9149099927911</v>
      </c>
      <c r="E50" s="34">
        <f t="shared" ref="E50:J50" si="38">+E45+E40</f>
        <v>1593.9271186403043</v>
      </c>
      <c r="F50" s="34">
        <f t="shared" si="38"/>
        <v>2107.2303347295115</v>
      </c>
      <c r="G50" s="34">
        <f t="shared" si="38"/>
        <v>2288.9121860625651</v>
      </c>
      <c r="H50" s="34">
        <f t="shared" si="38"/>
        <v>2035.5194552727269</v>
      </c>
      <c r="I50" s="34">
        <f t="shared" si="38"/>
        <v>2312.6632580290902</v>
      </c>
      <c r="J50" s="34">
        <f t="shared" si="38"/>
        <v>2428.2964209305446</v>
      </c>
      <c r="O50" t="s">
        <v>280</v>
      </c>
      <c r="P50" s="34">
        <f>+P45+P40</f>
        <v>479.99999999999955</v>
      </c>
      <c r="Q50" s="34">
        <f t="shared" ref="Q50:W50" si="39">+Q45+Q40</f>
        <v>1061.9149099927911</v>
      </c>
      <c r="R50" s="34">
        <f t="shared" si="39"/>
        <v>1593.9271186403043</v>
      </c>
      <c r="S50" s="34">
        <f t="shared" si="39"/>
        <v>2107.2303347295115</v>
      </c>
      <c r="T50" s="34">
        <f t="shared" si="39"/>
        <v>2288.9121860625651</v>
      </c>
      <c r="U50" s="34">
        <f t="shared" si="39"/>
        <v>1722.3626159999994</v>
      </c>
      <c r="V50" s="34">
        <f t="shared" si="39"/>
        <v>2001.0722029527274</v>
      </c>
      <c r="W50" s="34">
        <f t="shared" si="39"/>
        <v>2121.1365351298909</v>
      </c>
    </row>
    <row r="51" spans="2:24" x14ac:dyDescent="0.2">
      <c r="B51" t="s">
        <v>158</v>
      </c>
      <c r="C51" s="34">
        <f t="shared" ref="C51:G51" si="40">+(C50+D51)/(1+C26)</f>
        <v>22816.982616167104</v>
      </c>
      <c r="D51" s="34">
        <f t="shared" si="40"/>
        <v>25075.020530107158</v>
      </c>
      <c r="E51" s="34">
        <f t="shared" si="40"/>
        <v>27022.108083727227</v>
      </c>
      <c r="F51" s="34">
        <f t="shared" si="40"/>
        <v>28670.833935134193</v>
      </c>
      <c r="G51" s="34">
        <f t="shared" si="40"/>
        <v>30004.103672620786</v>
      </c>
      <c r="H51" s="34">
        <f>+(H50+I51)/(1+H26)</f>
        <v>31315.683927272719</v>
      </c>
      <c r="I51" s="34">
        <f>+I50/(J26-J23)</f>
        <v>33038.046543272721</v>
      </c>
      <c r="J51" s="34">
        <f>+J50/(K26-K23)</f>
        <v>34689.948870436354</v>
      </c>
      <c r="O51" t="s">
        <v>158</v>
      </c>
      <c r="P51" s="34">
        <f t="shared" ref="P51:T51" si="41">+(P50+Q51)/(1+P26)</f>
        <v>22816.982616167112</v>
      </c>
      <c r="Q51" s="34">
        <f t="shared" si="41"/>
        <v>25075.020530107166</v>
      </c>
      <c r="R51" s="34">
        <f t="shared" si="41"/>
        <v>27022.108083727235</v>
      </c>
      <c r="S51" s="34">
        <f t="shared" si="41"/>
        <v>28670.8339351342</v>
      </c>
      <c r="T51" s="34">
        <f t="shared" si="41"/>
        <v>30004.103672620793</v>
      </c>
      <c r="U51" s="34">
        <f>+(U50+V51)/(1+U26)</f>
        <v>31315.683927272723</v>
      </c>
      <c r="V51" s="34">
        <f>+V50/(W26-W23)</f>
        <v>33351.203382545456</v>
      </c>
      <c r="W51" s="34">
        <f>+W50/(X26-X23)</f>
        <v>35352.275585498181</v>
      </c>
    </row>
    <row r="52" spans="2:24" x14ac:dyDescent="0.2">
      <c r="B52" s="70" t="s">
        <v>281</v>
      </c>
      <c r="C52" s="71">
        <f>+C51-C47</f>
        <v>0</v>
      </c>
      <c r="D52" s="71">
        <f t="shared" ref="D52:J52" si="42">+D51-D47</f>
        <v>0</v>
      </c>
      <c r="E52" s="71">
        <f t="shared" si="42"/>
        <v>0</v>
      </c>
      <c r="F52" s="71">
        <f t="shared" si="42"/>
        <v>0</v>
      </c>
      <c r="G52" s="71">
        <f t="shared" si="42"/>
        <v>0</v>
      </c>
      <c r="H52" s="71">
        <f t="shared" si="42"/>
        <v>0</v>
      </c>
      <c r="I52" s="71">
        <f t="shared" si="42"/>
        <v>0</v>
      </c>
      <c r="J52" s="71">
        <f t="shared" si="42"/>
        <v>0</v>
      </c>
      <c r="O52" s="70" t="s">
        <v>281</v>
      </c>
      <c r="P52" s="71">
        <f>+P51-P47</f>
        <v>0</v>
      </c>
      <c r="Q52" s="71">
        <f t="shared" ref="Q52:W52" si="43">+Q51-Q47</f>
        <v>0</v>
      </c>
      <c r="R52" s="71">
        <f t="shared" si="43"/>
        <v>0</v>
      </c>
      <c r="S52" s="71">
        <f t="shared" si="43"/>
        <v>0</v>
      </c>
      <c r="T52" s="71">
        <f t="shared" si="43"/>
        <v>0</v>
      </c>
      <c r="U52" s="71">
        <f t="shared" si="43"/>
        <v>0</v>
      </c>
      <c r="V52" s="71">
        <f t="shared" si="43"/>
        <v>0</v>
      </c>
      <c r="W52" s="71">
        <f t="shared" si="43"/>
        <v>0</v>
      </c>
    </row>
    <row r="54" spans="2:24" x14ac:dyDescent="0.2">
      <c r="B54" t="s">
        <v>78</v>
      </c>
      <c r="C54" s="34">
        <f>+C42</f>
        <v>1608.3759238548221</v>
      </c>
      <c r="D54" s="34">
        <f t="shared" ref="D54:J54" si="44">+D42</f>
        <v>2286.542399003582</v>
      </c>
      <c r="E54" s="34">
        <f t="shared" si="44"/>
        <v>3136.809082134153</v>
      </c>
      <c r="F54" s="34">
        <f t="shared" si="44"/>
        <v>3318.157438285446</v>
      </c>
      <c r="G54" s="34">
        <f t="shared" si="44"/>
        <v>2366.7029994063328</v>
      </c>
      <c r="H54" s="34">
        <f t="shared" si="44"/>
        <v>1847.6253517090915</v>
      </c>
      <c r="I54" s="34">
        <f t="shared" si="44"/>
        <v>2081.3969322261805</v>
      </c>
      <c r="J54" s="34">
        <f t="shared" si="44"/>
        <v>2185.46677883749</v>
      </c>
      <c r="O54" t="s">
        <v>78</v>
      </c>
      <c r="P54" s="34">
        <f>+P42</f>
        <v>1608.3759238548225</v>
      </c>
      <c r="Q54" s="34">
        <f t="shared" ref="Q54:W54" si="45">+Q42</f>
        <v>2286.5423990035824</v>
      </c>
      <c r="R54" s="34">
        <f t="shared" si="45"/>
        <v>3136.8090821341539</v>
      </c>
      <c r="S54" s="34">
        <f t="shared" si="45"/>
        <v>3318.1574382854469</v>
      </c>
      <c r="T54" s="34">
        <f t="shared" si="45"/>
        <v>2366.7029994063328</v>
      </c>
      <c r="U54" s="34">
        <f t="shared" si="45"/>
        <v>1597.0998802909087</v>
      </c>
      <c r="V54" s="34">
        <f t="shared" si="45"/>
        <v>1834.3161860399991</v>
      </c>
      <c r="W54" s="34">
        <f t="shared" si="45"/>
        <v>1944.3751572023998</v>
      </c>
    </row>
    <row r="55" spans="2:24" x14ac:dyDescent="0.2">
      <c r="B55" t="s">
        <v>163</v>
      </c>
      <c r="C55" s="2">
        <f>+(C26-C25*C24)/(1-C24)</f>
        <v>0.12</v>
      </c>
      <c r="D55" s="2">
        <f t="shared" ref="D55:J55" si="46">+(D26-D25*D24)/(1-D24)</f>
        <v>0.12235602094240838</v>
      </c>
      <c r="E55" s="2">
        <f t="shared" si="46"/>
        <v>0.12445054945054944</v>
      </c>
      <c r="F55" s="2">
        <f t="shared" si="46"/>
        <v>0.12678362573099414</v>
      </c>
      <c r="G55" s="2">
        <f t="shared" si="46"/>
        <v>0.12820987654320987</v>
      </c>
      <c r="H55" s="2">
        <f t="shared" si="46"/>
        <v>0.12874999999999998</v>
      </c>
      <c r="I55" s="2">
        <f t="shared" si="46"/>
        <v>0.12874999999999998</v>
      </c>
      <c r="J55" s="2">
        <f t="shared" si="46"/>
        <v>0.12874999999999998</v>
      </c>
      <c r="O55" t="s">
        <v>163</v>
      </c>
      <c r="P55" s="2">
        <f>+(P26-P25*P24)/(1-P24)</f>
        <v>0.12</v>
      </c>
      <c r="Q55" s="2">
        <f t="shared" ref="Q55:W55" si="47">+(Q26-Q25*Q24)/(1-Q24)</f>
        <v>0.12235602094240838</v>
      </c>
      <c r="R55" s="2">
        <f t="shared" si="47"/>
        <v>0.12445054945054944</v>
      </c>
      <c r="S55" s="2">
        <f t="shared" si="47"/>
        <v>0.12678362573099414</v>
      </c>
      <c r="T55" s="2">
        <f t="shared" si="47"/>
        <v>0.12820987654320987</v>
      </c>
      <c r="U55" s="2">
        <f t="shared" si="47"/>
        <v>0.12874999999999998</v>
      </c>
      <c r="V55" s="2">
        <f t="shared" si="47"/>
        <v>0.12874999999999998</v>
      </c>
      <c r="W55" s="2">
        <f t="shared" si="47"/>
        <v>0.12874999999999998</v>
      </c>
    </row>
    <row r="56" spans="2:24" x14ac:dyDescent="0.2">
      <c r="B56" t="s">
        <v>165</v>
      </c>
      <c r="C56" s="34">
        <f t="shared" ref="C56:G56" si="48">+(C54+D56)/(1+C55)</f>
        <v>22816.982616167112</v>
      </c>
      <c r="D56" s="34">
        <f t="shared" si="48"/>
        <v>23946.644606252346</v>
      </c>
      <c r="E56" s="34">
        <f t="shared" si="48"/>
        <v>24590.118356191786</v>
      </c>
      <c r="F56" s="34">
        <f t="shared" si="48"/>
        <v>24513.563014539741</v>
      </c>
      <c r="G56" s="34">
        <f t="shared" si="48"/>
        <v>24303.323974822844</v>
      </c>
      <c r="H56" s="34">
        <f>+(H54+I56)/(1+H55)</f>
        <v>25052.547141818177</v>
      </c>
      <c r="I56" s="34">
        <f>+I54/(I55-J23)</f>
        <v>26430.437234618174</v>
      </c>
      <c r="J56" s="34">
        <f>+J54/(J55-K23)</f>
        <v>27751.959096349088</v>
      </c>
      <c r="O56" t="s">
        <v>165</v>
      </c>
      <c r="P56" s="34">
        <f t="shared" ref="P56:T56" si="49">+(P54+Q56)/(1+P55)</f>
        <v>22816.982616167115</v>
      </c>
      <c r="Q56" s="34">
        <f t="shared" si="49"/>
        <v>23946.64460625235</v>
      </c>
      <c r="R56" s="34">
        <f t="shared" si="49"/>
        <v>24590.118356191793</v>
      </c>
      <c r="S56" s="34">
        <f t="shared" si="49"/>
        <v>24513.563014539748</v>
      </c>
      <c r="T56" s="34">
        <f t="shared" si="49"/>
        <v>24303.323974822848</v>
      </c>
      <c r="U56" s="34">
        <f>+(U54+V56)/(1+U55)</f>
        <v>25052.547141818181</v>
      </c>
      <c r="V56" s="34">
        <f>+V54/(V55-W23)</f>
        <v>26680.96270603636</v>
      </c>
      <c r="W56" s="34">
        <f>+W54/(W55-X23)</f>
        <v>28281.820468398553</v>
      </c>
    </row>
    <row r="57" spans="2:24" x14ac:dyDescent="0.2">
      <c r="B57" t="s">
        <v>158</v>
      </c>
      <c r="C57" s="34">
        <f>+C56+C32</f>
        <v>22816.982616167112</v>
      </c>
      <c r="D57" s="34">
        <f t="shared" ref="D57:J57" si="50">+D56+D32</f>
        <v>25075.020530107169</v>
      </c>
      <c r="E57" s="34">
        <f t="shared" si="50"/>
        <v>27022.108083727238</v>
      </c>
      <c r="F57" s="34">
        <f t="shared" si="50"/>
        <v>28670.8339351342</v>
      </c>
      <c r="G57" s="34">
        <f t="shared" si="50"/>
        <v>30004.103672620793</v>
      </c>
      <c r="H57" s="34">
        <f t="shared" si="50"/>
        <v>31315.683927272719</v>
      </c>
      <c r="I57" s="34">
        <f t="shared" si="50"/>
        <v>33038.046543272721</v>
      </c>
      <c r="J57" s="34">
        <f t="shared" si="50"/>
        <v>34689.948870436361</v>
      </c>
      <c r="O57" t="s">
        <v>158</v>
      </c>
      <c r="P57" s="34">
        <f>+P56+P32</f>
        <v>22816.982616167115</v>
      </c>
      <c r="Q57" s="34">
        <f t="shared" ref="Q57:W57" si="51">+Q56+Q32</f>
        <v>25075.020530107173</v>
      </c>
      <c r="R57" s="34">
        <f t="shared" si="51"/>
        <v>27022.108083727246</v>
      </c>
      <c r="S57" s="34">
        <f t="shared" si="51"/>
        <v>28670.833935134207</v>
      </c>
      <c r="T57" s="34">
        <f t="shared" si="51"/>
        <v>30004.1036726208</v>
      </c>
      <c r="U57" s="34">
        <f t="shared" si="51"/>
        <v>31315.683927272727</v>
      </c>
      <c r="V57" s="34">
        <f t="shared" si="51"/>
        <v>33351.203382545449</v>
      </c>
      <c r="W57" s="34">
        <f t="shared" si="51"/>
        <v>35352.275585498188</v>
      </c>
    </row>
    <row r="58" spans="2:24" x14ac:dyDescent="0.2">
      <c r="B58" s="70" t="s">
        <v>281</v>
      </c>
      <c r="C58" s="71">
        <f>+C57-C51</f>
        <v>0</v>
      </c>
      <c r="D58" s="71">
        <f t="shared" ref="D58:J58" si="52">+D57-D51</f>
        <v>0</v>
      </c>
      <c r="E58" s="71">
        <f t="shared" si="52"/>
        <v>0</v>
      </c>
      <c r="F58" s="71">
        <f t="shared" si="52"/>
        <v>0</v>
      </c>
      <c r="G58" s="71">
        <f t="shared" si="52"/>
        <v>0</v>
      </c>
      <c r="H58" s="71">
        <f t="shared" si="52"/>
        <v>0</v>
      </c>
      <c r="I58" s="71">
        <f t="shared" si="52"/>
        <v>0</v>
      </c>
      <c r="J58" s="71">
        <f t="shared" si="52"/>
        <v>0</v>
      </c>
      <c r="O58" s="70" t="s">
        <v>281</v>
      </c>
      <c r="P58" s="71">
        <f>+P57-P51</f>
        <v>0</v>
      </c>
      <c r="Q58" s="71">
        <f t="shared" ref="Q58:W58" si="53">+Q57-Q51</f>
        <v>0</v>
      </c>
      <c r="R58" s="71">
        <f t="shared" si="53"/>
        <v>0</v>
      </c>
      <c r="S58" s="71">
        <f t="shared" si="53"/>
        <v>0</v>
      </c>
      <c r="T58" s="71">
        <f t="shared" si="53"/>
        <v>0</v>
      </c>
      <c r="U58" s="71">
        <f t="shared" si="53"/>
        <v>0</v>
      </c>
      <c r="V58" s="71">
        <f t="shared" si="53"/>
        <v>0</v>
      </c>
      <c r="W58" s="71">
        <f t="shared" si="53"/>
        <v>0</v>
      </c>
    </row>
    <row r="59" spans="2:24" x14ac:dyDescent="0.2">
      <c r="B59" t="s">
        <v>240</v>
      </c>
      <c r="C59" s="72">
        <f>+C31</f>
        <v>15000</v>
      </c>
      <c r="D59" s="72">
        <f t="shared" ref="D59:J59" si="54">+D31</f>
        <v>16920</v>
      </c>
      <c r="E59" s="72">
        <f t="shared" si="54"/>
        <v>18609.882352941175</v>
      </c>
      <c r="F59" s="72">
        <f t="shared" si="54"/>
        <v>20075.7150802139</v>
      </c>
      <c r="G59" s="72">
        <f t="shared" si="54"/>
        <v>21300.143480213901</v>
      </c>
      <c r="H59" s="72">
        <f t="shared" si="54"/>
        <v>22569.1954930139</v>
      </c>
      <c r="I59" s="72">
        <f t="shared" si="54"/>
        <v>24291.558109013899</v>
      </c>
      <c r="J59" s="72">
        <f t="shared" si="54"/>
        <v>25943.460436177535</v>
      </c>
      <c r="O59" t="s">
        <v>240</v>
      </c>
      <c r="P59" s="72">
        <f>+P31</f>
        <v>15000</v>
      </c>
      <c r="Q59" s="72">
        <f t="shared" ref="Q59:W59" si="55">+Q31</f>
        <v>16920</v>
      </c>
      <c r="R59" s="72">
        <f t="shared" si="55"/>
        <v>18609.882352941175</v>
      </c>
      <c r="S59" s="72">
        <f t="shared" si="55"/>
        <v>20075.7150802139</v>
      </c>
      <c r="T59" s="72">
        <f t="shared" si="55"/>
        <v>21300.143480213901</v>
      </c>
      <c r="U59" s="72">
        <f t="shared" si="55"/>
        <v>22569.1954930139</v>
      </c>
      <c r="V59" s="72">
        <f t="shared" si="55"/>
        <v>24604.714948286626</v>
      </c>
      <c r="W59" s="72">
        <f t="shared" si="55"/>
        <v>26605.787151239354</v>
      </c>
    </row>
    <row r="61" spans="2:24" x14ac:dyDescent="0.2">
      <c r="B61" t="s">
        <v>81</v>
      </c>
      <c r="C61" s="72">
        <f>+C36</f>
        <v>2400</v>
      </c>
      <c r="D61" s="72">
        <f t="shared" ref="D61:J61" si="56">+D36</f>
        <v>2736</v>
      </c>
      <c r="E61" s="72">
        <f t="shared" si="56"/>
        <v>3023.2799999999997</v>
      </c>
      <c r="F61" s="72">
        <f t="shared" si="56"/>
        <v>3265.1423999999997</v>
      </c>
      <c r="G61" s="72">
        <f t="shared" si="56"/>
        <v>3461.0509439999996</v>
      </c>
      <c r="H61" s="72">
        <f t="shared" si="56"/>
        <v>3651.4087459199995</v>
      </c>
      <c r="I61" s="72">
        <f t="shared" si="56"/>
        <v>3852.2362269455994</v>
      </c>
      <c r="J61" s="72">
        <f t="shared" si="56"/>
        <v>4044.8480382928792</v>
      </c>
      <c r="O61" t="s">
        <v>81</v>
      </c>
      <c r="P61" s="72">
        <f>+P36</f>
        <v>2400</v>
      </c>
      <c r="Q61" s="72">
        <f t="shared" ref="Q61:W61" si="57">+Q36</f>
        <v>2736</v>
      </c>
      <c r="R61" s="72">
        <f t="shared" si="57"/>
        <v>3023.2799999999997</v>
      </c>
      <c r="S61" s="72">
        <f t="shared" si="57"/>
        <v>3265.1423999999997</v>
      </c>
      <c r="T61" s="72">
        <f t="shared" si="57"/>
        <v>3461.0509439999996</v>
      </c>
      <c r="U61" s="72">
        <f t="shared" si="57"/>
        <v>3651.4087459199995</v>
      </c>
      <c r="V61" s="72">
        <f t="shared" si="57"/>
        <v>3888.7503144047996</v>
      </c>
      <c r="W61" s="72">
        <f t="shared" si="57"/>
        <v>4122.0753332690874</v>
      </c>
    </row>
    <row r="62" spans="2:24" x14ac:dyDescent="0.2">
      <c r="B62" t="s">
        <v>282</v>
      </c>
      <c r="C62">
        <f>+C59*C28</f>
        <v>1800</v>
      </c>
      <c r="D62">
        <f t="shared" ref="D62:J62" si="58">+D59*D28</f>
        <v>2019.7403999999999</v>
      </c>
      <c r="E62">
        <f t="shared" si="58"/>
        <v>2208.0625411764704</v>
      </c>
      <c r="F62">
        <f t="shared" si="58"/>
        <v>2362.5101506395717</v>
      </c>
      <c r="G62">
        <f t="shared" si="58"/>
        <v>2487.2177541845772</v>
      </c>
      <c r="H62">
        <f t="shared" si="58"/>
        <v>2631.5681944854205</v>
      </c>
      <c r="I62">
        <f t="shared" si="58"/>
        <v>2832.3956755110203</v>
      </c>
      <c r="J62">
        <f t="shared" si="58"/>
        <v>3025.0074868583006</v>
      </c>
      <c r="O62" t="s">
        <v>282</v>
      </c>
      <c r="P62">
        <f>+P59*P28</f>
        <v>1800</v>
      </c>
      <c r="Q62">
        <f t="shared" ref="Q62:W62" si="59">+Q59*Q28</f>
        <v>2019.7403999999999</v>
      </c>
      <c r="R62">
        <f t="shared" si="59"/>
        <v>2208.0625411764704</v>
      </c>
      <c r="S62">
        <f t="shared" si="59"/>
        <v>2362.5101506395717</v>
      </c>
      <c r="T62">
        <f t="shared" si="59"/>
        <v>2487.2177541845772</v>
      </c>
      <c r="U62">
        <f t="shared" si="59"/>
        <v>2631.5681944854205</v>
      </c>
      <c r="V62">
        <f t="shared" si="59"/>
        <v>2868.9097629702205</v>
      </c>
      <c r="W62">
        <f t="shared" si="59"/>
        <v>3102.2347818345083</v>
      </c>
    </row>
    <row r="63" spans="2:24" x14ac:dyDescent="0.2">
      <c r="B63" t="s">
        <v>283</v>
      </c>
      <c r="C63" s="72">
        <f>+C61-C62</f>
        <v>600</v>
      </c>
      <c r="D63" s="72">
        <f t="shared" ref="D63:J63" si="60">+D61-D62</f>
        <v>716.25960000000009</v>
      </c>
      <c r="E63" s="72">
        <f t="shared" si="60"/>
        <v>815.21745882352934</v>
      </c>
      <c r="F63" s="72">
        <f t="shared" si="60"/>
        <v>902.63224936042798</v>
      </c>
      <c r="G63" s="72">
        <f t="shared" si="60"/>
        <v>973.83318981542243</v>
      </c>
      <c r="H63" s="72">
        <f t="shared" si="60"/>
        <v>1019.8405514345791</v>
      </c>
      <c r="I63" s="72">
        <f t="shared" si="60"/>
        <v>1019.8405514345791</v>
      </c>
      <c r="J63" s="72">
        <f t="shared" si="60"/>
        <v>1019.8405514345786</v>
      </c>
      <c r="O63" t="s">
        <v>283</v>
      </c>
      <c r="P63" s="72">
        <f>+P61-P62</f>
        <v>600</v>
      </c>
      <c r="Q63" s="72">
        <f t="shared" ref="Q63:W63" si="61">+Q61-Q62</f>
        <v>716.25960000000009</v>
      </c>
      <c r="R63" s="72">
        <f t="shared" si="61"/>
        <v>815.21745882352934</v>
      </c>
      <c r="S63" s="72">
        <f t="shared" si="61"/>
        <v>902.63224936042798</v>
      </c>
      <c r="T63" s="72">
        <f t="shared" si="61"/>
        <v>973.83318981542243</v>
      </c>
      <c r="U63" s="72">
        <f t="shared" si="61"/>
        <v>1019.8405514345791</v>
      </c>
      <c r="V63" s="72">
        <f t="shared" si="61"/>
        <v>1019.8405514345791</v>
      </c>
      <c r="W63" s="72">
        <f t="shared" si="61"/>
        <v>1019.8405514345791</v>
      </c>
    </row>
    <row r="64" spans="2:24" x14ac:dyDescent="0.2">
      <c r="B64" t="s">
        <v>238</v>
      </c>
      <c r="C64" s="72">
        <f t="shared" ref="C64:H64" si="62">+(C63+D64)/(1+C46)</f>
        <v>7816.9826161671181</v>
      </c>
      <c r="D64" s="72">
        <f t="shared" si="62"/>
        <v>8155.0205301071719</v>
      </c>
      <c r="E64" s="72">
        <f t="shared" si="62"/>
        <v>8412.2257307860655</v>
      </c>
      <c r="F64" s="72">
        <f t="shared" si="62"/>
        <v>8595.1188549203016</v>
      </c>
      <c r="G64" s="72">
        <f t="shared" si="62"/>
        <v>8703.9601924068957</v>
      </c>
      <c r="H64" s="72">
        <f t="shared" si="62"/>
        <v>8746.4884342588266</v>
      </c>
      <c r="I64" s="72">
        <f>+(I63+J64)/(1+I46)</f>
        <v>8746.4884342588266</v>
      </c>
      <c r="J64" s="73">
        <f>+J57-J59</f>
        <v>8746.4884342588266</v>
      </c>
      <c r="K64" s="74">
        <f>+J63/J28+J37*(K22-K28)/(K28*(K28-K23))</f>
        <v>8746.488434258823</v>
      </c>
      <c r="O64" t="s">
        <v>238</v>
      </c>
      <c r="P64" s="72">
        <f t="shared" ref="P64:U64" si="63">+(P63+Q64)/(1+P46)</f>
        <v>7816.9826161671226</v>
      </c>
      <c r="Q64" s="72">
        <f t="shared" si="63"/>
        <v>8155.0205301071783</v>
      </c>
      <c r="R64" s="72">
        <f t="shared" si="63"/>
        <v>8412.2257307860727</v>
      </c>
      <c r="S64" s="72">
        <f t="shared" si="63"/>
        <v>8595.1188549203089</v>
      </c>
      <c r="T64" s="72">
        <f t="shared" si="63"/>
        <v>8703.9601924069029</v>
      </c>
      <c r="U64" s="72">
        <f t="shared" si="63"/>
        <v>8746.4884342588339</v>
      </c>
      <c r="V64" s="72">
        <f>+(V63+W64)/(1+V46)</f>
        <v>8746.4884342588339</v>
      </c>
      <c r="W64" s="73">
        <f>+W57-W59</f>
        <v>8746.4884342588339</v>
      </c>
      <c r="X64" s="74">
        <f>+W63/W28+W37*(X22-X28)/(X28*(X28-X23))</f>
        <v>8746.4884342588266</v>
      </c>
    </row>
    <row r="65" spans="2:23" x14ac:dyDescent="0.2">
      <c r="B65" t="s">
        <v>284</v>
      </c>
      <c r="C65" s="72">
        <f>+C59</f>
        <v>15000</v>
      </c>
      <c r="D65" s="72">
        <f t="shared" ref="D65:J65" si="64">+D59</f>
        <v>16920</v>
      </c>
      <c r="E65" s="72">
        <f t="shared" si="64"/>
        <v>18609.882352941175</v>
      </c>
      <c r="F65" s="72">
        <f t="shared" si="64"/>
        <v>20075.7150802139</v>
      </c>
      <c r="G65" s="72">
        <f t="shared" si="64"/>
        <v>21300.143480213901</v>
      </c>
      <c r="H65" s="72">
        <f t="shared" si="64"/>
        <v>22569.1954930139</v>
      </c>
      <c r="I65" s="72">
        <f t="shared" si="64"/>
        <v>24291.558109013899</v>
      </c>
      <c r="J65" s="72">
        <f t="shared" si="64"/>
        <v>25943.460436177535</v>
      </c>
      <c r="O65" t="s">
        <v>284</v>
      </c>
      <c r="P65" s="72">
        <f>+P59</f>
        <v>15000</v>
      </c>
      <c r="Q65" s="72">
        <f t="shared" ref="Q65:W65" si="65">+Q59</f>
        <v>16920</v>
      </c>
      <c r="R65" s="72">
        <f t="shared" si="65"/>
        <v>18609.882352941175</v>
      </c>
      <c r="S65" s="72">
        <f t="shared" si="65"/>
        <v>20075.7150802139</v>
      </c>
      <c r="T65" s="72">
        <f t="shared" si="65"/>
        <v>21300.143480213901</v>
      </c>
      <c r="U65" s="72">
        <f t="shared" si="65"/>
        <v>22569.1954930139</v>
      </c>
      <c r="V65" s="72">
        <f t="shared" si="65"/>
        <v>24604.714948286626</v>
      </c>
      <c r="W65" s="72">
        <f t="shared" si="65"/>
        <v>26605.787151239354</v>
      </c>
    </row>
    <row r="66" spans="2:23" x14ac:dyDescent="0.2">
      <c r="B66" t="s">
        <v>158</v>
      </c>
      <c r="C66" s="72">
        <f>+C64+C65</f>
        <v>22816.982616167119</v>
      </c>
      <c r="D66" s="72">
        <f t="shared" ref="D66:J66" si="66">+D64+D65</f>
        <v>25075.020530107173</v>
      </c>
      <c r="E66" s="72">
        <f t="shared" si="66"/>
        <v>27022.108083727238</v>
      </c>
      <c r="F66" s="72">
        <f t="shared" si="66"/>
        <v>28670.8339351342</v>
      </c>
      <c r="G66" s="72">
        <f t="shared" si="66"/>
        <v>30004.103672620797</v>
      </c>
      <c r="H66" s="72">
        <f t="shared" si="66"/>
        <v>31315.683927272727</v>
      </c>
      <c r="I66" s="72">
        <f t="shared" si="66"/>
        <v>33038.046543272721</v>
      </c>
      <c r="J66" s="72">
        <f t="shared" si="66"/>
        <v>34689.948870436361</v>
      </c>
      <c r="O66" t="s">
        <v>158</v>
      </c>
      <c r="P66" s="72">
        <f>+P64+P65</f>
        <v>22816.982616167123</v>
      </c>
      <c r="Q66" s="72">
        <f t="shared" ref="Q66:W66" si="67">+Q64+Q65</f>
        <v>25075.020530107176</v>
      </c>
      <c r="R66" s="72">
        <f t="shared" si="67"/>
        <v>27022.108083727246</v>
      </c>
      <c r="S66" s="72">
        <f t="shared" si="67"/>
        <v>28670.833935134207</v>
      </c>
      <c r="T66" s="72">
        <f t="shared" si="67"/>
        <v>30004.103672620804</v>
      </c>
      <c r="U66" s="72">
        <f t="shared" si="67"/>
        <v>31315.683927272734</v>
      </c>
      <c r="V66" s="72">
        <f t="shared" si="67"/>
        <v>33351.203382545456</v>
      </c>
      <c r="W66" s="72">
        <f t="shared" si="67"/>
        <v>35352.275585498188</v>
      </c>
    </row>
    <row r="67" spans="2:23" x14ac:dyDescent="0.2">
      <c r="B67" s="70" t="s">
        <v>281</v>
      </c>
      <c r="C67" s="71">
        <f>+C66-C57</f>
        <v>0</v>
      </c>
      <c r="D67" s="71">
        <f t="shared" ref="D67:J67" si="68">+D66-D57</f>
        <v>0</v>
      </c>
      <c r="E67" s="71">
        <f t="shared" si="68"/>
        <v>0</v>
      </c>
      <c r="F67" s="71">
        <f t="shared" si="68"/>
        <v>0</v>
      </c>
      <c r="G67" s="71">
        <f t="shared" si="68"/>
        <v>0</v>
      </c>
      <c r="H67" s="71">
        <f t="shared" si="68"/>
        <v>0</v>
      </c>
      <c r="I67" s="71">
        <f t="shared" si="68"/>
        <v>0</v>
      </c>
      <c r="J67" s="71">
        <f t="shared" si="68"/>
        <v>0</v>
      </c>
      <c r="O67" s="70" t="s">
        <v>281</v>
      </c>
      <c r="P67" s="71">
        <f>+P66-P57</f>
        <v>0</v>
      </c>
      <c r="Q67" s="71">
        <f t="shared" ref="Q67:W67" si="69">+Q66-Q57</f>
        <v>0</v>
      </c>
      <c r="R67" s="71">
        <f t="shared" si="69"/>
        <v>0</v>
      </c>
      <c r="S67" s="71">
        <f t="shared" si="69"/>
        <v>0</v>
      </c>
      <c r="T67" s="71">
        <f t="shared" si="69"/>
        <v>0</v>
      </c>
      <c r="U67" s="71">
        <f t="shared" si="69"/>
        <v>0</v>
      </c>
      <c r="V67" s="71">
        <f t="shared" si="69"/>
        <v>0</v>
      </c>
      <c r="W67" s="71">
        <f t="shared" si="69"/>
        <v>0</v>
      </c>
    </row>
    <row r="69" spans="2:23" x14ac:dyDescent="0.2">
      <c r="B69" t="s">
        <v>128</v>
      </c>
      <c r="C69" s="72">
        <f>+C61/(1-C27)</f>
        <v>3000</v>
      </c>
      <c r="D69" s="72">
        <f t="shared" ref="D69:J69" si="70">+D61/(1-D27)</f>
        <v>3420</v>
      </c>
      <c r="E69" s="72">
        <f t="shared" si="70"/>
        <v>3779.0999999999995</v>
      </c>
      <c r="F69" s="72">
        <f t="shared" si="70"/>
        <v>4081.4279999999994</v>
      </c>
      <c r="G69" s="72">
        <f t="shared" si="70"/>
        <v>4326.3136799999993</v>
      </c>
      <c r="H69" s="72">
        <f t="shared" si="70"/>
        <v>4564.2609323999995</v>
      </c>
      <c r="I69" s="72">
        <f t="shared" si="70"/>
        <v>4815.2952836819986</v>
      </c>
      <c r="J69" s="72">
        <f t="shared" si="70"/>
        <v>5056.060047866099</v>
      </c>
      <c r="O69" t="s">
        <v>128</v>
      </c>
      <c r="P69" s="72">
        <f>+P61/(1-P27)</f>
        <v>3000</v>
      </c>
      <c r="Q69" s="72">
        <f t="shared" ref="Q69:W69" si="71">+Q61/(1-Q27)</f>
        <v>3420</v>
      </c>
      <c r="R69" s="72">
        <f t="shared" si="71"/>
        <v>3779.0999999999995</v>
      </c>
      <c r="S69" s="72">
        <f t="shared" si="71"/>
        <v>4081.4279999999994</v>
      </c>
      <c r="T69" s="72">
        <f t="shared" si="71"/>
        <v>4326.3136799999993</v>
      </c>
      <c r="U69" s="72">
        <f t="shared" si="71"/>
        <v>4564.2609323999995</v>
      </c>
      <c r="V69" s="72">
        <f t="shared" si="71"/>
        <v>4860.9378930059993</v>
      </c>
      <c r="W69" s="72">
        <f t="shared" si="71"/>
        <v>5152.5941665863593</v>
      </c>
    </row>
    <row r="70" spans="2:23" x14ac:dyDescent="0.2">
      <c r="B70" t="s">
        <v>32</v>
      </c>
      <c r="C70" s="72">
        <f>+C39</f>
        <v>0</v>
      </c>
      <c r="D70" s="72">
        <f t="shared" ref="D70:J70" si="72">+D39</f>
        <v>78.986314669837583</v>
      </c>
      <c r="E70" s="72">
        <f t="shared" si="72"/>
        <v>182.39922956515883</v>
      </c>
      <c r="F70" s="72">
        <f t="shared" si="72"/>
        <v>332.58167364755667</v>
      </c>
      <c r="G70" s="72">
        <f t="shared" si="72"/>
        <v>484.56627431282578</v>
      </c>
      <c r="H70" s="72">
        <f t="shared" si="72"/>
        <v>532.36662676363619</v>
      </c>
      <c r="I70" s="72">
        <f t="shared" si="72"/>
        <v>561.64679123563633</v>
      </c>
      <c r="J70" s="72">
        <f t="shared" si="72"/>
        <v>589.72913079741807</v>
      </c>
      <c r="O70" t="s">
        <v>32</v>
      </c>
      <c r="P70" s="72">
        <f>+P39</f>
        <v>0</v>
      </c>
      <c r="Q70" s="72">
        <f t="shared" ref="Q70:W70" si="73">+Q39</f>
        <v>78.986314669837611</v>
      </c>
      <c r="R70" s="72">
        <f t="shared" si="73"/>
        <v>182.39922956515889</v>
      </c>
      <c r="S70" s="72">
        <f t="shared" si="73"/>
        <v>332.58167364755684</v>
      </c>
      <c r="T70" s="72">
        <f t="shared" si="73"/>
        <v>484.56627431282601</v>
      </c>
      <c r="U70" s="72">
        <f t="shared" si="73"/>
        <v>532.36662676363642</v>
      </c>
      <c r="V70" s="72">
        <f t="shared" si="73"/>
        <v>566.97045750327288</v>
      </c>
      <c r="W70" s="72">
        <f t="shared" si="73"/>
        <v>600.98868495346915</v>
      </c>
    </row>
    <row r="71" spans="2:23" x14ac:dyDescent="0.2">
      <c r="B71" t="s">
        <v>285</v>
      </c>
      <c r="C71" s="72">
        <f>+C69-C70</f>
        <v>3000</v>
      </c>
      <c r="D71" s="72">
        <f t="shared" ref="D71:I71" si="74">+D69-D70</f>
        <v>3341.0136853301624</v>
      </c>
      <c r="E71" s="72">
        <f t="shared" si="74"/>
        <v>3596.7007704348407</v>
      </c>
      <c r="F71" s="72">
        <f t="shared" si="74"/>
        <v>3748.8463263524427</v>
      </c>
      <c r="G71" s="72">
        <f t="shared" si="74"/>
        <v>3841.7474056871733</v>
      </c>
      <c r="H71" s="72">
        <f t="shared" si="74"/>
        <v>4031.8943056363632</v>
      </c>
      <c r="I71" s="72">
        <f t="shared" si="74"/>
        <v>4253.6484924463621</v>
      </c>
      <c r="J71" s="72">
        <f>+J69-J70</f>
        <v>4466.3309170686807</v>
      </c>
      <c r="O71" t="s">
        <v>285</v>
      </c>
      <c r="P71" s="72">
        <f>+P69-P70</f>
        <v>3000</v>
      </c>
      <c r="Q71" s="72">
        <f t="shared" ref="Q71:V71" si="75">+Q69-Q70</f>
        <v>3341.0136853301624</v>
      </c>
      <c r="R71" s="72">
        <f t="shared" si="75"/>
        <v>3596.7007704348407</v>
      </c>
      <c r="S71" s="72">
        <f t="shared" si="75"/>
        <v>3748.8463263524427</v>
      </c>
      <c r="T71" s="72">
        <f t="shared" si="75"/>
        <v>3841.7474056871733</v>
      </c>
      <c r="U71" s="72">
        <f t="shared" si="75"/>
        <v>4031.8943056363632</v>
      </c>
      <c r="V71" s="72">
        <f t="shared" si="75"/>
        <v>4293.9674355027264</v>
      </c>
      <c r="W71" s="72">
        <f>+W69-W70</f>
        <v>4551.6054816328906</v>
      </c>
    </row>
    <row r="72" spans="2:23" x14ac:dyDescent="0.2">
      <c r="B72" t="s">
        <v>257</v>
      </c>
      <c r="C72" s="72">
        <f>+IF(C71&gt;0,C71*C27,0)</f>
        <v>600</v>
      </c>
      <c r="D72" s="72">
        <f t="shared" ref="D72:J72" si="76">+IF(D71&gt;0,D71*D27,0)</f>
        <v>668.20273706603257</v>
      </c>
      <c r="E72" s="72">
        <f t="shared" si="76"/>
        <v>719.34015408696814</v>
      </c>
      <c r="F72" s="72">
        <f t="shared" si="76"/>
        <v>749.76926527048863</v>
      </c>
      <c r="G72" s="72">
        <f t="shared" si="76"/>
        <v>768.34948113743474</v>
      </c>
      <c r="H72" s="72">
        <f t="shared" si="76"/>
        <v>806.37886112727267</v>
      </c>
      <c r="I72" s="72">
        <f t="shared" si="76"/>
        <v>850.72969848927244</v>
      </c>
      <c r="J72" s="72">
        <f t="shared" si="76"/>
        <v>893.26618341373614</v>
      </c>
      <c r="O72" t="s">
        <v>257</v>
      </c>
      <c r="P72" s="72">
        <f>+IF(P71&gt;0,P71*P27,0)</f>
        <v>600</v>
      </c>
      <c r="Q72" s="72">
        <f t="shared" ref="Q72:W72" si="77">+IF(Q71&gt;0,Q71*Q27,0)</f>
        <v>668.20273706603257</v>
      </c>
      <c r="R72" s="72">
        <f t="shared" si="77"/>
        <v>719.34015408696814</v>
      </c>
      <c r="S72" s="72">
        <f t="shared" si="77"/>
        <v>749.76926527048863</v>
      </c>
      <c r="T72" s="72">
        <f t="shared" si="77"/>
        <v>768.34948113743474</v>
      </c>
      <c r="U72" s="72">
        <f t="shared" si="77"/>
        <v>806.37886112727267</v>
      </c>
      <c r="V72" s="72">
        <f t="shared" si="77"/>
        <v>858.79348710054535</v>
      </c>
      <c r="W72" s="72">
        <f t="shared" si="77"/>
        <v>910.32109632657819</v>
      </c>
    </row>
    <row r="73" spans="2:23" x14ac:dyDescent="0.2">
      <c r="B73" t="s">
        <v>286</v>
      </c>
      <c r="C73" s="72">
        <f>+C71-C72</f>
        <v>2400</v>
      </c>
      <c r="D73" s="72">
        <f t="shared" ref="D73:J73" si="78">+D71-D72</f>
        <v>2672.8109482641298</v>
      </c>
      <c r="E73" s="72">
        <f t="shared" si="78"/>
        <v>2877.3606163478726</v>
      </c>
      <c r="F73" s="72">
        <f t="shared" si="78"/>
        <v>2999.0770610819541</v>
      </c>
      <c r="G73" s="72">
        <f t="shared" si="78"/>
        <v>3073.3979245497385</v>
      </c>
      <c r="H73" s="72">
        <f t="shared" si="78"/>
        <v>3225.5154445090907</v>
      </c>
      <c r="I73" s="72">
        <f t="shared" si="78"/>
        <v>3402.9187939570897</v>
      </c>
      <c r="J73" s="72">
        <f t="shared" si="78"/>
        <v>3573.0647336549446</v>
      </c>
      <c r="O73" t="s">
        <v>286</v>
      </c>
      <c r="P73" s="72">
        <f>+P71-P72</f>
        <v>2400</v>
      </c>
      <c r="Q73" s="72">
        <f t="shared" ref="Q73:W73" si="79">+Q71-Q72</f>
        <v>2672.8109482641298</v>
      </c>
      <c r="R73" s="72">
        <f t="shared" si="79"/>
        <v>2877.3606163478726</v>
      </c>
      <c r="S73" s="72">
        <f t="shared" si="79"/>
        <v>2999.0770610819541</v>
      </c>
      <c r="T73" s="72">
        <f t="shared" si="79"/>
        <v>3073.3979245497385</v>
      </c>
      <c r="U73" s="72">
        <f t="shared" si="79"/>
        <v>3225.5154445090907</v>
      </c>
      <c r="V73" s="72">
        <f t="shared" si="79"/>
        <v>3435.1739484021809</v>
      </c>
      <c r="W73" s="72">
        <f t="shared" si="79"/>
        <v>3641.2843853063123</v>
      </c>
    </row>
    <row r="75" spans="2:23" x14ac:dyDescent="0.2">
      <c r="B75" t="s">
        <v>287</v>
      </c>
      <c r="C75" s="72">
        <f>+C33*C55</f>
        <v>1800</v>
      </c>
      <c r="D75" s="72">
        <f t="shared" ref="D75:J75" si="80">+D33*D55</f>
        <v>1932.2002861754597</v>
      </c>
      <c r="E75" s="72">
        <f t="shared" si="80"/>
        <v>2013.3476261837341</v>
      </c>
      <c r="F75" s="72">
        <f t="shared" si="80"/>
        <v>2018.1980665529206</v>
      </c>
      <c r="G75" s="72">
        <f t="shared" si="80"/>
        <v>1999.9925046961685</v>
      </c>
      <c r="H75" s="72">
        <f t="shared" si="80"/>
        <v>2099.4050585982668</v>
      </c>
      <c r="I75" s="72">
        <f t="shared" si="80"/>
        <v>2276.8084080462663</v>
      </c>
      <c r="J75" s="72">
        <f t="shared" si="80"/>
        <v>2446.9543477441212</v>
      </c>
      <c r="O75" t="s">
        <v>287</v>
      </c>
      <c r="P75" s="72">
        <f>+P33*P55</f>
        <v>1800</v>
      </c>
      <c r="Q75" s="72">
        <f t="shared" ref="Q75:W75" si="81">+Q33*Q55</f>
        <v>1932.2002861754597</v>
      </c>
      <c r="R75" s="72">
        <f t="shared" si="81"/>
        <v>2013.3476261837338</v>
      </c>
      <c r="S75" s="72">
        <f t="shared" si="81"/>
        <v>2018.1980665529206</v>
      </c>
      <c r="T75" s="72">
        <f t="shared" si="81"/>
        <v>1999.992504696168</v>
      </c>
      <c r="U75" s="72">
        <f t="shared" si="81"/>
        <v>2099.4050585982664</v>
      </c>
      <c r="V75" s="72">
        <f t="shared" si="81"/>
        <v>2309.0635624913571</v>
      </c>
      <c r="W75" s="72">
        <f t="shared" si="81"/>
        <v>2515.1739993954884</v>
      </c>
    </row>
    <row r="76" spans="2:23" x14ac:dyDescent="0.2">
      <c r="B76" t="s">
        <v>253</v>
      </c>
      <c r="C76" s="72">
        <f>+C73-C75</f>
        <v>600</v>
      </c>
      <c r="D76" s="72">
        <f t="shared" ref="D76:I76" si="82">+D73-D75</f>
        <v>740.6106620886701</v>
      </c>
      <c r="E76" s="72">
        <f t="shared" si="82"/>
        <v>864.0129901641385</v>
      </c>
      <c r="F76" s="72">
        <f t="shared" si="82"/>
        <v>980.87899452903343</v>
      </c>
      <c r="G76" s="72">
        <f t="shared" si="82"/>
        <v>1073.40541985357</v>
      </c>
      <c r="H76" s="72">
        <f t="shared" si="82"/>
        <v>1126.1103859108239</v>
      </c>
      <c r="I76" s="72">
        <f t="shared" si="82"/>
        <v>1126.1103859108234</v>
      </c>
      <c r="J76" s="72">
        <f>+J73-J75</f>
        <v>1126.1103859108234</v>
      </c>
      <c r="O76" t="s">
        <v>253</v>
      </c>
      <c r="P76" s="72">
        <f>+P73-P75</f>
        <v>600</v>
      </c>
      <c r="Q76" s="72">
        <f t="shared" ref="Q76:V76" si="83">+Q73-Q75</f>
        <v>740.6106620886701</v>
      </c>
      <c r="R76" s="72">
        <f t="shared" si="83"/>
        <v>864.01299016413873</v>
      </c>
      <c r="S76" s="72">
        <f t="shared" si="83"/>
        <v>980.87899452903343</v>
      </c>
      <c r="T76" s="72">
        <f t="shared" si="83"/>
        <v>1073.4054198535705</v>
      </c>
      <c r="U76" s="72">
        <f t="shared" si="83"/>
        <v>1126.1103859108243</v>
      </c>
      <c r="V76" s="72">
        <f t="shared" si="83"/>
        <v>1126.1103859108239</v>
      </c>
      <c r="W76" s="72">
        <f>+W73-W75</f>
        <v>1126.1103859108239</v>
      </c>
    </row>
    <row r="77" spans="2:23" x14ac:dyDescent="0.2">
      <c r="B77" t="s">
        <v>255</v>
      </c>
      <c r="C77" s="72">
        <f t="shared" ref="C77:H77" si="84">+(C76+D77)/(1+C55)</f>
        <v>7816.9826161671144</v>
      </c>
      <c r="D77" s="72">
        <f t="shared" si="84"/>
        <v>8155.0205301071683</v>
      </c>
      <c r="E77" s="72">
        <f t="shared" si="84"/>
        <v>8412.2257307860618</v>
      </c>
      <c r="F77" s="72">
        <f t="shared" si="84"/>
        <v>8595.1188549202998</v>
      </c>
      <c r="G77" s="72">
        <f t="shared" si="84"/>
        <v>8703.9601924068938</v>
      </c>
      <c r="H77" s="72">
        <f t="shared" si="84"/>
        <v>8746.4884342588248</v>
      </c>
      <c r="I77" s="72">
        <f>+(I76+J77)/(1+I55)</f>
        <v>8746.488434258823</v>
      </c>
      <c r="J77" s="72">
        <f>+J56-J33</f>
        <v>8746.488434258823</v>
      </c>
      <c r="O77" t="s">
        <v>255</v>
      </c>
      <c r="P77" s="72">
        <f t="shared" ref="P77:U77" si="85">+(P76+Q77)/(1+P55)</f>
        <v>7816.9826161671208</v>
      </c>
      <c r="Q77" s="72">
        <f t="shared" si="85"/>
        <v>8155.0205301071765</v>
      </c>
      <c r="R77" s="72">
        <f t="shared" si="85"/>
        <v>8412.2257307860709</v>
      </c>
      <c r="S77" s="72">
        <f t="shared" si="85"/>
        <v>8595.1188549203089</v>
      </c>
      <c r="T77" s="72">
        <f t="shared" si="85"/>
        <v>8703.9601924069029</v>
      </c>
      <c r="U77" s="72">
        <f t="shared" si="85"/>
        <v>8746.4884342588339</v>
      </c>
      <c r="V77" s="72">
        <f>+(V76+W77)/(1+V55)</f>
        <v>8746.4884342588339</v>
      </c>
      <c r="W77" s="72">
        <f>+W56-W33</f>
        <v>8746.4884342588339</v>
      </c>
    </row>
    <row r="78" spans="2:23" x14ac:dyDescent="0.2">
      <c r="B78" t="s">
        <v>288</v>
      </c>
      <c r="C78" s="72">
        <f>+C33</f>
        <v>15000</v>
      </c>
      <c r="D78" s="72">
        <f t="shared" ref="D78:J78" si="86">+D33</f>
        <v>15791.624076145177</v>
      </c>
      <c r="E78" s="72">
        <f t="shared" si="86"/>
        <v>16177.892625405724</v>
      </c>
      <c r="F78" s="72">
        <f t="shared" si="86"/>
        <v>15918.444159619441</v>
      </c>
      <c r="G78" s="72">
        <f t="shared" si="86"/>
        <v>15599.363782415952</v>
      </c>
      <c r="H78" s="72">
        <f t="shared" si="86"/>
        <v>16306.058707559358</v>
      </c>
      <c r="I78" s="72">
        <f t="shared" si="86"/>
        <v>17683.948800359354</v>
      </c>
      <c r="J78" s="72">
        <f t="shared" si="86"/>
        <v>19005.470662090265</v>
      </c>
      <c r="O78" t="s">
        <v>288</v>
      </c>
      <c r="P78" s="72">
        <f>+P33</f>
        <v>15000</v>
      </c>
      <c r="Q78" s="72">
        <f t="shared" ref="Q78:W78" si="87">+Q33</f>
        <v>15791.624076145177</v>
      </c>
      <c r="R78" s="72">
        <f t="shared" si="87"/>
        <v>16177.892625405722</v>
      </c>
      <c r="S78" s="72">
        <f t="shared" si="87"/>
        <v>15918.444159619441</v>
      </c>
      <c r="T78" s="72">
        <f t="shared" si="87"/>
        <v>15599.363782415949</v>
      </c>
      <c r="U78" s="72">
        <f t="shared" si="87"/>
        <v>16306.058707559354</v>
      </c>
      <c r="V78" s="72">
        <f t="shared" si="87"/>
        <v>17934.474271777533</v>
      </c>
      <c r="W78" s="72">
        <f t="shared" si="87"/>
        <v>19535.332034139719</v>
      </c>
    </row>
    <row r="79" spans="2:23" x14ac:dyDescent="0.2">
      <c r="B79" t="s">
        <v>165</v>
      </c>
      <c r="C79" s="72">
        <f>+C78+C77</f>
        <v>22816.982616167115</v>
      </c>
      <c r="D79" s="72">
        <f t="shared" ref="D79:J79" si="88">+D78+D77</f>
        <v>23946.644606252346</v>
      </c>
      <c r="E79" s="72">
        <f t="shared" si="88"/>
        <v>24590.118356191786</v>
      </c>
      <c r="F79" s="72">
        <f t="shared" si="88"/>
        <v>24513.563014539741</v>
      </c>
      <c r="G79" s="72">
        <f t="shared" si="88"/>
        <v>24303.323974822844</v>
      </c>
      <c r="H79" s="72">
        <f t="shared" si="88"/>
        <v>25052.547141818184</v>
      </c>
      <c r="I79" s="72">
        <f t="shared" si="88"/>
        <v>26430.437234618177</v>
      </c>
      <c r="J79" s="72">
        <f t="shared" si="88"/>
        <v>27751.959096349088</v>
      </c>
      <c r="O79" t="s">
        <v>165</v>
      </c>
      <c r="P79" s="72">
        <f>+P78+P77</f>
        <v>22816.982616167123</v>
      </c>
      <c r="Q79" s="72">
        <f t="shared" ref="Q79:W79" si="89">+Q78+Q77</f>
        <v>23946.644606252354</v>
      </c>
      <c r="R79" s="72">
        <f t="shared" si="89"/>
        <v>24590.118356191793</v>
      </c>
      <c r="S79" s="72">
        <f t="shared" si="89"/>
        <v>24513.563014539752</v>
      </c>
      <c r="T79" s="72">
        <f t="shared" si="89"/>
        <v>24303.323974822852</v>
      </c>
      <c r="U79" s="72">
        <f t="shared" si="89"/>
        <v>25052.547141818188</v>
      </c>
      <c r="V79" s="72">
        <f t="shared" si="89"/>
        <v>26680.962706036367</v>
      </c>
      <c r="W79" s="72">
        <f t="shared" si="89"/>
        <v>28281.820468398553</v>
      </c>
    </row>
    <row r="80" spans="2:23" x14ac:dyDescent="0.2">
      <c r="B80" t="s">
        <v>120</v>
      </c>
      <c r="C80" s="72">
        <f>+C32</f>
        <v>0</v>
      </c>
      <c r="D80" s="72">
        <f t="shared" ref="D80:J80" si="90">+D32</f>
        <v>1128.3759238548225</v>
      </c>
      <c r="E80" s="72">
        <f t="shared" si="90"/>
        <v>2431.989727535451</v>
      </c>
      <c r="F80" s="72">
        <f t="shared" si="90"/>
        <v>4157.2709205944584</v>
      </c>
      <c r="G80" s="72">
        <f t="shared" si="90"/>
        <v>5700.7796977979497</v>
      </c>
      <c r="H80" s="72">
        <f t="shared" si="90"/>
        <v>6263.1367854545433</v>
      </c>
      <c r="I80" s="72">
        <f t="shared" si="90"/>
        <v>6607.6093086545443</v>
      </c>
      <c r="J80" s="72">
        <f t="shared" si="90"/>
        <v>6937.9897740872711</v>
      </c>
      <c r="O80" t="s">
        <v>120</v>
      </c>
      <c r="P80" s="72">
        <f>+P32</f>
        <v>0</v>
      </c>
      <c r="Q80" s="72">
        <f t="shared" ref="Q80:W80" si="91">+Q32</f>
        <v>1128.375923854823</v>
      </c>
      <c r="R80" s="72">
        <f t="shared" si="91"/>
        <v>2431.9897275354519</v>
      </c>
      <c r="S80" s="72">
        <f t="shared" si="91"/>
        <v>4157.2709205944602</v>
      </c>
      <c r="T80" s="72">
        <f t="shared" si="91"/>
        <v>5700.7796977979524</v>
      </c>
      <c r="U80" s="72">
        <f t="shared" si="91"/>
        <v>6263.136785454546</v>
      </c>
      <c r="V80" s="72">
        <f t="shared" si="91"/>
        <v>6670.2406765090918</v>
      </c>
      <c r="W80" s="72">
        <f t="shared" si="91"/>
        <v>7070.4551170996365</v>
      </c>
    </row>
    <row r="81" spans="2:23" x14ac:dyDescent="0.2">
      <c r="B81" t="s">
        <v>158</v>
      </c>
      <c r="C81" s="72">
        <f>+C79+C80</f>
        <v>22816.982616167115</v>
      </c>
      <c r="D81" s="72">
        <f t="shared" ref="D81:J81" si="92">+D79+D80</f>
        <v>25075.020530107169</v>
      </c>
      <c r="E81" s="72">
        <f t="shared" si="92"/>
        <v>27022.108083727238</v>
      </c>
      <c r="F81" s="72">
        <f t="shared" si="92"/>
        <v>28670.8339351342</v>
      </c>
      <c r="G81" s="72">
        <f t="shared" si="92"/>
        <v>30004.103672620793</v>
      </c>
      <c r="H81" s="72">
        <f t="shared" si="92"/>
        <v>31315.683927272727</v>
      </c>
      <c r="I81" s="72">
        <f t="shared" si="92"/>
        <v>33038.046543272721</v>
      </c>
      <c r="J81" s="72">
        <f t="shared" si="92"/>
        <v>34689.948870436361</v>
      </c>
      <c r="O81" t="s">
        <v>158</v>
      </c>
      <c r="P81" s="72">
        <f>+P79+P80</f>
        <v>22816.982616167123</v>
      </c>
      <c r="Q81" s="72">
        <f t="shared" ref="Q81:W81" si="93">+Q79+Q80</f>
        <v>25075.020530107176</v>
      </c>
      <c r="R81" s="72">
        <f t="shared" si="93"/>
        <v>27022.108083727246</v>
      </c>
      <c r="S81" s="72">
        <f t="shared" si="93"/>
        <v>28670.833935134211</v>
      </c>
      <c r="T81" s="72">
        <f t="shared" si="93"/>
        <v>30004.103672620804</v>
      </c>
      <c r="U81" s="72">
        <f t="shared" si="93"/>
        <v>31315.683927272734</v>
      </c>
      <c r="V81" s="72">
        <f t="shared" si="93"/>
        <v>33351.203382545456</v>
      </c>
      <c r="W81" s="72">
        <f t="shared" si="93"/>
        <v>35352.275585498188</v>
      </c>
    </row>
    <row r="82" spans="2:23" x14ac:dyDescent="0.2">
      <c r="B82" s="70" t="s">
        <v>281</v>
      </c>
      <c r="C82" s="71">
        <f>+C81-C66</f>
        <v>0</v>
      </c>
      <c r="D82" s="71">
        <f t="shared" ref="D82:J82" si="94">+D81-D66</f>
        <v>0</v>
      </c>
      <c r="E82" s="71">
        <f t="shared" si="94"/>
        <v>0</v>
      </c>
      <c r="F82" s="71">
        <f t="shared" si="94"/>
        <v>0</v>
      </c>
      <c r="G82" s="71">
        <f t="shared" si="94"/>
        <v>0</v>
      </c>
      <c r="H82" s="71">
        <f t="shared" si="94"/>
        <v>0</v>
      </c>
      <c r="I82" s="71">
        <f t="shared" si="94"/>
        <v>0</v>
      </c>
      <c r="J82" s="71">
        <f t="shared" si="94"/>
        <v>0</v>
      </c>
      <c r="O82" s="70" t="s">
        <v>281</v>
      </c>
      <c r="P82" s="71">
        <f>+P81-P66</f>
        <v>0</v>
      </c>
      <c r="Q82" s="71">
        <f t="shared" ref="Q82:W82" si="95">+Q81-Q66</f>
        <v>0</v>
      </c>
      <c r="R82" s="71">
        <f t="shared" si="95"/>
        <v>0</v>
      </c>
      <c r="S82" s="71">
        <f t="shared" si="95"/>
        <v>0</v>
      </c>
      <c r="T82" s="71">
        <f t="shared" si="95"/>
        <v>0</v>
      </c>
      <c r="U82" s="71">
        <f t="shared" si="95"/>
        <v>0</v>
      </c>
      <c r="V82" s="71">
        <f t="shared" si="95"/>
        <v>0</v>
      </c>
      <c r="W82" s="71">
        <f t="shared" si="95"/>
        <v>0</v>
      </c>
    </row>
    <row r="83" spans="2:23" x14ac:dyDescent="0.2">
      <c r="B83" s="70"/>
      <c r="C83" s="75"/>
      <c r="D83" s="75"/>
      <c r="E83" s="75"/>
      <c r="F83" s="75"/>
      <c r="G83" s="75"/>
      <c r="H83" s="75"/>
      <c r="I83" s="75"/>
      <c r="J83" s="7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99E7-7DE3-4EC3-B0FA-BF24DACFA009}">
  <sheetPr>
    <tabColor theme="4" tint="0.39997558519241921"/>
  </sheetPr>
  <dimension ref="A17:X83"/>
  <sheetViews>
    <sheetView topLeftCell="A10" workbookViewId="0">
      <selection activeCell="D28" sqref="D28"/>
    </sheetView>
  </sheetViews>
  <sheetFormatPr baseColWidth="10" defaultColWidth="8.83203125" defaultRowHeight="16" x14ac:dyDescent="0.2"/>
  <cols>
    <col min="2" max="2" width="17.33203125" bestFit="1" customWidth="1"/>
    <col min="3" max="7" width="12.6640625" bestFit="1" customWidth="1"/>
    <col min="8" max="8" width="12.83203125" bestFit="1" customWidth="1"/>
    <col min="9" max="10" width="12.6640625" bestFit="1" customWidth="1"/>
    <col min="11" max="11" width="11.1640625" bestFit="1" customWidth="1"/>
    <col min="16" max="17" width="11.6640625" bestFit="1" customWidth="1"/>
    <col min="18" max="23" width="14" bestFit="1" customWidth="1"/>
    <col min="24" max="24" width="12.6640625" bestFit="1" customWidth="1"/>
  </cols>
  <sheetData>
    <row r="17" spans="2:24" x14ac:dyDescent="0.2">
      <c r="O17" s="197" t="s">
        <v>289</v>
      </c>
      <c r="P17" s="197"/>
      <c r="Q17" s="197"/>
      <c r="R17" s="197"/>
      <c r="S17" s="197"/>
      <c r="T17" s="197"/>
      <c r="U17" s="197"/>
      <c r="V17" s="197"/>
      <c r="W17" s="197"/>
      <c r="X17" s="197"/>
    </row>
    <row r="18" spans="2:24" x14ac:dyDescent="0.2">
      <c r="B18" s="197" t="s">
        <v>290</v>
      </c>
      <c r="C18" s="197"/>
      <c r="D18" s="197"/>
      <c r="E18" s="197"/>
      <c r="F18" s="197"/>
      <c r="G18" s="197"/>
      <c r="H18" s="197"/>
      <c r="I18" s="197"/>
      <c r="J18" s="197"/>
      <c r="K18" s="197"/>
    </row>
    <row r="19" spans="2:24" x14ac:dyDescent="0.2">
      <c r="C19" s="50">
        <v>2024</v>
      </c>
      <c r="D19" s="1">
        <f>+C19+1</f>
        <v>2025</v>
      </c>
      <c r="E19" s="1">
        <f t="shared" ref="E19:H19" si="0">+D19+1</f>
        <v>2026</v>
      </c>
      <c r="F19" s="1">
        <f t="shared" si="0"/>
        <v>2027</v>
      </c>
      <c r="G19" s="1">
        <f t="shared" si="0"/>
        <v>2028</v>
      </c>
      <c r="H19" s="1">
        <f t="shared" si="0"/>
        <v>2029</v>
      </c>
      <c r="I19" s="1" t="s">
        <v>273</v>
      </c>
      <c r="J19" s="1" t="s">
        <v>274</v>
      </c>
      <c r="P19" s="50">
        <v>2024</v>
      </c>
      <c r="Q19" s="1">
        <f>+P19+1</f>
        <v>2025</v>
      </c>
      <c r="R19" s="1">
        <f t="shared" ref="R19:U19" si="1">+Q19+1</f>
        <v>2026</v>
      </c>
      <c r="S19" s="1">
        <f t="shared" si="1"/>
        <v>2027</v>
      </c>
      <c r="T19" s="1">
        <f t="shared" si="1"/>
        <v>2028</v>
      </c>
      <c r="U19" s="1">
        <f t="shared" si="1"/>
        <v>2029</v>
      </c>
      <c r="V19" s="1" t="s">
        <v>273</v>
      </c>
      <c r="W19" s="1" t="s">
        <v>274</v>
      </c>
    </row>
    <row r="20" spans="2:24" x14ac:dyDescent="0.2">
      <c r="B20" t="s">
        <v>90</v>
      </c>
      <c r="C20" s="44">
        <v>15000</v>
      </c>
      <c r="D20" s="68">
        <f>+C20+C37</f>
        <v>16920</v>
      </c>
      <c r="E20" s="68">
        <f t="shared" ref="E20:K20" si="2">+D20+D37</f>
        <v>18609.882352941175</v>
      </c>
      <c r="F20" s="68">
        <f t="shared" si="2"/>
        <v>20075.7150802139</v>
      </c>
      <c r="G20" s="68">
        <f t="shared" si="2"/>
        <v>21300.143480213901</v>
      </c>
      <c r="H20" s="68">
        <f t="shared" si="2"/>
        <v>22569.1954930139</v>
      </c>
      <c r="I20" s="68">
        <f t="shared" si="2"/>
        <v>24242.757834893899</v>
      </c>
      <c r="J20" s="68">
        <f t="shared" si="2"/>
        <v>25847.8562627879</v>
      </c>
      <c r="K20" s="68">
        <f t="shared" si="2"/>
        <v>27533.2096120766</v>
      </c>
      <c r="O20" t="s">
        <v>90</v>
      </c>
      <c r="P20" s="44">
        <v>15000</v>
      </c>
      <c r="Q20" s="68">
        <f>+P20+P37</f>
        <v>16920</v>
      </c>
      <c r="R20" s="68">
        <f t="shared" ref="R20:X20" si="3">+Q20+Q37</f>
        <v>18609.882352941175</v>
      </c>
      <c r="S20" s="68">
        <f t="shared" si="3"/>
        <v>20075.7150802139</v>
      </c>
      <c r="T20" s="68">
        <f t="shared" si="3"/>
        <v>21300.143480213901</v>
      </c>
      <c r="U20" s="68">
        <f t="shared" si="3"/>
        <v>22569.1954930139</v>
      </c>
      <c r="V20" s="68">
        <f t="shared" si="3"/>
        <v>24291.558109013899</v>
      </c>
      <c r="W20" s="68">
        <f t="shared" si="3"/>
        <v>25943.460436177535</v>
      </c>
      <c r="X20" s="68">
        <f t="shared" si="3"/>
        <v>27677.957879699352</v>
      </c>
    </row>
    <row r="21" spans="2:24" x14ac:dyDescent="0.2">
      <c r="B21" t="s">
        <v>93</v>
      </c>
      <c r="C21" s="46">
        <v>0.16</v>
      </c>
      <c r="D21" s="2"/>
      <c r="E21" s="2"/>
      <c r="F21" s="2"/>
      <c r="G21" s="2"/>
      <c r="H21" s="2"/>
      <c r="O21" t="s">
        <v>93</v>
      </c>
      <c r="P21" s="46">
        <v>0.16</v>
      </c>
      <c r="Q21" s="2"/>
      <c r="R21" s="2"/>
      <c r="S21" s="2"/>
      <c r="T21" s="2"/>
      <c r="U21" s="2"/>
    </row>
    <row r="22" spans="2:24" x14ac:dyDescent="0.2">
      <c r="B22" t="s">
        <v>94</v>
      </c>
      <c r="C22" s="2"/>
      <c r="D22" s="46">
        <v>0.17499999999999999</v>
      </c>
      <c r="E22" s="46">
        <v>0.17</v>
      </c>
      <c r="F22" s="46">
        <v>0.16500000000000001</v>
      </c>
      <c r="G22" s="46">
        <v>0.16</v>
      </c>
      <c r="H22" s="46">
        <v>0.15</v>
      </c>
      <c r="I22" s="76">
        <v>0.12</v>
      </c>
      <c r="J22" s="76">
        <v>0.12</v>
      </c>
      <c r="K22" s="76">
        <v>0.12</v>
      </c>
      <c r="O22" t="s">
        <v>94</v>
      </c>
      <c r="P22" s="2"/>
      <c r="Q22" s="46">
        <v>0.17499999999999999</v>
      </c>
      <c r="R22" s="46">
        <v>0.17</v>
      </c>
      <c r="S22" s="46">
        <v>0.16500000000000001</v>
      </c>
      <c r="T22" s="46">
        <v>0.16</v>
      </c>
      <c r="U22" s="46">
        <v>0.15</v>
      </c>
      <c r="V22" s="4">
        <f>+V28</f>
        <v>0.1166</v>
      </c>
      <c r="W22" s="4">
        <f t="shared" ref="W22:X22" si="4">+W28</f>
        <v>0.1166</v>
      </c>
      <c r="X22" s="4">
        <f t="shared" si="4"/>
        <v>0.1166</v>
      </c>
    </row>
    <row r="23" spans="2:24" x14ac:dyDescent="0.2">
      <c r="B23" t="s">
        <v>92</v>
      </c>
      <c r="C23" s="2"/>
      <c r="D23" s="46">
        <v>0.14000000000000001</v>
      </c>
      <c r="E23" s="46">
        <v>0.105</v>
      </c>
      <c r="F23" s="46">
        <v>0.08</v>
      </c>
      <c r="G23" s="46">
        <v>0.06</v>
      </c>
      <c r="H23" s="46">
        <v>5.5E-2</v>
      </c>
      <c r="I23" s="46">
        <v>5.5E-2</v>
      </c>
      <c r="J23" s="46">
        <v>0.05</v>
      </c>
      <c r="K23" s="46">
        <v>0.05</v>
      </c>
      <c r="O23" t="s">
        <v>92</v>
      </c>
      <c r="P23" s="2"/>
      <c r="Q23" s="46">
        <v>0.14000000000000001</v>
      </c>
      <c r="R23" s="46">
        <v>0.105</v>
      </c>
      <c r="S23" s="46">
        <v>0.08</v>
      </c>
      <c r="T23" s="46">
        <v>0.06</v>
      </c>
      <c r="U23" s="46">
        <v>5.5E-2</v>
      </c>
      <c r="V23" s="46">
        <v>5.5E-2</v>
      </c>
      <c r="W23" s="46">
        <v>0.05</v>
      </c>
      <c r="X23" s="46">
        <v>0.05</v>
      </c>
    </row>
    <row r="24" spans="2:24" x14ac:dyDescent="0.2">
      <c r="B24" t="s">
        <v>275</v>
      </c>
      <c r="C24" s="46">
        <v>0</v>
      </c>
      <c r="D24" s="46">
        <v>4.4999999999999998E-2</v>
      </c>
      <c r="E24" s="46">
        <v>0.09</v>
      </c>
      <c r="F24" s="46">
        <v>0.14499999999999999</v>
      </c>
      <c r="G24" s="46">
        <v>0.19</v>
      </c>
      <c r="H24" s="46">
        <v>0.2</v>
      </c>
      <c r="I24" s="46">
        <v>0.2</v>
      </c>
      <c r="J24" s="46">
        <v>0.2</v>
      </c>
      <c r="K24" s="46">
        <v>0.2</v>
      </c>
      <c r="O24" t="s">
        <v>275</v>
      </c>
      <c r="P24" s="46">
        <v>0</v>
      </c>
      <c r="Q24" s="46">
        <v>4.4999999999999998E-2</v>
      </c>
      <c r="R24" s="46">
        <v>0.09</v>
      </c>
      <c r="S24" s="46">
        <v>0.14499999999999999</v>
      </c>
      <c r="T24" s="46">
        <v>0.19</v>
      </c>
      <c r="U24" s="46">
        <v>0.2</v>
      </c>
      <c r="V24" s="46">
        <v>0.2</v>
      </c>
      <c r="W24" s="46">
        <v>0.2</v>
      </c>
      <c r="X24" s="46">
        <v>0.2</v>
      </c>
    </row>
    <row r="25" spans="2:24" x14ac:dyDescent="0.2">
      <c r="B25" t="s">
        <v>57</v>
      </c>
      <c r="C25" s="3"/>
      <c r="D25" s="47">
        <v>7.0000000000000007E-2</v>
      </c>
      <c r="E25" s="47">
        <v>7.4999999999999997E-2</v>
      </c>
      <c r="F25" s="47">
        <v>0.08</v>
      </c>
      <c r="G25" s="47">
        <v>8.5000000000000006E-2</v>
      </c>
      <c r="H25" s="47">
        <v>8.5000000000000006E-2</v>
      </c>
      <c r="I25" s="47">
        <v>8.5000000000000006E-2</v>
      </c>
      <c r="J25" s="47">
        <v>8.5000000000000006E-2</v>
      </c>
      <c r="K25" s="47">
        <v>8.5000000000000006E-2</v>
      </c>
      <c r="O25" t="s">
        <v>57</v>
      </c>
      <c r="P25" s="3"/>
      <c r="Q25" s="47">
        <v>7.0000000000000007E-2</v>
      </c>
      <c r="R25" s="47">
        <v>7.4999999999999997E-2</v>
      </c>
      <c r="S25" s="47">
        <v>0.08</v>
      </c>
      <c r="T25" s="47">
        <v>8.5000000000000006E-2</v>
      </c>
      <c r="U25" s="47">
        <v>8.5000000000000006E-2</v>
      </c>
      <c r="V25" s="47">
        <v>8.5000000000000006E-2</v>
      </c>
      <c r="W25" s="47">
        <v>8.5000000000000006E-2</v>
      </c>
      <c r="X25" s="47">
        <v>8.5000000000000006E-2</v>
      </c>
    </row>
    <row r="26" spans="2:24" x14ac:dyDescent="0.2">
      <c r="B26" t="s">
        <v>112</v>
      </c>
      <c r="C26" s="47">
        <v>0.12</v>
      </c>
      <c r="D26" s="47">
        <v>0.12</v>
      </c>
      <c r="E26" s="47">
        <v>0.12</v>
      </c>
      <c r="F26" s="47">
        <v>0.12</v>
      </c>
      <c r="G26" s="47">
        <v>0.12</v>
      </c>
      <c r="H26" s="47">
        <v>0.12</v>
      </c>
      <c r="I26" s="47">
        <v>0.12</v>
      </c>
      <c r="J26" s="47">
        <v>0.12</v>
      </c>
      <c r="K26" s="47">
        <v>0.12</v>
      </c>
      <c r="O26" t="s">
        <v>112</v>
      </c>
      <c r="P26" s="47">
        <v>0.12</v>
      </c>
      <c r="Q26" s="47">
        <v>0.12</v>
      </c>
      <c r="R26" s="47">
        <v>0.12</v>
      </c>
      <c r="S26" s="47">
        <v>0.12</v>
      </c>
      <c r="T26" s="47">
        <v>0.12</v>
      </c>
      <c r="U26" s="47">
        <v>0.12</v>
      </c>
      <c r="V26" s="47">
        <v>0.12</v>
      </c>
      <c r="W26" s="47">
        <v>0.12</v>
      </c>
      <c r="X26" s="47">
        <v>0.12</v>
      </c>
    </row>
    <row r="27" spans="2:24" x14ac:dyDescent="0.2">
      <c r="B27" t="s">
        <v>58</v>
      </c>
      <c r="C27" s="47">
        <v>0.2</v>
      </c>
      <c r="D27" s="47">
        <v>0.2</v>
      </c>
      <c r="E27" s="47">
        <v>0.2</v>
      </c>
      <c r="F27" s="47">
        <v>0.2</v>
      </c>
      <c r="G27" s="47">
        <v>0.2</v>
      </c>
      <c r="H27" s="47">
        <v>0.2</v>
      </c>
      <c r="I27" s="47">
        <v>0.2</v>
      </c>
      <c r="J27" s="47">
        <v>0.2</v>
      </c>
      <c r="K27" s="47">
        <v>0.2</v>
      </c>
      <c r="O27" t="s">
        <v>58</v>
      </c>
      <c r="P27" s="47">
        <v>0.2</v>
      </c>
      <c r="Q27" s="47">
        <v>0.2</v>
      </c>
      <c r="R27" s="47">
        <v>0.2</v>
      </c>
      <c r="S27" s="47">
        <v>0.2</v>
      </c>
      <c r="T27" s="47">
        <v>0.2</v>
      </c>
      <c r="U27" s="47">
        <v>0.2</v>
      </c>
      <c r="V27" s="47">
        <v>0.2</v>
      </c>
      <c r="W27" s="47">
        <v>0.2</v>
      </c>
      <c r="X27" s="47">
        <v>0.2</v>
      </c>
    </row>
    <row r="28" spans="2:24" x14ac:dyDescent="0.2">
      <c r="B28" t="s">
        <v>229</v>
      </c>
      <c r="C28" s="4">
        <f>+C26-C24*C25*C27</f>
        <v>0.12</v>
      </c>
      <c r="D28" s="4">
        <f t="shared" ref="D28:K28" si="5">+D26-D24*D25*D27</f>
        <v>0.11936999999999999</v>
      </c>
      <c r="E28" s="4">
        <f t="shared" si="5"/>
        <v>0.11864999999999999</v>
      </c>
      <c r="F28" s="4">
        <f t="shared" si="5"/>
        <v>0.11767999999999999</v>
      </c>
      <c r="G28" s="4">
        <f t="shared" si="5"/>
        <v>0.11677</v>
      </c>
      <c r="H28" s="4">
        <f t="shared" si="5"/>
        <v>0.1166</v>
      </c>
      <c r="I28" s="4">
        <f t="shared" si="5"/>
        <v>0.1166</v>
      </c>
      <c r="J28" s="4">
        <f t="shared" si="5"/>
        <v>0.1166</v>
      </c>
      <c r="K28" s="4">
        <f t="shared" si="5"/>
        <v>0.1166</v>
      </c>
      <c r="O28" t="s">
        <v>229</v>
      </c>
      <c r="P28" s="4">
        <f>+P26-P24*P25*P27</f>
        <v>0.12</v>
      </c>
      <c r="Q28" s="4">
        <f t="shared" ref="Q28:X28" si="6">+Q26-Q24*Q25*Q27</f>
        <v>0.11936999999999999</v>
      </c>
      <c r="R28" s="4">
        <f t="shared" si="6"/>
        <v>0.11864999999999999</v>
      </c>
      <c r="S28" s="4">
        <f t="shared" si="6"/>
        <v>0.11767999999999999</v>
      </c>
      <c r="T28" s="4">
        <f t="shared" si="6"/>
        <v>0.11677</v>
      </c>
      <c r="U28" s="4">
        <f t="shared" si="6"/>
        <v>0.1166</v>
      </c>
      <c r="V28" s="4">
        <f t="shared" si="6"/>
        <v>0.1166</v>
      </c>
      <c r="W28" s="4">
        <f t="shared" si="6"/>
        <v>0.1166</v>
      </c>
      <c r="X28" s="4">
        <f t="shared" si="6"/>
        <v>0.1166</v>
      </c>
    </row>
    <row r="29" spans="2:24" x14ac:dyDescent="0.2">
      <c r="B29" t="s">
        <v>276</v>
      </c>
      <c r="C29" s="2">
        <f>+D23/D22</f>
        <v>0.80000000000000016</v>
      </c>
      <c r="D29" s="2">
        <f t="shared" ref="D29:J29" si="7">+E23/E22</f>
        <v>0.61764705882352933</v>
      </c>
      <c r="E29" s="2">
        <f t="shared" si="7"/>
        <v>0.48484848484848486</v>
      </c>
      <c r="F29" s="2">
        <f t="shared" si="7"/>
        <v>0.375</v>
      </c>
      <c r="G29" s="2">
        <f t="shared" si="7"/>
        <v>0.3666666666666667</v>
      </c>
      <c r="H29" s="2">
        <f t="shared" si="7"/>
        <v>0.45833333333333337</v>
      </c>
      <c r="I29" s="2">
        <f t="shared" si="7"/>
        <v>0.41666666666666669</v>
      </c>
      <c r="J29" s="2">
        <f t="shared" si="7"/>
        <v>0.41666666666666669</v>
      </c>
      <c r="O29" t="s">
        <v>276</v>
      </c>
      <c r="P29" s="2">
        <f>+Q23/Q22</f>
        <v>0.80000000000000016</v>
      </c>
      <c r="Q29" s="2">
        <f t="shared" ref="Q29:W29" si="8">+R23/R22</f>
        <v>0.61764705882352933</v>
      </c>
      <c r="R29" s="2">
        <f t="shared" si="8"/>
        <v>0.48484848484848486</v>
      </c>
      <c r="S29" s="2">
        <f t="shared" si="8"/>
        <v>0.375</v>
      </c>
      <c r="T29" s="2">
        <f t="shared" si="8"/>
        <v>0.3666666666666667</v>
      </c>
      <c r="U29" s="2">
        <f t="shared" si="8"/>
        <v>0.47169811320754718</v>
      </c>
      <c r="V29" s="2">
        <f t="shared" si="8"/>
        <v>0.42881646655231564</v>
      </c>
      <c r="W29" s="2">
        <f t="shared" si="8"/>
        <v>0.42881646655231564</v>
      </c>
    </row>
    <row r="30" spans="2:24" x14ac:dyDescent="0.2">
      <c r="C30" s="2"/>
      <c r="D30" s="2"/>
      <c r="E30" s="2"/>
      <c r="F30" s="2"/>
      <c r="G30" s="2"/>
      <c r="H30" s="2"/>
      <c r="I30" s="2"/>
      <c r="P30" s="2"/>
      <c r="Q30" s="2"/>
      <c r="R30" s="2"/>
      <c r="S30" s="2"/>
      <c r="T30" s="2"/>
      <c r="U30" s="2"/>
      <c r="V30" s="2"/>
    </row>
    <row r="31" spans="2:24" x14ac:dyDescent="0.2">
      <c r="B31" t="s">
        <v>90</v>
      </c>
      <c r="C31" s="34">
        <f>+C20</f>
        <v>15000</v>
      </c>
      <c r="D31" s="34">
        <f>+D20</f>
        <v>16920</v>
      </c>
      <c r="E31" s="34">
        <f t="shared" ref="E31:J31" si="9">+E20</f>
        <v>18609.882352941175</v>
      </c>
      <c r="F31" s="34">
        <f t="shared" si="9"/>
        <v>20075.7150802139</v>
      </c>
      <c r="G31" s="34">
        <f t="shared" si="9"/>
        <v>21300.143480213901</v>
      </c>
      <c r="H31" s="34">
        <f t="shared" si="9"/>
        <v>22569.1954930139</v>
      </c>
      <c r="I31" s="34">
        <f t="shared" si="9"/>
        <v>24242.757834893899</v>
      </c>
      <c r="J31" s="34">
        <f t="shared" si="9"/>
        <v>25847.8562627879</v>
      </c>
      <c r="O31" t="s">
        <v>90</v>
      </c>
      <c r="P31" s="34">
        <f>+P20</f>
        <v>15000</v>
      </c>
      <c r="Q31" s="34">
        <f t="shared" ref="Q31:W31" si="10">+Q20</f>
        <v>16920</v>
      </c>
      <c r="R31" s="34">
        <f t="shared" si="10"/>
        <v>18609.882352941175</v>
      </c>
      <c r="S31" s="34">
        <f t="shared" si="10"/>
        <v>20075.7150802139</v>
      </c>
      <c r="T31" s="34">
        <f t="shared" si="10"/>
        <v>21300.143480213901</v>
      </c>
      <c r="U31" s="34">
        <f t="shared" si="10"/>
        <v>22569.1954930139</v>
      </c>
      <c r="V31" s="34">
        <f t="shared" si="10"/>
        <v>24291.558109013899</v>
      </c>
      <c r="W31" s="34">
        <f t="shared" si="10"/>
        <v>25943.460436177535</v>
      </c>
    </row>
    <row r="32" spans="2:24" x14ac:dyDescent="0.2">
      <c r="B32" t="s">
        <v>277</v>
      </c>
      <c r="C32" s="34">
        <f>+C24*C47</f>
        <v>0</v>
      </c>
      <c r="D32" s="34">
        <f t="shared" ref="D32:J32" si="11">+D24*D47</f>
        <v>1147.7548773310316</v>
      </c>
      <c r="E32" s="34">
        <f t="shared" si="11"/>
        <v>2475.3741658407794</v>
      </c>
      <c r="F32" s="34">
        <f t="shared" si="11"/>
        <v>4235.4613681165365</v>
      </c>
      <c r="G32" s="34">
        <f t="shared" si="11"/>
        <v>5815.2932211319539</v>
      </c>
      <c r="H32" s="34">
        <f t="shared" si="11"/>
        <v>6397.7528564584563</v>
      </c>
      <c r="I32" s="34">
        <f t="shared" si="11"/>
        <v>6748.1615587135129</v>
      </c>
      <c r="J32" s="34">
        <f t="shared" si="11"/>
        <v>7085.5696366491875</v>
      </c>
      <c r="O32" t="s">
        <v>277</v>
      </c>
      <c r="P32" s="34">
        <f>+P24*P47</f>
        <v>0</v>
      </c>
      <c r="Q32" s="34">
        <f t="shared" ref="Q32:W32" si="12">+Q24*Q47</f>
        <v>1128.3759238548225</v>
      </c>
      <c r="R32" s="34">
        <f t="shared" si="12"/>
        <v>2431.989727535451</v>
      </c>
      <c r="S32" s="34">
        <f t="shared" si="12"/>
        <v>4157.2709205944584</v>
      </c>
      <c r="T32" s="34">
        <f t="shared" si="12"/>
        <v>5700.7796977979497</v>
      </c>
      <c r="U32" s="34">
        <f t="shared" si="12"/>
        <v>6263.1367854545433</v>
      </c>
      <c r="V32" s="34">
        <f t="shared" si="12"/>
        <v>6607.6093086545443</v>
      </c>
      <c r="W32" s="34">
        <f t="shared" si="12"/>
        <v>6937.9897740872711</v>
      </c>
    </row>
    <row r="33" spans="1:23" x14ac:dyDescent="0.2">
      <c r="B33" t="s">
        <v>123</v>
      </c>
      <c r="C33" s="34">
        <f>+C31-C32</f>
        <v>15000</v>
      </c>
      <c r="D33" s="34">
        <f t="shared" ref="D33:J33" si="13">+D31-D32</f>
        <v>15772.245122668968</v>
      </c>
      <c r="E33" s="34">
        <f t="shared" si="13"/>
        <v>16134.508187100395</v>
      </c>
      <c r="F33" s="34">
        <f t="shared" si="13"/>
        <v>15840.253712097365</v>
      </c>
      <c r="G33" s="34">
        <f t="shared" si="13"/>
        <v>15484.850259081948</v>
      </c>
      <c r="H33" s="34">
        <f t="shared" si="13"/>
        <v>16171.442636555443</v>
      </c>
      <c r="I33" s="34">
        <f t="shared" si="13"/>
        <v>17494.596276180386</v>
      </c>
      <c r="J33" s="34">
        <f t="shared" si="13"/>
        <v>18762.286626138713</v>
      </c>
      <c r="O33" t="s">
        <v>123</v>
      </c>
      <c r="P33" s="34">
        <f>+P31-P32</f>
        <v>15000</v>
      </c>
      <c r="Q33" s="34">
        <f t="shared" ref="Q33:W33" si="14">+Q31-Q32</f>
        <v>15791.624076145177</v>
      </c>
      <c r="R33" s="34">
        <f t="shared" si="14"/>
        <v>16177.892625405724</v>
      </c>
      <c r="S33" s="34">
        <f t="shared" si="14"/>
        <v>15918.444159619441</v>
      </c>
      <c r="T33" s="34">
        <f t="shared" si="14"/>
        <v>15599.363782415952</v>
      </c>
      <c r="U33" s="34">
        <f t="shared" si="14"/>
        <v>16306.058707559358</v>
      </c>
      <c r="V33" s="34">
        <f t="shared" si="14"/>
        <v>17683.948800359354</v>
      </c>
      <c r="W33" s="34">
        <f t="shared" si="14"/>
        <v>19005.470662090265</v>
      </c>
    </row>
    <row r="36" spans="1:23" x14ac:dyDescent="0.2">
      <c r="B36" t="s">
        <v>81</v>
      </c>
      <c r="C36" s="34">
        <f>+C20*C21</f>
        <v>2400</v>
      </c>
      <c r="D36" s="34">
        <f>+C36+C37*D22</f>
        <v>2736</v>
      </c>
      <c r="E36" s="34">
        <f t="shared" ref="E36:H36" si="15">+D36+D37*E22</f>
        <v>3023.2799999999997</v>
      </c>
      <c r="F36" s="34">
        <f t="shared" si="15"/>
        <v>3265.1423999999997</v>
      </c>
      <c r="G36" s="34">
        <f t="shared" si="15"/>
        <v>3461.0509439999996</v>
      </c>
      <c r="H36" s="34">
        <f t="shared" si="15"/>
        <v>3651.4087459199995</v>
      </c>
      <c r="I36" s="34">
        <f>+H36+H37*I22</f>
        <v>3852.2362269455994</v>
      </c>
      <c r="J36" s="34">
        <f>+I36+I37*J22</f>
        <v>4044.8480382928792</v>
      </c>
      <c r="O36" t="s">
        <v>81</v>
      </c>
      <c r="P36" s="34">
        <f>+P20*P21</f>
        <v>2400</v>
      </c>
      <c r="Q36" s="34">
        <f>+P36+P37*Q22</f>
        <v>2736</v>
      </c>
      <c r="R36" s="34">
        <f t="shared" ref="R36:W36" si="16">+Q36+Q37*R22</f>
        <v>3023.2799999999997</v>
      </c>
      <c r="S36" s="34">
        <f t="shared" si="16"/>
        <v>3265.1423999999997</v>
      </c>
      <c r="T36" s="34">
        <f t="shared" si="16"/>
        <v>3461.0509439999996</v>
      </c>
      <c r="U36" s="34">
        <f t="shared" si="16"/>
        <v>3651.4087459199995</v>
      </c>
      <c r="V36" s="34">
        <f t="shared" si="16"/>
        <v>3852.2362269455994</v>
      </c>
      <c r="W36" s="34">
        <f t="shared" si="16"/>
        <v>4044.8480382928792</v>
      </c>
    </row>
    <row r="37" spans="1:23" x14ac:dyDescent="0.2">
      <c r="A37" t="s">
        <v>278</v>
      </c>
      <c r="B37" t="s">
        <v>91</v>
      </c>
      <c r="C37" s="34">
        <f>+C36*C29</f>
        <v>1920.0000000000005</v>
      </c>
      <c r="D37" s="34">
        <f>+D36*D29</f>
        <v>1689.8823529411764</v>
      </c>
      <c r="E37" s="34">
        <f t="shared" ref="E37:J37" si="17">+E36*E29</f>
        <v>1465.8327272727272</v>
      </c>
      <c r="F37" s="34">
        <f t="shared" si="17"/>
        <v>1224.4283999999998</v>
      </c>
      <c r="G37" s="34">
        <f t="shared" si="17"/>
        <v>1269.0520128000001</v>
      </c>
      <c r="H37" s="34">
        <f t="shared" si="17"/>
        <v>1673.5623418799998</v>
      </c>
      <c r="I37" s="34">
        <f t="shared" si="17"/>
        <v>1605.0984278939998</v>
      </c>
      <c r="J37" s="34">
        <f t="shared" si="17"/>
        <v>1685.3533492886997</v>
      </c>
      <c r="O37" t="s">
        <v>91</v>
      </c>
      <c r="P37" s="34">
        <f>+P36*P29</f>
        <v>1920.0000000000005</v>
      </c>
      <c r="Q37" s="34">
        <f>+Q36*Q29</f>
        <v>1689.8823529411764</v>
      </c>
      <c r="R37" s="34">
        <f t="shared" ref="R37:W37" si="18">+R36*R29</f>
        <v>1465.8327272727272</v>
      </c>
      <c r="S37" s="34">
        <f t="shared" si="18"/>
        <v>1224.4283999999998</v>
      </c>
      <c r="T37" s="34">
        <f t="shared" si="18"/>
        <v>1269.0520128000001</v>
      </c>
      <c r="U37" s="34">
        <f t="shared" si="18"/>
        <v>1722.3626159999999</v>
      </c>
      <c r="V37" s="34">
        <f t="shared" si="18"/>
        <v>1651.9023271636363</v>
      </c>
      <c r="W37" s="34">
        <f t="shared" si="18"/>
        <v>1734.497443521818</v>
      </c>
    </row>
    <row r="38" spans="1:23" x14ac:dyDescent="0.2">
      <c r="B38" t="s">
        <v>75</v>
      </c>
      <c r="C38" s="34">
        <f>+C36-C37</f>
        <v>479.99999999999955</v>
      </c>
      <c r="D38" s="34">
        <f t="shared" ref="D38:J38" si="19">+D36-D37</f>
        <v>1046.1176470588236</v>
      </c>
      <c r="E38" s="34">
        <f t="shared" si="19"/>
        <v>1557.4472727272725</v>
      </c>
      <c r="F38" s="34">
        <f t="shared" si="19"/>
        <v>2040.7139999999999</v>
      </c>
      <c r="G38" s="34">
        <f t="shared" si="19"/>
        <v>2191.9989311999998</v>
      </c>
      <c r="H38" s="34">
        <f t="shared" si="19"/>
        <v>1977.8464040399997</v>
      </c>
      <c r="I38" s="34">
        <f t="shared" si="19"/>
        <v>2247.1377990515994</v>
      </c>
      <c r="J38" s="34">
        <f t="shared" si="19"/>
        <v>2359.4946890041792</v>
      </c>
      <c r="O38" t="s">
        <v>75</v>
      </c>
      <c r="P38" s="34">
        <f>+P36-P37</f>
        <v>479.99999999999955</v>
      </c>
      <c r="Q38" s="34">
        <f t="shared" ref="Q38:W38" si="20">+Q36-Q37</f>
        <v>1046.1176470588236</v>
      </c>
      <c r="R38" s="34">
        <f t="shared" si="20"/>
        <v>1557.4472727272725</v>
      </c>
      <c r="S38" s="34">
        <f t="shared" si="20"/>
        <v>2040.7139999999999</v>
      </c>
      <c r="T38" s="34">
        <f t="shared" si="20"/>
        <v>2191.9989311999998</v>
      </c>
      <c r="U38" s="34">
        <f t="shared" si="20"/>
        <v>1929.0461299199997</v>
      </c>
      <c r="V38" s="34">
        <f t="shared" si="20"/>
        <v>2200.3338997819628</v>
      </c>
      <c r="W38" s="34">
        <f t="shared" si="20"/>
        <v>2310.350594771061</v>
      </c>
    </row>
    <row r="39" spans="1:23" x14ac:dyDescent="0.2">
      <c r="B39" t="s">
        <v>32</v>
      </c>
      <c r="C39" s="34">
        <f>+C25*C32</f>
        <v>0</v>
      </c>
      <c r="D39" s="34">
        <f t="shared" ref="D39:J39" si="21">+D25*D32</f>
        <v>80.342841413172223</v>
      </c>
      <c r="E39" s="34">
        <f t="shared" si="21"/>
        <v>185.65306243805844</v>
      </c>
      <c r="F39" s="34">
        <f t="shared" si="21"/>
        <v>338.83690944932295</v>
      </c>
      <c r="G39" s="34">
        <f t="shared" si="21"/>
        <v>494.29992379621615</v>
      </c>
      <c r="H39" s="34">
        <f t="shared" si="21"/>
        <v>543.8089927989688</v>
      </c>
      <c r="I39" s="34">
        <f t="shared" si="21"/>
        <v>573.59373249064868</v>
      </c>
      <c r="J39" s="34">
        <f t="shared" si="21"/>
        <v>602.27341911518101</v>
      </c>
      <c r="O39" t="s">
        <v>32</v>
      </c>
      <c r="P39" s="34">
        <f>+P25*P32</f>
        <v>0</v>
      </c>
      <c r="Q39" s="34">
        <f t="shared" ref="Q39:W39" si="22">+Q25*Q32</f>
        <v>78.986314669837583</v>
      </c>
      <c r="R39" s="34">
        <f t="shared" si="22"/>
        <v>182.39922956515883</v>
      </c>
      <c r="S39" s="34">
        <f t="shared" si="22"/>
        <v>332.58167364755667</v>
      </c>
      <c r="T39" s="34">
        <f t="shared" si="22"/>
        <v>484.56627431282578</v>
      </c>
      <c r="U39" s="34">
        <f t="shared" si="22"/>
        <v>532.36662676363619</v>
      </c>
      <c r="V39" s="34">
        <f t="shared" si="22"/>
        <v>561.64679123563633</v>
      </c>
      <c r="W39" s="34">
        <f t="shared" si="22"/>
        <v>589.72913079741807</v>
      </c>
    </row>
    <row r="40" spans="1:23" x14ac:dyDescent="0.2">
      <c r="B40" t="s">
        <v>88</v>
      </c>
      <c r="C40" s="34">
        <f>+C39*C27</f>
        <v>0</v>
      </c>
      <c r="D40" s="34">
        <f t="shared" ref="D40:J40" si="23">+D39*D27</f>
        <v>16.068568282634445</v>
      </c>
      <c r="E40" s="34">
        <f t="shared" si="23"/>
        <v>37.130612487611693</v>
      </c>
      <c r="F40" s="34">
        <f t="shared" si="23"/>
        <v>67.767381889864595</v>
      </c>
      <c r="G40" s="34">
        <f t="shared" si="23"/>
        <v>98.859984759243233</v>
      </c>
      <c r="H40" s="34">
        <f t="shared" si="23"/>
        <v>108.76179855979376</v>
      </c>
      <c r="I40" s="34">
        <f t="shared" si="23"/>
        <v>114.71874649812975</v>
      </c>
      <c r="J40" s="34">
        <f t="shared" si="23"/>
        <v>120.45468382303621</v>
      </c>
      <c r="O40" t="s">
        <v>88</v>
      </c>
      <c r="P40" s="34">
        <f>+P39*P27</f>
        <v>0</v>
      </c>
      <c r="Q40" s="34">
        <f t="shared" ref="Q40:W40" si="24">+Q39*Q27</f>
        <v>15.797262933967517</v>
      </c>
      <c r="R40" s="34">
        <f t="shared" si="24"/>
        <v>36.479845913031767</v>
      </c>
      <c r="S40" s="34">
        <f t="shared" si="24"/>
        <v>66.516334729511343</v>
      </c>
      <c r="T40" s="34">
        <f t="shared" si="24"/>
        <v>96.913254862565168</v>
      </c>
      <c r="U40" s="34">
        <f t="shared" si="24"/>
        <v>106.47332535272724</v>
      </c>
      <c r="V40" s="34">
        <f t="shared" si="24"/>
        <v>112.32935824712727</v>
      </c>
      <c r="W40" s="34">
        <f t="shared" si="24"/>
        <v>117.94582615948362</v>
      </c>
    </row>
    <row r="41" spans="1:23" x14ac:dyDescent="0.2">
      <c r="B41" t="s">
        <v>279</v>
      </c>
      <c r="C41" s="34">
        <f>+D32-C32</f>
        <v>1147.7548773310316</v>
      </c>
      <c r="D41" s="34">
        <f t="shared" ref="D41:I41" si="25">+E32-D32</f>
        <v>1327.6192885097478</v>
      </c>
      <c r="E41" s="34">
        <f t="shared" si="25"/>
        <v>1760.0872022757571</v>
      </c>
      <c r="F41" s="34">
        <f t="shared" si="25"/>
        <v>1579.8318530154174</v>
      </c>
      <c r="G41" s="34">
        <f t="shared" si="25"/>
        <v>582.45963532650239</v>
      </c>
      <c r="H41" s="34">
        <f t="shared" si="25"/>
        <v>350.4087022550566</v>
      </c>
      <c r="I41" s="34">
        <f t="shared" si="25"/>
        <v>337.40807793567456</v>
      </c>
      <c r="J41" s="34">
        <f>+J32*K23</f>
        <v>354.27848183245942</v>
      </c>
      <c r="O41" t="s">
        <v>279</v>
      </c>
      <c r="P41" s="34">
        <f>+Q32-P32</f>
        <v>1128.3759238548225</v>
      </c>
      <c r="Q41" s="34">
        <f t="shared" ref="Q41:V41" si="26">+R32-Q32</f>
        <v>1303.6138036806285</v>
      </c>
      <c r="R41" s="34">
        <f t="shared" si="26"/>
        <v>1725.2811930590074</v>
      </c>
      <c r="S41" s="34">
        <f t="shared" si="26"/>
        <v>1543.5087772034913</v>
      </c>
      <c r="T41" s="34">
        <f t="shared" si="26"/>
        <v>562.35708765659365</v>
      </c>
      <c r="U41" s="34">
        <f t="shared" si="26"/>
        <v>344.47252320000098</v>
      </c>
      <c r="V41" s="34">
        <f t="shared" si="26"/>
        <v>330.38046543272685</v>
      </c>
      <c r="W41" s="34">
        <f>+W32*X23</f>
        <v>346.89948870436359</v>
      </c>
    </row>
    <row r="42" spans="1:23" x14ac:dyDescent="0.2">
      <c r="B42" t="s">
        <v>78</v>
      </c>
      <c r="C42" s="34">
        <f>+C38-C39+C40+C41</f>
        <v>1627.7548773310311</v>
      </c>
      <c r="D42" s="34">
        <f t="shared" ref="D42:I42" si="27">+D38-D39+D40+D41</f>
        <v>2309.4626624380335</v>
      </c>
      <c r="E42" s="34">
        <f t="shared" si="27"/>
        <v>3169.0120250525829</v>
      </c>
      <c r="F42" s="34">
        <f t="shared" si="27"/>
        <v>3349.4763254559589</v>
      </c>
      <c r="G42" s="34">
        <f t="shared" si="27"/>
        <v>2379.0186274895291</v>
      </c>
      <c r="H42" s="34">
        <f t="shared" si="27"/>
        <v>1893.2079120558813</v>
      </c>
      <c r="I42" s="34">
        <f t="shared" si="27"/>
        <v>2125.6708909947552</v>
      </c>
      <c r="J42" s="34">
        <f>+J38-J39+J40+J41</f>
        <v>2231.9544355444941</v>
      </c>
      <c r="O42" t="s">
        <v>78</v>
      </c>
      <c r="P42" s="34">
        <f>+P38-P39+P40+P41</f>
        <v>1608.3759238548221</v>
      </c>
      <c r="Q42" s="34">
        <f t="shared" ref="Q42:W42" si="28">+Q38-Q39+Q40+Q41</f>
        <v>2286.542399003582</v>
      </c>
      <c r="R42" s="34">
        <f t="shared" si="28"/>
        <v>3136.809082134153</v>
      </c>
      <c r="S42" s="34">
        <f t="shared" si="28"/>
        <v>3318.157438285446</v>
      </c>
      <c r="T42" s="34">
        <f t="shared" si="28"/>
        <v>2366.7029994063328</v>
      </c>
      <c r="U42" s="34">
        <f t="shared" si="28"/>
        <v>1847.6253517090915</v>
      </c>
      <c r="V42" s="34">
        <f t="shared" si="28"/>
        <v>2081.3969322261805</v>
      </c>
      <c r="W42" s="34">
        <f t="shared" si="28"/>
        <v>2185.46677883749</v>
      </c>
    </row>
    <row r="44" spans="1:23" x14ac:dyDescent="0.2">
      <c r="C44" s="50">
        <v>2024</v>
      </c>
      <c r="D44" s="1">
        <f>+C44+1</f>
        <v>2025</v>
      </c>
      <c r="E44" s="1">
        <f t="shared" ref="E44:H44" si="29">+D44+1</f>
        <v>2026</v>
      </c>
      <c r="F44" s="1">
        <f t="shared" si="29"/>
        <v>2027</v>
      </c>
      <c r="G44" s="1">
        <f t="shared" si="29"/>
        <v>2028</v>
      </c>
      <c r="H44" s="1">
        <f t="shared" si="29"/>
        <v>2029</v>
      </c>
      <c r="I44" s="1" t="s">
        <v>273</v>
      </c>
      <c r="J44" s="1" t="s">
        <v>274</v>
      </c>
      <c r="P44" s="50">
        <v>2024</v>
      </c>
      <c r="Q44" s="1">
        <f>+P44+1</f>
        <v>2025</v>
      </c>
      <c r="R44" s="1">
        <f t="shared" ref="R44:U44" si="30">+Q44+1</f>
        <v>2026</v>
      </c>
      <c r="S44" s="1">
        <f t="shared" si="30"/>
        <v>2027</v>
      </c>
      <c r="T44" s="1">
        <f t="shared" si="30"/>
        <v>2028</v>
      </c>
      <c r="U44" s="1">
        <f t="shared" si="30"/>
        <v>2029</v>
      </c>
      <c r="V44" s="1" t="s">
        <v>273</v>
      </c>
      <c r="W44" s="1" t="s">
        <v>274</v>
      </c>
    </row>
    <row r="45" spans="1:23" x14ac:dyDescent="0.2">
      <c r="B45" t="s">
        <v>75</v>
      </c>
      <c r="C45" s="34">
        <f>+C38</f>
        <v>479.99999999999955</v>
      </c>
      <c r="D45" s="34">
        <f t="shared" ref="D45:J45" si="31">+D38</f>
        <v>1046.1176470588236</v>
      </c>
      <c r="E45" s="34">
        <f t="shared" si="31"/>
        <v>1557.4472727272725</v>
      </c>
      <c r="F45" s="34">
        <f t="shared" si="31"/>
        <v>2040.7139999999999</v>
      </c>
      <c r="G45" s="34">
        <f t="shared" si="31"/>
        <v>2191.9989311999998</v>
      </c>
      <c r="H45" s="34">
        <f t="shared" si="31"/>
        <v>1977.8464040399997</v>
      </c>
      <c r="I45" s="34">
        <f t="shared" si="31"/>
        <v>2247.1377990515994</v>
      </c>
      <c r="J45" s="34">
        <f t="shared" si="31"/>
        <v>2359.4946890041792</v>
      </c>
      <c r="O45" t="s">
        <v>75</v>
      </c>
      <c r="P45" s="34">
        <f>+P38</f>
        <v>479.99999999999955</v>
      </c>
      <c r="Q45" s="34">
        <f t="shared" ref="Q45:W45" si="32">+Q38</f>
        <v>1046.1176470588236</v>
      </c>
      <c r="R45" s="34">
        <f t="shared" si="32"/>
        <v>1557.4472727272725</v>
      </c>
      <c r="S45" s="34">
        <f t="shared" si="32"/>
        <v>2040.7139999999999</v>
      </c>
      <c r="T45" s="34">
        <f t="shared" si="32"/>
        <v>2191.9989311999998</v>
      </c>
      <c r="U45" s="34">
        <f t="shared" si="32"/>
        <v>1929.0461299199997</v>
      </c>
      <c r="V45" s="34">
        <f t="shared" si="32"/>
        <v>2200.3338997819628</v>
      </c>
      <c r="W45" s="34">
        <f t="shared" si="32"/>
        <v>2310.350594771061</v>
      </c>
    </row>
    <row r="46" spans="1:23" x14ac:dyDescent="0.2">
      <c r="B46" t="str">
        <f>+B28</f>
        <v>WACC</v>
      </c>
      <c r="C46" s="2">
        <f t="shared" ref="C46:J46" si="33">+C28</f>
        <v>0.12</v>
      </c>
      <c r="D46" s="2">
        <f t="shared" si="33"/>
        <v>0.11936999999999999</v>
      </c>
      <c r="E46" s="2">
        <f t="shared" si="33"/>
        <v>0.11864999999999999</v>
      </c>
      <c r="F46" s="2">
        <f t="shared" si="33"/>
        <v>0.11767999999999999</v>
      </c>
      <c r="G46" s="2">
        <f t="shared" si="33"/>
        <v>0.11677</v>
      </c>
      <c r="H46" s="2">
        <f t="shared" si="33"/>
        <v>0.1166</v>
      </c>
      <c r="I46" s="2">
        <f t="shared" si="33"/>
        <v>0.1166</v>
      </c>
      <c r="J46" s="2">
        <f t="shared" si="33"/>
        <v>0.1166</v>
      </c>
      <c r="O46" t="str">
        <f>+O28</f>
        <v>WACC</v>
      </c>
      <c r="P46" s="2">
        <f t="shared" ref="P46:W46" si="34">+P28</f>
        <v>0.12</v>
      </c>
      <c r="Q46" s="2">
        <f t="shared" si="34"/>
        <v>0.11936999999999999</v>
      </c>
      <c r="R46" s="2">
        <f t="shared" si="34"/>
        <v>0.11864999999999999</v>
      </c>
      <c r="S46" s="2">
        <f t="shared" si="34"/>
        <v>0.11767999999999999</v>
      </c>
      <c r="T46" s="2">
        <f t="shared" si="34"/>
        <v>0.11677</v>
      </c>
      <c r="U46" s="2">
        <f t="shared" si="34"/>
        <v>0.1166</v>
      </c>
      <c r="V46" s="2">
        <f t="shared" si="34"/>
        <v>0.1166</v>
      </c>
      <c r="W46" s="2">
        <f t="shared" si="34"/>
        <v>0.1166</v>
      </c>
    </row>
    <row r="47" spans="1:23" x14ac:dyDescent="0.2">
      <c r="B47" t="s">
        <v>158</v>
      </c>
      <c r="C47" s="34">
        <f t="shared" ref="C47:G47" si="35">+(C45+D47)/(1+C46)</f>
        <v>23201.485661329989</v>
      </c>
      <c r="D47" s="34">
        <f t="shared" si="35"/>
        <v>25505.663940689592</v>
      </c>
      <c r="E47" s="34">
        <f t="shared" si="35"/>
        <v>27504.157398230884</v>
      </c>
      <c r="F47" s="34">
        <f t="shared" si="35"/>
        <v>29210.078400803704</v>
      </c>
      <c r="G47" s="34">
        <f t="shared" si="35"/>
        <v>30606.806427010284</v>
      </c>
      <c r="H47" s="34">
        <f>+(H45+I47)/(1+H46)</f>
        <v>31988.764282292279</v>
      </c>
      <c r="I47" s="34">
        <f>+I45/(I46-J23)</f>
        <v>33740.807793567561</v>
      </c>
      <c r="J47" s="34">
        <f>+J45/(J46-K23)</f>
        <v>35427.848183245937</v>
      </c>
      <c r="O47" t="s">
        <v>158</v>
      </c>
      <c r="P47" s="34">
        <f t="shared" ref="P47:T47" si="36">+(P45+Q47)/(1+P46)</f>
        <v>22816.982616167112</v>
      </c>
      <c r="Q47" s="34">
        <f t="shared" si="36"/>
        <v>25075.020530107169</v>
      </c>
      <c r="R47" s="34">
        <f t="shared" si="36"/>
        <v>27022.108083727235</v>
      </c>
      <c r="S47" s="34">
        <f t="shared" si="36"/>
        <v>28670.833935134197</v>
      </c>
      <c r="T47" s="34">
        <f t="shared" si="36"/>
        <v>30004.103672620789</v>
      </c>
      <c r="U47" s="34">
        <f>+(U45+V47)/(1+U46)</f>
        <v>31315.683927272716</v>
      </c>
      <c r="V47" s="34">
        <f>+V45/(V46-W23)</f>
        <v>33038.046543272721</v>
      </c>
      <c r="W47" s="69">
        <f>+W45/(W46-X23)</f>
        <v>34689.948870436354</v>
      </c>
    </row>
    <row r="50" spans="2:24" x14ac:dyDescent="0.2">
      <c r="B50" t="s">
        <v>280</v>
      </c>
      <c r="C50" s="34">
        <f>+C45+C40</f>
        <v>479.99999999999955</v>
      </c>
      <c r="D50" s="34">
        <f t="shared" ref="D50:J50" si="37">+D45+D40</f>
        <v>1062.1862153414581</v>
      </c>
      <c r="E50" s="34">
        <f t="shared" si="37"/>
        <v>1594.5778852148842</v>
      </c>
      <c r="F50" s="34">
        <f t="shared" si="37"/>
        <v>2108.4813818898647</v>
      </c>
      <c r="G50" s="34">
        <f t="shared" si="37"/>
        <v>2290.8589159592429</v>
      </c>
      <c r="H50" s="34">
        <f t="shared" si="37"/>
        <v>2086.6082025997935</v>
      </c>
      <c r="I50" s="34">
        <f t="shared" si="37"/>
        <v>2361.8565455497292</v>
      </c>
      <c r="J50" s="34">
        <f t="shared" si="37"/>
        <v>2479.9493728272155</v>
      </c>
      <c r="O50" t="s">
        <v>280</v>
      </c>
      <c r="P50" s="34">
        <f>+P45+P40</f>
        <v>479.99999999999955</v>
      </c>
      <c r="Q50" s="34">
        <f t="shared" ref="Q50:W50" si="38">+Q45+Q40</f>
        <v>1061.9149099927911</v>
      </c>
      <c r="R50" s="34">
        <f t="shared" si="38"/>
        <v>1593.9271186403043</v>
      </c>
      <c r="S50" s="34">
        <f t="shared" si="38"/>
        <v>2107.2303347295115</v>
      </c>
      <c r="T50" s="34">
        <f t="shared" si="38"/>
        <v>2288.9121860625651</v>
      </c>
      <c r="U50" s="34">
        <f t="shared" si="38"/>
        <v>2035.5194552727269</v>
      </c>
      <c r="V50" s="34">
        <f t="shared" si="38"/>
        <v>2312.6632580290902</v>
      </c>
      <c r="W50" s="34">
        <f t="shared" si="38"/>
        <v>2428.2964209305446</v>
      </c>
    </row>
    <row r="51" spans="2:24" x14ac:dyDescent="0.2">
      <c r="B51" t="s">
        <v>158</v>
      </c>
      <c r="C51" s="34">
        <f t="shared" ref="C51:G51" si="39">+(C50+D51)/(1+C26)</f>
        <v>23201.485661329985</v>
      </c>
      <c r="D51" s="34">
        <f t="shared" si="39"/>
        <v>25505.663940689585</v>
      </c>
      <c r="E51" s="34">
        <f t="shared" si="39"/>
        <v>27504.15739823088</v>
      </c>
      <c r="F51" s="34">
        <f t="shared" si="39"/>
        <v>29210.078400803704</v>
      </c>
      <c r="G51" s="34">
        <f t="shared" si="39"/>
        <v>30606.806427010288</v>
      </c>
      <c r="H51" s="34">
        <f>+(H50+I51)/(1+H26)</f>
        <v>31988.764282292279</v>
      </c>
      <c r="I51" s="34">
        <f>+I50/(J26-J23)</f>
        <v>33740.807793567561</v>
      </c>
      <c r="J51" s="34">
        <f>+J50/(K26-K23)</f>
        <v>35427.848183245937</v>
      </c>
      <c r="O51" t="s">
        <v>158</v>
      </c>
      <c r="P51" s="34">
        <f t="shared" ref="P51:T51" si="40">+(P50+Q51)/(1+P26)</f>
        <v>22816.982616167104</v>
      </c>
      <c r="Q51" s="34">
        <f t="shared" si="40"/>
        <v>25075.020530107158</v>
      </c>
      <c r="R51" s="34">
        <f t="shared" si="40"/>
        <v>27022.108083727227</v>
      </c>
      <c r="S51" s="34">
        <f t="shared" si="40"/>
        <v>28670.833935134193</v>
      </c>
      <c r="T51" s="34">
        <f t="shared" si="40"/>
        <v>30004.103672620786</v>
      </c>
      <c r="U51" s="34">
        <f>+(U50+V51)/(1+U26)</f>
        <v>31315.683927272719</v>
      </c>
      <c r="V51" s="34">
        <f>+V50/(W26-W23)</f>
        <v>33038.046543272721</v>
      </c>
      <c r="W51" s="34">
        <f>+W50/(X26-X23)</f>
        <v>34689.948870436354</v>
      </c>
    </row>
    <row r="52" spans="2:24" x14ac:dyDescent="0.2">
      <c r="B52" s="70" t="s">
        <v>281</v>
      </c>
      <c r="C52" s="71">
        <f>+C51-C47</f>
        <v>0</v>
      </c>
      <c r="D52" s="71">
        <f t="shared" ref="D52:J52" si="41">+D51-D47</f>
        <v>0</v>
      </c>
      <c r="E52" s="71">
        <f t="shared" si="41"/>
        <v>0</v>
      </c>
      <c r="F52" s="71">
        <f t="shared" si="41"/>
        <v>0</v>
      </c>
      <c r="G52" s="71">
        <f t="shared" si="41"/>
        <v>0</v>
      </c>
      <c r="H52" s="71">
        <f t="shared" si="41"/>
        <v>0</v>
      </c>
      <c r="I52" s="71">
        <f t="shared" si="41"/>
        <v>0</v>
      </c>
      <c r="J52" s="71">
        <f t="shared" si="41"/>
        <v>0</v>
      </c>
      <c r="O52" s="70" t="s">
        <v>281</v>
      </c>
      <c r="P52" s="71">
        <f>+P51-P47</f>
        <v>0</v>
      </c>
      <c r="Q52" s="71">
        <f t="shared" ref="Q52:W52" si="42">+Q51-Q47</f>
        <v>0</v>
      </c>
      <c r="R52" s="71">
        <f t="shared" si="42"/>
        <v>0</v>
      </c>
      <c r="S52" s="71">
        <f t="shared" si="42"/>
        <v>0</v>
      </c>
      <c r="T52" s="71">
        <f t="shared" si="42"/>
        <v>0</v>
      </c>
      <c r="U52" s="71">
        <f t="shared" si="42"/>
        <v>0</v>
      </c>
      <c r="V52" s="71">
        <f t="shared" si="42"/>
        <v>0</v>
      </c>
      <c r="W52" s="71">
        <f t="shared" si="42"/>
        <v>0</v>
      </c>
    </row>
    <row r="54" spans="2:24" x14ac:dyDescent="0.2">
      <c r="B54" t="s">
        <v>78</v>
      </c>
      <c r="C54" s="34">
        <f>+C42</f>
        <v>1627.7548773310311</v>
      </c>
      <c r="D54" s="34">
        <f t="shared" ref="D54:J54" si="43">+D42</f>
        <v>2309.4626624380335</v>
      </c>
      <c r="E54" s="34">
        <f t="shared" si="43"/>
        <v>3169.0120250525829</v>
      </c>
      <c r="F54" s="34">
        <f t="shared" si="43"/>
        <v>3349.4763254559589</v>
      </c>
      <c r="G54" s="34">
        <f t="shared" si="43"/>
        <v>2379.0186274895291</v>
      </c>
      <c r="H54" s="34">
        <f t="shared" si="43"/>
        <v>1893.2079120558813</v>
      </c>
      <c r="I54" s="34">
        <f t="shared" si="43"/>
        <v>2125.6708909947552</v>
      </c>
      <c r="J54" s="34">
        <f t="shared" si="43"/>
        <v>2231.9544355444941</v>
      </c>
      <c r="O54" t="s">
        <v>78</v>
      </c>
      <c r="P54" s="34">
        <f>+P42</f>
        <v>1608.3759238548221</v>
      </c>
      <c r="Q54" s="34">
        <f t="shared" ref="Q54:W54" si="44">+Q42</f>
        <v>2286.542399003582</v>
      </c>
      <c r="R54" s="34">
        <f t="shared" si="44"/>
        <v>3136.809082134153</v>
      </c>
      <c r="S54" s="34">
        <f t="shared" si="44"/>
        <v>3318.157438285446</v>
      </c>
      <c r="T54" s="34">
        <f t="shared" si="44"/>
        <v>2366.7029994063328</v>
      </c>
      <c r="U54" s="34">
        <f t="shared" si="44"/>
        <v>1847.6253517090915</v>
      </c>
      <c r="V54" s="34">
        <f t="shared" si="44"/>
        <v>2081.3969322261805</v>
      </c>
      <c r="W54" s="34">
        <f t="shared" si="44"/>
        <v>2185.46677883749</v>
      </c>
    </row>
    <row r="55" spans="2:24" x14ac:dyDescent="0.2">
      <c r="B55" t="s">
        <v>163</v>
      </c>
      <c r="C55" s="2">
        <f>+(C26-C25*C24)/(1-C24)</f>
        <v>0.12</v>
      </c>
      <c r="D55" s="2">
        <f t="shared" ref="D55:J55" si="45">+(D26-D25*D24)/(1-D24)</f>
        <v>0.12235602094240838</v>
      </c>
      <c r="E55" s="2">
        <f t="shared" si="45"/>
        <v>0.12445054945054944</v>
      </c>
      <c r="F55" s="2">
        <f t="shared" si="45"/>
        <v>0.12678362573099414</v>
      </c>
      <c r="G55" s="2">
        <f t="shared" si="45"/>
        <v>0.12820987654320987</v>
      </c>
      <c r="H55" s="2">
        <f t="shared" si="45"/>
        <v>0.12874999999999998</v>
      </c>
      <c r="I55" s="2">
        <f t="shared" si="45"/>
        <v>0.12874999999999998</v>
      </c>
      <c r="J55" s="2">
        <f t="shared" si="45"/>
        <v>0.12874999999999998</v>
      </c>
      <c r="O55" t="s">
        <v>163</v>
      </c>
      <c r="P55" s="2">
        <f>+(P26-P25*P24)/(1-P24)</f>
        <v>0.12</v>
      </c>
      <c r="Q55" s="2">
        <f t="shared" ref="Q55:W55" si="46">+(Q26-Q25*Q24)/(1-Q24)</f>
        <v>0.12235602094240838</v>
      </c>
      <c r="R55" s="2">
        <f t="shared" si="46"/>
        <v>0.12445054945054944</v>
      </c>
      <c r="S55" s="2">
        <f t="shared" si="46"/>
        <v>0.12678362573099414</v>
      </c>
      <c r="T55" s="2">
        <f t="shared" si="46"/>
        <v>0.12820987654320987</v>
      </c>
      <c r="U55" s="2">
        <f t="shared" si="46"/>
        <v>0.12874999999999998</v>
      </c>
      <c r="V55" s="2">
        <f t="shared" si="46"/>
        <v>0.12874999999999998</v>
      </c>
      <c r="W55" s="2">
        <f t="shared" si="46"/>
        <v>0.12874999999999998</v>
      </c>
    </row>
    <row r="56" spans="2:24" x14ac:dyDescent="0.2">
      <c r="B56" t="s">
        <v>165</v>
      </c>
      <c r="C56" s="34">
        <f t="shared" ref="C56:G56" si="47">+(C54+D56)/(1+C55)</f>
        <v>23201.485661329985</v>
      </c>
      <c r="D56" s="34">
        <f t="shared" si="47"/>
        <v>24357.909063358555</v>
      </c>
      <c r="E56" s="34">
        <f t="shared" si="47"/>
        <v>25028.783232390102</v>
      </c>
      <c r="F56" s="34">
        <f t="shared" si="47"/>
        <v>24974.617032687165</v>
      </c>
      <c r="G56" s="34">
        <f t="shared" si="47"/>
        <v>24791.513205878331</v>
      </c>
      <c r="H56" s="34">
        <f>+(H54+I56)/(1+H55)</f>
        <v>25591.011425833822</v>
      </c>
      <c r="I56" s="34">
        <f>+I54/(I55-J23)</f>
        <v>26992.646234854044</v>
      </c>
      <c r="J56" s="34">
        <f>+J54/(J55-K23)</f>
        <v>28342.278546596761</v>
      </c>
      <c r="O56" t="s">
        <v>165</v>
      </c>
      <c r="P56" s="34">
        <f t="shared" ref="P56:T56" si="48">+(P54+Q56)/(1+P55)</f>
        <v>22816.982616167112</v>
      </c>
      <c r="Q56" s="34">
        <f t="shared" si="48"/>
        <v>23946.644606252346</v>
      </c>
      <c r="R56" s="34">
        <f t="shared" si="48"/>
        <v>24590.118356191786</v>
      </c>
      <c r="S56" s="34">
        <f t="shared" si="48"/>
        <v>24513.563014539741</v>
      </c>
      <c r="T56" s="34">
        <f t="shared" si="48"/>
        <v>24303.323974822844</v>
      </c>
      <c r="U56" s="34">
        <f>+(U54+V56)/(1+U55)</f>
        <v>25052.547141818177</v>
      </c>
      <c r="V56" s="34">
        <f>+V54/(V55-W23)</f>
        <v>26430.437234618174</v>
      </c>
      <c r="W56" s="34">
        <f>+W54/(W55-X23)</f>
        <v>27751.959096349088</v>
      </c>
    </row>
    <row r="57" spans="2:24" x14ac:dyDescent="0.2">
      <c r="B57" t="s">
        <v>158</v>
      </c>
      <c r="C57" s="34">
        <f>+C56+C32</f>
        <v>23201.485661329985</v>
      </c>
      <c r="D57" s="34">
        <f t="shared" ref="D57:J57" si="49">+D56+D32</f>
        <v>25505.663940689585</v>
      </c>
      <c r="E57" s="34">
        <f t="shared" si="49"/>
        <v>27504.15739823088</v>
      </c>
      <c r="F57" s="34">
        <f t="shared" si="49"/>
        <v>29210.078400803701</v>
      </c>
      <c r="G57" s="34">
        <f t="shared" si="49"/>
        <v>30606.806427010284</v>
      </c>
      <c r="H57" s="34">
        <f t="shared" si="49"/>
        <v>31988.764282292279</v>
      </c>
      <c r="I57" s="34">
        <f t="shared" si="49"/>
        <v>33740.807793567554</v>
      </c>
      <c r="J57" s="34">
        <f t="shared" si="49"/>
        <v>35427.848183245951</v>
      </c>
      <c r="O57" t="s">
        <v>158</v>
      </c>
      <c r="P57" s="34">
        <f>+P56+P32</f>
        <v>22816.982616167112</v>
      </c>
      <c r="Q57" s="34">
        <f t="shared" ref="Q57:W57" si="50">+Q56+Q32</f>
        <v>25075.020530107169</v>
      </c>
      <c r="R57" s="34">
        <f t="shared" si="50"/>
        <v>27022.108083727238</v>
      </c>
      <c r="S57" s="34">
        <f t="shared" si="50"/>
        <v>28670.8339351342</v>
      </c>
      <c r="T57" s="34">
        <f t="shared" si="50"/>
        <v>30004.103672620793</v>
      </c>
      <c r="U57" s="34">
        <f t="shared" si="50"/>
        <v>31315.683927272719</v>
      </c>
      <c r="V57" s="34">
        <f t="shared" si="50"/>
        <v>33038.046543272721</v>
      </c>
      <c r="W57" s="34">
        <f t="shared" si="50"/>
        <v>34689.948870436361</v>
      </c>
    </row>
    <row r="58" spans="2:24" x14ac:dyDescent="0.2">
      <c r="B58" s="70" t="s">
        <v>281</v>
      </c>
      <c r="C58" s="71">
        <f>+C57-C51</f>
        <v>0</v>
      </c>
      <c r="D58" s="71">
        <f t="shared" ref="D58:J58" si="51">+D57-D51</f>
        <v>0</v>
      </c>
      <c r="E58" s="71">
        <f t="shared" si="51"/>
        <v>0</v>
      </c>
      <c r="F58" s="71">
        <f t="shared" si="51"/>
        <v>0</v>
      </c>
      <c r="G58" s="71">
        <f t="shared" si="51"/>
        <v>0</v>
      </c>
      <c r="H58" s="71">
        <f t="shared" si="51"/>
        <v>0</v>
      </c>
      <c r="I58" s="71">
        <f t="shared" si="51"/>
        <v>0</v>
      </c>
      <c r="J58" s="71">
        <f t="shared" si="51"/>
        <v>0</v>
      </c>
      <c r="O58" s="70" t="s">
        <v>281</v>
      </c>
      <c r="P58" s="71">
        <f>+P57-P51</f>
        <v>0</v>
      </c>
      <c r="Q58" s="71">
        <f t="shared" ref="Q58:W58" si="52">+Q57-Q51</f>
        <v>0</v>
      </c>
      <c r="R58" s="71">
        <f t="shared" si="52"/>
        <v>0</v>
      </c>
      <c r="S58" s="71">
        <f t="shared" si="52"/>
        <v>0</v>
      </c>
      <c r="T58" s="71">
        <f t="shared" si="52"/>
        <v>0</v>
      </c>
      <c r="U58" s="71">
        <f t="shared" si="52"/>
        <v>0</v>
      </c>
      <c r="V58" s="71">
        <f t="shared" si="52"/>
        <v>0</v>
      </c>
      <c r="W58" s="71">
        <f t="shared" si="52"/>
        <v>0</v>
      </c>
    </row>
    <row r="59" spans="2:24" x14ac:dyDescent="0.2">
      <c r="B59" t="s">
        <v>240</v>
      </c>
      <c r="C59" s="72">
        <f>+C31</f>
        <v>15000</v>
      </c>
      <c r="D59" s="72">
        <f t="shared" ref="D59:J59" si="53">+D31</f>
        <v>16920</v>
      </c>
      <c r="E59" s="72">
        <f t="shared" si="53"/>
        <v>18609.882352941175</v>
      </c>
      <c r="F59" s="72">
        <f t="shared" si="53"/>
        <v>20075.7150802139</v>
      </c>
      <c r="G59" s="72">
        <f t="shared" si="53"/>
        <v>21300.143480213901</v>
      </c>
      <c r="H59" s="72">
        <f t="shared" si="53"/>
        <v>22569.1954930139</v>
      </c>
      <c r="I59" s="72">
        <f t="shared" si="53"/>
        <v>24242.757834893899</v>
      </c>
      <c r="J59" s="72">
        <f t="shared" si="53"/>
        <v>25847.8562627879</v>
      </c>
      <c r="O59" t="s">
        <v>240</v>
      </c>
      <c r="P59" s="72">
        <f>+P31</f>
        <v>15000</v>
      </c>
      <c r="Q59" s="72">
        <f t="shared" ref="Q59:W59" si="54">+Q31</f>
        <v>16920</v>
      </c>
      <c r="R59" s="72">
        <f t="shared" si="54"/>
        <v>18609.882352941175</v>
      </c>
      <c r="S59" s="72">
        <f t="shared" si="54"/>
        <v>20075.7150802139</v>
      </c>
      <c r="T59" s="72">
        <f t="shared" si="54"/>
        <v>21300.143480213901</v>
      </c>
      <c r="U59" s="72">
        <f t="shared" si="54"/>
        <v>22569.1954930139</v>
      </c>
      <c r="V59" s="72">
        <f t="shared" si="54"/>
        <v>24291.558109013899</v>
      </c>
      <c r="W59" s="72">
        <f t="shared" si="54"/>
        <v>25943.460436177535</v>
      </c>
    </row>
    <row r="61" spans="2:24" x14ac:dyDescent="0.2">
      <c r="B61" t="s">
        <v>81</v>
      </c>
      <c r="C61" s="72">
        <f>+C36</f>
        <v>2400</v>
      </c>
      <c r="D61" s="72">
        <f t="shared" ref="D61:J61" si="55">+D36</f>
        <v>2736</v>
      </c>
      <c r="E61" s="72">
        <f t="shared" si="55"/>
        <v>3023.2799999999997</v>
      </c>
      <c r="F61" s="72">
        <f t="shared" si="55"/>
        <v>3265.1423999999997</v>
      </c>
      <c r="G61" s="72">
        <f t="shared" si="55"/>
        <v>3461.0509439999996</v>
      </c>
      <c r="H61" s="72">
        <f t="shared" si="55"/>
        <v>3651.4087459199995</v>
      </c>
      <c r="I61" s="72">
        <f t="shared" si="55"/>
        <v>3852.2362269455994</v>
      </c>
      <c r="J61" s="72">
        <f t="shared" si="55"/>
        <v>4044.8480382928792</v>
      </c>
      <c r="O61" t="s">
        <v>81</v>
      </c>
      <c r="P61" s="72">
        <f>+P36</f>
        <v>2400</v>
      </c>
      <c r="Q61" s="72">
        <f t="shared" ref="Q61:W61" si="56">+Q36</f>
        <v>2736</v>
      </c>
      <c r="R61" s="72">
        <f t="shared" si="56"/>
        <v>3023.2799999999997</v>
      </c>
      <c r="S61" s="72">
        <f t="shared" si="56"/>
        <v>3265.1423999999997</v>
      </c>
      <c r="T61" s="72">
        <f t="shared" si="56"/>
        <v>3461.0509439999996</v>
      </c>
      <c r="U61" s="72">
        <f t="shared" si="56"/>
        <v>3651.4087459199995</v>
      </c>
      <c r="V61" s="72">
        <f t="shared" si="56"/>
        <v>3852.2362269455994</v>
      </c>
      <c r="W61" s="72">
        <f t="shared" si="56"/>
        <v>4044.8480382928792</v>
      </c>
    </row>
    <row r="62" spans="2:24" x14ac:dyDescent="0.2">
      <c r="B62" t="s">
        <v>282</v>
      </c>
      <c r="C62">
        <f>+C59*C28</f>
        <v>1800</v>
      </c>
      <c r="D62">
        <f t="shared" ref="D62:J62" si="57">+D59*D28</f>
        <v>2019.7403999999999</v>
      </c>
      <c r="E62">
        <f t="shared" si="57"/>
        <v>2208.0625411764704</v>
      </c>
      <c r="F62">
        <f t="shared" si="57"/>
        <v>2362.5101506395717</v>
      </c>
      <c r="G62">
        <f t="shared" si="57"/>
        <v>2487.2177541845772</v>
      </c>
      <c r="H62">
        <f t="shared" si="57"/>
        <v>2631.5681944854205</v>
      </c>
      <c r="I62">
        <f t="shared" si="57"/>
        <v>2826.7055635486286</v>
      </c>
      <c r="J62">
        <f t="shared" si="57"/>
        <v>3013.8600402410689</v>
      </c>
      <c r="O62" t="s">
        <v>282</v>
      </c>
      <c r="P62">
        <f>+P59*P28</f>
        <v>1800</v>
      </c>
      <c r="Q62">
        <f t="shared" ref="Q62:W62" si="58">+Q59*Q28</f>
        <v>2019.7403999999999</v>
      </c>
      <c r="R62">
        <f t="shared" si="58"/>
        <v>2208.0625411764704</v>
      </c>
      <c r="S62">
        <f t="shared" si="58"/>
        <v>2362.5101506395717</v>
      </c>
      <c r="T62">
        <f t="shared" si="58"/>
        <v>2487.2177541845772</v>
      </c>
      <c r="U62">
        <f t="shared" si="58"/>
        <v>2631.5681944854205</v>
      </c>
      <c r="V62">
        <f t="shared" si="58"/>
        <v>2832.3956755110203</v>
      </c>
      <c r="W62">
        <f t="shared" si="58"/>
        <v>3025.0074868583006</v>
      </c>
    </row>
    <row r="63" spans="2:24" x14ac:dyDescent="0.2">
      <c r="B63" t="s">
        <v>283</v>
      </c>
      <c r="C63" s="72">
        <f>+C61-C62</f>
        <v>600</v>
      </c>
      <c r="D63" s="72">
        <f t="shared" ref="D63:J63" si="59">+D61-D62</f>
        <v>716.25960000000009</v>
      </c>
      <c r="E63" s="72">
        <f t="shared" si="59"/>
        <v>815.21745882352934</v>
      </c>
      <c r="F63" s="72">
        <f t="shared" si="59"/>
        <v>902.63224936042798</v>
      </c>
      <c r="G63" s="72">
        <f t="shared" si="59"/>
        <v>973.83318981542243</v>
      </c>
      <c r="H63" s="72">
        <f t="shared" si="59"/>
        <v>1019.8405514345791</v>
      </c>
      <c r="I63" s="72">
        <f t="shared" si="59"/>
        <v>1025.5306633969708</v>
      </c>
      <c r="J63" s="72">
        <f t="shared" si="59"/>
        <v>1030.9879980518103</v>
      </c>
      <c r="O63" t="s">
        <v>283</v>
      </c>
      <c r="P63" s="72">
        <f>+P61-P62</f>
        <v>600</v>
      </c>
      <c r="Q63" s="72">
        <f t="shared" ref="Q63:W63" si="60">+Q61-Q62</f>
        <v>716.25960000000009</v>
      </c>
      <c r="R63" s="72">
        <f t="shared" si="60"/>
        <v>815.21745882352934</v>
      </c>
      <c r="S63" s="72">
        <f t="shared" si="60"/>
        <v>902.63224936042798</v>
      </c>
      <c r="T63" s="72">
        <f t="shared" si="60"/>
        <v>973.83318981542243</v>
      </c>
      <c r="U63" s="72">
        <f t="shared" si="60"/>
        <v>1019.8405514345791</v>
      </c>
      <c r="V63" s="72">
        <f t="shared" si="60"/>
        <v>1019.8405514345791</v>
      </c>
      <c r="W63" s="72">
        <f t="shared" si="60"/>
        <v>1019.8405514345786</v>
      </c>
    </row>
    <row r="64" spans="2:24" x14ac:dyDescent="0.2">
      <c r="B64" t="s">
        <v>238</v>
      </c>
      <c r="C64" s="72">
        <f t="shared" ref="C64:H64" si="61">+(C63+D64)/(1+C46)</f>
        <v>8201.4856613299999</v>
      </c>
      <c r="D64" s="72">
        <f t="shared" si="61"/>
        <v>8585.6639406896011</v>
      </c>
      <c r="E64" s="72">
        <f t="shared" si="61"/>
        <v>8894.2750452897199</v>
      </c>
      <c r="F64" s="72">
        <f t="shared" si="61"/>
        <v>9134.363320589815</v>
      </c>
      <c r="G64" s="72">
        <f t="shared" si="61"/>
        <v>9306.6629467963976</v>
      </c>
      <c r="H64" s="72">
        <f t="shared" si="61"/>
        <v>9419.5687892783899</v>
      </c>
      <c r="I64" s="72">
        <f>+(I63+J64)/(1+I46)</f>
        <v>9498.0499586736714</v>
      </c>
      <c r="J64" s="73">
        <f>+J57-J59</f>
        <v>9579.991920458051</v>
      </c>
      <c r="K64" s="74">
        <f>+J63/J28+J37*(K22-K28)/(K28*(K28-K23))</f>
        <v>9579.9919204580419</v>
      </c>
      <c r="O64" t="s">
        <v>238</v>
      </c>
      <c r="P64" s="72">
        <f t="shared" ref="P64:U64" si="62">+(P63+Q64)/(1+P46)</f>
        <v>7816.9826161671181</v>
      </c>
      <c r="Q64" s="72">
        <f t="shared" si="62"/>
        <v>8155.0205301071719</v>
      </c>
      <c r="R64" s="72">
        <f t="shared" si="62"/>
        <v>8412.2257307860655</v>
      </c>
      <c r="S64" s="72">
        <f t="shared" si="62"/>
        <v>8595.1188549203016</v>
      </c>
      <c r="T64" s="72">
        <f t="shared" si="62"/>
        <v>8703.9601924068957</v>
      </c>
      <c r="U64" s="72">
        <f t="shared" si="62"/>
        <v>8746.4884342588266</v>
      </c>
      <c r="V64" s="72">
        <f>+(V63+W64)/(1+V46)</f>
        <v>8746.4884342588266</v>
      </c>
      <c r="W64" s="73">
        <f>+W57-W59</f>
        <v>8746.4884342588266</v>
      </c>
      <c r="X64" s="74">
        <f>+W63/W28+W37*(X22-X28)/(X28*(X28-X23))</f>
        <v>8746.488434258823</v>
      </c>
    </row>
    <row r="65" spans="2:23" x14ac:dyDescent="0.2">
      <c r="B65" t="s">
        <v>284</v>
      </c>
      <c r="C65" s="72">
        <f>+C59</f>
        <v>15000</v>
      </c>
      <c r="D65" s="72">
        <f t="shared" ref="D65:J65" si="63">+D59</f>
        <v>16920</v>
      </c>
      <c r="E65" s="72">
        <f t="shared" si="63"/>
        <v>18609.882352941175</v>
      </c>
      <c r="F65" s="72">
        <f t="shared" si="63"/>
        <v>20075.7150802139</v>
      </c>
      <c r="G65" s="72">
        <f t="shared" si="63"/>
        <v>21300.143480213901</v>
      </c>
      <c r="H65" s="72">
        <f t="shared" si="63"/>
        <v>22569.1954930139</v>
      </c>
      <c r="I65" s="72">
        <f t="shared" si="63"/>
        <v>24242.757834893899</v>
      </c>
      <c r="J65" s="72">
        <f t="shared" si="63"/>
        <v>25847.8562627879</v>
      </c>
      <c r="O65" t="s">
        <v>284</v>
      </c>
      <c r="P65" s="72">
        <f>+P59</f>
        <v>15000</v>
      </c>
      <c r="Q65" s="72">
        <f t="shared" ref="Q65:W65" si="64">+Q59</f>
        <v>16920</v>
      </c>
      <c r="R65" s="72">
        <f t="shared" si="64"/>
        <v>18609.882352941175</v>
      </c>
      <c r="S65" s="72">
        <f t="shared" si="64"/>
        <v>20075.7150802139</v>
      </c>
      <c r="T65" s="72">
        <f t="shared" si="64"/>
        <v>21300.143480213901</v>
      </c>
      <c r="U65" s="72">
        <f t="shared" si="64"/>
        <v>22569.1954930139</v>
      </c>
      <c r="V65" s="72">
        <f t="shared" si="64"/>
        <v>24291.558109013899</v>
      </c>
      <c r="W65" s="72">
        <f t="shared" si="64"/>
        <v>25943.460436177535</v>
      </c>
    </row>
    <row r="66" spans="2:23" x14ac:dyDescent="0.2">
      <c r="B66" t="s">
        <v>158</v>
      </c>
      <c r="C66" s="72">
        <f>+C64+C65</f>
        <v>23201.48566133</v>
      </c>
      <c r="D66" s="72">
        <f t="shared" ref="D66:J66" si="65">+D64+D65</f>
        <v>25505.663940689599</v>
      </c>
      <c r="E66" s="72">
        <f t="shared" si="65"/>
        <v>27504.157398230895</v>
      </c>
      <c r="F66" s="72">
        <f t="shared" si="65"/>
        <v>29210.078400803715</v>
      </c>
      <c r="G66" s="72">
        <f t="shared" si="65"/>
        <v>30606.806427010299</v>
      </c>
      <c r="H66" s="72">
        <f t="shared" si="65"/>
        <v>31988.76428229229</v>
      </c>
      <c r="I66" s="72">
        <f t="shared" si="65"/>
        <v>33740.807793567568</v>
      </c>
      <c r="J66" s="72">
        <f t="shared" si="65"/>
        <v>35427.848183245951</v>
      </c>
      <c r="O66" t="s">
        <v>158</v>
      </c>
      <c r="P66" s="72">
        <f>+P64+P65</f>
        <v>22816.982616167119</v>
      </c>
      <c r="Q66" s="72">
        <f t="shared" ref="Q66:W66" si="66">+Q64+Q65</f>
        <v>25075.020530107173</v>
      </c>
      <c r="R66" s="72">
        <f t="shared" si="66"/>
        <v>27022.108083727238</v>
      </c>
      <c r="S66" s="72">
        <f t="shared" si="66"/>
        <v>28670.8339351342</v>
      </c>
      <c r="T66" s="72">
        <f t="shared" si="66"/>
        <v>30004.103672620797</v>
      </c>
      <c r="U66" s="72">
        <f t="shared" si="66"/>
        <v>31315.683927272727</v>
      </c>
      <c r="V66" s="72">
        <f t="shared" si="66"/>
        <v>33038.046543272721</v>
      </c>
      <c r="W66" s="72">
        <f t="shared" si="66"/>
        <v>34689.948870436361</v>
      </c>
    </row>
    <row r="67" spans="2:23" x14ac:dyDescent="0.2">
      <c r="B67" s="70" t="s">
        <v>281</v>
      </c>
      <c r="C67" s="71">
        <f>+C66-C57</f>
        <v>0</v>
      </c>
      <c r="D67" s="71">
        <f t="shared" ref="D67:J67" si="67">+D66-D57</f>
        <v>0</v>
      </c>
      <c r="E67" s="71">
        <f t="shared" si="67"/>
        <v>0</v>
      </c>
      <c r="F67" s="71">
        <f t="shared" si="67"/>
        <v>0</v>
      </c>
      <c r="G67" s="71">
        <f t="shared" si="67"/>
        <v>0</v>
      </c>
      <c r="H67" s="71">
        <f t="shared" si="67"/>
        <v>0</v>
      </c>
      <c r="I67" s="71">
        <f t="shared" si="67"/>
        <v>0</v>
      </c>
      <c r="J67" s="71">
        <f t="shared" si="67"/>
        <v>0</v>
      </c>
      <c r="O67" s="70" t="s">
        <v>281</v>
      </c>
      <c r="P67" s="71">
        <f>+P66-P57</f>
        <v>0</v>
      </c>
      <c r="Q67" s="71">
        <f t="shared" ref="Q67:W67" si="68">+Q66-Q57</f>
        <v>0</v>
      </c>
      <c r="R67" s="71">
        <f t="shared" si="68"/>
        <v>0</v>
      </c>
      <c r="S67" s="71">
        <f t="shared" si="68"/>
        <v>0</v>
      </c>
      <c r="T67" s="71">
        <f t="shared" si="68"/>
        <v>0</v>
      </c>
      <c r="U67" s="71">
        <f t="shared" si="68"/>
        <v>0</v>
      </c>
      <c r="V67" s="71">
        <f t="shared" si="68"/>
        <v>0</v>
      </c>
      <c r="W67" s="71">
        <f t="shared" si="68"/>
        <v>0</v>
      </c>
    </row>
    <row r="69" spans="2:23" x14ac:dyDescent="0.2">
      <c r="B69" t="s">
        <v>128</v>
      </c>
      <c r="C69" s="72">
        <f>+C61/(1-C27)</f>
        <v>3000</v>
      </c>
      <c r="D69" s="72">
        <f t="shared" ref="D69:J69" si="69">+D61/(1-D27)</f>
        <v>3420</v>
      </c>
      <c r="E69" s="72">
        <f t="shared" si="69"/>
        <v>3779.0999999999995</v>
      </c>
      <c r="F69" s="72">
        <f t="shared" si="69"/>
        <v>4081.4279999999994</v>
      </c>
      <c r="G69" s="72">
        <f t="shared" si="69"/>
        <v>4326.3136799999993</v>
      </c>
      <c r="H69" s="72">
        <f t="shared" si="69"/>
        <v>4564.2609323999995</v>
      </c>
      <c r="I69" s="72">
        <f t="shared" si="69"/>
        <v>4815.2952836819986</v>
      </c>
      <c r="J69" s="72">
        <f t="shared" si="69"/>
        <v>5056.060047866099</v>
      </c>
      <c r="O69" t="s">
        <v>128</v>
      </c>
      <c r="P69" s="72">
        <f>+P61/(1-P27)</f>
        <v>3000</v>
      </c>
      <c r="Q69" s="72">
        <f t="shared" ref="Q69:W69" si="70">+Q61/(1-Q27)</f>
        <v>3420</v>
      </c>
      <c r="R69" s="72">
        <f t="shared" si="70"/>
        <v>3779.0999999999995</v>
      </c>
      <c r="S69" s="72">
        <f t="shared" si="70"/>
        <v>4081.4279999999994</v>
      </c>
      <c r="T69" s="72">
        <f t="shared" si="70"/>
        <v>4326.3136799999993</v>
      </c>
      <c r="U69" s="72">
        <f t="shared" si="70"/>
        <v>4564.2609323999995</v>
      </c>
      <c r="V69" s="72">
        <f t="shared" si="70"/>
        <v>4815.2952836819986</v>
      </c>
      <c r="W69" s="72">
        <f t="shared" si="70"/>
        <v>5056.060047866099</v>
      </c>
    </row>
    <row r="70" spans="2:23" x14ac:dyDescent="0.2">
      <c r="B70" t="s">
        <v>32</v>
      </c>
      <c r="C70" s="72">
        <f>+C39</f>
        <v>0</v>
      </c>
      <c r="D70" s="72">
        <f t="shared" ref="D70:J70" si="71">+D39</f>
        <v>80.342841413172223</v>
      </c>
      <c r="E70" s="72">
        <f t="shared" si="71"/>
        <v>185.65306243805844</v>
      </c>
      <c r="F70" s="72">
        <f t="shared" si="71"/>
        <v>338.83690944932295</v>
      </c>
      <c r="G70" s="72">
        <f t="shared" si="71"/>
        <v>494.29992379621615</v>
      </c>
      <c r="H70" s="72">
        <f t="shared" si="71"/>
        <v>543.8089927989688</v>
      </c>
      <c r="I70" s="72">
        <f t="shared" si="71"/>
        <v>573.59373249064868</v>
      </c>
      <c r="J70" s="72">
        <f t="shared" si="71"/>
        <v>602.27341911518101</v>
      </c>
      <c r="O70" t="s">
        <v>32</v>
      </c>
      <c r="P70" s="72">
        <f>+P39</f>
        <v>0</v>
      </c>
      <c r="Q70" s="72">
        <f t="shared" ref="Q70:W70" si="72">+Q39</f>
        <v>78.986314669837583</v>
      </c>
      <c r="R70" s="72">
        <f t="shared" si="72"/>
        <v>182.39922956515883</v>
      </c>
      <c r="S70" s="72">
        <f t="shared" si="72"/>
        <v>332.58167364755667</v>
      </c>
      <c r="T70" s="72">
        <f t="shared" si="72"/>
        <v>484.56627431282578</v>
      </c>
      <c r="U70" s="72">
        <f t="shared" si="72"/>
        <v>532.36662676363619</v>
      </c>
      <c r="V70" s="72">
        <f t="shared" si="72"/>
        <v>561.64679123563633</v>
      </c>
      <c r="W70" s="72">
        <f t="shared" si="72"/>
        <v>589.72913079741807</v>
      </c>
    </row>
    <row r="71" spans="2:23" x14ac:dyDescent="0.2">
      <c r="B71" t="s">
        <v>285</v>
      </c>
      <c r="C71" s="72">
        <f>+C69-C70</f>
        <v>3000</v>
      </c>
      <c r="D71" s="72">
        <f t="shared" ref="D71:I71" si="73">+D69-D70</f>
        <v>3339.6571585868278</v>
      </c>
      <c r="E71" s="72">
        <f t="shared" si="73"/>
        <v>3593.446937561941</v>
      </c>
      <c r="F71" s="72">
        <f t="shared" si="73"/>
        <v>3742.5910905506767</v>
      </c>
      <c r="G71" s="72">
        <f t="shared" si="73"/>
        <v>3832.013756203783</v>
      </c>
      <c r="H71" s="72">
        <f t="shared" si="73"/>
        <v>4020.451939601031</v>
      </c>
      <c r="I71" s="72">
        <f t="shared" si="73"/>
        <v>4241.7015511913496</v>
      </c>
      <c r="J71" s="72">
        <f>+J69-J70</f>
        <v>4453.7866287509178</v>
      </c>
      <c r="O71" t="s">
        <v>285</v>
      </c>
      <c r="P71" s="72">
        <f>+P69-P70</f>
        <v>3000</v>
      </c>
      <c r="Q71" s="72">
        <f t="shared" ref="Q71:V71" si="74">+Q69-Q70</f>
        <v>3341.0136853301624</v>
      </c>
      <c r="R71" s="72">
        <f t="shared" si="74"/>
        <v>3596.7007704348407</v>
      </c>
      <c r="S71" s="72">
        <f t="shared" si="74"/>
        <v>3748.8463263524427</v>
      </c>
      <c r="T71" s="72">
        <f t="shared" si="74"/>
        <v>3841.7474056871733</v>
      </c>
      <c r="U71" s="72">
        <f t="shared" si="74"/>
        <v>4031.8943056363632</v>
      </c>
      <c r="V71" s="72">
        <f t="shared" si="74"/>
        <v>4253.6484924463621</v>
      </c>
      <c r="W71" s="72">
        <f>+W69-W70</f>
        <v>4466.3309170686807</v>
      </c>
    </row>
    <row r="72" spans="2:23" x14ac:dyDescent="0.2">
      <c r="B72" t="s">
        <v>257</v>
      </c>
      <c r="C72" s="72">
        <f>+IF(C71&gt;0,C71*C27,0)</f>
        <v>600</v>
      </c>
      <c r="D72" s="72">
        <f t="shared" ref="D72:J72" si="75">+IF(D71&gt;0,D71*D27,0)</f>
        <v>667.93143171736563</v>
      </c>
      <c r="E72" s="72">
        <f t="shared" si="75"/>
        <v>718.68938751238829</v>
      </c>
      <c r="F72" s="72">
        <f t="shared" si="75"/>
        <v>748.51821811013542</v>
      </c>
      <c r="G72" s="72">
        <f t="shared" si="75"/>
        <v>766.40275124075663</v>
      </c>
      <c r="H72" s="72">
        <f t="shared" si="75"/>
        <v>804.09038792020624</v>
      </c>
      <c r="I72" s="72">
        <f t="shared" si="75"/>
        <v>848.34031023826992</v>
      </c>
      <c r="J72" s="72">
        <f t="shared" si="75"/>
        <v>890.75732575018355</v>
      </c>
      <c r="O72" t="s">
        <v>257</v>
      </c>
      <c r="P72" s="72">
        <f>+IF(P71&gt;0,P71*P27,0)</f>
        <v>600</v>
      </c>
      <c r="Q72" s="72">
        <f t="shared" ref="Q72:W72" si="76">+IF(Q71&gt;0,Q71*Q27,0)</f>
        <v>668.20273706603257</v>
      </c>
      <c r="R72" s="72">
        <f t="shared" si="76"/>
        <v>719.34015408696814</v>
      </c>
      <c r="S72" s="72">
        <f t="shared" si="76"/>
        <v>749.76926527048863</v>
      </c>
      <c r="T72" s="72">
        <f t="shared" si="76"/>
        <v>768.34948113743474</v>
      </c>
      <c r="U72" s="72">
        <f t="shared" si="76"/>
        <v>806.37886112727267</v>
      </c>
      <c r="V72" s="72">
        <f t="shared" si="76"/>
        <v>850.72969848927244</v>
      </c>
      <c r="W72" s="72">
        <f t="shared" si="76"/>
        <v>893.26618341373614</v>
      </c>
    </row>
    <row r="73" spans="2:23" x14ac:dyDescent="0.2">
      <c r="B73" t="s">
        <v>286</v>
      </c>
      <c r="C73" s="72">
        <f>+C71-C72</f>
        <v>2400</v>
      </c>
      <c r="D73" s="72">
        <f t="shared" ref="D73:J73" si="77">+D71-D72</f>
        <v>2671.7257268694621</v>
      </c>
      <c r="E73" s="72">
        <f t="shared" si="77"/>
        <v>2874.7575500495527</v>
      </c>
      <c r="F73" s="72">
        <f t="shared" si="77"/>
        <v>2994.0728724405412</v>
      </c>
      <c r="G73" s="72">
        <f t="shared" si="77"/>
        <v>3065.6110049630265</v>
      </c>
      <c r="H73" s="72">
        <f t="shared" si="77"/>
        <v>3216.361551680825</v>
      </c>
      <c r="I73" s="72">
        <f t="shared" si="77"/>
        <v>3393.3612409530797</v>
      </c>
      <c r="J73" s="72">
        <f t="shared" si="77"/>
        <v>3563.0293030007342</v>
      </c>
      <c r="O73" t="s">
        <v>286</v>
      </c>
      <c r="P73" s="72">
        <f>+P71-P72</f>
        <v>2400</v>
      </c>
      <c r="Q73" s="72">
        <f t="shared" ref="Q73:W73" si="78">+Q71-Q72</f>
        <v>2672.8109482641298</v>
      </c>
      <c r="R73" s="72">
        <f t="shared" si="78"/>
        <v>2877.3606163478726</v>
      </c>
      <c r="S73" s="72">
        <f t="shared" si="78"/>
        <v>2999.0770610819541</v>
      </c>
      <c r="T73" s="72">
        <f t="shared" si="78"/>
        <v>3073.3979245497385</v>
      </c>
      <c r="U73" s="72">
        <f t="shared" si="78"/>
        <v>3225.5154445090907</v>
      </c>
      <c r="V73" s="72">
        <f t="shared" si="78"/>
        <v>3402.9187939570897</v>
      </c>
      <c r="W73" s="72">
        <f t="shared" si="78"/>
        <v>3573.0647336549446</v>
      </c>
    </row>
    <row r="75" spans="2:23" x14ac:dyDescent="0.2">
      <c r="B75" t="s">
        <v>287</v>
      </c>
      <c r="C75" s="72">
        <f>+C33*C55</f>
        <v>1800</v>
      </c>
      <c r="D75" s="72">
        <f t="shared" ref="D75:J75" si="79">+D33*D55</f>
        <v>1929.8291545380828</v>
      </c>
      <c r="E75" s="72">
        <f t="shared" si="79"/>
        <v>2007.9484089990324</v>
      </c>
      <c r="F75" s="72">
        <f t="shared" si="79"/>
        <v>2008.2847981185428</v>
      </c>
      <c r="G75" s="72">
        <f t="shared" si="79"/>
        <v>1985.3107400069878</v>
      </c>
      <c r="H75" s="72">
        <f t="shared" si="79"/>
        <v>2082.073239456513</v>
      </c>
      <c r="I75" s="72">
        <f t="shared" si="79"/>
        <v>2252.4292705582243</v>
      </c>
      <c r="J75" s="72">
        <f t="shared" si="79"/>
        <v>2415.6444031153587</v>
      </c>
      <c r="O75" t="s">
        <v>287</v>
      </c>
      <c r="P75" s="72">
        <f>+P33*P55</f>
        <v>1800</v>
      </c>
      <c r="Q75" s="72">
        <f t="shared" ref="Q75:W75" si="80">+Q33*Q55</f>
        <v>1932.2002861754597</v>
      </c>
      <c r="R75" s="72">
        <f t="shared" si="80"/>
        <v>2013.3476261837341</v>
      </c>
      <c r="S75" s="72">
        <f t="shared" si="80"/>
        <v>2018.1980665529206</v>
      </c>
      <c r="T75" s="72">
        <f t="shared" si="80"/>
        <v>1999.9925046961685</v>
      </c>
      <c r="U75" s="72">
        <f t="shared" si="80"/>
        <v>2099.4050585982668</v>
      </c>
      <c r="V75" s="72">
        <f t="shared" si="80"/>
        <v>2276.8084080462663</v>
      </c>
      <c r="W75" s="72">
        <f t="shared" si="80"/>
        <v>2446.9543477441212</v>
      </c>
    </row>
    <row r="76" spans="2:23" x14ac:dyDescent="0.2">
      <c r="B76" t="s">
        <v>253</v>
      </c>
      <c r="C76" s="72">
        <f>+C73-C75</f>
        <v>600</v>
      </c>
      <c r="D76" s="72">
        <f t="shared" ref="D76:I76" si="81">+D73-D75</f>
        <v>741.89657233137928</v>
      </c>
      <c r="E76" s="72">
        <f t="shared" si="81"/>
        <v>866.80914105052034</v>
      </c>
      <c r="F76" s="72">
        <f t="shared" si="81"/>
        <v>985.78807432199847</v>
      </c>
      <c r="G76" s="72">
        <f t="shared" si="81"/>
        <v>1080.3002649560387</v>
      </c>
      <c r="H76" s="72">
        <f t="shared" si="81"/>
        <v>1134.288312224312</v>
      </c>
      <c r="I76" s="72">
        <f t="shared" si="81"/>
        <v>1140.9319703948554</v>
      </c>
      <c r="J76" s="72">
        <f>+J73-J75</f>
        <v>1147.3848998853755</v>
      </c>
      <c r="O76" t="s">
        <v>253</v>
      </c>
      <c r="P76" s="72">
        <f>+P73-P75</f>
        <v>600</v>
      </c>
      <c r="Q76" s="72">
        <f t="shared" ref="Q76:V76" si="82">+Q73-Q75</f>
        <v>740.6106620886701</v>
      </c>
      <c r="R76" s="72">
        <f t="shared" si="82"/>
        <v>864.0129901641385</v>
      </c>
      <c r="S76" s="72">
        <f t="shared" si="82"/>
        <v>980.87899452903343</v>
      </c>
      <c r="T76" s="72">
        <f t="shared" si="82"/>
        <v>1073.40541985357</v>
      </c>
      <c r="U76" s="72">
        <f t="shared" si="82"/>
        <v>1126.1103859108239</v>
      </c>
      <c r="V76" s="72">
        <f t="shared" si="82"/>
        <v>1126.1103859108234</v>
      </c>
      <c r="W76" s="72">
        <f>+W73-W75</f>
        <v>1126.1103859108234</v>
      </c>
    </row>
    <row r="77" spans="2:23" x14ac:dyDescent="0.2">
      <c r="B77" t="s">
        <v>255</v>
      </c>
      <c r="C77" s="72">
        <f t="shared" ref="C77:H77" si="83">+(C76+D77)/(1+C55)</f>
        <v>8201.4856613299999</v>
      </c>
      <c r="D77" s="72">
        <f t="shared" si="83"/>
        <v>8585.6639406896011</v>
      </c>
      <c r="E77" s="72">
        <f t="shared" si="83"/>
        <v>8894.2750452897199</v>
      </c>
      <c r="F77" s="72">
        <f t="shared" si="83"/>
        <v>9134.363320589815</v>
      </c>
      <c r="G77" s="72">
        <f t="shared" si="83"/>
        <v>9306.6629467963958</v>
      </c>
      <c r="H77" s="72">
        <f t="shared" si="83"/>
        <v>9419.5687892783881</v>
      </c>
      <c r="I77" s="72">
        <f>+(I76+J77)/(1+I55)</f>
        <v>9498.0499586736678</v>
      </c>
      <c r="J77" s="72">
        <f>+J56-J33</f>
        <v>9579.9919204580474</v>
      </c>
      <c r="O77" t="s">
        <v>255</v>
      </c>
      <c r="P77" s="72">
        <f t="shared" ref="P77:U77" si="84">+(P76+Q77)/(1+P55)</f>
        <v>7816.9826161671144</v>
      </c>
      <c r="Q77" s="72">
        <f t="shared" si="84"/>
        <v>8155.0205301071683</v>
      </c>
      <c r="R77" s="72">
        <f t="shared" si="84"/>
        <v>8412.2257307860618</v>
      </c>
      <c r="S77" s="72">
        <f t="shared" si="84"/>
        <v>8595.1188549202998</v>
      </c>
      <c r="T77" s="72">
        <f t="shared" si="84"/>
        <v>8703.9601924068938</v>
      </c>
      <c r="U77" s="72">
        <f t="shared" si="84"/>
        <v>8746.4884342588248</v>
      </c>
      <c r="V77" s="72">
        <f>+(V76+W77)/(1+V55)</f>
        <v>8746.488434258823</v>
      </c>
      <c r="W77" s="72">
        <f>+W56-W33</f>
        <v>8746.488434258823</v>
      </c>
    </row>
    <row r="78" spans="2:23" x14ac:dyDescent="0.2">
      <c r="B78" t="s">
        <v>288</v>
      </c>
      <c r="C78" s="72">
        <f>+C33</f>
        <v>15000</v>
      </c>
      <c r="D78" s="72">
        <f t="shared" ref="D78:J78" si="85">+D33</f>
        <v>15772.245122668968</v>
      </c>
      <c r="E78" s="72">
        <f t="shared" si="85"/>
        <v>16134.508187100395</v>
      </c>
      <c r="F78" s="72">
        <f t="shared" si="85"/>
        <v>15840.253712097365</v>
      </c>
      <c r="G78" s="72">
        <f t="shared" si="85"/>
        <v>15484.850259081948</v>
      </c>
      <c r="H78" s="72">
        <f t="shared" si="85"/>
        <v>16171.442636555443</v>
      </c>
      <c r="I78" s="72">
        <f t="shared" si="85"/>
        <v>17494.596276180386</v>
      </c>
      <c r="J78" s="72">
        <f t="shared" si="85"/>
        <v>18762.286626138713</v>
      </c>
      <c r="O78" t="s">
        <v>288</v>
      </c>
      <c r="P78" s="72">
        <f>+P33</f>
        <v>15000</v>
      </c>
      <c r="Q78" s="72">
        <f t="shared" ref="Q78:W78" si="86">+Q33</f>
        <v>15791.624076145177</v>
      </c>
      <c r="R78" s="72">
        <f t="shared" si="86"/>
        <v>16177.892625405724</v>
      </c>
      <c r="S78" s="72">
        <f t="shared" si="86"/>
        <v>15918.444159619441</v>
      </c>
      <c r="T78" s="72">
        <f t="shared" si="86"/>
        <v>15599.363782415952</v>
      </c>
      <c r="U78" s="72">
        <f t="shared" si="86"/>
        <v>16306.058707559358</v>
      </c>
      <c r="V78" s="72">
        <f t="shared" si="86"/>
        <v>17683.948800359354</v>
      </c>
      <c r="W78" s="72">
        <f t="shared" si="86"/>
        <v>19005.470662090265</v>
      </c>
    </row>
    <row r="79" spans="2:23" x14ac:dyDescent="0.2">
      <c r="B79" t="s">
        <v>165</v>
      </c>
      <c r="C79" s="72">
        <f>+C78+C77</f>
        <v>23201.48566133</v>
      </c>
      <c r="D79" s="72">
        <f t="shared" ref="D79:J79" si="87">+D78+D77</f>
        <v>24357.909063358569</v>
      </c>
      <c r="E79" s="72">
        <f t="shared" si="87"/>
        <v>25028.783232390117</v>
      </c>
      <c r="F79" s="72">
        <f t="shared" si="87"/>
        <v>24974.61703268718</v>
      </c>
      <c r="G79" s="72">
        <f t="shared" si="87"/>
        <v>24791.513205878342</v>
      </c>
      <c r="H79" s="72">
        <f t="shared" si="87"/>
        <v>25591.011425833829</v>
      </c>
      <c r="I79" s="72">
        <f t="shared" si="87"/>
        <v>26992.646234854052</v>
      </c>
      <c r="J79" s="72">
        <f t="shared" si="87"/>
        <v>28342.278546596761</v>
      </c>
      <c r="O79" t="s">
        <v>165</v>
      </c>
      <c r="P79" s="72">
        <f>+P78+P77</f>
        <v>22816.982616167115</v>
      </c>
      <c r="Q79" s="72">
        <f t="shared" ref="Q79:W79" si="88">+Q78+Q77</f>
        <v>23946.644606252346</v>
      </c>
      <c r="R79" s="72">
        <f t="shared" si="88"/>
        <v>24590.118356191786</v>
      </c>
      <c r="S79" s="72">
        <f t="shared" si="88"/>
        <v>24513.563014539741</v>
      </c>
      <c r="T79" s="72">
        <f t="shared" si="88"/>
        <v>24303.323974822844</v>
      </c>
      <c r="U79" s="72">
        <f t="shared" si="88"/>
        <v>25052.547141818184</v>
      </c>
      <c r="V79" s="72">
        <f t="shared" si="88"/>
        <v>26430.437234618177</v>
      </c>
      <c r="W79" s="72">
        <f t="shared" si="88"/>
        <v>27751.959096349088</v>
      </c>
    </row>
    <row r="80" spans="2:23" x14ac:dyDescent="0.2">
      <c r="B80" t="s">
        <v>120</v>
      </c>
      <c r="C80" s="72">
        <f>+C32</f>
        <v>0</v>
      </c>
      <c r="D80" s="72">
        <f t="shared" ref="D80:J80" si="89">+D32</f>
        <v>1147.7548773310316</v>
      </c>
      <c r="E80" s="72">
        <f t="shared" si="89"/>
        <v>2475.3741658407794</v>
      </c>
      <c r="F80" s="72">
        <f t="shared" si="89"/>
        <v>4235.4613681165365</v>
      </c>
      <c r="G80" s="72">
        <f t="shared" si="89"/>
        <v>5815.2932211319539</v>
      </c>
      <c r="H80" s="72">
        <f t="shared" si="89"/>
        <v>6397.7528564584563</v>
      </c>
      <c r="I80" s="72">
        <f t="shared" si="89"/>
        <v>6748.1615587135129</v>
      </c>
      <c r="J80" s="72">
        <f t="shared" si="89"/>
        <v>7085.5696366491875</v>
      </c>
      <c r="O80" t="s">
        <v>120</v>
      </c>
      <c r="P80" s="72">
        <f>+P32</f>
        <v>0</v>
      </c>
      <c r="Q80" s="72">
        <f t="shared" ref="Q80:W80" si="90">+Q32</f>
        <v>1128.3759238548225</v>
      </c>
      <c r="R80" s="72">
        <f t="shared" si="90"/>
        <v>2431.989727535451</v>
      </c>
      <c r="S80" s="72">
        <f t="shared" si="90"/>
        <v>4157.2709205944584</v>
      </c>
      <c r="T80" s="72">
        <f t="shared" si="90"/>
        <v>5700.7796977979497</v>
      </c>
      <c r="U80" s="72">
        <f t="shared" si="90"/>
        <v>6263.1367854545433</v>
      </c>
      <c r="V80" s="72">
        <f t="shared" si="90"/>
        <v>6607.6093086545443</v>
      </c>
      <c r="W80" s="72">
        <f t="shared" si="90"/>
        <v>6937.9897740872711</v>
      </c>
    </row>
    <row r="81" spans="2:23" x14ac:dyDescent="0.2">
      <c r="B81" t="s">
        <v>158</v>
      </c>
      <c r="C81" s="72">
        <f>+C79+C80</f>
        <v>23201.48566133</v>
      </c>
      <c r="D81" s="72">
        <f t="shared" ref="D81:J81" si="91">+D79+D80</f>
        <v>25505.663940689599</v>
      </c>
      <c r="E81" s="72">
        <f t="shared" si="91"/>
        <v>27504.157398230895</v>
      </c>
      <c r="F81" s="72">
        <f t="shared" si="91"/>
        <v>29210.078400803715</v>
      </c>
      <c r="G81" s="72">
        <f t="shared" si="91"/>
        <v>30606.806427010295</v>
      </c>
      <c r="H81" s="72">
        <f t="shared" si="91"/>
        <v>31988.764282292286</v>
      </c>
      <c r="I81" s="72">
        <f t="shared" si="91"/>
        <v>33740.807793567568</v>
      </c>
      <c r="J81" s="72">
        <f t="shared" si="91"/>
        <v>35427.848183245951</v>
      </c>
      <c r="O81" t="s">
        <v>158</v>
      </c>
      <c r="P81" s="72">
        <f>+P79+P80</f>
        <v>22816.982616167115</v>
      </c>
      <c r="Q81" s="72">
        <f t="shared" ref="Q81:W81" si="92">+Q79+Q80</f>
        <v>25075.020530107169</v>
      </c>
      <c r="R81" s="72">
        <f t="shared" si="92"/>
        <v>27022.108083727238</v>
      </c>
      <c r="S81" s="72">
        <f t="shared" si="92"/>
        <v>28670.8339351342</v>
      </c>
      <c r="T81" s="72">
        <f t="shared" si="92"/>
        <v>30004.103672620793</v>
      </c>
      <c r="U81" s="72">
        <f t="shared" si="92"/>
        <v>31315.683927272727</v>
      </c>
      <c r="V81" s="72">
        <f t="shared" si="92"/>
        <v>33038.046543272721</v>
      </c>
      <c r="W81" s="72">
        <f t="shared" si="92"/>
        <v>34689.948870436361</v>
      </c>
    </row>
    <row r="82" spans="2:23" x14ac:dyDescent="0.2">
      <c r="B82" s="70" t="s">
        <v>281</v>
      </c>
      <c r="C82" s="71">
        <f>+C81-C66</f>
        <v>0</v>
      </c>
      <c r="D82" s="71">
        <f t="shared" ref="D82:J82" si="93">+D81-D66</f>
        <v>0</v>
      </c>
      <c r="E82" s="71">
        <f t="shared" si="93"/>
        <v>0</v>
      </c>
      <c r="F82" s="71">
        <f t="shared" si="93"/>
        <v>0</v>
      </c>
      <c r="G82" s="71">
        <f t="shared" si="93"/>
        <v>0</v>
      </c>
      <c r="H82" s="71">
        <f t="shared" si="93"/>
        <v>0</v>
      </c>
      <c r="I82" s="71">
        <f t="shared" si="93"/>
        <v>0</v>
      </c>
      <c r="J82" s="71">
        <f t="shared" si="93"/>
        <v>0</v>
      </c>
      <c r="O82" s="70" t="s">
        <v>281</v>
      </c>
      <c r="P82" s="71">
        <f>+P81-P66</f>
        <v>0</v>
      </c>
      <c r="Q82" s="71">
        <f t="shared" ref="Q82:W82" si="94">+Q81-Q66</f>
        <v>0</v>
      </c>
      <c r="R82" s="71">
        <f t="shared" si="94"/>
        <v>0</v>
      </c>
      <c r="S82" s="71">
        <f t="shared" si="94"/>
        <v>0</v>
      </c>
      <c r="T82" s="71">
        <f t="shared" si="94"/>
        <v>0</v>
      </c>
      <c r="U82" s="71">
        <f t="shared" si="94"/>
        <v>0</v>
      </c>
      <c r="V82" s="71">
        <f t="shared" si="94"/>
        <v>0</v>
      </c>
      <c r="W82" s="71">
        <f t="shared" si="94"/>
        <v>0</v>
      </c>
    </row>
    <row r="83" spans="2:23" x14ac:dyDescent="0.2">
      <c r="B83" s="70"/>
      <c r="C83" s="75"/>
      <c r="D83" s="75"/>
      <c r="E83" s="75"/>
      <c r="F83" s="75"/>
      <c r="G83" s="75"/>
      <c r="H83" s="75"/>
      <c r="I83" s="75"/>
      <c r="J83" s="75"/>
    </row>
  </sheetData>
  <mergeCells count="2">
    <mergeCell ref="O17:X17"/>
    <mergeCell ref="B18:K1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093A9-A68E-4528-8156-DFDB30583D91}">
  <sheetPr>
    <tabColor theme="4" tint="0.39997558519241921"/>
  </sheetPr>
  <dimension ref="A18:X83"/>
  <sheetViews>
    <sheetView topLeftCell="A2" workbookViewId="0">
      <selection activeCell="D28" sqref="D28"/>
    </sheetView>
  </sheetViews>
  <sheetFormatPr baseColWidth="10" defaultColWidth="8.83203125" defaultRowHeight="16" x14ac:dyDescent="0.2"/>
  <cols>
    <col min="2" max="2" width="17.33203125" bestFit="1" customWidth="1"/>
    <col min="3" max="7" width="12.6640625" bestFit="1" customWidth="1"/>
    <col min="8" max="8" width="12.83203125" bestFit="1" customWidth="1"/>
    <col min="9" max="10" width="12.6640625" bestFit="1" customWidth="1"/>
    <col min="11" max="11" width="11.1640625" bestFit="1" customWidth="1"/>
    <col min="16" max="17" width="11.6640625" bestFit="1" customWidth="1"/>
    <col min="18" max="23" width="14" bestFit="1" customWidth="1"/>
    <col min="24" max="24" width="12.6640625" bestFit="1" customWidth="1"/>
  </cols>
  <sheetData>
    <row r="18" spans="2:24" x14ac:dyDescent="0.2">
      <c r="O18" s="197" t="s">
        <v>289</v>
      </c>
      <c r="P18" s="197"/>
      <c r="Q18" s="197"/>
      <c r="R18" s="197"/>
      <c r="S18" s="197"/>
      <c r="T18" s="197"/>
      <c r="U18" s="197"/>
      <c r="V18" s="197"/>
      <c r="W18" s="197"/>
      <c r="X18" s="197"/>
    </row>
    <row r="19" spans="2:24" x14ac:dyDescent="0.2">
      <c r="C19" s="50">
        <v>2024</v>
      </c>
      <c r="D19" s="1">
        <f>+C19+1</f>
        <v>2025</v>
      </c>
      <c r="E19" s="1">
        <f t="shared" ref="E19:H19" si="0">+D19+1</f>
        <v>2026</v>
      </c>
      <c r="F19" s="1">
        <f t="shared" si="0"/>
        <v>2027</v>
      </c>
      <c r="G19" s="1">
        <f t="shared" si="0"/>
        <v>2028</v>
      </c>
      <c r="H19" s="1">
        <f t="shared" si="0"/>
        <v>2029</v>
      </c>
      <c r="I19" s="1" t="s">
        <v>273</v>
      </c>
      <c r="J19" s="1" t="s">
        <v>274</v>
      </c>
      <c r="P19" s="50">
        <v>2024</v>
      </c>
      <c r="Q19" s="1">
        <f>+P19+1</f>
        <v>2025</v>
      </c>
      <c r="R19" s="1">
        <f t="shared" ref="R19:U19" si="1">+Q19+1</f>
        <v>2026</v>
      </c>
      <c r="S19" s="1">
        <f t="shared" si="1"/>
        <v>2027</v>
      </c>
      <c r="T19" s="1">
        <f t="shared" si="1"/>
        <v>2028</v>
      </c>
      <c r="U19" s="1">
        <f t="shared" si="1"/>
        <v>2029</v>
      </c>
      <c r="V19" s="1" t="s">
        <v>273</v>
      </c>
      <c r="W19" s="1" t="s">
        <v>274</v>
      </c>
    </row>
    <row r="20" spans="2:24" x14ac:dyDescent="0.2">
      <c r="B20" t="s">
        <v>90</v>
      </c>
      <c r="C20" s="44">
        <v>15000</v>
      </c>
      <c r="D20" s="68">
        <f>+C20+C37</f>
        <v>16920</v>
      </c>
      <c r="E20" s="68">
        <f t="shared" ref="E20:K20" si="2">+D20+D37</f>
        <v>18609.882352941175</v>
      </c>
      <c r="F20" s="68">
        <f t="shared" si="2"/>
        <v>20075.7150802139</v>
      </c>
      <c r="G20" s="68">
        <f t="shared" si="2"/>
        <v>21300.143480213901</v>
      </c>
      <c r="H20" s="68">
        <f t="shared" si="2"/>
        <v>22569.1954930139</v>
      </c>
      <c r="I20" s="68">
        <f t="shared" si="2"/>
        <v>24291.558109013899</v>
      </c>
      <c r="J20" s="68">
        <f t="shared" si="2"/>
        <v>25506.136014464595</v>
      </c>
      <c r="K20" s="68">
        <f t="shared" si="2"/>
        <v>26781.442815187824</v>
      </c>
      <c r="O20" t="s">
        <v>90</v>
      </c>
      <c r="P20" s="44">
        <v>15000</v>
      </c>
      <c r="Q20" s="68">
        <f>+P20+P37</f>
        <v>16920</v>
      </c>
      <c r="R20" s="68">
        <f t="shared" ref="R20:X20" si="3">+Q20+Q37</f>
        <v>18609.882352941175</v>
      </c>
      <c r="S20" s="68">
        <f t="shared" si="3"/>
        <v>20075.7150802139</v>
      </c>
      <c r="T20" s="68">
        <f t="shared" si="3"/>
        <v>21300.143480213901</v>
      </c>
      <c r="U20" s="68">
        <f t="shared" si="3"/>
        <v>22569.1954930139</v>
      </c>
      <c r="V20" s="68">
        <f t="shared" si="3"/>
        <v>24291.558109013899</v>
      </c>
      <c r="W20" s="68">
        <f t="shared" si="3"/>
        <v>25943.460436177535</v>
      </c>
      <c r="X20" s="68">
        <f t="shared" si="3"/>
        <v>27677.957879699352</v>
      </c>
    </row>
    <row r="21" spans="2:24" x14ac:dyDescent="0.2">
      <c r="B21" t="s">
        <v>93</v>
      </c>
      <c r="C21" s="46">
        <v>0.16</v>
      </c>
      <c r="D21" s="2"/>
      <c r="E21" s="2"/>
      <c r="F21" s="2"/>
      <c r="G21" s="2"/>
      <c r="H21" s="2"/>
      <c r="I21" s="4">
        <f>+I22</f>
        <v>0.1166</v>
      </c>
      <c r="J21" s="4">
        <f t="shared" ref="J21:K21" si="4">+J22</f>
        <v>0.1166</v>
      </c>
      <c r="K21" s="4">
        <f t="shared" si="4"/>
        <v>0.1166</v>
      </c>
      <c r="O21" t="s">
        <v>93</v>
      </c>
      <c r="P21" s="46">
        <v>0.16</v>
      </c>
      <c r="Q21" s="2"/>
      <c r="R21" s="2"/>
      <c r="S21" s="2"/>
      <c r="T21" s="2"/>
      <c r="U21" s="2"/>
    </row>
    <row r="22" spans="2:24" x14ac:dyDescent="0.2">
      <c r="B22" t="s">
        <v>94</v>
      </c>
      <c r="C22" s="2"/>
      <c r="D22" s="46">
        <v>0.17499999999999999</v>
      </c>
      <c r="E22" s="46">
        <v>0.17</v>
      </c>
      <c r="F22" s="46">
        <v>0.16500000000000001</v>
      </c>
      <c r="G22" s="46">
        <v>0.16</v>
      </c>
      <c r="H22" s="46">
        <v>0.15</v>
      </c>
      <c r="I22" s="4">
        <f>+I28</f>
        <v>0.1166</v>
      </c>
      <c r="J22" s="4">
        <f t="shared" ref="J22:K22" si="5">+J28</f>
        <v>0.1166</v>
      </c>
      <c r="K22" s="4">
        <f t="shared" si="5"/>
        <v>0.1166</v>
      </c>
      <c r="O22" t="s">
        <v>94</v>
      </c>
      <c r="P22" s="2"/>
      <c r="Q22" s="46">
        <v>0.17499999999999999</v>
      </c>
      <c r="R22" s="46">
        <v>0.17</v>
      </c>
      <c r="S22" s="46">
        <v>0.16500000000000001</v>
      </c>
      <c r="T22" s="46">
        <v>0.16</v>
      </c>
      <c r="U22" s="46">
        <v>0.15</v>
      </c>
      <c r="V22" s="4">
        <f>+V28</f>
        <v>0.1166</v>
      </c>
      <c r="W22" s="4">
        <f t="shared" ref="W22:X22" si="6">+W28</f>
        <v>0.1166</v>
      </c>
      <c r="X22" s="4">
        <f t="shared" si="6"/>
        <v>0.1166</v>
      </c>
    </row>
    <row r="23" spans="2:24" x14ac:dyDescent="0.2">
      <c r="B23" t="s">
        <v>92</v>
      </c>
      <c r="C23" s="2"/>
      <c r="D23" s="46">
        <v>0.14000000000000001</v>
      </c>
      <c r="E23" s="46">
        <v>0.105</v>
      </c>
      <c r="F23" s="46">
        <v>0.08</v>
      </c>
      <c r="G23" s="46">
        <v>0.06</v>
      </c>
      <c r="H23" s="46">
        <v>5.5E-2</v>
      </c>
      <c r="I23" s="46">
        <v>5.5E-2</v>
      </c>
      <c r="J23" s="46">
        <v>0.05</v>
      </c>
      <c r="K23" s="46">
        <v>0.05</v>
      </c>
      <c r="O23" t="s">
        <v>92</v>
      </c>
      <c r="P23" s="2"/>
      <c r="Q23" s="46">
        <v>0.14000000000000001</v>
      </c>
      <c r="R23" s="46">
        <v>0.105</v>
      </c>
      <c r="S23" s="46">
        <v>0.08</v>
      </c>
      <c r="T23" s="46">
        <v>0.06</v>
      </c>
      <c r="U23" s="46">
        <v>5.5E-2</v>
      </c>
      <c r="V23" s="46">
        <v>5.5E-2</v>
      </c>
      <c r="W23" s="46">
        <v>0.05</v>
      </c>
      <c r="X23" s="46">
        <v>0.05</v>
      </c>
    </row>
    <row r="24" spans="2:24" x14ac:dyDescent="0.2">
      <c r="B24" t="s">
        <v>275</v>
      </c>
      <c r="C24" s="46">
        <v>0</v>
      </c>
      <c r="D24" s="46">
        <v>4.4999999999999998E-2</v>
      </c>
      <c r="E24" s="46">
        <v>0.09</v>
      </c>
      <c r="F24" s="46">
        <v>0.14499999999999999</v>
      </c>
      <c r="G24" s="46">
        <v>0.19</v>
      </c>
      <c r="H24" s="46">
        <v>0.2</v>
      </c>
      <c r="I24" s="46">
        <v>0.2</v>
      </c>
      <c r="J24" s="46">
        <v>0.2</v>
      </c>
      <c r="K24" s="46">
        <v>0.2</v>
      </c>
      <c r="O24" t="s">
        <v>275</v>
      </c>
      <c r="P24" s="46">
        <v>0</v>
      </c>
      <c r="Q24" s="46">
        <v>4.4999999999999998E-2</v>
      </c>
      <c r="R24" s="46">
        <v>0.09</v>
      </c>
      <c r="S24" s="46">
        <v>0.14499999999999999</v>
      </c>
      <c r="T24" s="46">
        <v>0.19</v>
      </c>
      <c r="U24" s="46">
        <v>0.2</v>
      </c>
      <c r="V24" s="46">
        <v>0.2</v>
      </c>
      <c r="W24" s="46">
        <v>0.2</v>
      </c>
      <c r="X24" s="46">
        <v>0.2</v>
      </c>
    </row>
    <row r="25" spans="2:24" x14ac:dyDescent="0.2">
      <c r="B25" t="s">
        <v>57</v>
      </c>
      <c r="C25" s="3"/>
      <c r="D25" s="47">
        <v>7.0000000000000007E-2</v>
      </c>
      <c r="E25" s="47">
        <v>7.4999999999999997E-2</v>
      </c>
      <c r="F25" s="47">
        <v>0.08</v>
      </c>
      <c r="G25" s="47">
        <v>8.5000000000000006E-2</v>
      </c>
      <c r="H25" s="47">
        <v>8.5000000000000006E-2</v>
      </c>
      <c r="I25" s="47">
        <v>8.5000000000000006E-2</v>
      </c>
      <c r="J25" s="47">
        <v>8.5000000000000006E-2</v>
      </c>
      <c r="K25" s="47">
        <v>8.5000000000000006E-2</v>
      </c>
      <c r="O25" t="s">
        <v>57</v>
      </c>
      <c r="P25" s="3"/>
      <c r="Q25" s="47">
        <v>7.0000000000000007E-2</v>
      </c>
      <c r="R25" s="47">
        <v>7.4999999999999997E-2</v>
      </c>
      <c r="S25" s="47">
        <v>0.08</v>
      </c>
      <c r="T25" s="47">
        <v>8.5000000000000006E-2</v>
      </c>
      <c r="U25" s="47">
        <v>8.5000000000000006E-2</v>
      </c>
      <c r="V25" s="47">
        <v>8.5000000000000006E-2</v>
      </c>
      <c r="W25" s="47">
        <v>8.5000000000000006E-2</v>
      </c>
      <c r="X25" s="47">
        <v>8.5000000000000006E-2</v>
      </c>
    </row>
    <row r="26" spans="2:24" x14ac:dyDescent="0.2">
      <c r="B26" t="s">
        <v>112</v>
      </c>
      <c r="C26" s="47">
        <v>0.12</v>
      </c>
      <c r="D26" s="47">
        <v>0.12</v>
      </c>
      <c r="E26" s="47">
        <v>0.12</v>
      </c>
      <c r="F26" s="47">
        <v>0.12</v>
      </c>
      <c r="G26" s="47">
        <v>0.12</v>
      </c>
      <c r="H26" s="47">
        <v>0.12</v>
      </c>
      <c r="I26" s="47">
        <v>0.12</v>
      </c>
      <c r="J26" s="47">
        <v>0.12</v>
      </c>
      <c r="K26" s="47">
        <v>0.12</v>
      </c>
      <c r="O26" t="s">
        <v>112</v>
      </c>
      <c r="P26" s="47">
        <v>0.12</v>
      </c>
      <c r="Q26" s="47">
        <v>0.12</v>
      </c>
      <c r="R26" s="47">
        <v>0.12</v>
      </c>
      <c r="S26" s="47">
        <v>0.12</v>
      </c>
      <c r="T26" s="47">
        <v>0.12</v>
      </c>
      <c r="U26" s="47">
        <v>0.12</v>
      </c>
      <c r="V26" s="47">
        <v>0.12</v>
      </c>
      <c r="W26" s="47">
        <v>0.12</v>
      </c>
      <c r="X26" s="47">
        <v>0.12</v>
      </c>
    </row>
    <row r="27" spans="2:24" x14ac:dyDescent="0.2">
      <c r="B27" t="s">
        <v>58</v>
      </c>
      <c r="C27" s="47">
        <v>0.2</v>
      </c>
      <c r="D27" s="47">
        <v>0.2</v>
      </c>
      <c r="E27" s="47">
        <v>0.2</v>
      </c>
      <c r="F27" s="47">
        <v>0.2</v>
      </c>
      <c r="G27" s="47">
        <v>0.2</v>
      </c>
      <c r="H27" s="47">
        <v>0.2</v>
      </c>
      <c r="I27" s="47">
        <v>0.2</v>
      </c>
      <c r="J27" s="47">
        <v>0.2</v>
      </c>
      <c r="K27" s="47">
        <v>0.2</v>
      </c>
      <c r="O27" t="s">
        <v>58</v>
      </c>
      <c r="P27" s="47">
        <v>0.2</v>
      </c>
      <c r="Q27" s="47">
        <v>0.2</v>
      </c>
      <c r="R27" s="47">
        <v>0.2</v>
      </c>
      <c r="S27" s="47">
        <v>0.2</v>
      </c>
      <c r="T27" s="47">
        <v>0.2</v>
      </c>
      <c r="U27" s="47">
        <v>0.2</v>
      </c>
      <c r="V27" s="47">
        <v>0.2</v>
      </c>
      <c r="W27" s="47">
        <v>0.2</v>
      </c>
      <c r="X27" s="47">
        <v>0.2</v>
      </c>
    </row>
    <row r="28" spans="2:24" x14ac:dyDescent="0.2">
      <c r="B28" t="s">
        <v>229</v>
      </c>
      <c r="C28" s="4">
        <f>+C26-C24*C25*C27</f>
        <v>0.12</v>
      </c>
      <c r="D28" s="4">
        <f t="shared" ref="D28:K28" si="7">+D26-D24*D25*D27</f>
        <v>0.11936999999999999</v>
      </c>
      <c r="E28" s="4">
        <f t="shared" si="7"/>
        <v>0.11864999999999999</v>
      </c>
      <c r="F28" s="4">
        <f t="shared" si="7"/>
        <v>0.11767999999999999</v>
      </c>
      <c r="G28" s="4">
        <f t="shared" si="7"/>
        <v>0.11677</v>
      </c>
      <c r="H28" s="4">
        <f t="shared" si="7"/>
        <v>0.1166</v>
      </c>
      <c r="I28" s="4">
        <f t="shared" si="7"/>
        <v>0.1166</v>
      </c>
      <c r="J28" s="4">
        <f t="shared" si="7"/>
        <v>0.1166</v>
      </c>
      <c r="K28" s="4">
        <f t="shared" si="7"/>
        <v>0.1166</v>
      </c>
      <c r="O28" t="s">
        <v>229</v>
      </c>
      <c r="P28" s="4">
        <f>+P26-P24*P25*P27</f>
        <v>0.12</v>
      </c>
      <c r="Q28" s="4">
        <f t="shared" ref="Q28:X28" si="8">+Q26-Q24*Q25*Q27</f>
        <v>0.11936999999999999</v>
      </c>
      <c r="R28" s="4">
        <f t="shared" si="8"/>
        <v>0.11864999999999999</v>
      </c>
      <c r="S28" s="4">
        <f t="shared" si="8"/>
        <v>0.11767999999999999</v>
      </c>
      <c r="T28" s="4">
        <f t="shared" si="8"/>
        <v>0.11677</v>
      </c>
      <c r="U28" s="4">
        <f t="shared" si="8"/>
        <v>0.1166</v>
      </c>
      <c r="V28" s="4">
        <f t="shared" si="8"/>
        <v>0.1166</v>
      </c>
      <c r="W28" s="4">
        <f t="shared" si="8"/>
        <v>0.1166</v>
      </c>
      <c r="X28" s="4">
        <f t="shared" si="8"/>
        <v>0.1166</v>
      </c>
    </row>
    <row r="29" spans="2:24" x14ac:dyDescent="0.2">
      <c r="B29" t="s">
        <v>276</v>
      </c>
      <c r="C29" s="2">
        <f>+D23/D22</f>
        <v>0.80000000000000016</v>
      </c>
      <c r="D29" s="2">
        <f t="shared" ref="D29:J29" si="9">+E23/E22</f>
        <v>0.61764705882352933</v>
      </c>
      <c r="E29" s="2">
        <f t="shared" si="9"/>
        <v>0.48484848484848486</v>
      </c>
      <c r="F29" s="2">
        <f t="shared" si="9"/>
        <v>0.375</v>
      </c>
      <c r="G29" s="2">
        <f t="shared" si="9"/>
        <v>0.3666666666666667</v>
      </c>
      <c r="H29" s="2">
        <f t="shared" si="9"/>
        <v>0.47169811320754718</v>
      </c>
      <c r="I29" s="2">
        <f t="shared" si="9"/>
        <v>0.42881646655231564</v>
      </c>
      <c r="J29" s="2">
        <f t="shared" si="9"/>
        <v>0.42881646655231564</v>
      </c>
      <c r="O29" t="s">
        <v>276</v>
      </c>
      <c r="P29" s="2">
        <f>+Q23/Q22</f>
        <v>0.80000000000000016</v>
      </c>
      <c r="Q29" s="2">
        <f t="shared" ref="Q29:W29" si="10">+R23/R22</f>
        <v>0.61764705882352933</v>
      </c>
      <c r="R29" s="2">
        <f t="shared" si="10"/>
        <v>0.48484848484848486</v>
      </c>
      <c r="S29" s="2">
        <f t="shared" si="10"/>
        <v>0.375</v>
      </c>
      <c r="T29" s="2">
        <f t="shared" si="10"/>
        <v>0.3666666666666667</v>
      </c>
      <c r="U29" s="2">
        <f t="shared" si="10"/>
        <v>0.47169811320754718</v>
      </c>
      <c r="V29" s="2">
        <f t="shared" si="10"/>
        <v>0.42881646655231564</v>
      </c>
      <c r="W29" s="2">
        <f t="shared" si="10"/>
        <v>0.42881646655231564</v>
      </c>
    </row>
    <row r="30" spans="2:24" x14ac:dyDescent="0.2">
      <c r="C30" s="2"/>
      <c r="D30" s="2"/>
      <c r="E30" s="2"/>
      <c r="F30" s="2"/>
      <c r="G30" s="2"/>
      <c r="H30" s="2"/>
      <c r="I30" s="2"/>
      <c r="P30" s="2"/>
      <c r="Q30" s="2"/>
      <c r="R30" s="2"/>
      <c r="S30" s="2"/>
      <c r="T30" s="2"/>
      <c r="U30" s="2"/>
      <c r="V30" s="2"/>
    </row>
    <row r="31" spans="2:24" x14ac:dyDescent="0.2">
      <c r="B31" t="s">
        <v>90</v>
      </c>
      <c r="C31" s="34">
        <f>+C20</f>
        <v>15000</v>
      </c>
      <c r="D31" s="34">
        <f t="shared" ref="D31:J31" si="11">+D20</f>
        <v>16920</v>
      </c>
      <c r="E31" s="34">
        <f t="shared" si="11"/>
        <v>18609.882352941175</v>
      </c>
      <c r="F31" s="34">
        <f t="shared" si="11"/>
        <v>20075.7150802139</v>
      </c>
      <c r="G31" s="34">
        <f t="shared" si="11"/>
        <v>21300.143480213901</v>
      </c>
      <c r="H31" s="34">
        <f t="shared" si="11"/>
        <v>22569.1954930139</v>
      </c>
      <c r="I31" s="34">
        <f t="shared" si="11"/>
        <v>24291.558109013899</v>
      </c>
      <c r="J31" s="34">
        <f t="shared" si="11"/>
        <v>25506.136014464595</v>
      </c>
      <c r="O31" t="s">
        <v>90</v>
      </c>
      <c r="P31" s="34">
        <f>+P20</f>
        <v>15000</v>
      </c>
      <c r="Q31" s="34">
        <f t="shared" ref="Q31:W31" si="12">+Q20</f>
        <v>16920</v>
      </c>
      <c r="R31" s="34">
        <f t="shared" si="12"/>
        <v>18609.882352941175</v>
      </c>
      <c r="S31" s="34">
        <f t="shared" si="12"/>
        <v>20075.7150802139</v>
      </c>
      <c r="T31" s="34">
        <f t="shared" si="12"/>
        <v>21300.143480213901</v>
      </c>
      <c r="U31" s="34">
        <f t="shared" si="12"/>
        <v>22569.1954930139</v>
      </c>
      <c r="V31" s="34">
        <f t="shared" si="12"/>
        <v>24291.558109013899</v>
      </c>
      <c r="W31" s="34">
        <f t="shared" si="12"/>
        <v>25943.460436177535</v>
      </c>
    </row>
    <row r="32" spans="2:24" x14ac:dyDescent="0.2">
      <c r="B32" t="s">
        <v>277</v>
      </c>
      <c r="C32" s="34">
        <f>+C24*C47</f>
        <v>0</v>
      </c>
      <c r="D32" s="34">
        <f t="shared" ref="D32:J32" si="13">+D24*D47</f>
        <v>902.84842285658624</v>
      </c>
      <c r="E32" s="34">
        <f t="shared" si="13"/>
        <v>1927.0922899506595</v>
      </c>
      <c r="F32" s="34">
        <f t="shared" si="13"/>
        <v>3247.3096962570921</v>
      </c>
      <c r="G32" s="34">
        <f t="shared" si="13"/>
        <v>4368.099438271719</v>
      </c>
      <c r="H32" s="34">
        <f t="shared" si="13"/>
        <v>4696.5080134217969</v>
      </c>
      <c r="I32" s="34">
        <f t="shared" si="13"/>
        <v>4858.311621802779</v>
      </c>
      <c r="J32" s="34">
        <f t="shared" si="13"/>
        <v>5101.2272028929183</v>
      </c>
      <c r="O32" t="s">
        <v>277</v>
      </c>
      <c r="P32" s="34">
        <f>+P24*P47</f>
        <v>0</v>
      </c>
      <c r="Q32" s="34">
        <f t="shared" ref="Q32:W32" si="14">+Q24*Q47</f>
        <v>1128.3759238548225</v>
      </c>
      <c r="R32" s="34">
        <f t="shared" si="14"/>
        <v>2431.989727535451</v>
      </c>
      <c r="S32" s="34">
        <f t="shared" si="14"/>
        <v>4157.2709205944584</v>
      </c>
      <c r="T32" s="34">
        <f t="shared" si="14"/>
        <v>5700.7796977979497</v>
      </c>
      <c r="U32" s="34">
        <f t="shared" si="14"/>
        <v>6263.1367854545433</v>
      </c>
      <c r="V32" s="34">
        <f t="shared" si="14"/>
        <v>6607.6093086545443</v>
      </c>
      <c r="W32" s="34">
        <f t="shared" si="14"/>
        <v>6937.9897740872711</v>
      </c>
    </row>
    <row r="33" spans="1:23" x14ac:dyDescent="0.2">
      <c r="B33" t="s">
        <v>123</v>
      </c>
      <c r="C33" s="34">
        <f>+C31-C32</f>
        <v>15000</v>
      </c>
      <c r="D33" s="34">
        <f t="shared" ref="D33:J33" si="15">+D31-D32</f>
        <v>16017.151577143413</v>
      </c>
      <c r="E33" s="34">
        <f t="shared" si="15"/>
        <v>16682.790062990516</v>
      </c>
      <c r="F33" s="34">
        <f t="shared" si="15"/>
        <v>16828.405383956808</v>
      </c>
      <c r="G33" s="34">
        <f t="shared" si="15"/>
        <v>16932.044041942183</v>
      </c>
      <c r="H33" s="34">
        <f t="shared" si="15"/>
        <v>17872.687479592103</v>
      </c>
      <c r="I33" s="34">
        <f t="shared" si="15"/>
        <v>19433.24648721112</v>
      </c>
      <c r="J33" s="34">
        <f t="shared" si="15"/>
        <v>20404.908811571677</v>
      </c>
      <c r="O33" t="s">
        <v>123</v>
      </c>
      <c r="P33" s="34">
        <f>+P31-P32</f>
        <v>15000</v>
      </c>
      <c r="Q33" s="34">
        <f t="shared" ref="Q33:W33" si="16">+Q31-Q32</f>
        <v>15791.624076145177</v>
      </c>
      <c r="R33" s="34">
        <f t="shared" si="16"/>
        <v>16177.892625405724</v>
      </c>
      <c r="S33" s="34">
        <f t="shared" si="16"/>
        <v>15918.444159619441</v>
      </c>
      <c r="T33" s="34">
        <f t="shared" si="16"/>
        <v>15599.363782415952</v>
      </c>
      <c r="U33" s="34">
        <f t="shared" si="16"/>
        <v>16306.058707559358</v>
      </c>
      <c r="V33" s="34">
        <f t="shared" si="16"/>
        <v>17683.948800359354</v>
      </c>
      <c r="W33" s="34">
        <f t="shared" si="16"/>
        <v>19005.470662090265</v>
      </c>
    </row>
    <row r="36" spans="1:23" x14ac:dyDescent="0.2">
      <c r="B36" t="s">
        <v>81</v>
      </c>
      <c r="C36" s="34">
        <f>+C20*C21</f>
        <v>2400</v>
      </c>
      <c r="D36" s="34">
        <f>+C36+C37*D22</f>
        <v>2736</v>
      </c>
      <c r="E36" s="34">
        <f t="shared" ref="E36:J36" si="17">+D36+D37*E22</f>
        <v>3023.2799999999997</v>
      </c>
      <c r="F36" s="34">
        <f t="shared" si="17"/>
        <v>3265.1423999999997</v>
      </c>
      <c r="G36" s="34">
        <f t="shared" si="17"/>
        <v>3461.0509439999996</v>
      </c>
      <c r="H36" s="34">
        <f t="shared" si="17"/>
        <v>3651.4087459199995</v>
      </c>
      <c r="I36" s="77">
        <f>+I20*I21</f>
        <v>2832.3956755110203</v>
      </c>
      <c r="J36" s="34">
        <f t="shared" si="17"/>
        <v>2974.0154592865715</v>
      </c>
      <c r="O36" t="s">
        <v>81</v>
      </c>
      <c r="P36" s="34">
        <f>+P20*P21</f>
        <v>2400</v>
      </c>
      <c r="Q36" s="34">
        <f>+P36+P37*Q22</f>
        <v>2736</v>
      </c>
      <c r="R36" s="34">
        <f t="shared" ref="R36:W36" si="18">+Q36+Q37*R22</f>
        <v>3023.2799999999997</v>
      </c>
      <c r="S36" s="34">
        <f t="shared" si="18"/>
        <v>3265.1423999999997</v>
      </c>
      <c r="T36" s="34">
        <f t="shared" si="18"/>
        <v>3461.0509439999996</v>
      </c>
      <c r="U36" s="34">
        <f t="shared" si="18"/>
        <v>3651.4087459199995</v>
      </c>
      <c r="V36" s="34">
        <f t="shared" si="18"/>
        <v>3852.2362269455994</v>
      </c>
      <c r="W36" s="34">
        <f t="shared" si="18"/>
        <v>4044.8480382928792</v>
      </c>
    </row>
    <row r="37" spans="1:23" x14ac:dyDescent="0.2">
      <c r="A37" t="s">
        <v>278</v>
      </c>
      <c r="B37" t="s">
        <v>91</v>
      </c>
      <c r="C37" s="34">
        <f>+C36*C29</f>
        <v>1920.0000000000005</v>
      </c>
      <c r="D37" s="34">
        <f>+D36*D29</f>
        <v>1689.8823529411764</v>
      </c>
      <c r="E37" s="34">
        <f t="shared" ref="E37:J37" si="19">+E36*E29</f>
        <v>1465.8327272727272</v>
      </c>
      <c r="F37" s="34">
        <f t="shared" si="19"/>
        <v>1224.4283999999998</v>
      </c>
      <c r="G37" s="34">
        <f t="shared" si="19"/>
        <v>1269.0520128000001</v>
      </c>
      <c r="H37" s="34">
        <f t="shared" si="19"/>
        <v>1722.3626159999999</v>
      </c>
      <c r="I37" s="34">
        <f t="shared" si="19"/>
        <v>1214.577905450695</v>
      </c>
      <c r="J37" s="34">
        <f t="shared" si="19"/>
        <v>1275.3068007232298</v>
      </c>
      <c r="O37" t="s">
        <v>91</v>
      </c>
      <c r="P37" s="34">
        <f>+P36*P29</f>
        <v>1920.0000000000005</v>
      </c>
      <c r="Q37" s="34">
        <f>+Q36*Q29</f>
        <v>1689.8823529411764</v>
      </c>
      <c r="R37" s="34">
        <f t="shared" ref="R37:W37" si="20">+R36*R29</f>
        <v>1465.8327272727272</v>
      </c>
      <c r="S37" s="34">
        <f t="shared" si="20"/>
        <v>1224.4283999999998</v>
      </c>
      <c r="T37" s="34">
        <f t="shared" si="20"/>
        <v>1269.0520128000001</v>
      </c>
      <c r="U37" s="34">
        <f t="shared" si="20"/>
        <v>1722.3626159999999</v>
      </c>
      <c r="V37" s="34">
        <f t="shared" si="20"/>
        <v>1651.9023271636363</v>
      </c>
      <c r="W37" s="34">
        <f t="shared" si="20"/>
        <v>1734.497443521818</v>
      </c>
    </row>
    <row r="38" spans="1:23" x14ac:dyDescent="0.2">
      <c r="B38" t="s">
        <v>75</v>
      </c>
      <c r="C38" s="34">
        <f>+C36-C37</f>
        <v>479.99999999999955</v>
      </c>
      <c r="D38" s="34">
        <f t="shared" ref="D38:J38" si="21">+D36-D37</f>
        <v>1046.1176470588236</v>
      </c>
      <c r="E38" s="34">
        <f t="shared" si="21"/>
        <v>1557.4472727272725</v>
      </c>
      <c r="F38" s="34">
        <f t="shared" si="21"/>
        <v>2040.7139999999999</v>
      </c>
      <c r="G38" s="34">
        <f t="shared" si="21"/>
        <v>2191.9989311999998</v>
      </c>
      <c r="H38" s="34">
        <f t="shared" si="21"/>
        <v>1929.0461299199997</v>
      </c>
      <c r="I38" s="34">
        <f t="shared" si="21"/>
        <v>1617.8177700603253</v>
      </c>
      <c r="J38" s="34">
        <f t="shared" si="21"/>
        <v>1698.7086585633417</v>
      </c>
      <c r="O38" t="s">
        <v>75</v>
      </c>
      <c r="P38" s="34">
        <f>+P36-P37</f>
        <v>479.99999999999955</v>
      </c>
      <c r="Q38" s="34">
        <f t="shared" ref="Q38:W38" si="22">+Q36-Q37</f>
        <v>1046.1176470588236</v>
      </c>
      <c r="R38" s="34">
        <f t="shared" si="22"/>
        <v>1557.4472727272725</v>
      </c>
      <c r="S38" s="34">
        <f t="shared" si="22"/>
        <v>2040.7139999999999</v>
      </c>
      <c r="T38" s="34">
        <f t="shared" si="22"/>
        <v>2191.9989311999998</v>
      </c>
      <c r="U38" s="34">
        <f t="shared" si="22"/>
        <v>1929.0461299199997</v>
      </c>
      <c r="V38" s="34">
        <f t="shared" si="22"/>
        <v>2200.3338997819628</v>
      </c>
      <c r="W38" s="34">
        <f t="shared" si="22"/>
        <v>2310.350594771061</v>
      </c>
    </row>
    <row r="39" spans="1:23" x14ac:dyDescent="0.2">
      <c r="B39" t="s">
        <v>32</v>
      </c>
      <c r="C39" s="34">
        <f>+C25*C32</f>
        <v>0</v>
      </c>
      <c r="D39" s="34">
        <f t="shared" ref="D39:J39" si="23">+D25*D32</f>
        <v>63.199389599961044</v>
      </c>
      <c r="E39" s="34">
        <f t="shared" si="23"/>
        <v>144.53192174629945</v>
      </c>
      <c r="F39" s="34">
        <f t="shared" si="23"/>
        <v>259.78477570056737</v>
      </c>
      <c r="G39" s="34">
        <f t="shared" si="23"/>
        <v>371.28845225309612</v>
      </c>
      <c r="H39" s="34">
        <f t="shared" si="23"/>
        <v>399.20318114085279</v>
      </c>
      <c r="I39" s="34">
        <f t="shared" si="23"/>
        <v>412.95648785323624</v>
      </c>
      <c r="J39" s="34">
        <f t="shared" si="23"/>
        <v>433.60431224589809</v>
      </c>
      <c r="O39" t="s">
        <v>32</v>
      </c>
      <c r="P39" s="34">
        <f>+P25*P32</f>
        <v>0</v>
      </c>
      <c r="Q39" s="34">
        <f t="shared" ref="Q39:W39" si="24">+Q25*Q32</f>
        <v>78.986314669837583</v>
      </c>
      <c r="R39" s="34">
        <f t="shared" si="24"/>
        <v>182.39922956515883</v>
      </c>
      <c r="S39" s="34">
        <f t="shared" si="24"/>
        <v>332.58167364755667</v>
      </c>
      <c r="T39" s="34">
        <f t="shared" si="24"/>
        <v>484.56627431282578</v>
      </c>
      <c r="U39" s="34">
        <f t="shared" si="24"/>
        <v>532.36662676363619</v>
      </c>
      <c r="V39" s="34">
        <f t="shared" si="24"/>
        <v>561.64679123563633</v>
      </c>
      <c r="W39" s="34">
        <f t="shared" si="24"/>
        <v>589.72913079741807</v>
      </c>
    </row>
    <row r="40" spans="1:23" x14ac:dyDescent="0.2">
      <c r="B40" t="s">
        <v>88</v>
      </c>
      <c r="C40" s="34">
        <f>+C39*C27</f>
        <v>0</v>
      </c>
      <c r="D40" s="34">
        <f t="shared" ref="D40:J40" si="25">+D39*D27</f>
        <v>12.639877919992209</v>
      </c>
      <c r="E40" s="34">
        <f t="shared" si="25"/>
        <v>28.906384349259891</v>
      </c>
      <c r="F40" s="34">
        <f t="shared" si="25"/>
        <v>51.956955140113479</v>
      </c>
      <c r="G40" s="34">
        <f t="shared" si="25"/>
        <v>74.257690450619222</v>
      </c>
      <c r="H40" s="34">
        <f t="shared" si="25"/>
        <v>79.840636228170567</v>
      </c>
      <c r="I40" s="34">
        <f t="shared" si="25"/>
        <v>82.591297570647257</v>
      </c>
      <c r="J40" s="34">
        <f t="shared" si="25"/>
        <v>86.72086244917962</v>
      </c>
      <c r="O40" t="s">
        <v>88</v>
      </c>
      <c r="P40" s="34">
        <f>+P39*P27</f>
        <v>0</v>
      </c>
      <c r="Q40" s="34">
        <f t="shared" ref="Q40:W40" si="26">+Q39*Q27</f>
        <v>15.797262933967517</v>
      </c>
      <c r="R40" s="34">
        <f t="shared" si="26"/>
        <v>36.479845913031767</v>
      </c>
      <c r="S40" s="34">
        <f t="shared" si="26"/>
        <v>66.516334729511343</v>
      </c>
      <c r="T40" s="34">
        <f t="shared" si="26"/>
        <v>96.913254862565168</v>
      </c>
      <c r="U40" s="34">
        <f t="shared" si="26"/>
        <v>106.47332535272724</v>
      </c>
      <c r="V40" s="34">
        <f t="shared" si="26"/>
        <v>112.32935824712727</v>
      </c>
      <c r="W40" s="34">
        <f t="shared" si="26"/>
        <v>117.94582615948362</v>
      </c>
    </row>
    <row r="41" spans="1:23" x14ac:dyDescent="0.2">
      <c r="B41" t="s">
        <v>279</v>
      </c>
      <c r="C41" s="34">
        <f>+D32-C32</f>
        <v>902.84842285658624</v>
      </c>
      <c r="D41" s="34">
        <f t="shared" ref="D41:I41" si="27">+E32-D32</f>
        <v>1024.2438670940733</v>
      </c>
      <c r="E41" s="34">
        <f t="shared" si="27"/>
        <v>1320.2174063064326</v>
      </c>
      <c r="F41" s="34">
        <f t="shared" si="27"/>
        <v>1120.7897420146269</v>
      </c>
      <c r="G41" s="34">
        <f t="shared" si="27"/>
        <v>328.40857515007792</v>
      </c>
      <c r="H41" s="34">
        <f t="shared" si="27"/>
        <v>161.80360838098204</v>
      </c>
      <c r="I41" s="34">
        <f t="shared" si="27"/>
        <v>242.91558109013931</v>
      </c>
      <c r="J41" s="34">
        <f>+J32*K23</f>
        <v>255.06136014464593</v>
      </c>
      <c r="O41" t="s">
        <v>279</v>
      </c>
      <c r="P41" s="34">
        <f>+Q32-P32</f>
        <v>1128.3759238548225</v>
      </c>
      <c r="Q41" s="34">
        <f t="shared" ref="Q41:V41" si="28">+R32-Q32</f>
        <v>1303.6138036806285</v>
      </c>
      <c r="R41" s="34">
        <f t="shared" si="28"/>
        <v>1725.2811930590074</v>
      </c>
      <c r="S41" s="34">
        <f t="shared" si="28"/>
        <v>1543.5087772034913</v>
      </c>
      <c r="T41" s="34">
        <f t="shared" si="28"/>
        <v>562.35708765659365</v>
      </c>
      <c r="U41" s="34">
        <f t="shared" si="28"/>
        <v>344.47252320000098</v>
      </c>
      <c r="V41" s="34">
        <f t="shared" si="28"/>
        <v>330.38046543272685</v>
      </c>
      <c r="W41" s="34">
        <f>+W32*X23</f>
        <v>346.89948870436359</v>
      </c>
    </row>
    <row r="42" spans="1:23" x14ac:dyDescent="0.2">
      <c r="B42" t="s">
        <v>78</v>
      </c>
      <c r="C42" s="34">
        <f>+C38-C39+C40+C41</f>
        <v>1382.8484228565858</v>
      </c>
      <c r="D42" s="34">
        <f t="shared" ref="D42:J42" si="29">+D38-D39+D40+D41</f>
        <v>2019.8020024729281</v>
      </c>
      <c r="E42" s="34">
        <f t="shared" si="29"/>
        <v>2762.0391416366656</v>
      </c>
      <c r="F42" s="34">
        <f t="shared" si="29"/>
        <v>2953.6759214541726</v>
      </c>
      <c r="G42" s="34">
        <f t="shared" si="29"/>
        <v>2223.3767445476005</v>
      </c>
      <c r="H42" s="34">
        <f t="shared" si="29"/>
        <v>1771.4871933882994</v>
      </c>
      <c r="I42" s="34">
        <f t="shared" si="29"/>
        <v>1530.3681608678755</v>
      </c>
      <c r="J42" s="34">
        <f t="shared" si="29"/>
        <v>1606.8865689112693</v>
      </c>
      <c r="O42" t="s">
        <v>78</v>
      </c>
      <c r="P42" s="34">
        <f>+P38-P39+P40+P41</f>
        <v>1608.3759238548221</v>
      </c>
      <c r="Q42" s="34">
        <f t="shared" ref="Q42:W42" si="30">+Q38-Q39+Q40+Q41</f>
        <v>2286.542399003582</v>
      </c>
      <c r="R42" s="34">
        <f t="shared" si="30"/>
        <v>3136.809082134153</v>
      </c>
      <c r="S42" s="34">
        <f t="shared" si="30"/>
        <v>3318.157438285446</v>
      </c>
      <c r="T42" s="34">
        <f t="shared" si="30"/>
        <v>2366.7029994063328</v>
      </c>
      <c r="U42" s="34">
        <f t="shared" si="30"/>
        <v>1847.6253517090915</v>
      </c>
      <c r="V42" s="34">
        <f t="shared" si="30"/>
        <v>2081.3969322261805</v>
      </c>
      <c r="W42" s="34">
        <f t="shared" si="30"/>
        <v>2185.46677883749</v>
      </c>
    </row>
    <row r="44" spans="1:23" x14ac:dyDescent="0.2">
      <c r="C44" s="50">
        <v>2024</v>
      </c>
      <c r="D44" s="1">
        <f>+C44+1</f>
        <v>2025</v>
      </c>
      <c r="E44" s="1">
        <f t="shared" ref="E44:H44" si="31">+D44+1</f>
        <v>2026</v>
      </c>
      <c r="F44" s="1">
        <f t="shared" si="31"/>
        <v>2027</v>
      </c>
      <c r="G44" s="1">
        <f t="shared" si="31"/>
        <v>2028</v>
      </c>
      <c r="H44" s="1">
        <f t="shared" si="31"/>
        <v>2029</v>
      </c>
      <c r="I44" s="1" t="s">
        <v>273</v>
      </c>
      <c r="J44" s="1" t="s">
        <v>274</v>
      </c>
      <c r="P44" s="50">
        <v>2024</v>
      </c>
      <c r="Q44" s="1">
        <f>+P44+1</f>
        <v>2025</v>
      </c>
      <c r="R44" s="1">
        <f t="shared" ref="R44:U44" si="32">+Q44+1</f>
        <v>2026</v>
      </c>
      <c r="S44" s="1">
        <f t="shared" si="32"/>
        <v>2027</v>
      </c>
      <c r="T44" s="1">
        <f t="shared" si="32"/>
        <v>2028</v>
      </c>
      <c r="U44" s="1">
        <f t="shared" si="32"/>
        <v>2029</v>
      </c>
      <c r="V44" s="1" t="s">
        <v>273</v>
      </c>
      <c r="W44" s="1" t="s">
        <v>274</v>
      </c>
    </row>
    <row r="45" spans="1:23" x14ac:dyDescent="0.2">
      <c r="B45" t="s">
        <v>75</v>
      </c>
      <c r="C45" s="34">
        <f>+C38</f>
        <v>479.99999999999955</v>
      </c>
      <c r="D45" s="34">
        <f t="shared" ref="D45:J45" si="33">+D38</f>
        <v>1046.1176470588236</v>
      </c>
      <c r="E45" s="34">
        <f t="shared" si="33"/>
        <v>1557.4472727272725</v>
      </c>
      <c r="F45" s="34">
        <f t="shared" si="33"/>
        <v>2040.7139999999999</v>
      </c>
      <c r="G45" s="34">
        <f t="shared" si="33"/>
        <v>2191.9989311999998</v>
      </c>
      <c r="H45" s="34">
        <f t="shared" si="33"/>
        <v>1929.0461299199997</v>
      </c>
      <c r="I45" s="34">
        <f t="shared" si="33"/>
        <v>1617.8177700603253</v>
      </c>
      <c r="J45" s="34">
        <f t="shared" si="33"/>
        <v>1698.7086585633417</v>
      </c>
      <c r="O45" t="s">
        <v>75</v>
      </c>
      <c r="P45" s="34">
        <f>+P38</f>
        <v>479.99999999999955</v>
      </c>
      <c r="Q45" s="34">
        <f t="shared" ref="Q45:W45" si="34">+Q38</f>
        <v>1046.1176470588236</v>
      </c>
      <c r="R45" s="34">
        <f t="shared" si="34"/>
        <v>1557.4472727272725</v>
      </c>
      <c r="S45" s="34">
        <f t="shared" si="34"/>
        <v>2040.7139999999999</v>
      </c>
      <c r="T45" s="34">
        <f t="shared" si="34"/>
        <v>2191.9989311999998</v>
      </c>
      <c r="U45" s="34">
        <f t="shared" si="34"/>
        <v>1929.0461299199997</v>
      </c>
      <c r="V45" s="34">
        <f t="shared" si="34"/>
        <v>2200.3338997819628</v>
      </c>
      <c r="W45" s="34">
        <f t="shared" si="34"/>
        <v>2310.350594771061</v>
      </c>
    </row>
    <row r="46" spans="1:23" x14ac:dyDescent="0.2">
      <c r="B46" t="str">
        <f>+B28</f>
        <v>WACC</v>
      </c>
      <c r="C46" s="2">
        <f t="shared" ref="C46:J46" si="35">+C28</f>
        <v>0.12</v>
      </c>
      <c r="D46" s="2">
        <f t="shared" si="35"/>
        <v>0.11936999999999999</v>
      </c>
      <c r="E46" s="2">
        <f t="shared" si="35"/>
        <v>0.11864999999999999</v>
      </c>
      <c r="F46" s="2">
        <f t="shared" si="35"/>
        <v>0.11767999999999999</v>
      </c>
      <c r="G46" s="2">
        <f t="shared" si="35"/>
        <v>0.11677</v>
      </c>
      <c r="H46" s="2">
        <f t="shared" si="35"/>
        <v>0.1166</v>
      </c>
      <c r="I46" s="2">
        <f t="shared" si="35"/>
        <v>0.1166</v>
      </c>
      <c r="J46" s="2">
        <f t="shared" si="35"/>
        <v>0.1166</v>
      </c>
      <c r="O46" t="str">
        <f>+O28</f>
        <v>WACC</v>
      </c>
      <c r="P46" s="2">
        <f t="shared" ref="P46:W46" si="36">+P28</f>
        <v>0.12</v>
      </c>
      <c r="Q46" s="2">
        <f t="shared" si="36"/>
        <v>0.11936999999999999</v>
      </c>
      <c r="R46" s="2">
        <f t="shared" si="36"/>
        <v>0.11864999999999999</v>
      </c>
      <c r="S46" s="2">
        <f t="shared" si="36"/>
        <v>0.11767999999999999</v>
      </c>
      <c r="T46" s="2">
        <f t="shared" si="36"/>
        <v>0.11677</v>
      </c>
      <c r="U46" s="2">
        <f t="shared" si="36"/>
        <v>0.1166</v>
      </c>
      <c r="V46" s="2">
        <f t="shared" si="36"/>
        <v>0.1166</v>
      </c>
      <c r="W46" s="2">
        <f t="shared" si="36"/>
        <v>0.1166</v>
      </c>
    </row>
    <row r="47" spans="1:23" x14ac:dyDescent="0.2">
      <c r="B47" t="s">
        <v>158</v>
      </c>
      <c r="C47" s="34">
        <f t="shared" ref="C47:G47" si="37">+(C45+D47)/(1+C46)</f>
        <v>18342.230612233852</v>
      </c>
      <c r="D47" s="34">
        <f t="shared" si="37"/>
        <v>20063.298285701916</v>
      </c>
      <c r="E47" s="34">
        <f t="shared" si="37"/>
        <v>21412.136555007328</v>
      </c>
      <c r="F47" s="34">
        <f t="shared" si="37"/>
        <v>22395.239284531672</v>
      </c>
      <c r="G47" s="34">
        <f t="shared" si="37"/>
        <v>22989.997043535361</v>
      </c>
      <c r="H47" s="34">
        <f>+(H45+I47)/(1+H46)</f>
        <v>23482.540067108985</v>
      </c>
      <c r="I47" s="34">
        <f>+I45/(I46-J23)</f>
        <v>24291.558109013895</v>
      </c>
      <c r="J47" s="34">
        <f>+J45/(J46-K23)</f>
        <v>25506.136014464591</v>
      </c>
      <c r="O47" t="s">
        <v>158</v>
      </c>
      <c r="P47" s="34">
        <f t="shared" ref="P47:T47" si="38">+(P45+Q47)/(1+P46)</f>
        <v>22816.982616167112</v>
      </c>
      <c r="Q47" s="34">
        <f t="shared" si="38"/>
        <v>25075.020530107169</v>
      </c>
      <c r="R47" s="34">
        <f t="shared" si="38"/>
        <v>27022.108083727235</v>
      </c>
      <c r="S47" s="34">
        <f t="shared" si="38"/>
        <v>28670.833935134197</v>
      </c>
      <c r="T47" s="34">
        <f t="shared" si="38"/>
        <v>30004.103672620789</v>
      </c>
      <c r="U47" s="34">
        <f>+(U45+V47)/(1+U46)</f>
        <v>31315.683927272716</v>
      </c>
      <c r="V47" s="34">
        <f>+V45/(V46-W23)</f>
        <v>33038.046543272721</v>
      </c>
      <c r="W47" s="69">
        <f>+W45/(W46-X23)</f>
        <v>34689.948870436354</v>
      </c>
    </row>
    <row r="50" spans="2:24" x14ac:dyDescent="0.2">
      <c r="B50" t="s">
        <v>280</v>
      </c>
      <c r="C50" s="34">
        <f>+C45+C40</f>
        <v>479.99999999999955</v>
      </c>
      <c r="D50" s="34">
        <f t="shared" ref="D50:J50" si="39">+D45+D40</f>
        <v>1058.7575249788158</v>
      </c>
      <c r="E50" s="34">
        <f t="shared" si="39"/>
        <v>1586.3536570765325</v>
      </c>
      <c r="F50" s="34">
        <f t="shared" si="39"/>
        <v>2092.6709551401136</v>
      </c>
      <c r="G50" s="34">
        <f t="shared" si="39"/>
        <v>2266.2566216506189</v>
      </c>
      <c r="H50" s="34">
        <f t="shared" si="39"/>
        <v>2008.8867661481702</v>
      </c>
      <c r="I50" s="34">
        <f t="shared" si="39"/>
        <v>1700.4090676309725</v>
      </c>
      <c r="J50" s="34">
        <f t="shared" si="39"/>
        <v>1785.4295210125213</v>
      </c>
      <c r="O50" t="s">
        <v>280</v>
      </c>
      <c r="P50" s="34">
        <f>+P45+P40</f>
        <v>479.99999999999955</v>
      </c>
      <c r="Q50" s="34">
        <f t="shared" ref="Q50:W50" si="40">+Q45+Q40</f>
        <v>1061.9149099927911</v>
      </c>
      <c r="R50" s="34">
        <f t="shared" si="40"/>
        <v>1593.9271186403043</v>
      </c>
      <c r="S50" s="34">
        <f t="shared" si="40"/>
        <v>2107.2303347295115</v>
      </c>
      <c r="T50" s="34">
        <f t="shared" si="40"/>
        <v>2288.9121860625651</v>
      </c>
      <c r="U50" s="34">
        <f t="shared" si="40"/>
        <v>2035.5194552727269</v>
      </c>
      <c r="V50" s="34">
        <f t="shared" si="40"/>
        <v>2312.6632580290902</v>
      </c>
      <c r="W50" s="34">
        <f t="shared" si="40"/>
        <v>2428.2964209305446</v>
      </c>
    </row>
    <row r="51" spans="2:24" x14ac:dyDescent="0.2">
      <c r="B51" t="s">
        <v>158</v>
      </c>
      <c r="C51" s="34">
        <f t="shared" ref="C51:G51" si="41">+(C50+D51)/(1+C26)</f>
        <v>18342.230612233845</v>
      </c>
      <c r="D51" s="34">
        <f t="shared" si="41"/>
        <v>20063.298285701909</v>
      </c>
      <c r="E51" s="34">
        <f t="shared" si="41"/>
        <v>21412.136555007324</v>
      </c>
      <c r="F51" s="34">
        <f t="shared" si="41"/>
        <v>22395.239284531672</v>
      </c>
      <c r="G51" s="34">
        <f t="shared" si="41"/>
        <v>22989.997043535361</v>
      </c>
      <c r="H51" s="34">
        <f>+(H50+I51)/(1+H26)</f>
        <v>23482.540067108985</v>
      </c>
      <c r="I51" s="34">
        <f>+I50/(J26-J23)</f>
        <v>24291.558109013895</v>
      </c>
      <c r="J51" s="34">
        <f>+J50/(K26-K23)</f>
        <v>25506.136014464591</v>
      </c>
      <c r="O51" t="s">
        <v>158</v>
      </c>
      <c r="P51" s="34">
        <f t="shared" ref="P51:T51" si="42">+(P50+Q51)/(1+P26)</f>
        <v>22816.982616167104</v>
      </c>
      <c r="Q51" s="34">
        <f t="shared" si="42"/>
        <v>25075.020530107158</v>
      </c>
      <c r="R51" s="34">
        <f t="shared" si="42"/>
        <v>27022.108083727227</v>
      </c>
      <c r="S51" s="34">
        <f t="shared" si="42"/>
        <v>28670.833935134193</v>
      </c>
      <c r="T51" s="34">
        <f t="shared" si="42"/>
        <v>30004.103672620786</v>
      </c>
      <c r="U51" s="34">
        <f>+(U50+V51)/(1+U26)</f>
        <v>31315.683927272719</v>
      </c>
      <c r="V51" s="34">
        <f>+V50/(W26-W23)</f>
        <v>33038.046543272721</v>
      </c>
      <c r="W51" s="34">
        <f>+W50/(X26-X23)</f>
        <v>34689.948870436354</v>
      </c>
    </row>
    <row r="52" spans="2:24" x14ac:dyDescent="0.2">
      <c r="B52" s="70" t="s">
        <v>281</v>
      </c>
      <c r="C52" s="71">
        <f>+C51-C47</f>
        <v>0</v>
      </c>
      <c r="D52" s="71">
        <f t="shared" ref="D52:J52" si="43">+D51-D47</f>
        <v>0</v>
      </c>
      <c r="E52" s="71">
        <f t="shared" si="43"/>
        <v>0</v>
      </c>
      <c r="F52" s="71">
        <f t="shared" si="43"/>
        <v>0</v>
      </c>
      <c r="G52" s="71">
        <f t="shared" si="43"/>
        <v>0</v>
      </c>
      <c r="H52" s="71">
        <f t="shared" si="43"/>
        <v>0</v>
      </c>
      <c r="I52" s="71">
        <f t="shared" si="43"/>
        <v>0</v>
      </c>
      <c r="J52" s="71">
        <f t="shared" si="43"/>
        <v>0</v>
      </c>
      <c r="O52" s="70" t="s">
        <v>281</v>
      </c>
      <c r="P52" s="71">
        <f>+P51-P47</f>
        <v>0</v>
      </c>
      <c r="Q52" s="71">
        <f t="shared" ref="Q52:W52" si="44">+Q51-Q47</f>
        <v>0</v>
      </c>
      <c r="R52" s="71">
        <f t="shared" si="44"/>
        <v>0</v>
      </c>
      <c r="S52" s="71">
        <f t="shared" si="44"/>
        <v>0</v>
      </c>
      <c r="T52" s="71">
        <f t="shared" si="44"/>
        <v>0</v>
      </c>
      <c r="U52" s="71">
        <f t="shared" si="44"/>
        <v>0</v>
      </c>
      <c r="V52" s="71">
        <f t="shared" si="44"/>
        <v>0</v>
      </c>
      <c r="W52" s="71">
        <f t="shared" si="44"/>
        <v>0</v>
      </c>
    </row>
    <row r="54" spans="2:24" x14ac:dyDescent="0.2">
      <c r="B54" t="s">
        <v>78</v>
      </c>
      <c r="C54" s="34">
        <f>+C42</f>
        <v>1382.8484228565858</v>
      </c>
      <c r="D54" s="34">
        <f t="shared" ref="D54:J54" si="45">+D42</f>
        <v>2019.8020024729281</v>
      </c>
      <c r="E54" s="34">
        <f t="shared" si="45"/>
        <v>2762.0391416366656</v>
      </c>
      <c r="F54" s="34">
        <f t="shared" si="45"/>
        <v>2953.6759214541726</v>
      </c>
      <c r="G54" s="34">
        <f t="shared" si="45"/>
        <v>2223.3767445476005</v>
      </c>
      <c r="H54" s="34">
        <f t="shared" si="45"/>
        <v>1771.4871933882994</v>
      </c>
      <c r="I54" s="34">
        <f t="shared" si="45"/>
        <v>1530.3681608678755</v>
      </c>
      <c r="J54" s="34">
        <f t="shared" si="45"/>
        <v>1606.8865689112693</v>
      </c>
      <c r="O54" t="s">
        <v>78</v>
      </c>
      <c r="P54" s="34">
        <f>+P42</f>
        <v>1608.3759238548221</v>
      </c>
      <c r="Q54" s="34">
        <f t="shared" ref="Q54:W54" si="46">+Q42</f>
        <v>2286.542399003582</v>
      </c>
      <c r="R54" s="34">
        <f t="shared" si="46"/>
        <v>3136.809082134153</v>
      </c>
      <c r="S54" s="34">
        <f t="shared" si="46"/>
        <v>3318.157438285446</v>
      </c>
      <c r="T54" s="34">
        <f t="shared" si="46"/>
        <v>2366.7029994063328</v>
      </c>
      <c r="U54" s="34">
        <f t="shared" si="46"/>
        <v>1847.6253517090915</v>
      </c>
      <c r="V54" s="34">
        <f t="shared" si="46"/>
        <v>2081.3969322261805</v>
      </c>
      <c r="W54" s="34">
        <f t="shared" si="46"/>
        <v>2185.46677883749</v>
      </c>
    </row>
    <row r="55" spans="2:24" x14ac:dyDescent="0.2">
      <c r="B55" t="s">
        <v>163</v>
      </c>
      <c r="C55" s="2">
        <f>+(C26-C25*C24)/(1-C24)</f>
        <v>0.12</v>
      </c>
      <c r="D55" s="2">
        <f t="shared" ref="D55:J55" si="47">+(D26-D25*D24)/(1-D24)</f>
        <v>0.12235602094240838</v>
      </c>
      <c r="E55" s="2">
        <f t="shared" si="47"/>
        <v>0.12445054945054944</v>
      </c>
      <c r="F55" s="2">
        <f t="shared" si="47"/>
        <v>0.12678362573099414</v>
      </c>
      <c r="G55" s="2">
        <f t="shared" si="47"/>
        <v>0.12820987654320987</v>
      </c>
      <c r="H55" s="2">
        <f t="shared" si="47"/>
        <v>0.12874999999999998</v>
      </c>
      <c r="I55" s="2">
        <f t="shared" si="47"/>
        <v>0.12874999999999998</v>
      </c>
      <c r="J55" s="2">
        <f t="shared" si="47"/>
        <v>0.12874999999999998</v>
      </c>
      <c r="O55" t="s">
        <v>163</v>
      </c>
      <c r="P55" s="2">
        <f>+(P26-P25*P24)/(1-P24)</f>
        <v>0.12</v>
      </c>
      <c r="Q55" s="2">
        <f t="shared" ref="Q55:W55" si="48">+(Q26-Q25*Q24)/(1-Q24)</f>
        <v>0.12235602094240838</v>
      </c>
      <c r="R55" s="2">
        <f t="shared" si="48"/>
        <v>0.12445054945054944</v>
      </c>
      <c r="S55" s="2">
        <f t="shared" si="48"/>
        <v>0.12678362573099414</v>
      </c>
      <c r="T55" s="2">
        <f t="shared" si="48"/>
        <v>0.12820987654320987</v>
      </c>
      <c r="U55" s="2">
        <f t="shared" si="48"/>
        <v>0.12874999999999998</v>
      </c>
      <c r="V55" s="2">
        <f t="shared" si="48"/>
        <v>0.12874999999999998</v>
      </c>
      <c r="W55" s="2">
        <f t="shared" si="48"/>
        <v>0.12874999999999998</v>
      </c>
    </row>
    <row r="56" spans="2:24" x14ac:dyDescent="0.2">
      <c r="B56" t="s">
        <v>165</v>
      </c>
      <c r="C56" s="34">
        <f t="shared" ref="C56:G56" si="49">+(C54+D56)/(1+C55)</f>
        <v>18342.230612233856</v>
      </c>
      <c r="D56" s="34">
        <f t="shared" si="49"/>
        <v>19160.449862845333</v>
      </c>
      <c r="E56" s="34">
        <f t="shared" si="49"/>
        <v>19485.044265056677</v>
      </c>
      <c r="F56" s="34">
        <f t="shared" si="49"/>
        <v>19147.92958827459</v>
      </c>
      <c r="G56" s="34">
        <f t="shared" si="49"/>
        <v>18621.897605263654</v>
      </c>
      <c r="H56" s="34">
        <f>+(H54+I56)/(1+H55)</f>
        <v>18786.032053687199</v>
      </c>
      <c r="I56" s="34">
        <f>+I54/(I55-J23)</f>
        <v>19433.246487211123</v>
      </c>
      <c r="J56" s="34">
        <f>+J54/(J55-K23)</f>
        <v>20404.90881157168</v>
      </c>
      <c r="O56" t="s">
        <v>165</v>
      </c>
      <c r="P56" s="34">
        <f t="shared" ref="P56:T56" si="50">+(P54+Q56)/(1+P55)</f>
        <v>22816.982616167112</v>
      </c>
      <c r="Q56" s="34">
        <f t="shared" si="50"/>
        <v>23946.644606252346</v>
      </c>
      <c r="R56" s="34">
        <f t="shared" si="50"/>
        <v>24590.118356191786</v>
      </c>
      <c r="S56" s="34">
        <f t="shared" si="50"/>
        <v>24513.563014539741</v>
      </c>
      <c r="T56" s="34">
        <f t="shared" si="50"/>
        <v>24303.323974822844</v>
      </c>
      <c r="U56" s="34">
        <f>+(U54+V56)/(1+U55)</f>
        <v>25052.547141818177</v>
      </c>
      <c r="V56" s="34">
        <f>+V54/(V55-W23)</f>
        <v>26430.437234618174</v>
      </c>
      <c r="W56" s="34">
        <f>+W54/(W55-X23)</f>
        <v>27751.959096349088</v>
      </c>
    </row>
    <row r="57" spans="2:24" x14ac:dyDescent="0.2">
      <c r="B57" t="s">
        <v>158</v>
      </c>
      <c r="C57" s="34">
        <f>+C56+C32</f>
        <v>18342.230612233856</v>
      </c>
      <c r="D57" s="34">
        <f t="shared" ref="D57:J57" si="51">+D56+D32</f>
        <v>20063.29828570192</v>
      </c>
      <c r="E57" s="34">
        <f t="shared" si="51"/>
        <v>21412.136555007335</v>
      </c>
      <c r="F57" s="34">
        <f t="shared" si="51"/>
        <v>22395.239284531683</v>
      </c>
      <c r="G57" s="34">
        <f t="shared" si="51"/>
        <v>22989.997043535372</v>
      </c>
      <c r="H57" s="34">
        <f t="shared" si="51"/>
        <v>23482.540067108996</v>
      </c>
      <c r="I57" s="34">
        <f t="shared" si="51"/>
        <v>24291.558109013902</v>
      </c>
      <c r="J57" s="34">
        <f t="shared" si="51"/>
        <v>25506.136014464599</v>
      </c>
      <c r="O57" t="s">
        <v>158</v>
      </c>
      <c r="P57" s="34">
        <f>+P56+P32</f>
        <v>22816.982616167112</v>
      </c>
      <c r="Q57" s="34">
        <f t="shared" ref="Q57:W57" si="52">+Q56+Q32</f>
        <v>25075.020530107169</v>
      </c>
      <c r="R57" s="34">
        <f t="shared" si="52"/>
        <v>27022.108083727238</v>
      </c>
      <c r="S57" s="34">
        <f t="shared" si="52"/>
        <v>28670.8339351342</v>
      </c>
      <c r="T57" s="34">
        <f t="shared" si="52"/>
        <v>30004.103672620793</v>
      </c>
      <c r="U57" s="34">
        <f t="shared" si="52"/>
        <v>31315.683927272719</v>
      </c>
      <c r="V57" s="34">
        <f t="shared" si="52"/>
        <v>33038.046543272721</v>
      </c>
      <c r="W57" s="34">
        <f t="shared" si="52"/>
        <v>34689.948870436361</v>
      </c>
    </row>
    <row r="58" spans="2:24" x14ac:dyDescent="0.2">
      <c r="B58" s="70" t="s">
        <v>281</v>
      </c>
      <c r="C58" s="71">
        <f>+C57-C51</f>
        <v>0</v>
      </c>
      <c r="D58" s="71">
        <f t="shared" ref="D58:J58" si="53">+D57-D51</f>
        <v>0</v>
      </c>
      <c r="E58" s="71">
        <f t="shared" si="53"/>
        <v>0</v>
      </c>
      <c r="F58" s="71">
        <f t="shared" si="53"/>
        <v>0</v>
      </c>
      <c r="G58" s="71">
        <f t="shared" si="53"/>
        <v>0</v>
      </c>
      <c r="H58" s="71">
        <f t="shared" si="53"/>
        <v>0</v>
      </c>
      <c r="I58" s="71">
        <f t="shared" si="53"/>
        <v>0</v>
      </c>
      <c r="J58" s="71">
        <f t="shared" si="53"/>
        <v>0</v>
      </c>
      <c r="O58" s="70" t="s">
        <v>281</v>
      </c>
      <c r="P58" s="71">
        <f>+P57-P51</f>
        <v>0</v>
      </c>
      <c r="Q58" s="71">
        <f t="shared" ref="Q58:W58" si="54">+Q57-Q51</f>
        <v>0</v>
      </c>
      <c r="R58" s="71">
        <f t="shared" si="54"/>
        <v>0</v>
      </c>
      <c r="S58" s="71">
        <f t="shared" si="54"/>
        <v>0</v>
      </c>
      <c r="T58" s="71">
        <f t="shared" si="54"/>
        <v>0</v>
      </c>
      <c r="U58" s="71">
        <f t="shared" si="54"/>
        <v>0</v>
      </c>
      <c r="V58" s="71">
        <f t="shared" si="54"/>
        <v>0</v>
      </c>
      <c r="W58" s="71">
        <f t="shared" si="54"/>
        <v>0</v>
      </c>
    </row>
    <row r="59" spans="2:24" x14ac:dyDescent="0.2">
      <c r="B59" t="s">
        <v>240</v>
      </c>
      <c r="C59" s="72">
        <f>+C31</f>
        <v>15000</v>
      </c>
      <c r="D59" s="72">
        <f t="shared" ref="D59:J59" si="55">+D31</f>
        <v>16920</v>
      </c>
      <c r="E59" s="72">
        <f t="shared" si="55"/>
        <v>18609.882352941175</v>
      </c>
      <c r="F59" s="72">
        <f t="shared" si="55"/>
        <v>20075.7150802139</v>
      </c>
      <c r="G59" s="72">
        <f t="shared" si="55"/>
        <v>21300.143480213901</v>
      </c>
      <c r="H59" s="72">
        <f t="shared" si="55"/>
        <v>22569.1954930139</v>
      </c>
      <c r="I59" s="72">
        <f t="shared" si="55"/>
        <v>24291.558109013899</v>
      </c>
      <c r="J59" s="72">
        <f t="shared" si="55"/>
        <v>25506.136014464595</v>
      </c>
      <c r="O59" t="s">
        <v>240</v>
      </c>
      <c r="P59" s="72">
        <f>+P31</f>
        <v>15000</v>
      </c>
      <c r="Q59" s="72">
        <f t="shared" ref="Q59:W59" si="56">+Q31</f>
        <v>16920</v>
      </c>
      <c r="R59" s="72">
        <f t="shared" si="56"/>
        <v>18609.882352941175</v>
      </c>
      <c r="S59" s="72">
        <f t="shared" si="56"/>
        <v>20075.7150802139</v>
      </c>
      <c r="T59" s="72">
        <f t="shared" si="56"/>
        <v>21300.143480213901</v>
      </c>
      <c r="U59" s="72">
        <f t="shared" si="56"/>
        <v>22569.1954930139</v>
      </c>
      <c r="V59" s="72">
        <f t="shared" si="56"/>
        <v>24291.558109013899</v>
      </c>
      <c r="W59" s="72">
        <f t="shared" si="56"/>
        <v>25943.460436177535</v>
      </c>
    </row>
    <row r="61" spans="2:24" x14ac:dyDescent="0.2">
      <c r="B61" t="s">
        <v>81</v>
      </c>
      <c r="C61" s="72">
        <f>+C36</f>
        <v>2400</v>
      </c>
      <c r="D61" s="72">
        <f t="shared" ref="D61:J61" si="57">+D36</f>
        <v>2736</v>
      </c>
      <c r="E61" s="72">
        <f t="shared" si="57"/>
        <v>3023.2799999999997</v>
      </c>
      <c r="F61" s="72">
        <f t="shared" si="57"/>
        <v>3265.1423999999997</v>
      </c>
      <c r="G61" s="72">
        <f t="shared" si="57"/>
        <v>3461.0509439999996</v>
      </c>
      <c r="H61" s="72">
        <f t="shared" si="57"/>
        <v>3651.4087459199995</v>
      </c>
      <c r="I61" s="72">
        <f t="shared" si="57"/>
        <v>2832.3956755110203</v>
      </c>
      <c r="J61" s="72">
        <f t="shared" si="57"/>
        <v>2974.0154592865715</v>
      </c>
      <c r="O61" t="s">
        <v>81</v>
      </c>
      <c r="P61" s="72">
        <f>+P36</f>
        <v>2400</v>
      </c>
      <c r="Q61" s="72">
        <f t="shared" ref="Q61:W61" si="58">+Q36</f>
        <v>2736</v>
      </c>
      <c r="R61" s="72">
        <f t="shared" si="58"/>
        <v>3023.2799999999997</v>
      </c>
      <c r="S61" s="72">
        <f t="shared" si="58"/>
        <v>3265.1423999999997</v>
      </c>
      <c r="T61" s="72">
        <f t="shared" si="58"/>
        <v>3461.0509439999996</v>
      </c>
      <c r="U61" s="72">
        <f t="shared" si="58"/>
        <v>3651.4087459199995</v>
      </c>
      <c r="V61" s="72">
        <f t="shared" si="58"/>
        <v>3852.2362269455994</v>
      </c>
      <c r="W61" s="72">
        <f t="shared" si="58"/>
        <v>4044.8480382928792</v>
      </c>
    </row>
    <row r="62" spans="2:24" x14ac:dyDescent="0.2">
      <c r="B62" t="s">
        <v>282</v>
      </c>
      <c r="C62">
        <f>+C59*C28</f>
        <v>1800</v>
      </c>
      <c r="D62">
        <f t="shared" ref="D62:J62" si="59">+D59*D28</f>
        <v>2019.7403999999999</v>
      </c>
      <c r="E62">
        <f t="shared" si="59"/>
        <v>2208.0625411764704</v>
      </c>
      <c r="F62">
        <f t="shared" si="59"/>
        <v>2362.5101506395717</v>
      </c>
      <c r="G62">
        <f t="shared" si="59"/>
        <v>2487.2177541845772</v>
      </c>
      <c r="H62">
        <f t="shared" si="59"/>
        <v>2631.5681944854205</v>
      </c>
      <c r="I62">
        <f t="shared" si="59"/>
        <v>2832.3956755110203</v>
      </c>
      <c r="J62">
        <f t="shared" si="59"/>
        <v>2974.0154592865715</v>
      </c>
      <c r="O62" t="s">
        <v>282</v>
      </c>
      <c r="P62">
        <f>+P59*P28</f>
        <v>1800</v>
      </c>
      <c r="Q62">
        <f t="shared" ref="Q62:W62" si="60">+Q59*Q28</f>
        <v>2019.7403999999999</v>
      </c>
      <c r="R62">
        <f t="shared" si="60"/>
        <v>2208.0625411764704</v>
      </c>
      <c r="S62">
        <f t="shared" si="60"/>
        <v>2362.5101506395717</v>
      </c>
      <c r="T62">
        <f t="shared" si="60"/>
        <v>2487.2177541845772</v>
      </c>
      <c r="U62">
        <f t="shared" si="60"/>
        <v>2631.5681944854205</v>
      </c>
      <c r="V62">
        <f t="shared" si="60"/>
        <v>2832.3956755110203</v>
      </c>
      <c r="W62">
        <f t="shared" si="60"/>
        <v>3025.0074868583006</v>
      </c>
    </row>
    <row r="63" spans="2:24" x14ac:dyDescent="0.2">
      <c r="B63" t="s">
        <v>283</v>
      </c>
      <c r="C63" s="72">
        <f>+C61-C62</f>
        <v>600</v>
      </c>
      <c r="D63" s="72">
        <f t="shared" ref="D63:J63" si="61">+D61-D62</f>
        <v>716.25960000000009</v>
      </c>
      <c r="E63" s="72">
        <f t="shared" si="61"/>
        <v>815.21745882352934</v>
      </c>
      <c r="F63" s="72">
        <f t="shared" si="61"/>
        <v>902.63224936042798</v>
      </c>
      <c r="G63" s="72">
        <f t="shared" si="61"/>
        <v>973.83318981542243</v>
      </c>
      <c r="H63" s="72">
        <f t="shared" si="61"/>
        <v>1019.8405514345791</v>
      </c>
      <c r="I63" s="72">
        <f t="shared" si="61"/>
        <v>0</v>
      </c>
      <c r="J63" s="72">
        <f t="shared" si="61"/>
        <v>0</v>
      </c>
      <c r="O63" t="s">
        <v>283</v>
      </c>
      <c r="P63" s="72">
        <f>+P61-P62</f>
        <v>600</v>
      </c>
      <c r="Q63" s="72">
        <f t="shared" ref="Q63:W63" si="62">+Q61-Q62</f>
        <v>716.25960000000009</v>
      </c>
      <c r="R63" s="72">
        <f t="shared" si="62"/>
        <v>815.21745882352934</v>
      </c>
      <c r="S63" s="72">
        <f t="shared" si="62"/>
        <v>902.63224936042798</v>
      </c>
      <c r="T63" s="72">
        <f t="shared" si="62"/>
        <v>973.83318981542243</v>
      </c>
      <c r="U63" s="72">
        <f t="shared" si="62"/>
        <v>1019.8405514345791</v>
      </c>
      <c r="V63" s="72">
        <f t="shared" si="62"/>
        <v>1019.8405514345791</v>
      </c>
      <c r="W63" s="72">
        <f t="shared" si="62"/>
        <v>1019.8405514345786</v>
      </c>
    </row>
    <row r="64" spans="2:24" x14ac:dyDescent="0.2">
      <c r="B64" t="s">
        <v>238</v>
      </c>
      <c r="C64" s="72">
        <f t="shared" ref="C64:H64" si="63">+(C63+D64)/(1+C46)</f>
        <v>3342.2306122338564</v>
      </c>
      <c r="D64" s="72">
        <f t="shared" si="63"/>
        <v>3143.2982857019197</v>
      </c>
      <c r="E64" s="72">
        <f t="shared" si="63"/>
        <v>2802.2542020661581</v>
      </c>
      <c r="F64" s="72">
        <f t="shared" si="63"/>
        <v>2319.5242043177782</v>
      </c>
      <c r="G64" s="72">
        <f t="shared" si="63"/>
        <v>1689.8535633214663</v>
      </c>
      <c r="H64" s="72">
        <f t="shared" si="63"/>
        <v>913.34457409509139</v>
      </c>
      <c r="I64" s="72">
        <f>+(I63+J64)/(1+I46)</f>
        <v>0</v>
      </c>
      <c r="J64" s="73">
        <f>+J57-J59</f>
        <v>0</v>
      </c>
      <c r="K64" s="74">
        <f>+J63/J28+J37*(K22-K28)/(K28*(K28-K23))</f>
        <v>0</v>
      </c>
      <c r="O64" t="s">
        <v>238</v>
      </c>
      <c r="P64" s="72">
        <f t="shared" ref="P64:U64" si="64">+(P63+Q64)/(1+P46)</f>
        <v>7816.9826161671181</v>
      </c>
      <c r="Q64" s="72">
        <f t="shared" si="64"/>
        <v>8155.0205301071719</v>
      </c>
      <c r="R64" s="72">
        <f t="shared" si="64"/>
        <v>8412.2257307860655</v>
      </c>
      <c r="S64" s="72">
        <f t="shared" si="64"/>
        <v>8595.1188549203016</v>
      </c>
      <c r="T64" s="72">
        <f t="shared" si="64"/>
        <v>8703.9601924068957</v>
      </c>
      <c r="U64" s="72">
        <f t="shared" si="64"/>
        <v>8746.4884342588266</v>
      </c>
      <c r="V64" s="72">
        <f>+(V63+W64)/(1+V46)</f>
        <v>8746.4884342588266</v>
      </c>
      <c r="W64" s="73">
        <f>+W57-W59</f>
        <v>8746.4884342588266</v>
      </c>
      <c r="X64" s="74">
        <f>+W63/W28+W37*(X22-X28)/(X28*(X28-X23))</f>
        <v>8746.488434258823</v>
      </c>
    </row>
    <row r="65" spans="2:23" x14ac:dyDescent="0.2">
      <c r="B65" t="s">
        <v>284</v>
      </c>
      <c r="C65" s="72">
        <f>+C59</f>
        <v>15000</v>
      </c>
      <c r="D65" s="72">
        <f t="shared" ref="D65:J65" si="65">+D59</f>
        <v>16920</v>
      </c>
      <c r="E65" s="72">
        <f t="shared" si="65"/>
        <v>18609.882352941175</v>
      </c>
      <c r="F65" s="72">
        <f t="shared" si="65"/>
        <v>20075.7150802139</v>
      </c>
      <c r="G65" s="72">
        <f t="shared" si="65"/>
        <v>21300.143480213901</v>
      </c>
      <c r="H65" s="72">
        <f t="shared" si="65"/>
        <v>22569.1954930139</v>
      </c>
      <c r="I65" s="72">
        <f t="shared" si="65"/>
        <v>24291.558109013899</v>
      </c>
      <c r="J65" s="72">
        <f t="shared" si="65"/>
        <v>25506.136014464595</v>
      </c>
      <c r="O65" t="s">
        <v>284</v>
      </c>
      <c r="P65" s="72">
        <f>+P59</f>
        <v>15000</v>
      </c>
      <c r="Q65" s="72">
        <f t="shared" ref="Q65:W65" si="66">+Q59</f>
        <v>16920</v>
      </c>
      <c r="R65" s="72">
        <f t="shared" si="66"/>
        <v>18609.882352941175</v>
      </c>
      <c r="S65" s="72">
        <f t="shared" si="66"/>
        <v>20075.7150802139</v>
      </c>
      <c r="T65" s="72">
        <f t="shared" si="66"/>
        <v>21300.143480213901</v>
      </c>
      <c r="U65" s="72">
        <f t="shared" si="66"/>
        <v>22569.1954930139</v>
      </c>
      <c r="V65" s="72">
        <f t="shared" si="66"/>
        <v>24291.558109013899</v>
      </c>
      <c r="W65" s="72">
        <f t="shared" si="66"/>
        <v>25943.460436177535</v>
      </c>
    </row>
    <row r="66" spans="2:23" x14ac:dyDescent="0.2">
      <c r="B66" t="s">
        <v>158</v>
      </c>
      <c r="C66" s="72">
        <f>+C64+C65</f>
        <v>18342.230612233856</v>
      </c>
      <c r="D66" s="72">
        <f t="shared" ref="D66:J66" si="67">+D64+D65</f>
        <v>20063.29828570192</v>
      </c>
      <c r="E66" s="72">
        <f t="shared" si="67"/>
        <v>21412.136555007331</v>
      </c>
      <c r="F66" s="72">
        <f t="shared" si="67"/>
        <v>22395.239284531679</v>
      </c>
      <c r="G66" s="72">
        <f t="shared" si="67"/>
        <v>22989.997043535368</v>
      </c>
      <c r="H66" s="72">
        <f t="shared" si="67"/>
        <v>23482.540067108992</v>
      </c>
      <c r="I66" s="72">
        <f t="shared" si="67"/>
        <v>24291.558109013899</v>
      </c>
      <c r="J66" s="72">
        <f t="shared" si="67"/>
        <v>25506.136014464595</v>
      </c>
      <c r="O66" t="s">
        <v>158</v>
      </c>
      <c r="P66" s="72">
        <f>+P64+P65</f>
        <v>22816.982616167119</v>
      </c>
      <c r="Q66" s="72">
        <f t="shared" ref="Q66:W66" si="68">+Q64+Q65</f>
        <v>25075.020530107173</v>
      </c>
      <c r="R66" s="72">
        <f t="shared" si="68"/>
        <v>27022.108083727238</v>
      </c>
      <c r="S66" s="72">
        <f t="shared" si="68"/>
        <v>28670.8339351342</v>
      </c>
      <c r="T66" s="72">
        <f t="shared" si="68"/>
        <v>30004.103672620797</v>
      </c>
      <c r="U66" s="72">
        <f t="shared" si="68"/>
        <v>31315.683927272727</v>
      </c>
      <c r="V66" s="72">
        <f t="shared" si="68"/>
        <v>33038.046543272721</v>
      </c>
      <c r="W66" s="72">
        <f t="shared" si="68"/>
        <v>34689.948870436361</v>
      </c>
    </row>
    <row r="67" spans="2:23" x14ac:dyDescent="0.2">
      <c r="B67" s="70" t="s">
        <v>281</v>
      </c>
      <c r="C67" s="71">
        <f>+C66-C57</f>
        <v>0</v>
      </c>
      <c r="D67" s="71">
        <f t="shared" ref="D67:J67" si="69">+D66-D57</f>
        <v>0</v>
      </c>
      <c r="E67" s="71">
        <f t="shared" si="69"/>
        <v>0</v>
      </c>
      <c r="F67" s="71">
        <f t="shared" si="69"/>
        <v>0</v>
      </c>
      <c r="G67" s="71">
        <f t="shared" si="69"/>
        <v>0</v>
      </c>
      <c r="H67" s="71">
        <f t="shared" si="69"/>
        <v>0</v>
      </c>
      <c r="I67" s="71">
        <f t="shared" si="69"/>
        <v>0</v>
      </c>
      <c r="J67" s="71">
        <f t="shared" si="69"/>
        <v>0</v>
      </c>
      <c r="O67" s="70" t="s">
        <v>281</v>
      </c>
      <c r="P67" s="71">
        <f>+P66-P57</f>
        <v>0</v>
      </c>
      <c r="Q67" s="71">
        <f t="shared" ref="Q67:W67" si="70">+Q66-Q57</f>
        <v>0</v>
      </c>
      <c r="R67" s="71">
        <f t="shared" si="70"/>
        <v>0</v>
      </c>
      <c r="S67" s="71">
        <f t="shared" si="70"/>
        <v>0</v>
      </c>
      <c r="T67" s="71">
        <f t="shared" si="70"/>
        <v>0</v>
      </c>
      <c r="U67" s="71">
        <f t="shared" si="70"/>
        <v>0</v>
      </c>
      <c r="V67" s="71">
        <f t="shared" si="70"/>
        <v>0</v>
      </c>
      <c r="W67" s="71">
        <f t="shared" si="70"/>
        <v>0</v>
      </c>
    </row>
    <row r="69" spans="2:23" x14ac:dyDescent="0.2">
      <c r="B69" t="s">
        <v>128</v>
      </c>
      <c r="C69" s="72">
        <f>+C61/(1-C27)</f>
        <v>3000</v>
      </c>
      <c r="D69" s="72">
        <f t="shared" ref="D69:J69" si="71">+D61/(1-D27)</f>
        <v>3420</v>
      </c>
      <c r="E69" s="72">
        <f t="shared" si="71"/>
        <v>3779.0999999999995</v>
      </c>
      <c r="F69" s="72">
        <f t="shared" si="71"/>
        <v>4081.4279999999994</v>
      </c>
      <c r="G69" s="72">
        <f t="shared" si="71"/>
        <v>4326.3136799999993</v>
      </c>
      <c r="H69" s="72">
        <f t="shared" si="71"/>
        <v>4564.2609323999995</v>
      </c>
      <c r="I69" s="72">
        <f t="shared" si="71"/>
        <v>3540.4945943887751</v>
      </c>
      <c r="J69" s="72">
        <f t="shared" si="71"/>
        <v>3717.5193241082143</v>
      </c>
      <c r="O69" t="s">
        <v>128</v>
      </c>
      <c r="P69" s="72">
        <f>+P61/(1-P27)</f>
        <v>3000</v>
      </c>
      <c r="Q69" s="72">
        <f t="shared" ref="Q69:W69" si="72">+Q61/(1-Q27)</f>
        <v>3420</v>
      </c>
      <c r="R69" s="72">
        <f t="shared" si="72"/>
        <v>3779.0999999999995</v>
      </c>
      <c r="S69" s="72">
        <f t="shared" si="72"/>
        <v>4081.4279999999994</v>
      </c>
      <c r="T69" s="72">
        <f t="shared" si="72"/>
        <v>4326.3136799999993</v>
      </c>
      <c r="U69" s="72">
        <f t="shared" si="72"/>
        <v>4564.2609323999995</v>
      </c>
      <c r="V69" s="72">
        <f t="shared" si="72"/>
        <v>4815.2952836819986</v>
      </c>
      <c r="W69" s="72">
        <f t="shared" si="72"/>
        <v>5056.060047866099</v>
      </c>
    </row>
    <row r="70" spans="2:23" x14ac:dyDescent="0.2">
      <c r="B70" t="s">
        <v>32</v>
      </c>
      <c r="C70" s="72">
        <f>+C39</f>
        <v>0</v>
      </c>
      <c r="D70" s="72">
        <f t="shared" ref="D70:J70" si="73">+D39</f>
        <v>63.199389599961044</v>
      </c>
      <c r="E70" s="72">
        <f t="shared" si="73"/>
        <v>144.53192174629945</v>
      </c>
      <c r="F70" s="72">
        <f t="shared" si="73"/>
        <v>259.78477570056737</v>
      </c>
      <c r="G70" s="72">
        <f t="shared" si="73"/>
        <v>371.28845225309612</v>
      </c>
      <c r="H70" s="72">
        <f t="shared" si="73"/>
        <v>399.20318114085279</v>
      </c>
      <c r="I70" s="72">
        <f t="shared" si="73"/>
        <v>412.95648785323624</v>
      </c>
      <c r="J70" s="72">
        <f t="shared" si="73"/>
        <v>433.60431224589809</v>
      </c>
      <c r="O70" t="s">
        <v>32</v>
      </c>
      <c r="P70" s="72">
        <f>+P39</f>
        <v>0</v>
      </c>
      <c r="Q70" s="72">
        <f t="shared" ref="Q70:W70" si="74">+Q39</f>
        <v>78.986314669837583</v>
      </c>
      <c r="R70" s="72">
        <f t="shared" si="74"/>
        <v>182.39922956515883</v>
      </c>
      <c r="S70" s="72">
        <f t="shared" si="74"/>
        <v>332.58167364755667</v>
      </c>
      <c r="T70" s="72">
        <f t="shared" si="74"/>
        <v>484.56627431282578</v>
      </c>
      <c r="U70" s="72">
        <f t="shared" si="74"/>
        <v>532.36662676363619</v>
      </c>
      <c r="V70" s="72">
        <f t="shared" si="74"/>
        <v>561.64679123563633</v>
      </c>
      <c r="W70" s="72">
        <f t="shared" si="74"/>
        <v>589.72913079741807</v>
      </c>
    </row>
    <row r="71" spans="2:23" x14ac:dyDescent="0.2">
      <c r="B71" t="s">
        <v>285</v>
      </c>
      <c r="C71" s="72">
        <f>+C69-C70</f>
        <v>3000</v>
      </c>
      <c r="D71" s="72">
        <f t="shared" ref="D71:I71" si="75">+D69-D70</f>
        <v>3356.8006104000387</v>
      </c>
      <c r="E71" s="72">
        <f t="shared" si="75"/>
        <v>3634.5680782537002</v>
      </c>
      <c r="F71" s="72">
        <f t="shared" si="75"/>
        <v>3821.6432242994319</v>
      </c>
      <c r="G71" s="72">
        <f t="shared" si="75"/>
        <v>3955.0252277469031</v>
      </c>
      <c r="H71" s="72">
        <f t="shared" si="75"/>
        <v>4165.0577512591472</v>
      </c>
      <c r="I71" s="72">
        <f t="shared" si="75"/>
        <v>3127.5381065355386</v>
      </c>
      <c r="J71" s="72">
        <f>+J69-J70</f>
        <v>3283.9150118623161</v>
      </c>
      <c r="O71" t="s">
        <v>285</v>
      </c>
      <c r="P71" s="72">
        <f>+P69-P70</f>
        <v>3000</v>
      </c>
      <c r="Q71" s="72">
        <f t="shared" ref="Q71:V71" si="76">+Q69-Q70</f>
        <v>3341.0136853301624</v>
      </c>
      <c r="R71" s="72">
        <f t="shared" si="76"/>
        <v>3596.7007704348407</v>
      </c>
      <c r="S71" s="72">
        <f t="shared" si="76"/>
        <v>3748.8463263524427</v>
      </c>
      <c r="T71" s="72">
        <f t="shared" si="76"/>
        <v>3841.7474056871733</v>
      </c>
      <c r="U71" s="72">
        <f t="shared" si="76"/>
        <v>4031.8943056363632</v>
      </c>
      <c r="V71" s="72">
        <f t="shared" si="76"/>
        <v>4253.6484924463621</v>
      </c>
      <c r="W71" s="72">
        <f>+W69-W70</f>
        <v>4466.3309170686807</v>
      </c>
    </row>
    <row r="72" spans="2:23" x14ac:dyDescent="0.2">
      <c r="B72" t="s">
        <v>257</v>
      </c>
      <c r="C72" s="72">
        <f>+IF(C71&gt;0,C71*C27,0)</f>
        <v>600</v>
      </c>
      <c r="D72" s="72">
        <f t="shared" ref="D72:J72" si="77">+IF(D71&gt;0,D71*D27,0)</f>
        <v>671.36012208000784</v>
      </c>
      <c r="E72" s="72">
        <f t="shared" si="77"/>
        <v>726.9136156507401</v>
      </c>
      <c r="F72" s="72">
        <f t="shared" si="77"/>
        <v>764.32864485988648</v>
      </c>
      <c r="G72" s="72">
        <f t="shared" si="77"/>
        <v>791.00504554938061</v>
      </c>
      <c r="H72" s="72">
        <f t="shared" si="77"/>
        <v>833.01155025182948</v>
      </c>
      <c r="I72" s="72">
        <f t="shared" si="77"/>
        <v>625.5076213071078</v>
      </c>
      <c r="J72" s="72">
        <f t="shared" si="77"/>
        <v>656.78300237246322</v>
      </c>
      <c r="O72" t="s">
        <v>257</v>
      </c>
      <c r="P72" s="72">
        <f>+IF(P71&gt;0,P71*P27,0)</f>
        <v>600</v>
      </c>
      <c r="Q72" s="72">
        <f t="shared" ref="Q72:W72" si="78">+IF(Q71&gt;0,Q71*Q27,0)</f>
        <v>668.20273706603257</v>
      </c>
      <c r="R72" s="72">
        <f t="shared" si="78"/>
        <v>719.34015408696814</v>
      </c>
      <c r="S72" s="72">
        <f t="shared" si="78"/>
        <v>749.76926527048863</v>
      </c>
      <c r="T72" s="72">
        <f t="shared" si="78"/>
        <v>768.34948113743474</v>
      </c>
      <c r="U72" s="72">
        <f t="shared" si="78"/>
        <v>806.37886112727267</v>
      </c>
      <c r="V72" s="72">
        <f t="shared" si="78"/>
        <v>850.72969848927244</v>
      </c>
      <c r="W72" s="72">
        <f t="shared" si="78"/>
        <v>893.26618341373614</v>
      </c>
    </row>
    <row r="73" spans="2:23" x14ac:dyDescent="0.2">
      <c r="B73" t="s">
        <v>286</v>
      </c>
      <c r="C73" s="72">
        <f>+C71-C72</f>
        <v>2400</v>
      </c>
      <c r="D73" s="72">
        <f t="shared" ref="D73:J73" si="79">+D71-D72</f>
        <v>2685.4404883200309</v>
      </c>
      <c r="E73" s="72">
        <f t="shared" si="79"/>
        <v>2907.6544626029599</v>
      </c>
      <c r="F73" s="72">
        <f t="shared" si="79"/>
        <v>3057.3145794395455</v>
      </c>
      <c r="G73" s="72">
        <f t="shared" si="79"/>
        <v>3164.0201821975224</v>
      </c>
      <c r="H73" s="72">
        <f t="shared" si="79"/>
        <v>3332.0462010073179</v>
      </c>
      <c r="I73" s="72">
        <f t="shared" si="79"/>
        <v>2502.0304852284307</v>
      </c>
      <c r="J73" s="72">
        <f t="shared" si="79"/>
        <v>2627.1320094898529</v>
      </c>
      <c r="O73" t="s">
        <v>286</v>
      </c>
      <c r="P73" s="72">
        <f>+P71-P72</f>
        <v>2400</v>
      </c>
      <c r="Q73" s="72">
        <f t="shared" ref="Q73:W73" si="80">+Q71-Q72</f>
        <v>2672.8109482641298</v>
      </c>
      <c r="R73" s="72">
        <f t="shared" si="80"/>
        <v>2877.3606163478726</v>
      </c>
      <c r="S73" s="72">
        <f t="shared" si="80"/>
        <v>2999.0770610819541</v>
      </c>
      <c r="T73" s="72">
        <f t="shared" si="80"/>
        <v>3073.3979245497385</v>
      </c>
      <c r="U73" s="72">
        <f t="shared" si="80"/>
        <v>3225.5154445090907</v>
      </c>
      <c r="V73" s="72">
        <f t="shared" si="80"/>
        <v>3402.9187939570897</v>
      </c>
      <c r="W73" s="72">
        <f t="shared" si="80"/>
        <v>3573.0647336549446</v>
      </c>
    </row>
    <row r="75" spans="2:23" x14ac:dyDescent="0.2">
      <c r="B75" t="s">
        <v>287</v>
      </c>
      <c r="C75" s="72">
        <f>+C33*C55</f>
        <v>1800</v>
      </c>
      <c r="D75" s="72">
        <f t="shared" ref="D75:J75" si="81">+D33*D55</f>
        <v>1959.7949338106889</v>
      </c>
      <c r="E75" s="72">
        <f t="shared" si="81"/>
        <v>2076.1823897073359</v>
      </c>
      <c r="F75" s="72">
        <f t="shared" si="81"/>
        <v>2133.5662498490265</v>
      </c>
      <c r="G75" s="72">
        <f t="shared" si="81"/>
        <v>2170.8552762415993</v>
      </c>
      <c r="H75" s="72">
        <f t="shared" si="81"/>
        <v>2301.1085129974826</v>
      </c>
      <c r="I75" s="72">
        <f t="shared" si="81"/>
        <v>2502.0304852284312</v>
      </c>
      <c r="J75" s="72">
        <f t="shared" si="81"/>
        <v>2627.1320094898529</v>
      </c>
      <c r="O75" t="s">
        <v>287</v>
      </c>
      <c r="P75" s="72">
        <f>+P33*P55</f>
        <v>1800</v>
      </c>
      <c r="Q75" s="72">
        <f t="shared" ref="Q75:W75" si="82">+Q33*Q55</f>
        <v>1932.2002861754597</v>
      </c>
      <c r="R75" s="72">
        <f t="shared" si="82"/>
        <v>2013.3476261837341</v>
      </c>
      <c r="S75" s="72">
        <f t="shared" si="82"/>
        <v>2018.1980665529206</v>
      </c>
      <c r="T75" s="72">
        <f t="shared" si="82"/>
        <v>1999.9925046961685</v>
      </c>
      <c r="U75" s="72">
        <f t="shared" si="82"/>
        <v>2099.4050585982668</v>
      </c>
      <c r="V75" s="72">
        <f t="shared" si="82"/>
        <v>2276.8084080462663</v>
      </c>
      <c r="W75" s="72">
        <f t="shared" si="82"/>
        <v>2446.9543477441212</v>
      </c>
    </row>
    <row r="76" spans="2:23" x14ac:dyDescent="0.2">
      <c r="B76" t="s">
        <v>253</v>
      </c>
      <c r="C76" s="72">
        <f>+C73-C75</f>
        <v>600</v>
      </c>
      <c r="D76" s="72">
        <f t="shared" ref="D76:I76" si="83">+D73-D75</f>
        <v>725.64555450934199</v>
      </c>
      <c r="E76" s="72">
        <f t="shared" si="83"/>
        <v>831.47207289562402</v>
      </c>
      <c r="F76" s="72">
        <f t="shared" si="83"/>
        <v>923.74832959051901</v>
      </c>
      <c r="G76" s="72">
        <f t="shared" si="83"/>
        <v>993.16490595592313</v>
      </c>
      <c r="H76" s="72">
        <f t="shared" si="83"/>
        <v>1030.9376880098353</v>
      </c>
      <c r="I76" s="72">
        <f t="shared" si="83"/>
        <v>0</v>
      </c>
      <c r="J76" s="72">
        <f>+J73-J75</f>
        <v>0</v>
      </c>
      <c r="O76" t="s">
        <v>253</v>
      </c>
      <c r="P76" s="72">
        <f>+P73-P75</f>
        <v>600</v>
      </c>
      <c r="Q76" s="72">
        <f t="shared" ref="Q76:V76" si="84">+Q73-Q75</f>
        <v>740.6106620886701</v>
      </c>
      <c r="R76" s="72">
        <f t="shared" si="84"/>
        <v>864.0129901641385</v>
      </c>
      <c r="S76" s="72">
        <f t="shared" si="84"/>
        <v>980.87899452903343</v>
      </c>
      <c r="T76" s="72">
        <f t="shared" si="84"/>
        <v>1073.40541985357</v>
      </c>
      <c r="U76" s="72">
        <f t="shared" si="84"/>
        <v>1126.1103859108239</v>
      </c>
      <c r="V76" s="72">
        <f t="shared" si="84"/>
        <v>1126.1103859108234</v>
      </c>
      <c r="W76" s="72">
        <f>+W73-W75</f>
        <v>1126.1103859108234</v>
      </c>
    </row>
    <row r="77" spans="2:23" x14ac:dyDescent="0.2">
      <c r="B77" t="s">
        <v>255</v>
      </c>
      <c r="C77" s="72">
        <f t="shared" ref="C77:H77" si="85">+(C76+D77)/(1+C55)</f>
        <v>3342.2306122338559</v>
      </c>
      <c r="D77" s="72">
        <f t="shared" si="85"/>
        <v>3143.2982857019192</v>
      </c>
      <c r="E77" s="72">
        <f t="shared" si="85"/>
        <v>2802.2542020661581</v>
      </c>
      <c r="F77" s="72">
        <f t="shared" si="85"/>
        <v>2319.5242043177786</v>
      </c>
      <c r="G77" s="72">
        <f t="shared" si="85"/>
        <v>1689.8535633214669</v>
      </c>
      <c r="H77" s="72">
        <f t="shared" si="85"/>
        <v>913.34457409509218</v>
      </c>
      <c r="I77" s="72">
        <f>+(I76+J77)/(1+I55)</f>
        <v>0</v>
      </c>
      <c r="J77" s="72">
        <f>+J56-J33</f>
        <v>0</v>
      </c>
      <c r="O77" t="s">
        <v>255</v>
      </c>
      <c r="P77" s="72">
        <f t="shared" ref="P77:U77" si="86">+(P76+Q77)/(1+P55)</f>
        <v>7816.9826161671144</v>
      </c>
      <c r="Q77" s="72">
        <f t="shared" si="86"/>
        <v>8155.0205301071683</v>
      </c>
      <c r="R77" s="72">
        <f t="shared" si="86"/>
        <v>8412.2257307860618</v>
      </c>
      <c r="S77" s="72">
        <f t="shared" si="86"/>
        <v>8595.1188549202998</v>
      </c>
      <c r="T77" s="72">
        <f t="shared" si="86"/>
        <v>8703.9601924068938</v>
      </c>
      <c r="U77" s="72">
        <f t="shared" si="86"/>
        <v>8746.4884342588248</v>
      </c>
      <c r="V77" s="72">
        <f>+(V76+W77)/(1+V55)</f>
        <v>8746.488434258823</v>
      </c>
      <c r="W77" s="72">
        <f>+W56-W33</f>
        <v>8746.488434258823</v>
      </c>
    </row>
    <row r="78" spans="2:23" x14ac:dyDescent="0.2">
      <c r="B78" t="s">
        <v>288</v>
      </c>
      <c r="C78" s="72">
        <f>+C33</f>
        <v>15000</v>
      </c>
      <c r="D78" s="72">
        <f t="shared" ref="D78:J78" si="87">+D33</f>
        <v>16017.151577143413</v>
      </c>
      <c r="E78" s="72">
        <f t="shared" si="87"/>
        <v>16682.790062990516</v>
      </c>
      <c r="F78" s="72">
        <f t="shared" si="87"/>
        <v>16828.405383956808</v>
      </c>
      <c r="G78" s="72">
        <f t="shared" si="87"/>
        <v>16932.044041942183</v>
      </c>
      <c r="H78" s="72">
        <f t="shared" si="87"/>
        <v>17872.687479592103</v>
      </c>
      <c r="I78" s="72">
        <f t="shared" si="87"/>
        <v>19433.24648721112</v>
      </c>
      <c r="J78" s="72">
        <f t="shared" si="87"/>
        <v>20404.908811571677</v>
      </c>
      <c r="O78" t="s">
        <v>288</v>
      </c>
      <c r="P78" s="72">
        <f>+P33</f>
        <v>15000</v>
      </c>
      <c r="Q78" s="72">
        <f t="shared" ref="Q78:W78" si="88">+Q33</f>
        <v>15791.624076145177</v>
      </c>
      <c r="R78" s="72">
        <f t="shared" si="88"/>
        <v>16177.892625405724</v>
      </c>
      <c r="S78" s="72">
        <f t="shared" si="88"/>
        <v>15918.444159619441</v>
      </c>
      <c r="T78" s="72">
        <f t="shared" si="88"/>
        <v>15599.363782415952</v>
      </c>
      <c r="U78" s="72">
        <f t="shared" si="88"/>
        <v>16306.058707559358</v>
      </c>
      <c r="V78" s="72">
        <f t="shared" si="88"/>
        <v>17683.948800359354</v>
      </c>
      <c r="W78" s="72">
        <f t="shared" si="88"/>
        <v>19005.470662090265</v>
      </c>
    </row>
    <row r="79" spans="2:23" x14ac:dyDescent="0.2">
      <c r="B79" t="s">
        <v>165</v>
      </c>
      <c r="C79" s="72">
        <f>+C78+C77</f>
        <v>18342.230612233856</v>
      </c>
      <c r="D79" s="72">
        <f t="shared" ref="D79:J79" si="89">+D78+D77</f>
        <v>19160.449862845333</v>
      </c>
      <c r="E79" s="72">
        <f t="shared" si="89"/>
        <v>19485.044265056673</v>
      </c>
      <c r="F79" s="72">
        <f t="shared" si="89"/>
        <v>19147.929588274586</v>
      </c>
      <c r="G79" s="72">
        <f t="shared" si="89"/>
        <v>18621.89760526365</v>
      </c>
      <c r="H79" s="72">
        <f t="shared" si="89"/>
        <v>18786.032053687195</v>
      </c>
      <c r="I79" s="72">
        <f t="shared" si="89"/>
        <v>19433.24648721112</v>
      </c>
      <c r="J79" s="72">
        <f t="shared" si="89"/>
        <v>20404.908811571677</v>
      </c>
      <c r="O79" t="s">
        <v>165</v>
      </c>
      <c r="P79" s="72">
        <f>+P78+P77</f>
        <v>22816.982616167115</v>
      </c>
      <c r="Q79" s="72">
        <f t="shared" ref="Q79:W79" si="90">+Q78+Q77</f>
        <v>23946.644606252346</v>
      </c>
      <c r="R79" s="72">
        <f t="shared" si="90"/>
        <v>24590.118356191786</v>
      </c>
      <c r="S79" s="72">
        <f t="shared" si="90"/>
        <v>24513.563014539741</v>
      </c>
      <c r="T79" s="72">
        <f t="shared" si="90"/>
        <v>24303.323974822844</v>
      </c>
      <c r="U79" s="72">
        <f t="shared" si="90"/>
        <v>25052.547141818184</v>
      </c>
      <c r="V79" s="72">
        <f t="shared" si="90"/>
        <v>26430.437234618177</v>
      </c>
      <c r="W79" s="72">
        <f t="shared" si="90"/>
        <v>27751.959096349088</v>
      </c>
    </row>
    <row r="80" spans="2:23" x14ac:dyDescent="0.2">
      <c r="B80" t="s">
        <v>120</v>
      </c>
      <c r="C80" s="72">
        <f>+C32</f>
        <v>0</v>
      </c>
      <c r="D80" s="72">
        <f t="shared" ref="D80:J80" si="91">+D32</f>
        <v>902.84842285658624</v>
      </c>
      <c r="E80" s="72">
        <f t="shared" si="91"/>
        <v>1927.0922899506595</v>
      </c>
      <c r="F80" s="72">
        <f t="shared" si="91"/>
        <v>3247.3096962570921</v>
      </c>
      <c r="G80" s="72">
        <f t="shared" si="91"/>
        <v>4368.099438271719</v>
      </c>
      <c r="H80" s="72">
        <f t="shared" si="91"/>
        <v>4696.5080134217969</v>
      </c>
      <c r="I80" s="72">
        <f t="shared" si="91"/>
        <v>4858.311621802779</v>
      </c>
      <c r="J80" s="72">
        <f t="shared" si="91"/>
        <v>5101.2272028929183</v>
      </c>
      <c r="O80" t="s">
        <v>120</v>
      </c>
      <c r="P80" s="72">
        <f>+P32</f>
        <v>0</v>
      </c>
      <c r="Q80" s="72">
        <f t="shared" ref="Q80:W80" si="92">+Q32</f>
        <v>1128.3759238548225</v>
      </c>
      <c r="R80" s="72">
        <f t="shared" si="92"/>
        <v>2431.989727535451</v>
      </c>
      <c r="S80" s="72">
        <f t="shared" si="92"/>
        <v>4157.2709205944584</v>
      </c>
      <c r="T80" s="72">
        <f t="shared" si="92"/>
        <v>5700.7796977979497</v>
      </c>
      <c r="U80" s="72">
        <f t="shared" si="92"/>
        <v>6263.1367854545433</v>
      </c>
      <c r="V80" s="72">
        <f t="shared" si="92"/>
        <v>6607.6093086545443</v>
      </c>
      <c r="W80" s="72">
        <f t="shared" si="92"/>
        <v>6937.9897740872711</v>
      </c>
    </row>
    <row r="81" spans="2:23" x14ac:dyDescent="0.2">
      <c r="B81" t="s">
        <v>158</v>
      </c>
      <c r="C81" s="72">
        <f>+C79+C80</f>
        <v>18342.230612233856</v>
      </c>
      <c r="D81" s="72">
        <f t="shared" ref="D81:J81" si="93">+D79+D80</f>
        <v>20063.29828570192</v>
      </c>
      <c r="E81" s="72">
        <f t="shared" si="93"/>
        <v>21412.136555007331</v>
      </c>
      <c r="F81" s="72">
        <f t="shared" si="93"/>
        <v>22395.239284531679</v>
      </c>
      <c r="G81" s="72">
        <f t="shared" si="93"/>
        <v>22989.997043535368</v>
      </c>
      <c r="H81" s="72">
        <f t="shared" si="93"/>
        <v>23482.540067108992</v>
      </c>
      <c r="I81" s="72">
        <f t="shared" si="93"/>
        <v>24291.558109013899</v>
      </c>
      <c r="J81" s="72">
        <f t="shared" si="93"/>
        <v>25506.136014464595</v>
      </c>
      <c r="O81" t="s">
        <v>158</v>
      </c>
      <c r="P81" s="72">
        <f>+P79+P80</f>
        <v>22816.982616167115</v>
      </c>
      <c r="Q81" s="72">
        <f t="shared" ref="Q81:W81" si="94">+Q79+Q80</f>
        <v>25075.020530107169</v>
      </c>
      <c r="R81" s="72">
        <f t="shared" si="94"/>
        <v>27022.108083727238</v>
      </c>
      <c r="S81" s="72">
        <f t="shared" si="94"/>
        <v>28670.8339351342</v>
      </c>
      <c r="T81" s="72">
        <f t="shared" si="94"/>
        <v>30004.103672620793</v>
      </c>
      <c r="U81" s="72">
        <f t="shared" si="94"/>
        <v>31315.683927272727</v>
      </c>
      <c r="V81" s="72">
        <f t="shared" si="94"/>
        <v>33038.046543272721</v>
      </c>
      <c r="W81" s="72">
        <f t="shared" si="94"/>
        <v>34689.948870436361</v>
      </c>
    </row>
    <row r="82" spans="2:23" x14ac:dyDescent="0.2">
      <c r="B82" s="70" t="s">
        <v>281</v>
      </c>
      <c r="C82" s="71">
        <f>+C81-C66</f>
        <v>0</v>
      </c>
      <c r="D82" s="71">
        <f t="shared" ref="D82:J82" si="95">+D81-D66</f>
        <v>0</v>
      </c>
      <c r="E82" s="71">
        <f t="shared" si="95"/>
        <v>0</v>
      </c>
      <c r="F82" s="71">
        <f t="shared" si="95"/>
        <v>0</v>
      </c>
      <c r="G82" s="71">
        <f t="shared" si="95"/>
        <v>0</v>
      </c>
      <c r="H82" s="71">
        <f t="shared" si="95"/>
        <v>0</v>
      </c>
      <c r="I82" s="71">
        <f t="shared" si="95"/>
        <v>0</v>
      </c>
      <c r="J82" s="71">
        <f t="shared" si="95"/>
        <v>0</v>
      </c>
      <c r="O82" s="70" t="s">
        <v>281</v>
      </c>
      <c r="P82" s="71">
        <f>+P81-P66</f>
        <v>0</v>
      </c>
      <c r="Q82" s="71">
        <f t="shared" ref="Q82:W82" si="96">+Q81-Q66</f>
        <v>0</v>
      </c>
      <c r="R82" s="71">
        <f t="shared" si="96"/>
        <v>0</v>
      </c>
      <c r="S82" s="71">
        <f t="shared" si="96"/>
        <v>0</v>
      </c>
      <c r="T82" s="71">
        <f t="shared" si="96"/>
        <v>0</v>
      </c>
      <c r="U82" s="71">
        <f t="shared" si="96"/>
        <v>0</v>
      </c>
      <c r="V82" s="71">
        <f t="shared" si="96"/>
        <v>0</v>
      </c>
      <c r="W82" s="71">
        <f t="shared" si="96"/>
        <v>0</v>
      </c>
    </row>
    <row r="83" spans="2:23" x14ac:dyDescent="0.2">
      <c r="B83" s="70"/>
      <c r="C83" s="75"/>
      <c r="D83" s="75"/>
      <c r="E83" s="75"/>
      <c r="F83" s="75"/>
      <c r="G83" s="75"/>
      <c r="H83" s="75"/>
      <c r="I83" s="75"/>
      <c r="J83" s="75"/>
    </row>
  </sheetData>
  <mergeCells count="1">
    <mergeCell ref="O18:X1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6BA15-5D7C-4E70-B0BE-AAF1D8FBC96E}">
  <sheetPr>
    <tabColor rgb="FFFFCCFF"/>
  </sheetPr>
  <dimension ref="A26:M110"/>
  <sheetViews>
    <sheetView topLeftCell="D23" workbookViewId="0">
      <selection activeCell="E44" sqref="E44"/>
    </sheetView>
  </sheetViews>
  <sheetFormatPr baseColWidth="10" defaultColWidth="8.83203125" defaultRowHeight="16" x14ac:dyDescent="0.2"/>
  <cols>
    <col min="2" max="2" width="17.33203125" bestFit="1" customWidth="1"/>
    <col min="5" max="5" width="8.83203125" bestFit="1" customWidth="1"/>
    <col min="6" max="6" width="8.6640625" bestFit="1" customWidth="1"/>
    <col min="7" max="7" width="9.33203125" bestFit="1" customWidth="1"/>
    <col min="8" max="8" width="12.33203125" bestFit="1" customWidth="1"/>
    <col min="13" max="13" width="11" bestFit="1" customWidth="1"/>
  </cols>
  <sheetData>
    <row r="26" spans="2:11" x14ac:dyDescent="0.2">
      <c r="C26" s="50">
        <v>2024</v>
      </c>
      <c r="D26" s="1">
        <f>+C26+1</f>
        <v>2025</v>
      </c>
      <c r="E26" s="1">
        <f t="shared" ref="E26:H26" si="0">+D26+1</f>
        <v>2026</v>
      </c>
      <c r="F26" s="1">
        <f t="shared" si="0"/>
        <v>2027</v>
      </c>
      <c r="G26" s="1">
        <f t="shared" si="0"/>
        <v>2028</v>
      </c>
      <c r="H26" s="1">
        <f t="shared" si="0"/>
        <v>2029</v>
      </c>
      <c r="I26" s="1" t="s">
        <v>273</v>
      </c>
      <c r="J26" s="1" t="s">
        <v>274</v>
      </c>
    </row>
    <row r="27" spans="2:11" x14ac:dyDescent="0.2">
      <c r="B27" t="s">
        <v>90</v>
      </c>
      <c r="C27" s="44">
        <v>20000</v>
      </c>
      <c r="D27" s="68">
        <f>+C27+C56</f>
        <v>21800</v>
      </c>
      <c r="E27" s="68">
        <f>+D27+D56</f>
        <v>23751.200000000001</v>
      </c>
      <c r="F27" s="68">
        <f t="shared" ref="F27:K27" si="1">+E27+E56</f>
        <v>25854.5936</v>
      </c>
      <c r="G27" s="68">
        <f t="shared" si="1"/>
        <v>28109.431539199999</v>
      </c>
      <c r="H27" s="68">
        <f t="shared" si="1"/>
        <v>30513.0887823872</v>
      </c>
      <c r="I27" s="68">
        <f t="shared" si="1"/>
        <v>33060.965460165629</v>
      </c>
      <c r="J27" s="68">
        <f t="shared" si="1"/>
        <v>35890.179108918921</v>
      </c>
      <c r="K27" s="68">
        <f t="shared" si="1"/>
        <v>38889.14557659741</v>
      </c>
    </row>
    <row r="28" spans="2:11" x14ac:dyDescent="0.2">
      <c r="B28" t="s">
        <v>93</v>
      </c>
      <c r="C28" s="46">
        <v>0.15</v>
      </c>
      <c r="D28" s="2"/>
      <c r="E28" s="2"/>
      <c r="F28" s="2"/>
      <c r="G28" s="2"/>
      <c r="H28" s="2"/>
    </row>
    <row r="29" spans="2:11" x14ac:dyDescent="0.2">
      <c r="B29" t="s">
        <v>94</v>
      </c>
      <c r="C29" s="2"/>
      <c r="D29" s="46">
        <v>0.14000000000000001</v>
      </c>
      <c r="E29" s="46">
        <v>0.13</v>
      </c>
      <c r="F29" s="46">
        <v>0.12</v>
      </c>
      <c r="G29" s="46">
        <v>0.11</v>
      </c>
      <c r="H29" s="46">
        <v>0.1</v>
      </c>
      <c r="I29" s="78">
        <f>+I36</f>
        <v>9.5200000000000007E-2</v>
      </c>
      <c r="J29" s="78">
        <f>+J36</f>
        <v>9.5200000000000007E-2</v>
      </c>
      <c r="K29" s="78">
        <f>+K36</f>
        <v>9.5200000000000007E-2</v>
      </c>
    </row>
    <row r="30" spans="2:11" x14ac:dyDescent="0.2">
      <c r="B30" t="s">
        <v>95</v>
      </c>
      <c r="C30" s="46">
        <v>0.6</v>
      </c>
      <c r="D30" s="46">
        <v>0.6</v>
      </c>
      <c r="E30" s="46">
        <v>0.6</v>
      </c>
      <c r="F30" s="46">
        <v>0.6</v>
      </c>
      <c r="G30" s="46">
        <v>0.6</v>
      </c>
      <c r="H30" s="46">
        <v>0.6</v>
      </c>
      <c r="I30" s="2">
        <f>+J31/J29</f>
        <v>0.63025210084033612</v>
      </c>
      <c r="J30" s="2">
        <f>+K31/K29</f>
        <v>0.63025210084033612</v>
      </c>
      <c r="K30" s="78"/>
    </row>
    <row r="31" spans="2:11" x14ac:dyDescent="0.2">
      <c r="B31" t="s">
        <v>92</v>
      </c>
      <c r="C31" s="2"/>
      <c r="D31" s="54">
        <f>+D55/C55-1</f>
        <v>8.4000000000000075E-2</v>
      </c>
      <c r="E31" s="54">
        <f t="shared" ref="E31:I31" si="2">+E55/D55-1</f>
        <v>7.8000000000000069E-2</v>
      </c>
      <c r="F31" s="54">
        <f t="shared" si="2"/>
        <v>7.2000000000000064E-2</v>
      </c>
      <c r="G31" s="54">
        <f t="shared" si="2"/>
        <v>6.6000000000000059E-2</v>
      </c>
      <c r="H31" s="54">
        <f t="shared" si="2"/>
        <v>6.0000000000000053E-2</v>
      </c>
      <c r="I31" s="54">
        <f t="shared" si="2"/>
        <v>5.712000000000006E-2</v>
      </c>
      <c r="J31" s="46">
        <v>0.06</v>
      </c>
      <c r="K31" s="46">
        <v>0.06</v>
      </c>
    </row>
    <row r="32" spans="2:11" x14ac:dyDescent="0.2">
      <c r="B32" t="s">
        <v>112</v>
      </c>
      <c r="C32" s="47">
        <v>0.1</v>
      </c>
      <c r="D32" s="47">
        <v>0.1</v>
      </c>
      <c r="E32" s="47">
        <v>0.1</v>
      </c>
      <c r="F32" s="47">
        <v>0.1</v>
      </c>
      <c r="G32" s="47">
        <v>0.1</v>
      </c>
      <c r="H32" s="47">
        <v>0.1</v>
      </c>
      <c r="I32" s="47">
        <v>0.1</v>
      </c>
      <c r="J32" s="47">
        <v>0.1</v>
      </c>
      <c r="K32" s="47">
        <v>0.1</v>
      </c>
    </row>
    <row r="33" spans="1:11" x14ac:dyDescent="0.2">
      <c r="B33" t="s">
        <v>58</v>
      </c>
      <c r="C33" s="47">
        <v>0.2</v>
      </c>
      <c r="D33" s="47">
        <v>0.2</v>
      </c>
      <c r="E33" s="47">
        <v>0.2</v>
      </c>
      <c r="F33" s="47">
        <v>0.2</v>
      </c>
      <c r="G33" s="47">
        <v>0.2</v>
      </c>
      <c r="H33" s="47">
        <v>0.2</v>
      </c>
      <c r="I33" s="47">
        <v>0.2</v>
      </c>
      <c r="J33" s="47">
        <v>0.2</v>
      </c>
      <c r="K33" s="47">
        <v>0.2</v>
      </c>
    </row>
    <row r="34" spans="1:11" x14ac:dyDescent="0.2">
      <c r="B34" t="s">
        <v>275</v>
      </c>
      <c r="C34" s="48">
        <f>+C50/C74</f>
        <v>0.24743134591391017</v>
      </c>
      <c r="D34" s="48">
        <f t="shared" ref="D34:F34" si="3">+D50/D74</f>
        <v>0.23160679714429178</v>
      </c>
      <c r="E34" s="48">
        <f t="shared" si="3"/>
        <v>0.1633057944180959</v>
      </c>
      <c r="F34" s="48">
        <f t="shared" si="3"/>
        <v>0.10229262966868988</v>
      </c>
      <c r="G34" s="48">
        <f>+G50/G74</f>
        <v>4.8022380507682184E-2</v>
      </c>
      <c r="H34" s="46">
        <v>0.4</v>
      </c>
      <c r="I34" s="46">
        <v>0.4</v>
      </c>
      <c r="J34" s="46">
        <v>0.4</v>
      </c>
      <c r="K34" s="46">
        <v>0.4</v>
      </c>
    </row>
    <row r="35" spans="1:11" x14ac:dyDescent="0.2">
      <c r="B35" s="79" t="s">
        <v>291</v>
      </c>
      <c r="C35" s="80">
        <f>+C42/C50</f>
        <v>7.7685035862508564E-2</v>
      </c>
      <c r="D35" s="80">
        <f t="shared" ref="D35:G35" si="4">+D42/D50</f>
        <v>7.8286671742405389E-2</v>
      </c>
      <c r="E35" s="80">
        <f t="shared" si="4"/>
        <v>7.8593976384141048E-2</v>
      </c>
      <c r="F35" s="80">
        <f t="shared" si="4"/>
        <v>7.8917801137342772E-2</v>
      </c>
      <c r="G35" s="80">
        <f t="shared" si="4"/>
        <v>7.9259259259259265E-2</v>
      </c>
      <c r="H35" s="47">
        <v>0.06</v>
      </c>
      <c r="I35" s="47">
        <v>0.06</v>
      </c>
      <c r="J35" s="47">
        <v>0.06</v>
      </c>
      <c r="K35" s="47">
        <v>0.06</v>
      </c>
    </row>
    <row r="36" spans="1:11" x14ac:dyDescent="0.2">
      <c r="B36" t="s">
        <v>229</v>
      </c>
      <c r="C36" s="81">
        <f t="shared" ref="C36:K36" si="5">+C32-C34*C35*C33</f>
        <v>9.6155657403833833E-2</v>
      </c>
      <c r="D36" s="81">
        <f t="shared" si="5"/>
        <v>9.6373654939730991E-2</v>
      </c>
      <c r="E36" s="81">
        <f t="shared" si="5"/>
        <v>9.7433029650022165E-2</v>
      </c>
      <c r="F36" s="81">
        <f t="shared" si="5"/>
        <v>9.8385458118798105E-2</v>
      </c>
      <c r="G36" s="81">
        <f>+G32-G34*G35*G33</f>
        <v>9.9238756338618964E-2</v>
      </c>
      <c r="H36" s="4">
        <f>+H32-H34*H35*H33</f>
        <v>9.5200000000000007E-2</v>
      </c>
      <c r="I36" s="4">
        <f>+I32-I34*I35*I33</f>
        <v>9.5200000000000007E-2</v>
      </c>
      <c r="J36" s="4">
        <f>+J32-J34*J35*J33</f>
        <v>9.5200000000000007E-2</v>
      </c>
      <c r="K36" s="4">
        <f t="shared" si="5"/>
        <v>9.5200000000000007E-2</v>
      </c>
    </row>
    <row r="38" spans="1:11" x14ac:dyDescent="0.2">
      <c r="A38" t="s">
        <v>292</v>
      </c>
      <c r="B38" t="s">
        <v>293</v>
      </c>
      <c r="C38" s="68">
        <v>8000</v>
      </c>
      <c r="D38" s="68">
        <v>8000</v>
      </c>
      <c r="E38" s="68">
        <v>6000</v>
      </c>
      <c r="F38" s="68">
        <v>4000</v>
      </c>
      <c r="G38" s="68">
        <v>2000</v>
      </c>
    </row>
    <row r="39" spans="1:11" x14ac:dyDescent="0.2">
      <c r="B39" t="s">
        <v>32</v>
      </c>
      <c r="C39" s="4">
        <v>0.08</v>
      </c>
      <c r="D39" s="4">
        <v>0.08</v>
      </c>
      <c r="E39" s="4">
        <v>0.08</v>
      </c>
      <c r="F39" s="4">
        <v>0.08</v>
      </c>
      <c r="G39" s="4">
        <v>0.08</v>
      </c>
    </row>
    <row r="40" spans="1:11" x14ac:dyDescent="0.2">
      <c r="B40" t="s">
        <v>294</v>
      </c>
      <c r="C40" s="4">
        <v>7.0000000000000007E-2</v>
      </c>
      <c r="D40" s="4">
        <v>7.0000000000000007E-2</v>
      </c>
      <c r="E40" s="4">
        <v>7.0000000000000007E-2</v>
      </c>
      <c r="F40" s="4">
        <v>7.0000000000000007E-2</v>
      </c>
      <c r="G40" s="4">
        <v>7.0000000000000007E-2</v>
      </c>
    </row>
    <row r="41" spans="1:11" x14ac:dyDescent="0.2">
      <c r="B41" t="s">
        <v>295</v>
      </c>
      <c r="D41" s="68">
        <f t="shared" ref="D41:E41" si="6">+D38-E38</f>
        <v>2000</v>
      </c>
      <c r="E41" s="68">
        <f t="shared" si="6"/>
        <v>2000</v>
      </c>
      <c r="F41" s="68">
        <f>+F38-G38</f>
        <v>2000</v>
      </c>
      <c r="G41" s="68">
        <f>+G38-H38</f>
        <v>2000</v>
      </c>
    </row>
    <row r="42" spans="1:11" x14ac:dyDescent="0.2">
      <c r="B42" t="s">
        <v>296</v>
      </c>
      <c r="C42" s="68">
        <f>+C38*C39</f>
        <v>640</v>
      </c>
      <c r="D42" s="68">
        <f>+D38*D39</f>
        <v>640</v>
      </c>
      <c r="E42" s="68">
        <f>+E38*E39</f>
        <v>480</v>
      </c>
      <c r="F42" s="68">
        <f t="shared" ref="F42" si="7">+F38*F39</f>
        <v>320</v>
      </c>
      <c r="G42" s="68">
        <f>+G38*G39</f>
        <v>160</v>
      </c>
    </row>
    <row r="43" spans="1:11" x14ac:dyDescent="0.2">
      <c r="B43" t="s">
        <v>297</v>
      </c>
      <c r="C43" s="68">
        <f>+C41+C42</f>
        <v>640</v>
      </c>
      <c r="D43" s="68">
        <f t="shared" ref="D43:G43" si="8">+D41+D42</f>
        <v>2640</v>
      </c>
      <c r="E43" s="68">
        <f t="shared" si="8"/>
        <v>2480</v>
      </c>
      <c r="F43" s="68">
        <f t="shared" si="8"/>
        <v>2320</v>
      </c>
      <c r="G43" s="68">
        <f t="shared" si="8"/>
        <v>2160</v>
      </c>
    </row>
    <row r="44" spans="1:11" x14ac:dyDescent="0.2">
      <c r="B44" t="s">
        <v>298</v>
      </c>
      <c r="C44" s="68">
        <f>+(C43+D44)/(1+C40)</f>
        <v>8238.3948580870674</v>
      </c>
      <c r="D44" s="68">
        <f t="shared" ref="D44:F44" si="9">+(D43+E44)/(1+D40)</f>
        <v>8175.0824981531623</v>
      </c>
      <c r="E44" s="68">
        <f t="shared" si="9"/>
        <v>6107.3382730238854</v>
      </c>
      <c r="F44" s="68">
        <f t="shared" si="9"/>
        <v>4054.851952135557</v>
      </c>
      <c r="G44" s="68">
        <f>+(G43+H44)/(1+G40)</f>
        <v>2018.6915887850466</v>
      </c>
      <c r="H44" s="68">
        <v>0</v>
      </c>
    </row>
    <row r="45" spans="1:11" x14ac:dyDescent="0.2">
      <c r="C45" s="68"/>
      <c r="D45" s="68"/>
      <c r="E45" s="68"/>
      <c r="F45" s="68"/>
      <c r="G45" s="68"/>
    </row>
    <row r="46" spans="1:11" x14ac:dyDescent="0.2">
      <c r="C46" s="68"/>
      <c r="D46" s="68"/>
      <c r="E46" s="68"/>
      <c r="F46" s="68"/>
      <c r="G46" s="68"/>
    </row>
    <row r="47" spans="1:11" x14ac:dyDescent="0.2">
      <c r="C47" s="68"/>
      <c r="D47" s="68"/>
      <c r="E47" s="68"/>
      <c r="F47" s="68"/>
      <c r="G47" s="68"/>
    </row>
    <row r="48" spans="1:11" x14ac:dyDescent="0.2">
      <c r="A48" t="s">
        <v>299</v>
      </c>
      <c r="C48" s="2"/>
      <c r="D48" s="2"/>
      <c r="E48" s="2"/>
      <c r="F48" s="2"/>
      <c r="G48" s="2"/>
      <c r="H48" s="2"/>
      <c r="I48" s="2"/>
    </row>
    <row r="49" spans="2:11" x14ac:dyDescent="0.2">
      <c r="B49" s="68" t="str">
        <f t="shared" ref="B49:J49" si="10">+B27</f>
        <v>IC boy</v>
      </c>
      <c r="C49" s="68">
        <f>+C27</f>
        <v>20000</v>
      </c>
      <c r="D49" s="68">
        <f t="shared" si="10"/>
        <v>21800</v>
      </c>
      <c r="E49" s="68">
        <f t="shared" si="10"/>
        <v>23751.200000000001</v>
      </c>
      <c r="F49" s="68">
        <f>+F27</f>
        <v>25854.5936</v>
      </c>
      <c r="G49" s="68">
        <f>+G27</f>
        <v>28109.431539199999</v>
      </c>
      <c r="H49" s="68">
        <f t="shared" si="10"/>
        <v>30513.0887823872</v>
      </c>
      <c r="I49" s="68">
        <f t="shared" si="10"/>
        <v>33060.965460165629</v>
      </c>
      <c r="J49" s="68">
        <f t="shared" si="10"/>
        <v>35890.179108918921</v>
      </c>
      <c r="K49" s="68"/>
    </row>
    <row r="50" spans="2:11" x14ac:dyDescent="0.2">
      <c r="B50" t="s">
        <v>300</v>
      </c>
      <c r="C50" s="49">
        <f>+C44</f>
        <v>8238.3948580870674</v>
      </c>
      <c r="D50" s="49">
        <f t="shared" ref="D50:F50" si="11">+D44</f>
        <v>8175.0824981531623</v>
      </c>
      <c r="E50" s="49">
        <f t="shared" si="11"/>
        <v>6107.3382730238854</v>
      </c>
      <c r="F50" s="49">
        <f t="shared" si="11"/>
        <v>4054.851952135557</v>
      </c>
      <c r="G50" s="49">
        <f>+G44</f>
        <v>2018.6915887850466</v>
      </c>
      <c r="H50" s="68">
        <f>+H70*H34</f>
        <v>17842.273653910583</v>
      </c>
      <c r="I50" s="68">
        <f>+I70*I34</f>
        <v>18861.424325021955</v>
      </c>
      <c r="J50" s="68">
        <f>+J70*J34</f>
        <v>19993.109784523276</v>
      </c>
      <c r="K50" s="68"/>
    </row>
    <row r="51" spans="2:11" x14ac:dyDescent="0.2">
      <c r="B51" t="s">
        <v>123</v>
      </c>
      <c r="C51" s="49">
        <f>+C49-C50</f>
        <v>11761.605141912933</v>
      </c>
      <c r="D51" s="49">
        <f t="shared" ref="D51:J51" si="12">+D49-D50</f>
        <v>13624.917501846838</v>
      </c>
      <c r="E51" s="49">
        <f t="shared" si="12"/>
        <v>17643.861726976116</v>
      </c>
      <c r="F51" s="49">
        <f t="shared" si="12"/>
        <v>21799.741647864445</v>
      </c>
      <c r="G51" s="49">
        <f t="shared" si="12"/>
        <v>26090.739950414951</v>
      </c>
      <c r="H51" s="68">
        <f t="shared" si="12"/>
        <v>12670.815128476617</v>
      </c>
      <c r="I51" s="68">
        <f t="shared" si="12"/>
        <v>14199.541135143674</v>
      </c>
      <c r="J51" s="68">
        <f t="shared" si="12"/>
        <v>15897.069324395645</v>
      </c>
      <c r="K51" s="68"/>
    </row>
    <row r="52" spans="2:11" x14ac:dyDescent="0.2">
      <c r="C52" s="68"/>
      <c r="D52" s="68"/>
      <c r="E52" s="68"/>
      <c r="F52" s="68"/>
      <c r="G52" s="68"/>
      <c r="H52" s="68"/>
      <c r="I52" s="68"/>
      <c r="J52" s="68"/>
      <c r="K52" s="68"/>
    </row>
    <row r="55" spans="2:11" x14ac:dyDescent="0.2">
      <c r="B55" t="s">
        <v>81</v>
      </c>
      <c r="C55" s="68">
        <f>+C27*C28</f>
        <v>3000</v>
      </c>
      <c r="D55" s="68">
        <f>+C55+C56*D29</f>
        <v>3252</v>
      </c>
      <c r="E55" s="68">
        <f>+D55+D56*E29</f>
        <v>3505.6559999999999</v>
      </c>
      <c r="F55" s="68">
        <f>+E55+E56*F29</f>
        <v>3758.063232</v>
      </c>
      <c r="G55" s="68">
        <f>+F55+F56*G29</f>
        <v>4006.0954053119999</v>
      </c>
      <c r="H55" s="68">
        <f t="shared" ref="H55" si="13">+G55+G56*H29</f>
        <v>4246.4611296307203</v>
      </c>
      <c r="I55" s="68">
        <f>+H55+H56*I29</f>
        <v>4489.0189893552269</v>
      </c>
      <c r="J55" s="68">
        <f>+I55+I56*J29</f>
        <v>4758.3601287165402</v>
      </c>
    </row>
    <row r="56" spans="2:11" x14ac:dyDescent="0.2">
      <c r="B56" s="68" t="s">
        <v>91</v>
      </c>
      <c r="C56" s="68">
        <f>+C55*C30</f>
        <v>1800</v>
      </c>
      <c r="D56" s="68">
        <f>+D55*D30</f>
        <v>1951.1999999999998</v>
      </c>
      <c r="E56" s="68">
        <f t="shared" ref="E56:J56" si="14">+E55*E30</f>
        <v>2103.3935999999999</v>
      </c>
      <c r="F56" s="68">
        <f t="shared" si="14"/>
        <v>2254.8379391999997</v>
      </c>
      <c r="G56" s="68">
        <f t="shared" si="14"/>
        <v>2403.6572431872</v>
      </c>
      <c r="H56" s="68">
        <f t="shared" si="14"/>
        <v>2547.8766777784322</v>
      </c>
      <c r="I56" s="68">
        <f t="shared" si="14"/>
        <v>2829.2136487532944</v>
      </c>
      <c r="J56" s="68">
        <f t="shared" si="14"/>
        <v>2998.9664676784914</v>
      </c>
    </row>
    <row r="57" spans="2:11" x14ac:dyDescent="0.2">
      <c r="B57" t="s">
        <v>75</v>
      </c>
      <c r="C57" s="68">
        <f>+C55-C56</f>
        <v>1200</v>
      </c>
      <c r="D57" s="68">
        <f t="shared" ref="D57:J57" si="15">+D55-D56</f>
        <v>1300.8000000000002</v>
      </c>
      <c r="E57" s="68">
        <f t="shared" si="15"/>
        <v>1402.2624000000001</v>
      </c>
      <c r="F57" s="68">
        <f t="shared" si="15"/>
        <v>1503.2252928000003</v>
      </c>
      <c r="G57" s="68">
        <f t="shared" si="15"/>
        <v>1602.4381621247999</v>
      </c>
      <c r="H57" s="68">
        <f t="shared" si="15"/>
        <v>1698.5844518522881</v>
      </c>
      <c r="I57" s="68">
        <f t="shared" si="15"/>
        <v>1659.8053406019326</v>
      </c>
      <c r="J57" s="68">
        <f t="shared" si="15"/>
        <v>1759.3936610380488</v>
      </c>
    </row>
    <row r="58" spans="2:11" x14ac:dyDescent="0.2">
      <c r="B58" t="s">
        <v>32</v>
      </c>
      <c r="C58" s="68">
        <f>+C42</f>
        <v>640</v>
      </c>
      <c r="D58" s="68">
        <f t="shared" ref="D58:F58" si="16">+D42</f>
        <v>640</v>
      </c>
      <c r="E58" s="68">
        <f t="shared" si="16"/>
        <v>480</v>
      </c>
      <c r="F58" s="68">
        <f t="shared" si="16"/>
        <v>320</v>
      </c>
      <c r="G58" s="68">
        <f>+G42</f>
        <v>160</v>
      </c>
      <c r="H58" s="68">
        <f>+H50*H35</f>
        <v>1070.5364192346349</v>
      </c>
      <c r="I58" s="68">
        <f>+I50*I35</f>
        <v>1131.6854595013172</v>
      </c>
      <c r="J58" s="68">
        <f>+J50*J35</f>
        <v>1199.5865870713965</v>
      </c>
    </row>
    <row r="59" spans="2:11" x14ac:dyDescent="0.2">
      <c r="B59" t="s">
        <v>88</v>
      </c>
      <c r="C59" s="68">
        <f>+C58*C33</f>
        <v>128</v>
      </c>
      <c r="D59" s="68">
        <f t="shared" ref="D59:J59" si="17">+D58*D33</f>
        <v>128</v>
      </c>
      <c r="E59" s="68">
        <f t="shared" si="17"/>
        <v>96</v>
      </c>
      <c r="F59" s="68">
        <f t="shared" si="17"/>
        <v>64</v>
      </c>
      <c r="G59" s="68">
        <f t="shared" si="17"/>
        <v>32</v>
      </c>
      <c r="H59" s="68">
        <f t="shared" si="17"/>
        <v>214.10728384692698</v>
      </c>
      <c r="I59" s="68">
        <f t="shared" si="17"/>
        <v>226.33709190026343</v>
      </c>
      <c r="J59" s="68">
        <f t="shared" si="17"/>
        <v>239.9173174142793</v>
      </c>
    </row>
    <row r="60" spans="2:11" x14ac:dyDescent="0.2">
      <c r="B60" t="s">
        <v>77</v>
      </c>
      <c r="C60" s="68">
        <f t="shared" ref="C60:I60" si="18">+D50-C50</f>
        <v>-63.3123599339051</v>
      </c>
      <c r="D60" s="68">
        <f t="shared" si="18"/>
        <v>-2067.7442251292769</v>
      </c>
      <c r="E60" s="68">
        <f t="shared" si="18"/>
        <v>-2052.4863208883285</v>
      </c>
      <c r="F60" s="68">
        <f t="shared" si="18"/>
        <v>-2036.1603633505104</v>
      </c>
      <c r="G60" s="68">
        <f t="shared" si="18"/>
        <v>15823.582065125536</v>
      </c>
      <c r="H60" s="68">
        <f t="shared" si="18"/>
        <v>1019.1506711113725</v>
      </c>
      <c r="I60" s="68">
        <f t="shared" si="18"/>
        <v>1131.685459501321</v>
      </c>
      <c r="J60" s="82">
        <f>+J50*K31</f>
        <v>1199.5865870713965</v>
      </c>
    </row>
    <row r="61" spans="2:11" x14ac:dyDescent="0.2">
      <c r="B61" t="s">
        <v>78</v>
      </c>
      <c r="C61" s="68">
        <f>+C57-C58+C59+C60</f>
        <v>624.6876400660949</v>
      </c>
      <c r="D61" s="68">
        <f t="shared" ref="D61:J61" si="19">+D57-D58+D59+D60</f>
        <v>-1278.9442251292767</v>
      </c>
      <c r="E61" s="68">
        <f t="shared" si="19"/>
        <v>-1034.2239208883284</v>
      </c>
      <c r="F61" s="68">
        <f t="shared" si="19"/>
        <v>-788.93507055051009</v>
      </c>
      <c r="G61" s="68">
        <f t="shared" si="19"/>
        <v>17298.020227250337</v>
      </c>
      <c r="H61" s="68">
        <f t="shared" si="19"/>
        <v>1861.3059875759527</v>
      </c>
      <c r="I61" s="68">
        <f t="shared" si="19"/>
        <v>1886.1424325021999</v>
      </c>
      <c r="J61" s="68">
        <f t="shared" si="19"/>
        <v>1999.3109784523281</v>
      </c>
    </row>
    <row r="62" spans="2:11" x14ac:dyDescent="0.2">
      <c r="B62" s="83" t="str">
        <f>+B98</f>
        <v>Dividend</v>
      </c>
      <c r="C62" s="68">
        <f>+C98</f>
        <v>2488</v>
      </c>
      <c r="D62" s="68">
        <f t="shared" ref="D62:I62" si="20">+D98</f>
        <v>2740</v>
      </c>
      <c r="E62" s="68">
        <f t="shared" si="20"/>
        <v>3121.6559999999999</v>
      </c>
      <c r="F62" s="68">
        <f t="shared" si="20"/>
        <v>3502.0632319999995</v>
      </c>
      <c r="G62" s="68">
        <f t="shared" si="20"/>
        <v>3878.0954053119995</v>
      </c>
      <c r="H62" s="68">
        <f t="shared" si="20"/>
        <v>3390.0319942430119</v>
      </c>
      <c r="I62" s="68">
        <f t="shared" si="20"/>
        <v>3583.6706217541732</v>
      </c>
      <c r="J62" s="68"/>
    </row>
    <row r="63" spans="2:11" x14ac:dyDescent="0.2">
      <c r="B63" s="84" t="s">
        <v>301</v>
      </c>
      <c r="C63" s="68">
        <f>+D51-C51-C99</f>
        <v>1863.3123599339051</v>
      </c>
      <c r="D63" s="68">
        <f t="shared" ref="D63:I63" si="21">+E51-D51-D99</f>
        <v>4018.9442251292785</v>
      </c>
      <c r="E63" s="68">
        <f t="shared" si="21"/>
        <v>4155.8799208883283</v>
      </c>
      <c r="F63" s="68">
        <f t="shared" si="21"/>
        <v>4290.9983025505062</v>
      </c>
      <c r="G63" s="68">
        <f t="shared" si="21"/>
        <v>-13419.924821938333</v>
      </c>
      <c r="H63" s="68">
        <f t="shared" si="21"/>
        <v>1528.7260066670569</v>
      </c>
      <c r="I63" s="68">
        <f t="shared" si="21"/>
        <v>1697.5281892519706</v>
      </c>
      <c r="J63" s="68"/>
    </row>
    <row r="64" spans="2:11" x14ac:dyDescent="0.2">
      <c r="B64" s="85" t="s">
        <v>302</v>
      </c>
      <c r="C64" s="86">
        <f>+C61-C62+C63</f>
        <v>0</v>
      </c>
      <c r="D64" s="86">
        <f t="shared" ref="D64:I64" si="22">+D61-D62+D63</f>
        <v>0</v>
      </c>
      <c r="E64" s="86">
        <f t="shared" si="22"/>
        <v>0</v>
      </c>
      <c r="F64" s="86">
        <f t="shared" si="22"/>
        <v>0</v>
      </c>
      <c r="G64" s="86">
        <f t="shared" si="22"/>
        <v>0</v>
      </c>
      <c r="H64" s="86">
        <f t="shared" si="22"/>
        <v>-2.2737367544323206E-12</v>
      </c>
      <c r="I64" s="86">
        <f t="shared" si="22"/>
        <v>-2.7284841053187847E-12</v>
      </c>
    </row>
    <row r="65" spans="2:10" x14ac:dyDescent="0.2">
      <c r="C65" s="68"/>
      <c r="D65" s="68"/>
      <c r="E65" s="68"/>
      <c r="F65" s="68"/>
      <c r="G65" s="68"/>
      <c r="H65" s="68"/>
      <c r="I65" s="68"/>
      <c r="J65" s="68"/>
    </row>
    <row r="66" spans="2:10" x14ac:dyDescent="0.2">
      <c r="C66" s="68"/>
      <c r="D66" s="68"/>
      <c r="E66" s="68"/>
      <c r="F66" s="68"/>
      <c r="G66" s="68"/>
      <c r="H66" s="68"/>
    </row>
    <row r="68" spans="2:10" x14ac:dyDescent="0.2">
      <c r="B68" s="68" t="str">
        <f>+B57</f>
        <v>FCFF</v>
      </c>
      <c r="C68" s="68">
        <f>+C57</f>
        <v>1200</v>
      </c>
      <c r="D68" s="68">
        <f t="shared" ref="D68:I68" si="23">+D57</f>
        <v>1300.8000000000002</v>
      </c>
      <c r="E68" s="68">
        <f t="shared" si="23"/>
        <v>1402.2624000000001</v>
      </c>
      <c r="F68" s="68">
        <f t="shared" si="23"/>
        <v>1503.2252928000003</v>
      </c>
      <c r="G68" s="68">
        <f t="shared" si="23"/>
        <v>1602.4381621247999</v>
      </c>
      <c r="H68" s="68">
        <f t="shared" si="23"/>
        <v>1698.5844518522881</v>
      </c>
      <c r="I68" s="68">
        <f t="shared" si="23"/>
        <v>1659.8053406019326</v>
      </c>
      <c r="J68" s="68">
        <f>+J57</f>
        <v>1759.3936610380488</v>
      </c>
    </row>
    <row r="69" spans="2:10" x14ac:dyDescent="0.2">
      <c r="B69" t="s">
        <v>229</v>
      </c>
      <c r="C69" s="4">
        <f t="shared" ref="C69:J69" si="24">+C36</f>
        <v>9.6155657403833833E-2</v>
      </c>
      <c r="D69" s="4">
        <f t="shared" si="24"/>
        <v>9.6373654939730991E-2</v>
      </c>
      <c r="E69" s="4">
        <f t="shared" si="24"/>
        <v>9.7433029650022165E-2</v>
      </c>
      <c r="F69" s="4">
        <f t="shared" si="24"/>
        <v>9.8385458118798105E-2</v>
      </c>
      <c r="G69" s="4">
        <f t="shared" si="24"/>
        <v>9.9238756338618964E-2</v>
      </c>
      <c r="H69" s="4">
        <f t="shared" si="24"/>
        <v>9.5200000000000007E-2</v>
      </c>
      <c r="I69" s="4">
        <f t="shared" si="24"/>
        <v>9.5200000000000007E-2</v>
      </c>
      <c r="J69" s="4">
        <f t="shared" si="24"/>
        <v>9.5200000000000007E-2</v>
      </c>
    </row>
    <row r="70" spans="2:10" x14ac:dyDescent="0.2">
      <c r="B70" s="87" t="s">
        <v>158</v>
      </c>
      <c r="C70" s="87">
        <f t="shared" ref="C70:H70" si="25">+(C68+D70)/(1+C69)</f>
        <v>33295.679767887974</v>
      </c>
      <c r="D70" s="87">
        <f t="shared" si="25"/>
        <v>35297.247744676773</v>
      </c>
      <c r="E70" s="87">
        <f t="shared" si="25"/>
        <v>37398.172519144449</v>
      </c>
      <c r="F70" s="87">
        <f t="shared" si="25"/>
        <v>39639.727371058892</v>
      </c>
      <c r="G70" s="87">
        <f t="shared" si="25"/>
        <v>42036.474815364782</v>
      </c>
      <c r="H70" s="87">
        <f t="shared" si="25"/>
        <v>44605.684134776457</v>
      </c>
      <c r="I70" s="87">
        <f>+I68/(I69-J31)</f>
        <v>47153.56081255489</v>
      </c>
      <c r="J70" s="87">
        <f>+J68/(J69-K31)</f>
        <v>49982.774461308189</v>
      </c>
    </row>
    <row r="71" spans="2:10" x14ac:dyDescent="0.2">
      <c r="C71" s="68"/>
      <c r="D71" s="68"/>
      <c r="E71" s="68"/>
      <c r="F71" s="68"/>
      <c r="G71" s="68"/>
      <c r="H71" s="68"/>
    </row>
    <row r="73" spans="2:10" x14ac:dyDescent="0.2">
      <c r="B73" t="s">
        <v>280</v>
      </c>
      <c r="C73" s="68">
        <f>+C57+C59</f>
        <v>1328</v>
      </c>
      <c r="D73" s="68">
        <f t="shared" ref="D73:J73" si="26">+D57+D59</f>
        <v>1428.8000000000002</v>
      </c>
      <c r="E73" s="68">
        <f t="shared" si="26"/>
        <v>1498.2624000000001</v>
      </c>
      <c r="F73" s="68">
        <f t="shared" si="26"/>
        <v>1567.2252928000003</v>
      </c>
      <c r="G73" s="68">
        <f t="shared" si="26"/>
        <v>1634.4381621247999</v>
      </c>
      <c r="H73" s="68">
        <f t="shared" si="26"/>
        <v>1912.6917356992151</v>
      </c>
      <c r="I73" s="68">
        <f t="shared" si="26"/>
        <v>1886.142432502196</v>
      </c>
      <c r="J73" s="68">
        <f t="shared" si="26"/>
        <v>1999.3109784523281</v>
      </c>
    </row>
    <row r="74" spans="2:10" x14ac:dyDescent="0.2">
      <c r="B74" s="88" t="s">
        <v>158</v>
      </c>
      <c r="C74" s="87">
        <f t="shared" ref="C74:H74" si="27">+(C73+D74)/(1+C32)</f>
        <v>33295.679767887967</v>
      </c>
      <c r="D74" s="87">
        <f t="shared" si="27"/>
        <v>35297.247744676766</v>
      </c>
      <c r="E74" s="87">
        <f t="shared" si="27"/>
        <v>37398.172519144442</v>
      </c>
      <c r="F74" s="87">
        <f t="shared" si="27"/>
        <v>39639.727371058892</v>
      </c>
      <c r="G74" s="87">
        <f t="shared" si="27"/>
        <v>42036.474815364782</v>
      </c>
      <c r="H74" s="87">
        <f t="shared" si="27"/>
        <v>44605.684134776457</v>
      </c>
      <c r="I74" s="87">
        <f>+I73/(I32-J31)</f>
        <v>47153.56081255489</v>
      </c>
      <c r="J74" s="87">
        <f>+J73/(K32-K31)</f>
        <v>49982.774461308189</v>
      </c>
    </row>
    <row r="75" spans="2:10" x14ac:dyDescent="0.2">
      <c r="C75" s="68"/>
    </row>
    <row r="77" spans="2:10" x14ac:dyDescent="0.2">
      <c r="B77" s="68" t="str">
        <f t="shared" ref="B77:J77" si="28">+B61</f>
        <v>FCFE</v>
      </c>
      <c r="C77" s="68">
        <f t="shared" si="28"/>
        <v>624.6876400660949</v>
      </c>
      <c r="D77" s="68">
        <f t="shared" si="28"/>
        <v>-1278.9442251292767</v>
      </c>
      <c r="E77" s="68">
        <f t="shared" si="28"/>
        <v>-1034.2239208883284</v>
      </c>
      <c r="F77" s="68">
        <f t="shared" si="28"/>
        <v>-788.93507055051009</v>
      </c>
      <c r="G77" s="68">
        <f t="shared" si="28"/>
        <v>17298.020227250337</v>
      </c>
      <c r="H77" s="68">
        <f t="shared" si="28"/>
        <v>1861.3059875759527</v>
      </c>
      <c r="I77" s="68">
        <f t="shared" si="28"/>
        <v>1886.1424325021999</v>
      </c>
      <c r="J77" s="68">
        <f t="shared" si="28"/>
        <v>1999.3109784523281</v>
      </c>
    </row>
    <row r="78" spans="2:10" x14ac:dyDescent="0.2">
      <c r="B78" t="s">
        <v>163</v>
      </c>
      <c r="C78" s="2">
        <f>+(C32-C34*C35)/(1-C34)</f>
        <v>0.10733676798864987</v>
      </c>
      <c r="D78" s="2">
        <f t="shared" ref="D78:J78" si="29">+(D32-D34*D35)/(1-D34)</f>
        <v>0.10654476691672206</v>
      </c>
      <c r="E78" s="2">
        <f t="shared" si="29"/>
        <v>0.10417802306816404</v>
      </c>
      <c r="F78" s="2">
        <f t="shared" si="29"/>
        <v>0.10240229013610926</v>
      </c>
      <c r="G78" s="2">
        <f t="shared" si="29"/>
        <v>0.10104626382329682</v>
      </c>
      <c r="H78" s="2">
        <f t="shared" si="29"/>
        <v>0.12666666666666671</v>
      </c>
      <c r="I78" s="2">
        <f t="shared" si="29"/>
        <v>0.12666666666666671</v>
      </c>
      <c r="J78" s="2">
        <f t="shared" si="29"/>
        <v>0.12666666666666671</v>
      </c>
    </row>
    <row r="79" spans="2:10" x14ac:dyDescent="0.2">
      <c r="B79" t="s">
        <v>165</v>
      </c>
      <c r="C79" s="68">
        <f t="shared" ref="C79:H79" si="30">+(C77+D79)/(1+C78)</f>
        <v>25057.284909800939</v>
      </c>
      <c r="D79" s="68">
        <f t="shared" si="30"/>
        <v>27122.165246523644</v>
      </c>
      <c r="E79" s="68">
        <f t="shared" si="30"/>
        <v>31290.834246120601</v>
      </c>
      <c r="F79" s="68">
        <f t="shared" si="30"/>
        <v>35584.875418923373</v>
      </c>
      <c r="G79" s="68">
        <f t="shared" si="30"/>
        <v>40017.783226579777</v>
      </c>
      <c r="H79" s="68">
        <f t="shared" si="30"/>
        <v>26763.410480865918</v>
      </c>
      <c r="I79" s="68">
        <f>+I77/(I78-J31)</f>
        <v>28292.136487532982</v>
      </c>
      <c r="J79" s="68">
        <f>+J77/(J78-K31)</f>
        <v>29989.664676784902</v>
      </c>
    </row>
    <row r="80" spans="2:10" x14ac:dyDescent="0.2">
      <c r="B80" s="68" t="str">
        <f>+B50</f>
        <v>BV D boy</v>
      </c>
      <c r="C80" s="68">
        <f t="shared" ref="C80:J80" si="31">+C50</f>
        <v>8238.3948580870674</v>
      </c>
      <c r="D80" s="68">
        <f t="shared" si="31"/>
        <v>8175.0824981531623</v>
      </c>
      <c r="E80" s="68">
        <f t="shared" si="31"/>
        <v>6107.3382730238854</v>
      </c>
      <c r="F80" s="68">
        <f t="shared" si="31"/>
        <v>4054.851952135557</v>
      </c>
      <c r="G80" s="68">
        <f t="shared" si="31"/>
        <v>2018.6915887850466</v>
      </c>
      <c r="H80" s="68">
        <f t="shared" si="31"/>
        <v>17842.273653910583</v>
      </c>
      <c r="I80" s="68">
        <f t="shared" si="31"/>
        <v>18861.424325021955</v>
      </c>
      <c r="J80" s="68">
        <f t="shared" si="31"/>
        <v>19993.109784523276</v>
      </c>
    </row>
    <row r="81" spans="2:13" x14ac:dyDescent="0.2">
      <c r="B81" s="88" t="s">
        <v>158</v>
      </c>
      <c r="C81" s="87">
        <f>+C79+C80</f>
        <v>33295.67976788801</v>
      </c>
      <c r="D81" s="87">
        <f t="shared" ref="D81:J81" si="32">+D79+D80</f>
        <v>35297.247744676803</v>
      </c>
      <c r="E81" s="87">
        <f t="shared" si="32"/>
        <v>37398.172519144486</v>
      </c>
      <c r="F81" s="87">
        <f t="shared" si="32"/>
        <v>39639.727371058929</v>
      </c>
      <c r="G81" s="87">
        <f t="shared" si="32"/>
        <v>42036.474815364825</v>
      </c>
      <c r="H81" s="87">
        <f t="shared" si="32"/>
        <v>44605.6841347765</v>
      </c>
      <c r="I81" s="87">
        <f t="shared" si="32"/>
        <v>47153.560812554933</v>
      </c>
      <c r="J81" s="87">
        <f t="shared" si="32"/>
        <v>49982.774461308174</v>
      </c>
    </row>
    <row r="83" spans="2:13" x14ac:dyDescent="0.2">
      <c r="B83" t="s">
        <v>240</v>
      </c>
      <c r="C83" s="68">
        <f t="shared" ref="C83:J83" si="33">+C49</f>
        <v>20000</v>
      </c>
      <c r="D83" s="68">
        <f t="shared" si="33"/>
        <v>21800</v>
      </c>
      <c r="E83" s="68">
        <f t="shared" si="33"/>
        <v>23751.200000000001</v>
      </c>
      <c r="F83" s="68">
        <f t="shared" si="33"/>
        <v>25854.5936</v>
      </c>
      <c r="G83" s="68">
        <f t="shared" si="33"/>
        <v>28109.431539199999</v>
      </c>
      <c r="H83" s="68">
        <f t="shared" si="33"/>
        <v>30513.0887823872</v>
      </c>
      <c r="I83" s="68">
        <f t="shared" si="33"/>
        <v>33060.965460165629</v>
      </c>
      <c r="J83" s="68">
        <f t="shared" si="33"/>
        <v>35890.179108918921</v>
      </c>
    </row>
    <row r="84" spans="2:13" x14ac:dyDescent="0.2">
      <c r="C84" s="89">
        <v>2024</v>
      </c>
      <c r="D84" s="89">
        <f>+C84+1</f>
        <v>2025</v>
      </c>
      <c r="E84" s="89">
        <f t="shared" ref="E84:H84" si="34">+D84+1</f>
        <v>2026</v>
      </c>
      <c r="F84" s="89">
        <f t="shared" si="34"/>
        <v>2027</v>
      </c>
      <c r="G84" s="89">
        <f t="shared" si="34"/>
        <v>2028</v>
      </c>
      <c r="H84" s="89">
        <f t="shared" si="34"/>
        <v>2029</v>
      </c>
      <c r="I84" s="89" t="s">
        <v>273</v>
      </c>
      <c r="J84" s="89" t="s">
        <v>274</v>
      </c>
    </row>
    <row r="85" spans="2:13" x14ac:dyDescent="0.2">
      <c r="B85" s="68" t="str">
        <f t="shared" ref="B85:J85" si="35">+B55</f>
        <v>Noplat</v>
      </c>
      <c r="C85" s="68">
        <f>+C55</f>
        <v>3000</v>
      </c>
      <c r="D85" s="68">
        <f t="shared" si="35"/>
        <v>3252</v>
      </c>
      <c r="E85" s="68">
        <f t="shared" si="35"/>
        <v>3505.6559999999999</v>
      </c>
      <c r="F85" s="68">
        <f t="shared" si="35"/>
        <v>3758.063232</v>
      </c>
      <c r="G85" s="68">
        <f t="shared" si="35"/>
        <v>4006.0954053119999</v>
      </c>
      <c r="H85" s="68">
        <f t="shared" si="35"/>
        <v>4246.4611296307203</v>
      </c>
      <c r="I85" s="68">
        <f t="shared" si="35"/>
        <v>4489.0189893552269</v>
      </c>
      <c r="J85" s="68">
        <f t="shared" si="35"/>
        <v>4758.3601287165402</v>
      </c>
    </row>
    <row r="86" spans="2:13" x14ac:dyDescent="0.2">
      <c r="B86" t="s">
        <v>303</v>
      </c>
      <c r="C86" s="68">
        <f t="shared" ref="C86:J86" si="36">+C83*C69</f>
        <v>1923.1131480766767</v>
      </c>
      <c r="D86" s="68">
        <f t="shared" si="36"/>
        <v>2100.9456776861357</v>
      </c>
      <c r="E86" s="68">
        <f t="shared" si="36"/>
        <v>2314.1513738236067</v>
      </c>
      <c r="F86" s="68">
        <f t="shared" si="36"/>
        <v>2543.7160358113456</v>
      </c>
      <c r="G86" s="68">
        <f t="shared" si="36"/>
        <v>2789.5450273357596</v>
      </c>
      <c r="H86" s="68">
        <f t="shared" si="36"/>
        <v>2904.8460520832618</v>
      </c>
      <c r="I86" s="68">
        <f t="shared" si="36"/>
        <v>3147.4039118077681</v>
      </c>
      <c r="J86" s="68">
        <f t="shared" si="36"/>
        <v>3416.7450511690813</v>
      </c>
      <c r="M86" s="90"/>
    </row>
    <row r="87" spans="2:13" x14ac:dyDescent="0.2">
      <c r="B87" t="s">
        <v>236</v>
      </c>
      <c r="C87" s="68">
        <f>+C85-C86</f>
        <v>1076.8868519233233</v>
      </c>
      <c r="D87" s="68">
        <f t="shared" ref="D87:J87" si="37">+D85-D86</f>
        <v>1151.0543223138643</v>
      </c>
      <c r="E87" s="68">
        <f t="shared" si="37"/>
        <v>1191.5046261763932</v>
      </c>
      <c r="F87" s="68">
        <f t="shared" si="37"/>
        <v>1214.3471961886544</v>
      </c>
      <c r="G87" s="68">
        <f t="shared" si="37"/>
        <v>1216.5503779762403</v>
      </c>
      <c r="H87" s="68">
        <f t="shared" si="37"/>
        <v>1341.6150775474584</v>
      </c>
      <c r="I87" s="68">
        <f t="shared" si="37"/>
        <v>1341.6150775474589</v>
      </c>
      <c r="J87" s="68">
        <f t="shared" si="37"/>
        <v>1341.6150775474589</v>
      </c>
      <c r="K87" t="s">
        <v>304</v>
      </c>
    </row>
    <row r="88" spans="2:13" x14ac:dyDescent="0.2">
      <c r="B88" t="s">
        <v>238</v>
      </c>
      <c r="C88" s="68">
        <f t="shared" ref="C88:H88" si="38">+(C87+D88)/(1+C69)</f>
        <v>13295.679767887974</v>
      </c>
      <c r="D88" s="68">
        <f t="shared" si="38"/>
        <v>13497.24774467677</v>
      </c>
      <c r="E88" s="68">
        <f t="shared" si="38"/>
        <v>13646.972519144445</v>
      </c>
      <c r="F88" s="68">
        <f t="shared" si="38"/>
        <v>13785.13377105889</v>
      </c>
      <c r="G88" s="68">
        <f t="shared" si="38"/>
        <v>13927.043276164781</v>
      </c>
      <c r="H88" s="68">
        <f t="shared" si="38"/>
        <v>14092.595352389259</v>
      </c>
      <c r="I88" s="68">
        <f>+(I87+J88)/(1+I69)</f>
        <v>14092.595352389257</v>
      </c>
      <c r="J88" s="82">
        <f>+J81-J89</f>
        <v>14092.595352389253</v>
      </c>
      <c r="K88" s="91">
        <f>+J87/J36+J56*(K29-K36)/(K36*(K36-K31))</f>
        <v>14092.595352389273</v>
      </c>
    </row>
    <row r="89" spans="2:13" x14ac:dyDescent="0.2">
      <c r="B89" s="68" t="str">
        <f>+B83</f>
        <v>Total IC</v>
      </c>
      <c r="C89" s="68">
        <f t="shared" ref="C89:I89" si="39">+C83</f>
        <v>20000</v>
      </c>
      <c r="D89" s="68">
        <f t="shared" si="39"/>
        <v>21800</v>
      </c>
      <c r="E89" s="68">
        <f t="shared" si="39"/>
        <v>23751.200000000001</v>
      </c>
      <c r="F89" s="68">
        <f t="shared" si="39"/>
        <v>25854.5936</v>
      </c>
      <c r="G89" s="68">
        <f t="shared" si="39"/>
        <v>28109.431539199999</v>
      </c>
      <c r="H89" s="68">
        <f t="shared" si="39"/>
        <v>30513.0887823872</v>
      </c>
      <c r="I89" s="68">
        <f t="shared" si="39"/>
        <v>33060.965460165629</v>
      </c>
      <c r="J89" s="68">
        <f>+J83</f>
        <v>35890.179108918921</v>
      </c>
    </row>
    <row r="90" spans="2:13" x14ac:dyDescent="0.2">
      <c r="B90" s="87" t="s">
        <v>158</v>
      </c>
      <c r="C90" s="87">
        <f>+C88+C89</f>
        <v>33295.679767887974</v>
      </c>
      <c r="D90" s="87">
        <f t="shared" ref="D90:J90" si="40">+D88+D89</f>
        <v>35297.247744676773</v>
      </c>
      <c r="E90" s="87">
        <f t="shared" si="40"/>
        <v>37398.172519144442</v>
      </c>
      <c r="F90" s="87">
        <f t="shared" si="40"/>
        <v>39639.727371058892</v>
      </c>
      <c r="G90" s="87">
        <f t="shared" si="40"/>
        <v>42036.474815364782</v>
      </c>
      <c r="H90" s="87">
        <f t="shared" si="40"/>
        <v>44605.684134776457</v>
      </c>
      <c r="I90" s="87">
        <f t="shared" si="40"/>
        <v>47153.56081255489</v>
      </c>
      <c r="J90" s="87">
        <f t="shared" si="40"/>
        <v>49982.774461308174</v>
      </c>
    </row>
    <row r="93" spans="2:13" x14ac:dyDescent="0.2">
      <c r="B93" s="68" t="s">
        <v>128</v>
      </c>
      <c r="C93" s="68">
        <f>+C55/(1-C33)</f>
        <v>3750</v>
      </c>
      <c r="D93" s="68">
        <f t="shared" ref="D93:J93" si="41">+D55/(1-D33)</f>
        <v>4065</v>
      </c>
      <c r="E93" s="68">
        <f t="shared" si="41"/>
        <v>4382.07</v>
      </c>
      <c r="F93" s="68">
        <f t="shared" si="41"/>
        <v>4697.5790399999996</v>
      </c>
      <c r="G93" s="68">
        <f t="shared" si="41"/>
        <v>5007.6192566399995</v>
      </c>
      <c r="H93" s="68">
        <f t="shared" si="41"/>
        <v>5308.0764120384001</v>
      </c>
      <c r="I93" s="68">
        <f t="shared" si="41"/>
        <v>5611.2737366940337</v>
      </c>
      <c r="J93" s="68">
        <f t="shared" si="41"/>
        <v>5947.9501608956753</v>
      </c>
    </row>
    <row r="94" spans="2:13" x14ac:dyDescent="0.2">
      <c r="B94" s="68" t="str">
        <f>+B58</f>
        <v>Interest</v>
      </c>
      <c r="C94" s="68">
        <f>+C58</f>
        <v>640</v>
      </c>
      <c r="D94" s="68">
        <f t="shared" ref="D94:J94" si="42">+D58</f>
        <v>640</v>
      </c>
      <c r="E94" s="68">
        <f t="shared" si="42"/>
        <v>480</v>
      </c>
      <c r="F94" s="68">
        <f t="shared" si="42"/>
        <v>320</v>
      </c>
      <c r="G94" s="68">
        <f t="shared" si="42"/>
        <v>160</v>
      </c>
      <c r="H94" s="68">
        <f t="shared" si="42"/>
        <v>1070.5364192346349</v>
      </c>
      <c r="I94" s="68">
        <f t="shared" si="42"/>
        <v>1131.6854595013172</v>
      </c>
      <c r="J94" s="68">
        <f t="shared" si="42"/>
        <v>1199.5865870713965</v>
      </c>
    </row>
    <row r="95" spans="2:13" x14ac:dyDescent="0.2">
      <c r="B95" t="s">
        <v>33</v>
      </c>
      <c r="C95" s="68">
        <f>+C93-C94</f>
        <v>3110</v>
      </c>
      <c r="D95" s="68">
        <f t="shared" ref="D95:J95" si="43">+D93-D94</f>
        <v>3425</v>
      </c>
      <c r="E95" s="68">
        <f t="shared" si="43"/>
        <v>3902.0699999999997</v>
      </c>
      <c r="F95" s="68">
        <f t="shared" si="43"/>
        <v>4377.5790399999996</v>
      </c>
      <c r="G95" s="68">
        <f t="shared" si="43"/>
        <v>4847.6192566399995</v>
      </c>
      <c r="H95" s="68">
        <f t="shared" si="43"/>
        <v>4237.539992803765</v>
      </c>
      <c r="I95" s="68">
        <f t="shared" si="43"/>
        <v>4479.5882771927163</v>
      </c>
      <c r="J95" s="68">
        <f t="shared" si="43"/>
        <v>4748.3635738242792</v>
      </c>
    </row>
    <row r="96" spans="2:13" x14ac:dyDescent="0.2">
      <c r="B96" t="s">
        <v>257</v>
      </c>
      <c r="C96" s="68">
        <f>+IF(C95&gt;0,C95*C33,0)</f>
        <v>622</v>
      </c>
      <c r="D96" s="68">
        <f t="shared" ref="D96:J96" si="44">+IF(D95&gt;0,D95*D33,0)</f>
        <v>685</v>
      </c>
      <c r="E96" s="68">
        <f t="shared" si="44"/>
        <v>780.41399999999999</v>
      </c>
      <c r="F96" s="68">
        <f t="shared" si="44"/>
        <v>875.51580799999999</v>
      </c>
      <c r="G96" s="68">
        <f t="shared" si="44"/>
        <v>969.52385132799998</v>
      </c>
      <c r="H96" s="68">
        <f t="shared" si="44"/>
        <v>847.50799856075309</v>
      </c>
      <c r="I96" s="68">
        <f t="shared" si="44"/>
        <v>895.91765543854331</v>
      </c>
      <c r="J96" s="68">
        <f t="shared" si="44"/>
        <v>949.67271476485587</v>
      </c>
    </row>
    <row r="97" spans="2:10" x14ac:dyDescent="0.2">
      <c r="B97" t="s">
        <v>35</v>
      </c>
      <c r="C97" s="68">
        <f>+C95-C96</f>
        <v>2488</v>
      </c>
      <c r="D97" s="68">
        <f t="shared" ref="D97:J97" si="45">+D95-D96</f>
        <v>2740</v>
      </c>
      <c r="E97" s="68">
        <f t="shared" si="45"/>
        <v>3121.6559999999999</v>
      </c>
      <c r="F97" s="68">
        <f t="shared" si="45"/>
        <v>3502.0632319999995</v>
      </c>
      <c r="G97" s="68">
        <f t="shared" si="45"/>
        <v>3878.0954053119995</v>
      </c>
      <c r="H97" s="68">
        <f t="shared" si="45"/>
        <v>3390.0319942430119</v>
      </c>
      <c r="I97" s="68">
        <f t="shared" si="45"/>
        <v>3583.6706217541732</v>
      </c>
      <c r="J97" s="68">
        <f t="shared" si="45"/>
        <v>3798.6908590594235</v>
      </c>
    </row>
    <row r="98" spans="2:10" x14ac:dyDescent="0.2">
      <c r="B98" t="s">
        <v>36</v>
      </c>
      <c r="C98" s="68">
        <f>+C97-C99</f>
        <v>2488</v>
      </c>
      <c r="D98" s="68">
        <f t="shared" ref="D98:I98" si="46">+D97-D99</f>
        <v>2740</v>
      </c>
      <c r="E98" s="68">
        <f t="shared" si="46"/>
        <v>3121.6559999999999</v>
      </c>
      <c r="F98" s="68">
        <f t="shared" si="46"/>
        <v>3502.0632319999995</v>
      </c>
      <c r="G98" s="68">
        <f t="shared" si="46"/>
        <v>3878.0954053119995</v>
      </c>
      <c r="H98" s="68">
        <f t="shared" si="46"/>
        <v>3390.0319942430119</v>
      </c>
      <c r="I98" s="68">
        <f t="shared" si="46"/>
        <v>3583.6706217541732</v>
      </c>
      <c r="J98" s="68"/>
    </row>
    <row r="99" spans="2:10" x14ac:dyDescent="0.2">
      <c r="B99" t="s">
        <v>37</v>
      </c>
      <c r="C99" s="68">
        <f>+IF(C97&lt;0,C97,MAX(0,MIN(C97,C101)))</f>
        <v>0</v>
      </c>
      <c r="D99" s="68">
        <f t="shared" ref="D99:I99" si="47">+IF(D97&lt;0,D97,MAX(0,MIN(D97,D101)))</f>
        <v>0</v>
      </c>
      <c r="E99" s="68">
        <f t="shared" si="47"/>
        <v>0</v>
      </c>
      <c r="F99" s="68">
        <f t="shared" si="47"/>
        <v>0</v>
      </c>
      <c r="G99" s="68">
        <f t="shared" si="47"/>
        <v>0</v>
      </c>
      <c r="H99" s="68">
        <f t="shared" si="47"/>
        <v>0</v>
      </c>
      <c r="I99" s="68">
        <f t="shared" si="47"/>
        <v>0</v>
      </c>
      <c r="J99" s="68"/>
    </row>
    <row r="100" spans="2:10" x14ac:dyDescent="0.2">
      <c r="C100" s="68"/>
      <c r="D100" s="68"/>
      <c r="E100" s="68"/>
      <c r="F100" s="68"/>
      <c r="G100" s="68"/>
      <c r="H100" s="68"/>
      <c r="I100" s="68"/>
      <c r="J100" s="68"/>
    </row>
    <row r="101" spans="2:10" x14ac:dyDescent="0.2">
      <c r="B101" t="s">
        <v>305</v>
      </c>
      <c r="C101" s="68">
        <f>+D52-C52</f>
        <v>0</v>
      </c>
      <c r="D101" s="68">
        <f t="shared" ref="D101:I101" si="48">+E52-D52</f>
        <v>0</v>
      </c>
      <c r="E101" s="68">
        <f t="shared" si="48"/>
        <v>0</v>
      </c>
      <c r="F101" s="68">
        <f t="shared" si="48"/>
        <v>0</v>
      </c>
      <c r="G101" s="68">
        <f t="shared" si="48"/>
        <v>0</v>
      </c>
      <c r="H101" s="68">
        <f t="shared" si="48"/>
        <v>0</v>
      </c>
      <c r="I101" s="68">
        <f t="shared" si="48"/>
        <v>0</v>
      </c>
      <c r="J101" s="68"/>
    </row>
    <row r="102" spans="2:10" x14ac:dyDescent="0.2">
      <c r="B102" t="s">
        <v>39</v>
      </c>
      <c r="C102" s="68">
        <f>+C101-C99</f>
        <v>0</v>
      </c>
      <c r="D102" s="68">
        <f t="shared" ref="D102:I102" si="49">+D101-D99</f>
        <v>0</v>
      </c>
      <c r="E102" s="68">
        <f t="shared" si="49"/>
        <v>0</v>
      </c>
      <c r="F102" s="68">
        <f t="shared" si="49"/>
        <v>0</v>
      </c>
      <c r="G102" s="68">
        <f t="shared" si="49"/>
        <v>0</v>
      </c>
      <c r="H102" s="68">
        <f t="shared" si="49"/>
        <v>0</v>
      </c>
      <c r="I102" s="68">
        <f t="shared" si="49"/>
        <v>0</v>
      </c>
      <c r="J102" s="68"/>
    </row>
    <row r="103" spans="2:10" x14ac:dyDescent="0.2">
      <c r="C103" s="89">
        <v>2024</v>
      </c>
      <c r="D103" s="89">
        <f>+C103+1</f>
        <v>2025</v>
      </c>
      <c r="E103" s="89">
        <f t="shared" ref="E103:H103" si="50">+D103+1</f>
        <v>2026</v>
      </c>
      <c r="F103" s="89">
        <f t="shared" si="50"/>
        <v>2027</v>
      </c>
      <c r="G103" s="89">
        <f t="shared" si="50"/>
        <v>2028</v>
      </c>
      <c r="H103" s="89">
        <f t="shared" si="50"/>
        <v>2029</v>
      </c>
      <c r="I103" s="89" t="s">
        <v>273</v>
      </c>
      <c r="J103" s="89" t="s">
        <v>274</v>
      </c>
    </row>
    <row r="104" spans="2:10" x14ac:dyDescent="0.2">
      <c r="B104" t="s">
        <v>306</v>
      </c>
      <c r="C104" s="68">
        <f>+C78*C51</f>
        <v>1262.4526822916198</v>
      </c>
      <c r="D104" s="68">
        <f t="shared" ref="D104:J104" si="51">+D78*D51</f>
        <v>1451.6636594938384</v>
      </c>
      <c r="E104" s="68">
        <f t="shared" si="51"/>
        <v>1838.1026340044143</v>
      </c>
      <c r="F104" s="68">
        <f t="shared" si="51"/>
        <v>2232.3434691168395</v>
      </c>
      <c r="G104" s="68">
        <f t="shared" si="51"/>
        <v>2636.3717923746594</v>
      </c>
      <c r="H104" s="68">
        <f t="shared" si="51"/>
        <v>1604.9699162737054</v>
      </c>
      <c r="I104" s="68">
        <f t="shared" si="51"/>
        <v>1798.608543784866</v>
      </c>
      <c r="J104" s="68">
        <f t="shared" si="51"/>
        <v>2013.6287810901156</v>
      </c>
    </row>
    <row r="105" spans="2:10" x14ac:dyDescent="0.2">
      <c r="B105" t="s">
        <v>253</v>
      </c>
      <c r="C105" s="68">
        <f>+C97-C104</f>
        <v>1225.5473177083802</v>
      </c>
      <c r="D105" s="68">
        <f t="shared" ref="D105:F105" si="52">+D97-D104</f>
        <v>1288.3363405061616</v>
      </c>
      <c r="E105" s="68">
        <f t="shared" si="52"/>
        <v>1283.5533659955856</v>
      </c>
      <c r="F105" s="68">
        <f t="shared" si="52"/>
        <v>1269.71976288316</v>
      </c>
      <c r="G105" s="68">
        <f>+G97-G104</f>
        <v>1241.72361293734</v>
      </c>
      <c r="H105" s="68">
        <f>+H97-H104</f>
        <v>1785.0620779693065</v>
      </c>
      <c r="I105" s="68">
        <f t="shared" ref="I105:J105" si="53">+I97-I104</f>
        <v>1785.0620779693072</v>
      </c>
      <c r="J105" s="68">
        <f t="shared" si="53"/>
        <v>1785.0620779693079</v>
      </c>
    </row>
    <row r="106" spans="2:10" x14ac:dyDescent="0.2">
      <c r="B106" t="s">
        <v>255</v>
      </c>
      <c r="C106" s="68">
        <f t="shared" ref="C106:H106" si="54">+(C105+D106)/(1+C78)</f>
        <v>13295.679767887968</v>
      </c>
      <c r="D106" s="68">
        <f t="shared" si="54"/>
        <v>13497.247744676766</v>
      </c>
      <c r="E106" s="68">
        <f t="shared" si="54"/>
        <v>13646.972519144445</v>
      </c>
      <c r="F106" s="68">
        <f t="shared" si="54"/>
        <v>13785.133771058889</v>
      </c>
      <c r="G106" s="68">
        <f t="shared" si="54"/>
        <v>13927.043276164779</v>
      </c>
      <c r="H106" s="68">
        <f t="shared" si="54"/>
        <v>14092.595352389257</v>
      </c>
      <c r="I106" s="68">
        <f>+(I105+J106)/(1+I78)</f>
        <v>14092.595352389257</v>
      </c>
      <c r="J106" s="82">
        <f>+J79-J51</f>
        <v>14092.595352389257</v>
      </c>
    </row>
    <row r="107" spans="2:10" x14ac:dyDescent="0.2">
      <c r="B107" s="68" t="str">
        <f t="shared" ref="B107:H107" si="55">+B51</f>
        <v>BV Equity boy</v>
      </c>
      <c r="C107" s="68">
        <f t="shared" si="55"/>
        <v>11761.605141912933</v>
      </c>
      <c r="D107" s="68">
        <f t="shared" si="55"/>
        <v>13624.917501846838</v>
      </c>
      <c r="E107" s="68">
        <f t="shared" si="55"/>
        <v>17643.861726976116</v>
      </c>
      <c r="F107" s="68">
        <f t="shared" si="55"/>
        <v>21799.741647864445</v>
      </c>
      <c r="G107" s="68">
        <f t="shared" si="55"/>
        <v>26090.739950414951</v>
      </c>
      <c r="H107" s="68">
        <f t="shared" si="55"/>
        <v>12670.815128476617</v>
      </c>
      <c r="I107" s="68">
        <f>+I51</f>
        <v>14199.541135143674</v>
      </c>
      <c r="J107" s="68">
        <f>+J51</f>
        <v>15897.069324395645</v>
      </c>
    </row>
    <row r="108" spans="2:10" x14ac:dyDescent="0.2">
      <c r="B108" s="68" t="s">
        <v>165</v>
      </c>
      <c r="C108" s="68">
        <f>+C107+C106</f>
        <v>25057.284909800903</v>
      </c>
      <c r="D108" s="68">
        <f t="shared" ref="D108:J108" si="56">+D107+D106</f>
        <v>27122.165246523604</v>
      </c>
      <c r="E108" s="68">
        <f t="shared" si="56"/>
        <v>31290.834246120561</v>
      </c>
      <c r="F108" s="68">
        <f t="shared" si="56"/>
        <v>35584.87541892333</v>
      </c>
      <c r="G108" s="68">
        <f t="shared" si="56"/>
        <v>40017.783226579733</v>
      </c>
      <c r="H108" s="68">
        <f t="shared" si="56"/>
        <v>26763.410480865874</v>
      </c>
      <c r="I108" s="68">
        <f t="shared" si="56"/>
        <v>28292.136487532931</v>
      </c>
      <c r="J108" s="68">
        <f t="shared" si="56"/>
        <v>29989.664676784902</v>
      </c>
    </row>
    <row r="109" spans="2:10" x14ac:dyDescent="0.2">
      <c r="B109" s="68" t="str">
        <f t="shared" ref="B109:H109" si="57">+B50</f>
        <v>BV D boy</v>
      </c>
      <c r="C109" s="68">
        <f t="shared" si="57"/>
        <v>8238.3948580870674</v>
      </c>
      <c r="D109" s="68">
        <f t="shared" si="57"/>
        <v>8175.0824981531623</v>
      </c>
      <c r="E109" s="68">
        <f t="shared" si="57"/>
        <v>6107.3382730238854</v>
      </c>
      <c r="F109" s="68">
        <f t="shared" si="57"/>
        <v>4054.851952135557</v>
      </c>
      <c r="G109" s="68">
        <f t="shared" si="57"/>
        <v>2018.6915887850466</v>
      </c>
      <c r="H109" s="68">
        <f t="shared" si="57"/>
        <v>17842.273653910583</v>
      </c>
      <c r="I109" s="68">
        <f>+I50</f>
        <v>18861.424325021955</v>
      </c>
      <c r="J109" s="68">
        <f>+J50</f>
        <v>19993.109784523276</v>
      </c>
    </row>
    <row r="110" spans="2:10" x14ac:dyDescent="0.2">
      <c r="B110" s="87" t="s">
        <v>158</v>
      </c>
      <c r="C110" s="87">
        <f>+C108+C109</f>
        <v>33295.679767887967</v>
      </c>
      <c r="D110" s="87">
        <f t="shared" ref="D110:J110" si="58">+D108+D109</f>
        <v>35297.247744676766</v>
      </c>
      <c r="E110" s="87">
        <f t="shared" si="58"/>
        <v>37398.172519144449</v>
      </c>
      <c r="F110" s="87">
        <f t="shared" si="58"/>
        <v>39639.727371058885</v>
      </c>
      <c r="G110" s="87">
        <f t="shared" si="58"/>
        <v>42036.474815364782</v>
      </c>
      <c r="H110" s="87">
        <f t="shared" si="58"/>
        <v>44605.684134776457</v>
      </c>
      <c r="I110" s="87">
        <f t="shared" si="58"/>
        <v>47153.56081255489</v>
      </c>
      <c r="J110" s="87">
        <f t="shared" si="58"/>
        <v>49982.774461308174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B8E01-7A02-430C-9CE1-A3C56F139837}">
  <sheetPr>
    <tabColor rgb="FFFFCCFF"/>
  </sheetPr>
  <dimension ref="A26:K110"/>
  <sheetViews>
    <sheetView topLeftCell="A49" workbookViewId="0">
      <selection activeCell="E39" sqref="E39"/>
    </sheetView>
  </sheetViews>
  <sheetFormatPr baseColWidth="10" defaultColWidth="8.83203125" defaultRowHeight="16" x14ac:dyDescent="0.2"/>
  <cols>
    <col min="2" max="2" width="22.1640625" bestFit="1" customWidth="1"/>
    <col min="3" max="5" width="8.6640625" bestFit="1" customWidth="1"/>
    <col min="6" max="7" width="9.33203125" bestFit="1" customWidth="1"/>
    <col min="8" max="8" width="12.33203125" bestFit="1" customWidth="1"/>
    <col min="9" max="9" width="8.6640625" bestFit="1" customWidth="1"/>
  </cols>
  <sheetData>
    <row r="26" spans="2:11" x14ac:dyDescent="0.2">
      <c r="C26" s="50">
        <v>2024</v>
      </c>
      <c r="D26" s="1">
        <f>+C26+1</f>
        <v>2025</v>
      </c>
      <c r="E26" s="1">
        <f t="shared" ref="E26:H26" si="0">+D26+1</f>
        <v>2026</v>
      </c>
      <c r="F26" s="1">
        <f t="shared" si="0"/>
        <v>2027</v>
      </c>
      <c r="G26" s="1">
        <f t="shared" si="0"/>
        <v>2028</v>
      </c>
      <c r="H26" s="1">
        <f t="shared" si="0"/>
        <v>2029</v>
      </c>
      <c r="I26" s="1" t="s">
        <v>273</v>
      </c>
      <c r="J26" s="1" t="s">
        <v>274</v>
      </c>
    </row>
    <row r="27" spans="2:11" x14ac:dyDescent="0.2">
      <c r="B27" t="s">
        <v>90</v>
      </c>
      <c r="C27" s="44">
        <v>20000</v>
      </c>
      <c r="D27" s="68">
        <f t="shared" ref="D27:K27" si="1">+C27+C56</f>
        <v>21800</v>
      </c>
      <c r="E27" s="68">
        <f t="shared" si="1"/>
        <v>23751.200000000001</v>
      </c>
      <c r="F27" s="68">
        <f t="shared" si="1"/>
        <v>25854.5936</v>
      </c>
      <c r="G27" s="68">
        <f t="shared" si="1"/>
        <v>28109.431539199999</v>
      </c>
      <c r="H27" s="68">
        <f t="shared" si="1"/>
        <v>30513.0887823872</v>
      </c>
      <c r="I27" s="68">
        <f t="shared" si="1"/>
        <v>33060.965460165629</v>
      </c>
      <c r="J27" s="68">
        <f t="shared" si="1"/>
        <v>35890.179108918921</v>
      </c>
      <c r="K27" s="68">
        <f t="shared" si="1"/>
        <v>38889.14557659741</v>
      </c>
    </row>
    <row r="28" spans="2:11" x14ac:dyDescent="0.2">
      <c r="B28" t="s">
        <v>93</v>
      </c>
      <c r="C28" s="46">
        <v>0.15</v>
      </c>
      <c r="D28" s="2"/>
      <c r="E28" s="2"/>
      <c r="F28" s="2"/>
      <c r="G28" s="2"/>
      <c r="H28" s="2"/>
    </row>
    <row r="29" spans="2:11" x14ac:dyDescent="0.2">
      <c r="B29" t="s">
        <v>94</v>
      </c>
      <c r="C29" s="2"/>
      <c r="D29" s="46">
        <v>0.14000000000000001</v>
      </c>
      <c r="E29" s="46">
        <v>0.13</v>
      </c>
      <c r="F29" s="46">
        <v>0.12</v>
      </c>
      <c r="G29" s="46">
        <v>0.11</v>
      </c>
      <c r="H29" s="46">
        <v>0.1</v>
      </c>
      <c r="I29" s="78">
        <f>+I36</f>
        <v>9.5200000000000007E-2</v>
      </c>
      <c r="J29" s="78">
        <f>+J36</f>
        <v>9.5200000000000007E-2</v>
      </c>
      <c r="K29" s="78">
        <f>+K36</f>
        <v>9.5200000000000007E-2</v>
      </c>
    </row>
    <row r="30" spans="2:11" x14ac:dyDescent="0.2">
      <c r="B30" t="s">
        <v>95</v>
      </c>
      <c r="C30" s="46">
        <v>0.6</v>
      </c>
      <c r="D30" s="46">
        <v>0.6</v>
      </c>
      <c r="E30" s="46">
        <v>0.6</v>
      </c>
      <c r="F30" s="46">
        <v>0.6</v>
      </c>
      <c r="G30" s="46">
        <v>0.6</v>
      </c>
      <c r="H30" s="46">
        <v>0.6</v>
      </c>
      <c r="I30" s="2">
        <f>+J31/J29</f>
        <v>0.63025210084033612</v>
      </c>
      <c r="J30" s="2">
        <f>+K31/K29</f>
        <v>0.63025210084033612</v>
      </c>
      <c r="K30" s="78"/>
    </row>
    <row r="31" spans="2:11" x14ac:dyDescent="0.2">
      <c r="B31" t="s">
        <v>92</v>
      </c>
      <c r="C31" s="2"/>
      <c r="D31" s="54">
        <f>+D55/C55-1</f>
        <v>8.4000000000000075E-2</v>
      </c>
      <c r="E31" s="54">
        <f t="shared" ref="E31:I31" si="2">+E55/D55-1</f>
        <v>7.8000000000000069E-2</v>
      </c>
      <c r="F31" s="54">
        <f t="shared" si="2"/>
        <v>7.2000000000000064E-2</v>
      </c>
      <c r="G31" s="54">
        <f t="shared" si="2"/>
        <v>6.6000000000000059E-2</v>
      </c>
      <c r="H31" s="54">
        <f t="shared" si="2"/>
        <v>6.0000000000000053E-2</v>
      </c>
      <c r="I31" s="54">
        <f t="shared" si="2"/>
        <v>5.712000000000006E-2</v>
      </c>
      <c r="J31" s="46">
        <v>0.06</v>
      </c>
      <c r="K31" s="46">
        <v>0.06</v>
      </c>
    </row>
    <row r="32" spans="2:11" x14ac:dyDescent="0.2">
      <c r="B32" t="s">
        <v>112</v>
      </c>
      <c r="C32" s="47">
        <v>0.1</v>
      </c>
      <c r="D32" s="47">
        <v>0.1</v>
      </c>
      <c r="E32" s="47">
        <v>0.1</v>
      </c>
      <c r="F32" s="47">
        <v>0.1</v>
      </c>
      <c r="G32" s="47">
        <v>0.1</v>
      </c>
      <c r="H32" s="47">
        <v>0.1</v>
      </c>
      <c r="I32" s="47">
        <v>0.1</v>
      </c>
      <c r="J32" s="47">
        <v>0.1</v>
      </c>
      <c r="K32" s="47">
        <v>0.1</v>
      </c>
    </row>
    <row r="33" spans="1:11" x14ac:dyDescent="0.2">
      <c r="B33" t="s">
        <v>58</v>
      </c>
      <c r="C33" s="47">
        <v>0.2</v>
      </c>
      <c r="D33" s="47">
        <v>0.2</v>
      </c>
      <c r="E33" s="47">
        <v>0.2</v>
      </c>
      <c r="F33" s="47">
        <v>0.2</v>
      </c>
      <c r="G33" s="47">
        <v>0.2</v>
      </c>
      <c r="H33" s="47">
        <v>0.2</v>
      </c>
      <c r="I33" s="47">
        <v>0.2</v>
      </c>
      <c r="J33" s="47">
        <v>0.2</v>
      </c>
      <c r="K33" s="47">
        <v>0.2</v>
      </c>
    </row>
    <row r="34" spans="1:11" x14ac:dyDescent="0.2">
      <c r="B34" t="s">
        <v>275</v>
      </c>
      <c r="C34" s="48">
        <f t="shared" ref="C34:F34" si="3">+C50/C74</f>
        <v>0.24027141226038592</v>
      </c>
      <c r="D34" s="48">
        <f t="shared" si="3"/>
        <v>0.22664656626681304</v>
      </c>
      <c r="E34" s="48">
        <f t="shared" si="3"/>
        <v>0.16043564687361525</v>
      </c>
      <c r="F34" s="48">
        <f t="shared" si="3"/>
        <v>0.10090886757511895</v>
      </c>
      <c r="G34" s="48">
        <f>+G50/G74</f>
        <v>4.7577728836314753E-2</v>
      </c>
      <c r="H34" s="46">
        <v>0.4</v>
      </c>
      <c r="I34" s="46">
        <v>0.4</v>
      </c>
      <c r="J34" s="46">
        <v>0.4</v>
      </c>
      <c r="K34" s="46">
        <v>0.4</v>
      </c>
    </row>
    <row r="35" spans="1:11" x14ac:dyDescent="0.2">
      <c r="B35" s="79" t="s">
        <v>291</v>
      </c>
      <c r="C35" s="80">
        <f>+C42/C50</f>
        <v>0.08</v>
      </c>
      <c r="D35" s="80">
        <f t="shared" ref="D35:G35" si="4">+D42/D50</f>
        <v>0.08</v>
      </c>
      <c r="E35" s="80">
        <f t="shared" si="4"/>
        <v>0.08</v>
      </c>
      <c r="F35" s="80">
        <f t="shared" si="4"/>
        <v>0.08</v>
      </c>
      <c r="G35" s="80">
        <f t="shared" si="4"/>
        <v>0.08</v>
      </c>
      <c r="H35" s="47">
        <v>0.06</v>
      </c>
      <c r="I35" s="47">
        <v>0.06</v>
      </c>
      <c r="J35" s="47">
        <v>0.06</v>
      </c>
      <c r="K35" s="47">
        <v>0.06</v>
      </c>
    </row>
    <row r="36" spans="1:11" x14ac:dyDescent="0.2">
      <c r="B36" t="s">
        <v>229</v>
      </c>
      <c r="C36" s="81">
        <f t="shared" ref="C36:K36" si="5">+C32-C34*C35*C33</f>
        <v>9.6155657403833833E-2</v>
      </c>
      <c r="D36" s="81">
        <f t="shared" si="5"/>
        <v>9.6373654939730991E-2</v>
      </c>
      <c r="E36" s="81">
        <f t="shared" si="5"/>
        <v>9.7433029650022165E-2</v>
      </c>
      <c r="F36" s="81">
        <f t="shared" si="5"/>
        <v>9.8385458118798105E-2</v>
      </c>
      <c r="G36" s="81">
        <f t="shared" si="5"/>
        <v>9.9238756338618964E-2</v>
      </c>
      <c r="H36" s="4">
        <f t="shared" si="5"/>
        <v>9.5200000000000007E-2</v>
      </c>
      <c r="I36" s="4">
        <f t="shared" si="5"/>
        <v>9.5200000000000007E-2</v>
      </c>
      <c r="J36" s="4">
        <f t="shared" si="5"/>
        <v>9.5200000000000007E-2</v>
      </c>
      <c r="K36" s="4">
        <f t="shared" si="5"/>
        <v>9.5200000000000007E-2</v>
      </c>
    </row>
    <row r="38" spans="1:11" x14ac:dyDescent="0.2">
      <c r="A38" t="s">
        <v>292</v>
      </c>
      <c r="B38" t="s">
        <v>293</v>
      </c>
      <c r="C38" s="68">
        <v>8000</v>
      </c>
      <c r="D38" s="68">
        <v>8000</v>
      </c>
      <c r="E38" s="68">
        <v>6000</v>
      </c>
      <c r="F38" s="68">
        <v>4000</v>
      </c>
      <c r="G38" s="68">
        <v>2000</v>
      </c>
    </row>
    <row r="39" spans="1:11" x14ac:dyDescent="0.2">
      <c r="B39" t="s">
        <v>32</v>
      </c>
      <c r="C39" s="4">
        <v>0.08</v>
      </c>
      <c r="D39" s="4">
        <v>0.08</v>
      </c>
      <c r="E39" s="4">
        <v>0.08</v>
      </c>
      <c r="F39" s="4">
        <v>0.08</v>
      </c>
      <c r="G39" s="4">
        <v>0.08</v>
      </c>
    </row>
    <row r="40" spans="1:11" x14ac:dyDescent="0.2">
      <c r="B40" t="s">
        <v>294</v>
      </c>
      <c r="C40" s="4">
        <v>7.0000000000000007E-2</v>
      </c>
      <c r="D40" s="4">
        <v>7.0000000000000007E-2</v>
      </c>
      <c r="E40" s="4">
        <v>7.0000000000000007E-2</v>
      </c>
      <c r="F40" s="4">
        <v>7.0000000000000007E-2</v>
      </c>
      <c r="G40" s="4">
        <v>7.0000000000000007E-2</v>
      </c>
    </row>
    <row r="41" spans="1:11" x14ac:dyDescent="0.2">
      <c r="B41" t="s">
        <v>295</v>
      </c>
      <c r="D41" s="68">
        <f t="shared" ref="D41:E41" si="6">+D38-E38</f>
        <v>2000</v>
      </c>
      <c r="E41" s="68">
        <f t="shared" si="6"/>
        <v>2000</v>
      </c>
      <c r="F41" s="68">
        <f>+F38-G38</f>
        <v>2000</v>
      </c>
      <c r="G41" s="68">
        <f>+G38-H38</f>
        <v>2000</v>
      </c>
    </row>
    <row r="42" spans="1:11" x14ac:dyDescent="0.2">
      <c r="B42" t="s">
        <v>296</v>
      </c>
      <c r="C42" s="68">
        <f>+C38*C39</f>
        <v>640</v>
      </c>
      <c r="D42" s="68">
        <f t="shared" ref="D42:G42" si="7">+D38*D39</f>
        <v>640</v>
      </c>
      <c r="E42" s="68">
        <f t="shared" si="7"/>
        <v>480</v>
      </c>
      <c r="F42" s="68">
        <f t="shared" si="7"/>
        <v>320</v>
      </c>
      <c r="G42" s="68">
        <f t="shared" si="7"/>
        <v>160</v>
      </c>
    </row>
    <row r="43" spans="1:11" x14ac:dyDescent="0.2">
      <c r="B43" t="s">
        <v>297</v>
      </c>
      <c r="C43" s="68">
        <f>+C41+C42</f>
        <v>640</v>
      </c>
      <c r="D43" s="68">
        <f t="shared" ref="D43:G43" si="8">+D41+D42</f>
        <v>2640</v>
      </c>
      <c r="E43" s="68">
        <f t="shared" si="8"/>
        <v>2480</v>
      </c>
      <c r="F43" s="68">
        <f t="shared" si="8"/>
        <v>2320</v>
      </c>
      <c r="G43" s="68">
        <f t="shared" si="8"/>
        <v>2160</v>
      </c>
    </row>
    <row r="44" spans="1:11" x14ac:dyDescent="0.2">
      <c r="B44" t="s">
        <v>298</v>
      </c>
      <c r="C44" s="68">
        <f t="shared" ref="C44:F44" si="9">+(C43+D44)/(1+C40)</f>
        <v>8238.3948580870674</v>
      </c>
      <c r="D44" s="68">
        <f t="shared" si="9"/>
        <v>8175.0824981531623</v>
      </c>
      <c r="E44" s="68">
        <f t="shared" si="9"/>
        <v>6107.3382730238854</v>
      </c>
      <c r="F44" s="68">
        <f t="shared" si="9"/>
        <v>4054.851952135557</v>
      </c>
      <c r="G44" s="68">
        <f>+(G43+H44)/(1+G40)</f>
        <v>2018.6915887850466</v>
      </c>
      <c r="H44" s="68">
        <v>0</v>
      </c>
    </row>
    <row r="45" spans="1:11" x14ac:dyDescent="0.2">
      <c r="C45" s="68"/>
      <c r="D45" s="68"/>
      <c r="E45" s="68"/>
      <c r="F45" s="68"/>
      <c r="G45" s="68"/>
    </row>
    <row r="46" spans="1:11" x14ac:dyDescent="0.2">
      <c r="C46" s="68"/>
      <c r="D46" s="68"/>
      <c r="E46" s="68"/>
      <c r="F46" s="68"/>
      <c r="G46" s="68"/>
    </row>
    <row r="47" spans="1:11" x14ac:dyDescent="0.2">
      <c r="C47" s="68"/>
      <c r="D47" s="68"/>
      <c r="E47" s="68"/>
      <c r="F47" s="68"/>
      <c r="G47" s="68"/>
    </row>
    <row r="48" spans="1:11" x14ac:dyDescent="0.2">
      <c r="A48" t="s">
        <v>307</v>
      </c>
      <c r="C48" s="2"/>
      <c r="D48" s="2"/>
      <c r="E48" s="2"/>
      <c r="F48" s="2"/>
      <c r="G48" s="2"/>
      <c r="H48" s="2"/>
      <c r="I48" s="2"/>
    </row>
    <row r="49" spans="2:11" x14ac:dyDescent="0.2">
      <c r="B49" s="68" t="str">
        <f t="shared" ref="B49:J49" si="10">+B27</f>
        <v>IC boy</v>
      </c>
      <c r="C49" s="68">
        <f t="shared" si="10"/>
        <v>20000</v>
      </c>
      <c r="D49" s="68">
        <f t="shared" si="10"/>
        <v>21800</v>
      </c>
      <c r="E49" s="68">
        <f t="shared" si="10"/>
        <v>23751.200000000001</v>
      </c>
      <c r="F49" s="68">
        <f t="shared" si="10"/>
        <v>25854.5936</v>
      </c>
      <c r="G49" s="68">
        <f t="shared" si="10"/>
        <v>28109.431539199999</v>
      </c>
      <c r="H49" s="68">
        <f t="shared" si="10"/>
        <v>30513.0887823872</v>
      </c>
      <c r="I49" s="68">
        <f t="shared" si="10"/>
        <v>33060.965460165629</v>
      </c>
      <c r="J49" s="68">
        <f t="shared" si="10"/>
        <v>35890.179108918921</v>
      </c>
      <c r="K49" s="68"/>
    </row>
    <row r="50" spans="2:11" x14ac:dyDescent="0.2">
      <c r="B50" s="79" t="s">
        <v>300</v>
      </c>
      <c r="C50" s="92">
        <f>+C38</f>
        <v>8000</v>
      </c>
      <c r="D50" s="92">
        <f t="shared" ref="D50:G50" si="11">+D38</f>
        <v>8000</v>
      </c>
      <c r="E50" s="92">
        <f t="shared" si="11"/>
        <v>6000</v>
      </c>
      <c r="F50" s="92">
        <f t="shared" si="11"/>
        <v>4000</v>
      </c>
      <c r="G50" s="92">
        <f t="shared" si="11"/>
        <v>2000</v>
      </c>
      <c r="H50" s="68">
        <f>+H70*H34</f>
        <v>17842.273653910583</v>
      </c>
      <c r="I50" s="68">
        <f>+I70*I34</f>
        <v>18861.424325021955</v>
      </c>
      <c r="J50" s="68">
        <f>+J70*J34</f>
        <v>19993.109784523276</v>
      </c>
      <c r="K50" s="68"/>
    </row>
    <row r="51" spans="2:11" x14ac:dyDescent="0.2">
      <c r="B51" t="s">
        <v>123</v>
      </c>
      <c r="C51" s="49">
        <f>+C49-C50</f>
        <v>12000</v>
      </c>
      <c r="D51" s="49">
        <f t="shared" ref="D51:J51" si="12">+D49-D50</f>
        <v>13800</v>
      </c>
      <c r="E51" s="49">
        <f t="shared" si="12"/>
        <v>17751.2</v>
      </c>
      <c r="F51" s="49">
        <f t="shared" si="12"/>
        <v>21854.5936</v>
      </c>
      <c r="G51" s="49">
        <f t="shared" si="12"/>
        <v>26109.431539199999</v>
      </c>
      <c r="H51" s="68">
        <f t="shared" si="12"/>
        <v>12670.815128476617</v>
      </c>
      <c r="I51" s="68">
        <f t="shared" si="12"/>
        <v>14199.541135143674</v>
      </c>
      <c r="J51" s="68">
        <f t="shared" si="12"/>
        <v>15897.069324395645</v>
      </c>
      <c r="K51" s="68"/>
    </row>
    <row r="52" spans="2:11" x14ac:dyDescent="0.2">
      <c r="C52" s="68"/>
      <c r="D52" s="68"/>
      <c r="E52" s="68"/>
      <c r="F52" s="68"/>
      <c r="G52" s="68"/>
      <c r="H52" s="68"/>
      <c r="I52" s="68"/>
      <c r="J52" s="68"/>
      <c r="K52" s="68"/>
    </row>
    <row r="53" spans="2:11" x14ac:dyDescent="0.2">
      <c r="B53" t="s">
        <v>308</v>
      </c>
      <c r="C53" s="68">
        <f>+C50-C44</f>
        <v>-238.3948580870674</v>
      </c>
      <c r="D53" s="68">
        <f t="shared" ref="D53:G53" si="13">+D50-D44</f>
        <v>-175.08249815316231</v>
      </c>
      <c r="E53" s="68">
        <f t="shared" si="13"/>
        <v>-107.33827302388545</v>
      </c>
      <c r="F53" s="68">
        <f t="shared" si="13"/>
        <v>-54.851952135556985</v>
      </c>
      <c r="G53" s="68">
        <f t="shared" si="13"/>
        <v>-18.691588785046633</v>
      </c>
      <c r="H53" s="68"/>
      <c r="I53" s="68"/>
      <c r="J53" s="68"/>
      <c r="K53" s="68"/>
    </row>
    <row r="55" spans="2:11" x14ac:dyDescent="0.2">
      <c r="B55" t="s">
        <v>81</v>
      </c>
      <c r="C55" s="68">
        <f>+C27*C28</f>
        <v>3000</v>
      </c>
      <c r="D55" s="68">
        <f t="shared" ref="D55:J55" si="14">+C55+C56*D29</f>
        <v>3252</v>
      </c>
      <c r="E55" s="68">
        <f t="shared" si="14"/>
        <v>3505.6559999999999</v>
      </c>
      <c r="F55" s="68">
        <f t="shared" si="14"/>
        <v>3758.063232</v>
      </c>
      <c r="G55" s="68">
        <f t="shared" si="14"/>
        <v>4006.0954053119999</v>
      </c>
      <c r="H55" s="68">
        <f t="shared" si="14"/>
        <v>4246.4611296307203</v>
      </c>
      <c r="I55" s="68">
        <f t="shared" si="14"/>
        <v>4489.0189893552269</v>
      </c>
      <c r="J55" s="68">
        <f t="shared" si="14"/>
        <v>4758.3601287165402</v>
      </c>
    </row>
    <row r="56" spans="2:11" x14ac:dyDescent="0.2">
      <c r="B56" s="68" t="s">
        <v>91</v>
      </c>
      <c r="C56" s="68">
        <f t="shared" ref="C56:J56" si="15">+C55*C30</f>
        <v>1800</v>
      </c>
      <c r="D56" s="68">
        <f t="shared" si="15"/>
        <v>1951.1999999999998</v>
      </c>
      <c r="E56" s="68">
        <f t="shared" si="15"/>
        <v>2103.3935999999999</v>
      </c>
      <c r="F56" s="68">
        <f t="shared" si="15"/>
        <v>2254.8379391999997</v>
      </c>
      <c r="G56" s="68">
        <f t="shared" si="15"/>
        <v>2403.6572431872</v>
      </c>
      <c r="H56" s="68">
        <f t="shared" si="15"/>
        <v>2547.8766777784322</v>
      </c>
      <c r="I56" s="68">
        <f t="shared" si="15"/>
        <v>2829.2136487532944</v>
      </c>
      <c r="J56" s="68">
        <f t="shared" si="15"/>
        <v>2998.9664676784914</v>
      </c>
    </row>
    <row r="57" spans="2:11" x14ac:dyDescent="0.2">
      <c r="B57" t="s">
        <v>75</v>
      </c>
      <c r="C57" s="68">
        <f>+C55-C56</f>
        <v>1200</v>
      </c>
      <c r="D57" s="68">
        <f t="shared" ref="D57:J57" si="16">+D55-D56</f>
        <v>1300.8000000000002</v>
      </c>
      <c r="E57" s="68">
        <f t="shared" si="16"/>
        <v>1402.2624000000001</v>
      </c>
      <c r="F57" s="68">
        <f t="shared" si="16"/>
        <v>1503.2252928000003</v>
      </c>
      <c r="G57" s="68">
        <f t="shared" si="16"/>
        <v>1602.4381621247999</v>
      </c>
      <c r="H57" s="68">
        <f t="shared" si="16"/>
        <v>1698.5844518522881</v>
      </c>
      <c r="I57" s="68">
        <f t="shared" si="16"/>
        <v>1659.8053406019326</v>
      </c>
      <c r="J57" s="68">
        <f t="shared" si="16"/>
        <v>1759.3936610380488</v>
      </c>
    </row>
    <row r="58" spans="2:11" x14ac:dyDescent="0.2">
      <c r="B58" t="s">
        <v>32</v>
      </c>
      <c r="C58" s="68">
        <f>+C42</f>
        <v>640</v>
      </c>
      <c r="D58" s="68">
        <f t="shared" ref="D58:G58" si="17">+D42</f>
        <v>640</v>
      </c>
      <c r="E58" s="68">
        <f t="shared" si="17"/>
        <v>480</v>
      </c>
      <c r="F58" s="68">
        <f t="shared" si="17"/>
        <v>320</v>
      </c>
      <c r="G58" s="68">
        <f t="shared" si="17"/>
        <v>160</v>
      </c>
      <c r="H58" s="68">
        <f>+H50*H35</f>
        <v>1070.5364192346349</v>
      </c>
      <c r="I58" s="68">
        <f>+I50*I35</f>
        <v>1131.6854595013172</v>
      </c>
      <c r="J58" s="68">
        <f>+J50*J35</f>
        <v>1199.5865870713965</v>
      </c>
    </row>
    <row r="59" spans="2:11" x14ac:dyDescent="0.2">
      <c r="B59" t="s">
        <v>88</v>
      </c>
      <c r="C59" s="68">
        <f t="shared" ref="C59:J59" si="18">+C58*C33</f>
        <v>128</v>
      </c>
      <c r="D59" s="68">
        <f t="shared" si="18"/>
        <v>128</v>
      </c>
      <c r="E59" s="68">
        <f t="shared" si="18"/>
        <v>96</v>
      </c>
      <c r="F59" s="68">
        <f t="shared" si="18"/>
        <v>64</v>
      </c>
      <c r="G59" s="68">
        <f t="shared" si="18"/>
        <v>32</v>
      </c>
      <c r="H59" s="68">
        <f t="shared" si="18"/>
        <v>214.10728384692698</v>
      </c>
      <c r="I59" s="68">
        <f t="shared" si="18"/>
        <v>226.33709190026343</v>
      </c>
      <c r="J59" s="68">
        <f t="shared" si="18"/>
        <v>239.9173174142793</v>
      </c>
    </row>
    <row r="60" spans="2:11" x14ac:dyDescent="0.2">
      <c r="B60" t="s">
        <v>309</v>
      </c>
      <c r="C60" s="68">
        <f t="shared" ref="C60:I60" si="19">+D50-C50</f>
        <v>0</v>
      </c>
      <c r="D60" s="68">
        <f t="shared" si="19"/>
        <v>-2000</v>
      </c>
      <c r="E60" s="68">
        <f t="shared" si="19"/>
        <v>-2000</v>
      </c>
      <c r="F60" s="68">
        <f t="shared" si="19"/>
        <v>-2000</v>
      </c>
      <c r="G60" s="68">
        <f t="shared" si="19"/>
        <v>15842.273653910583</v>
      </c>
      <c r="H60" s="68">
        <f t="shared" si="19"/>
        <v>1019.1506711113725</v>
      </c>
      <c r="I60" s="68">
        <f t="shared" si="19"/>
        <v>1131.685459501321</v>
      </c>
      <c r="J60" s="82">
        <f>+J50*K31</f>
        <v>1199.5865870713965</v>
      </c>
    </row>
    <row r="61" spans="2:11" x14ac:dyDescent="0.2">
      <c r="B61" t="s">
        <v>78</v>
      </c>
      <c r="C61" s="68">
        <f>+C57-C58+C59+C60</f>
        <v>688</v>
      </c>
      <c r="D61" s="68">
        <f t="shared" ref="D61:J61" si="20">+D57-D58+D59+D60</f>
        <v>-1211.1999999999998</v>
      </c>
      <c r="E61" s="68">
        <f t="shared" si="20"/>
        <v>-981.73759999999993</v>
      </c>
      <c r="F61" s="68">
        <f t="shared" si="20"/>
        <v>-752.77470719999974</v>
      </c>
      <c r="G61" s="68">
        <f t="shared" si="20"/>
        <v>17316.711816035382</v>
      </c>
      <c r="H61" s="68">
        <f t="shared" si="20"/>
        <v>1861.3059875759527</v>
      </c>
      <c r="I61" s="68">
        <f t="shared" si="20"/>
        <v>1886.1424325021999</v>
      </c>
      <c r="J61" s="68">
        <f t="shared" si="20"/>
        <v>1999.3109784523281</v>
      </c>
    </row>
    <row r="62" spans="2:11" x14ac:dyDescent="0.2">
      <c r="B62" s="68" t="str">
        <f>+B98</f>
        <v>Dividend</v>
      </c>
      <c r="C62" s="68">
        <f t="shared" ref="C62:I62" si="21">+C98</f>
        <v>2488</v>
      </c>
      <c r="D62" s="68">
        <f t="shared" si="21"/>
        <v>2740</v>
      </c>
      <c r="E62" s="68">
        <f t="shared" si="21"/>
        <v>3121.6559999999999</v>
      </c>
      <c r="F62" s="68">
        <f t="shared" si="21"/>
        <v>3502.0632319999995</v>
      </c>
      <c r="G62" s="68">
        <f t="shared" si="21"/>
        <v>3878.0954053119995</v>
      </c>
      <c r="H62" s="68">
        <f t="shared" si="21"/>
        <v>3390.0319942430119</v>
      </c>
      <c r="I62" s="68">
        <f t="shared" si="21"/>
        <v>3583.6706217541732</v>
      </c>
      <c r="J62" s="68"/>
    </row>
    <row r="63" spans="2:11" x14ac:dyDescent="0.2">
      <c r="B63" t="s">
        <v>301</v>
      </c>
      <c r="C63" s="68">
        <f>+D51-C51-C99</f>
        <v>1800</v>
      </c>
      <c r="D63" s="68">
        <f t="shared" ref="D63:I63" si="22">+E51-D51-D99</f>
        <v>3951.2000000000007</v>
      </c>
      <c r="E63" s="68">
        <f t="shared" si="22"/>
        <v>4103.3935999999994</v>
      </c>
      <c r="F63" s="68">
        <f t="shared" si="22"/>
        <v>4254.8379391999988</v>
      </c>
      <c r="G63" s="68">
        <f t="shared" si="22"/>
        <v>-13438.616410723382</v>
      </c>
      <c r="H63" s="68">
        <f t="shared" si="22"/>
        <v>1528.7260066670569</v>
      </c>
      <c r="I63" s="68">
        <f t="shared" si="22"/>
        <v>1697.5281892519706</v>
      </c>
      <c r="J63" s="68"/>
    </row>
    <row r="64" spans="2:11" x14ac:dyDescent="0.2">
      <c r="B64" s="93" t="s">
        <v>302</v>
      </c>
      <c r="C64" s="86">
        <f>+C61-C62+C63</f>
        <v>0</v>
      </c>
      <c r="D64" s="86">
        <f t="shared" ref="D64:I64" si="23">+D61-D62+D63</f>
        <v>0</v>
      </c>
      <c r="E64" s="86">
        <f t="shared" si="23"/>
        <v>0</v>
      </c>
      <c r="F64" s="86">
        <f t="shared" si="23"/>
        <v>0</v>
      </c>
      <c r="G64" s="86">
        <f t="shared" si="23"/>
        <v>0</v>
      </c>
      <c r="H64" s="86">
        <f t="shared" si="23"/>
        <v>-2.2737367544323206E-12</v>
      </c>
      <c r="I64" s="86">
        <f t="shared" si="23"/>
        <v>-2.7284841053187847E-12</v>
      </c>
    </row>
    <row r="65" spans="2:10" x14ac:dyDescent="0.2">
      <c r="C65" s="68"/>
      <c r="D65" s="68"/>
      <c r="E65" s="68"/>
      <c r="F65" s="68"/>
      <c r="G65" s="68"/>
      <c r="H65" s="68"/>
      <c r="I65" s="68"/>
      <c r="J65" s="68"/>
    </row>
    <row r="66" spans="2:10" x14ac:dyDescent="0.2">
      <c r="C66" s="68"/>
      <c r="D66" s="68"/>
      <c r="E66" s="68"/>
      <c r="F66" s="68"/>
      <c r="G66" s="68"/>
      <c r="H66" s="68"/>
    </row>
    <row r="68" spans="2:10" x14ac:dyDescent="0.2">
      <c r="B68" s="68" t="str">
        <f>+B57</f>
        <v>FCFF</v>
      </c>
      <c r="C68" s="68">
        <f>+C57</f>
        <v>1200</v>
      </c>
      <c r="D68" s="68">
        <f t="shared" ref="D68:I68" si="24">+D57</f>
        <v>1300.8000000000002</v>
      </c>
      <c r="E68" s="68">
        <f t="shared" si="24"/>
        <v>1402.2624000000001</v>
      </c>
      <c r="F68" s="68">
        <f t="shared" si="24"/>
        <v>1503.2252928000003</v>
      </c>
      <c r="G68" s="68">
        <f t="shared" si="24"/>
        <v>1602.4381621247999</v>
      </c>
      <c r="H68" s="68">
        <f t="shared" si="24"/>
        <v>1698.5844518522881</v>
      </c>
      <c r="I68" s="68">
        <f t="shared" si="24"/>
        <v>1659.8053406019326</v>
      </c>
      <c r="J68" s="68">
        <f>+J57</f>
        <v>1759.3936610380488</v>
      </c>
    </row>
    <row r="69" spans="2:10" x14ac:dyDescent="0.2">
      <c r="B69" t="s">
        <v>229</v>
      </c>
      <c r="C69" s="4">
        <f t="shared" ref="C69:J69" si="25">+C36</f>
        <v>9.6155657403833833E-2</v>
      </c>
      <c r="D69" s="4">
        <f t="shared" si="25"/>
        <v>9.6373654939730991E-2</v>
      </c>
      <c r="E69" s="4">
        <f t="shared" si="25"/>
        <v>9.7433029650022165E-2</v>
      </c>
      <c r="F69" s="4">
        <f t="shared" si="25"/>
        <v>9.8385458118798105E-2</v>
      </c>
      <c r="G69" s="4">
        <f t="shared" si="25"/>
        <v>9.9238756338618964E-2</v>
      </c>
      <c r="H69" s="4">
        <f t="shared" si="25"/>
        <v>9.5200000000000007E-2</v>
      </c>
      <c r="I69" s="4">
        <f t="shared" si="25"/>
        <v>9.5200000000000007E-2</v>
      </c>
      <c r="J69" s="4">
        <f t="shared" si="25"/>
        <v>9.5200000000000007E-2</v>
      </c>
    </row>
    <row r="70" spans="2:10" x14ac:dyDescent="0.2">
      <c r="B70" s="87" t="s">
        <v>158</v>
      </c>
      <c r="C70" s="87">
        <f t="shared" ref="C70:H70" si="26">+(C68+D70)/(1+C69)</f>
        <v>33295.679767887974</v>
      </c>
      <c r="D70" s="87">
        <f t="shared" si="26"/>
        <v>35297.247744676773</v>
      </c>
      <c r="E70" s="87">
        <f t="shared" si="26"/>
        <v>37398.172519144449</v>
      </c>
      <c r="F70" s="87">
        <f t="shared" si="26"/>
        <v>39639.727371058892</v>
      </c>
      <c r="G70" s="87">
        <f t="shared" si="26"/>
        <v>42036.474815364782</v>
      </c>
      <c r="H70" s="87">
        <f t="shared" si="26"/>
        <v>44605.684134776457</v>
      </c>
      <c r="I70" s="87">
        <f>+I68/(I69-J31)</f>
        <v>47153.56081255489</v>
      </c>
      <c r="J70" s="87">
        <f>+J68/(J69-K31)</f>
        <v>49982.774461308189</v>
      </c>
    </row>
    <row r="71" spans="2:10" x14ac:dyDescent="0.2">
      <c r="C71" s="68"/>
      <c r="D71" s="68"/>
      <c r="E71" s="68"/>
      <c r="F71" s="68"/>
      <c r="G71" s="68"/>
      <c r="H71" s="68"/>
    </row>
    <row r="73" spans="2:10" x14ac:dyDescent="0.2">
      <c r="B73" t="s">
        <v>280</v>
      </c>
      <c r="C73" s="68">
        <f>+C57+C59</f>
        <v>1328</v>
      </c>
      <c r="D73" s="68">
        <f t="shared" ref="D73:J73" si="27">+D57+D59</f>
        <v>1428.8000000000002</v>
      </c>
      <c r="E73" s="68">
        <f t="shared" si="27"/>
        <v>1498.2624000000001</v>
      </c>
      <c r="F73" s="68">
        <f t="shared" si="27"/>
        <v>1567.2252928000003</v>
      </c>
      <c r="G73" s="68">
        <f t="shared" si="27"/>
        <v>1634.4381621247999</v>
      </c>
      <c r="H73" s="68">
        <f t="shared" si="27"/>
        <v>1912.6917356992151</v>
      </c>
      <c r="I73" s="68">
        <f t="shared" si="27"/>
        <v>1886.142432502196</v>
      </c>
      <c r="J73" s="68">
        <f t="shared" si="27"/>
        <v>1999.3109784523281</v>
      </c>
    </row>
    <row r="74" spans="2:10" x14ac:dyDescent="0.2">
      <c r="B74" s="88" t="s">
        <v>158</v>
      </c>
      <c r="C74" s="87">
        <f t="shared" ref="C74:H74" si="28">+(C73+D74)/(1+C32)</f>
        <v>33295.679767887967</v>
      </c>
      <c r="D74" s="87">
        <f t="shared" si="28"/>
        <v>35297.247744676766</v>
      </c>
      <c r="E74" s="87">
        <f t="shared" si="28"/>
        <v>37398.172519144442</v>
      </c>
      <c r="F74" s="87">
        <f t="shared" si="28"/>
        <v>39639.727371058892</v>
      </c>
      <c r="G74" s="87">
        <f t="shared" si="28"/>
        <v>42036.474815364782</v>
      </c>
      <c r="H74" s="87">
        <f t="shared" si="28"/>
        <v>44605.684134776457</v>
      </c>
      <c r="I74" s="87">
        <f>+I73/(I32-J31)</f>
        <v>47153.56081255489</v>
      </c>
      <c r="J74" s="87">
        <f>+J73/(K32-K31)</f>
        <v>49982.774461308189</v>
      </c>
    </row>
    <row r="75" spans="2:10" x14ac:dyDescent="0.2">
      <c r="C75" s="68"/>
    </row>
    <row r="77" spans="2:10" x14ac:dyDescent="0.2">
      <c r="B77" s="68" t="str">
        <f t="shared" ref="B77:J77" si="29">+B61</f>
        <v>FCFE</v>
      </c>
      <c r="C77" s="68">
        <f t="shared" si="29"/>
        <v>688</v>
      </c>
      <c r="D77" s="68">
        <f t="shared" si="29"/>
        <v>-1211.1999999999998</v>
      </c>
      <c r="E77" s="68">
        <f t="shared" si="29"/>
        <v>-981.73759999999993</v>
      </c>
      <c r="F77" s="68">
        <f t="shared" si="29"/>
        <v>-752.77470719999974</v>
      </c>
      <c r="G77" s="68">
        <f t="shared" si="29"/>
        <v>17316.711816035382</v>
      </c>
      <c r="H77" s="68">
        <f t="shared" si="29"/>
        <v>1861.3059875759527</v>
      </c>
      <c r="I77" s="68">
        <f t="shared" si="29"/>
        <v>1886.1424325021999</v>
      </c>
      <c r="J77" s="68">
        <f t="shared" si="29"/>
        <v>1999.3109784523281</v>
      </c>
    </row>
    <row r="78" spans="2:10" x14ac:dyDescent="0.2">
      <c r="B78" t="s">
        <v>163</v>
      </c>
      <c r="C78" s="2">
        <f t="shared" ref="C78:J78" si="30">+(C32-C34*C35)/(1-C34)</f>
        <v>0.10632519076253942</v>
      </c>
      <c r="D78" s="2">
        <f t="shared" si="30"/>
        <v>0.10586139677877238</v>
      </c>
      <c r="E78" s="2">
        <f t="shared" si="30"/>
        <v>0.10382187848438736</v>
      </c>
      <c r="F78" s="2">
        <f t="shared" si="30"/>
        <v>0.10224468608210971</v>
      </c>
      <c r="G78" s="2">
        <f t="shared" si="30"/>
        <v>0.10099908896036594</v>
      </c>
      <c r="H78" s="2">
        <f t="shared" si="30"/>
        <v>0.12666666666666671</v>
      </c>
      <c r="I78" s="2">
        <f t="shared" si="30"/>
        <v>0.12666666666666671</v>
      </c>
      <c r="J78" s="2">
        <f t="shared" si="30"/>
        <v>0.12666666666666671</v>
      </c>
    </row>
    <row r="79" spans="2:10" x14ac:dyDescent="0.2">
      <c r="B79" t="s">
        <v>165</v>
      </c>
      <c r="C79" s="68">
        <f t="shared" ref="C79:H79" si="31">+(C77+D79)/(1+C78)</f>
        <v>25295.679767887992</v>
      </c>
      <c r="D79" s="68">
        <f t="shared" si="31"/>
        <v>27297.247744676788</v>
      </c>
      <c r="E79" s="68">
        <f t="shared" si="31"/>
        <v>31398.172519144471</v>
      </c>
      <c r="F79" s="68">
        <f t="shared" si="31"/>
        <v>35639.727371058922</v>
      </c>
      <c r="G79" s="68">
        <f t="shared" si="31"/>
        <v>40036.474815364818</v>
      </c>
      <c r="H79" s="68">
        <f t="shared" si="31"/>
        <v>26763.410480865918</v>
      </c>
      <c r="I79" s="68">
        <f>+I77/(I78-J31)</f>
        <v>28292.136487532982</v>
      </c>
      <c r="J79" s="68">
        <f>+J77/(J78-K31)</f>
        <v>29989.664676784902</v>
      </c>
    </row>
    <row r="80" spans="2:10" x14ac:dyDescent="0.2">
      <c r="B80" s="68" t="str">
        <f>+B50</f>
        <v>BV D boy</v>
      </c>
      <c r="C80" s="68">
        <f t="shared" ref="C80:J80" si="32">+C50</f>
        <v>8000</v>
      </c>
      <c r="D80" s="68">
        <f t="shared" si="32"/>
        <v>8000</v>
      </c>
      <c r="E80" s="68">
        <f t="shared" si="32"/>
        <v>6000</v>
      </c>
      <c r="F80" s="68">
        <f t="shared" si="32"/>
        <v>4000</v>
      </c>
      <c r="G80" s="68">
        <f t="shared" si="32"/>
        <v>2000</v>
      </c>
      <c r="H80" s="68">
        <f t="shared" si="32"/>
        <v>17842.273653910583</v>
      </c>
      <c r="I80" s="68">
        <f t="shared" si="32"/>
        <v>18861.424325021955</v>
      </c>
      <c r="J80" s="68">
        <f t="shared" si="32"/>
        <v>19993.109784523276</v>
      </c>
    </row>
    <row r="81" spans="2:11" x14ac:dyDescent="0.2">
      <c r="B81" s="88" t="s">
        <v>158</v>
      </c>
      <c r="C81" s="87">
        <f>+C79+C80</f>
        <v>33295.679767887996</v>
      </c>
      <c r="D81" s="87">
        <f t="shared" ref="D81:J81" si="33">+D79+D80</f>
        <v>35297.247744676788</v>
      </c>
      <c r="E81" s="87">
        <f t="shared" si="33"/>
        <v>37398.172519144471</v>
      </c>
      <c r="F81" s="87">
        <f t="shared" si="33"/>
        <v>39639.727371058922</v>
      </c>
      <c r="G81" s="87">
        <f t="shared" si="33"/>
        <v>42036.474815364818</v>
      </c>
      <c r="H81" s="87">
        <f t="shared" si="33"/>
        <v>44605.6841347765</v>
      </c>
      <c r="I81" s="87">
        <f t="shared" si="33"/>
        <v>47153.560812554933</v>
      </c>
      <c r="J81" s="87">
        <f t="shared" si="33"/>
        <v>49982.774461308174</v>
      </c>
    </row>
    <row r="83" spans="2:11" x14ac:dyDescent="0.2">
      <c r="B83" t="s">
        <v>240</v>
      </c>
      <c r="C83" s="68">
        <f t="shared" ref="C83:J83" si="34">+C49</f>
        <v>20000</v>
      </c>
      <c r="D83" s="68">
        <f t="shared" si="34"/>
        <v>21800</v>
      </c>
      <c r="E83" s="68">
        <f t="shared" si="34"/>
        <v>23751.200000000001</v>
      </c>
      <c r="F83" s="68">
        <f t="shared" si="34"/>
        <v>25854.5936</v>
      </c>
      <c r="G83" s="68">
        <f t="shared" si="34"/>
        <v>28109.431539199999</v>
      </c>
      <c r="H83" s="68">
        <f t="shared" si="34"/>
        <v>30513.0887823872</v>
      </c>
      <c r="I83" s="68">
        <f t="shared" si="34"/>
        <v>33060.965460165629</v>
      </c>
      <c r="J83" s="68">
        <f t="shared" si="34"/>
        <v>35890.179108918921</v>
      </c>
    </row>
    <row r="85" spans="2:11" x14ac:dyDescent="0.2">
      <c r="B85" s="68" t="str">
        <f t="shared" ref="B85:J85" si="35">+B55</f>
        <v>Noplat</v>
      </c>
      <c r="C85" s="68">
        <f t="shared" si="35"/>
        <v>3000</v>
      </c>
      <c r="D85" s="68">
        <f t="shared" si="35"/>
        <v>3252</v>
      </c>
      <c r="E85" s="68">
        <f t="shared" si="35"/>
        <v>3505.6559999999999</v>
      </c>
      <c r="F85" s="68">
        <f t="shared" si="35"/>
        <v>3758.063232</v>
      </c>
      <c r="G85" s="68">
        <f t="shared" si="35"/>
        <v>4006.0954053119999</v>
      </c>
      <c r="H85" s="68">
        <f t="shared" si="35"/>
        <v>4246.4611296307203</v>
      </c>
      <c r="I85" s="68">
        <f t="shared" si="35"/>
        <v>4489.0189893552269</v>
      </c>
      <c r="J85" s="68">
        <f t="shared" si="35"/>
        <v>4758.3601287165402</v>
      </c>
    </row>
    <row r="86" spans="2:11" x14ac:dyDescent="0.2">
      <c r="B86" t="s">
        <v>303</v>
      </c>
      <c r="C86" s="68">
        <f t="shared" ref="C86:J86" si="36">+C83*C69</f>
        <v>1923.1131480766767</v>
      </c>
      <c r="D86" s="68">
        <f t="shared" si="36"/>
        <v>2100.9456776861357</v>
      </c>
      <c r="E86" s="68">
        <f t="shared" si="36"/>
        <v>2314.1513738236067</v>
      </c>
      <c r="F86" s="68">
        <f t="shared" si="36"/>
        <v>2543.7160358113456</v>
      </c>
      <c r="G86" s="68">
        <f t="shared" si="36"/>
        <v>2789.5450273357596</v>
      </c>
      <c r="H86" s="68">
        <f t="shared" si="36"/>
        <v>2904.8460520832618</v>
      </c>
      <c r="I86" s="68">
        <f t="shared" si="36"/>
        <v>3147.4039118077681</v>
      </c>
      <c r="J86" s="68">
        <f t="shared" si="36"/>
        <v>3416.7450511690813</v>
      </c>
    </row>
    <row r="87" spans="2:11" x14ac:dyDescent="0.2">
      <c r="B87" t="s">
        <v>236</v>
      </c>
      <c r="C87" s="68">
        <f>+C85-C86</f>
        <v>1076.8868519233233</v>
      </c>
      <c r="D87" s="68">
        <f t="shared" ref="D87:J87" si="37">+D85-D86</f>
        <v>1151.0543223138643</v>
      </c>
      <c r="E87" s="68">
        <f t="shared" si="37"/>
        <v>1191.5046261763932</v>
      </c>
      <c r="F87" s="68">
        <f t="shared" si="37"/>
        <v>1214.3471961886544</v>
      </c>
      <c r="G87" s="68">
        <f t="shared" si="37"/>
        <v>1216.5503779762403</v>
      </c>
      <c r="H87" s="68">
        <f t="shared" si="37"/>
        <v>1341.6150775474584</v>
      </c>
      <c r="I87" s="68">
        <f t="shared" si="37"/>
        <v>1341.6150775474589</v>
      </c>
      <c r="J87" s="68">
        <f t="shared" si="37"/>
        <v>1341.6150775474589</v>
      </c>
      <c r="K87" t="s">
        <v>304</v>
      </c>
    </row>
    <row r="88" spans="2:11" x14ac:dyDescent="0.2">
      <c r="B88" t="s">
        <v>238</v>
      </c>
      <c r="C88" s="68">
        <f t="shared" ref="C88:I88" si="38">+(C87+D88)/(1+C69)</f>
        <v>13295.679767887974</v>
      </c>
      <c r="D88" s="68">
        <f t="shared" si="38"/>
        <v>13497.24774467677</v>
      </c>
      <c r="E88" s="68">
        <f t="shared" si="38"/>
        <v>13646.972519144445</v>
      </c>
      <c r="F88" s="68">
        <f t="shared" si="38"/>
        <v>13785.13377105889</v>
      </c>
      <c r="G88" s="68">
        <f t="shared" si="38"/>
        <v>13927.043276164781</v>
      </c>
      <c r="H88" s="68">
        <f t="shared" si="38"/>
        <v>14092.595352389259</v>
      </c>
      <c r="I88" s="68">
        <f t="shared" si="38"/>
        <v>14092.595352389257</v>
      </c>
      <c r="J88" s="82">
        <f>+J81-J89</f>
        <v>14092.595352389253</v>
      </c>
      <c r="K88" s="91">
        <f>+J87/J36+J56*(K29-K36)/(K36*(K36-K31))</f>
        <v>14092.595352389273</v>
      </c>
    </row>
    <row r="89" spans="2:11" x14ac:dyDescent="0.2">
      <c r="B89" s="68" t="str">
        <f>+B83</f>
        <v>Total IC</v>
      </c>
      <c r="C89" s="68">
        <f t="shared" ref="C89:J89" si="39">+C83</f>
        <v>20000</v>
      </c>
      <c r="D89" s="68">
        <f t="shared" si="39"/>
        <v>21800</v>
      </c>
      <c r="E89" s="68">
        <f t="shared" si="39"/>
        <v>23751.200000000001</v>
      </c>
      <c r="F89" s="68">
        <f t="shared" si="39"/>
        <v>25854.5936</v>
      </c>
      <c r="G89" s="68">
        <f t="shared" si="39"/>
        <v>28109.431539199999</v>
      </c>
      <c r="H89" s="68">
        <f t="shared" si="39"/>
        <v>30513.0887823872</v>
      </c>
      <c r="I89" s="68">
        <f t="shared" si="39"/>
        <v>33060.965460165629</v>
      </c>
      <c r="J89" s="68">
        <f t="shared" si="39"/>
        <v>35890.179108918921</v>
      </c>
    </row>
    <row r="90" spans="2:11" x14ac:dyDescent="0.2">
      <c r="B90" s="87" t="s">
        <v>158</v>
      </c>
      <c r="C90" s="87">
        <f>+C88+C89</f>
        <v>33295.679767887974</v>
      </c>
      <c r="D90" s="87">
        <f t="shared" ref="D90:J90" si="40">+D88+D89</f>
        <v>35297.247744676773</v>
      </c>
      <c r="E90" s="87">
        <f t="shared" si="40"/>
        <v>37398.172519144442</v>
      </c>
      <c r="F90" s="87">
        <f t="shared" si="40"/>
        <v>39639.727371058892</v>
      </c>
      <c r="G90" s="87">
        <f t="shared" si="40"/>
        <v>42036.474815364782</v>
      </c>
      <c r="H90" s="87">
        <f t="shared" si="40"/>
        <v>44605.684134776457</v>
      </c>
      <c r="I90" s="87">
        <f t="shared" si="40"/>
        <v>47153.56081255489</v>
      </c>
      <c r="J90" s="87">
        <f t="shared" si="40"/>
        <v>49982.774461308174</v>
      </c>
    </row>
    <row r="93" spans="2:11" x14ac:dyDescent="0.2">
      <c r="B93" s="68" t="s">
        <v>128</v>
      </c>
      <c r="C93" s="68">
        <f t="shared" ref="C93:J93" si="41">+C55/(1-C33)</f>
        <v>3750</v>
      </c>
      <c r="D93" s="68">
        <f t="shared" si="41"/>
        <v>4065</v>
      </c>
      <c r="E93" s="68">
        <f t="shared" si="41"/>
        <v>4382.07</v>
      </c>
      <c r="F93" s="68">
        <f t="shared" si="41"/>
        <v>4697.5790399999996</v>
      </c>
      <c r="G93" s="68">
        <f t="shared" si="41"/>
        <v>5007.6192566399995</v>
      </c>
      <c r="H93" s="68">
        <f t="shared" si="41"/>
        <v>5308.0764120384001</v>
      </c>
      <c r="I93" s="68">
        <f t="shared" si="41"/>
        <v>5611.2737366940337</v>
      </c>
      <c r="J93" s="68">
        <f t="shared" si="41"/>
        <v>5947.9501608956753</v>
      </c>
    </row>
    <row r="94" spans="2:11" x14ac:dyDescent="0.2">
      <c r="B94" s="68" t="str">
        <f>+B58</f>
        <v>Interest</v>
      </c>
      <c r="C94" s="68">
        <f>+C58</f>
        <v>640</v>
      </c>
      <c r="D94" s="68">
        <f t="shared" ref="D94:J94" si="42">+D58</f>
        <v>640</v>
      </c>
      <c r="E94" s="68">
        <f t="shared" si="42"/>
        <v>480</v>
      </c>
      <c r="F94" s="68">
        <f t="shared" si="42"/>
        <v>320</v>
      </c>
      <c r="G94" s="68">
        <f t="shared" si="42"/>
        <v>160</v>
      </c>
      <c r="H94" s="68">
        <f t="shared" si="42"/>
        <v>1070.5364192346349</v>
      </c>
      <c r="I94" s="68">
        <f t="shared" si="42"/>
        <v>1131.6854595013172</v>
      </c>
      <c r="J94" s="68">
        <f t="shared" si="42"/>
        <v>1199.5865870713965</v>
      </c>
    </row>
    <row r="95" spans="2:11" x14ac:dyDescent="0.2">
      <c r="B95" t="s">
        <v>33</v>
      </c>
      <c r="C95" s="68">
        <f>+C93-C94</f>
        <v>3110</v>
      </c>
      <c r="D95" s="68">
        <f t="shared" ref="D95:J95" si="43">+D93-D94</f>
        <v>3425</v>
      </c>
      <c r="E95" s="68">
        <f t="shared" si="43"/>
        <v>3902.0699999999997</v>
      </c>
      <c r="F95" s="68">
        <f t="shared" si="43"/>
        <v>4377.5790399999996</v>
      </c>
      <c r="G95" s="68">
        <f t="shared" si="43"/>
        <v>4847.6192566399995</v>
      </c>
      <c r="H95" s="68">
        <f t="shared" si="43"/>
        <v>4237.539992803765</v>
      </c>
      <c r="I95" s="68">
        <f t="shared" si="43"/>
        <v>4479.5882771927163</v>
      </c>
      <c r="J95" s="68">
        <f t="shared" si="43"/>
        <v>4748.3635738242792</v>
      </c>
    </row>
    <row r="96" spans="2:11" x14ac:dyDescent="0.2">
      <c r="B96" t="s">
        <v>257</v>
      </c>
      <c r="C96" s="68">
        <f t="shared" ref="C96:J96" si="44">+IF(C95&gt;0,C95*C33,0)</f>
        <v>622</v>
      </c>
      <c r="D96" s="68">
        <f t="shared" si="44"/>
        <v>685</v>
      </c>
      <c r="E96" s="68">
        <f t="shared" si="44"/>
        <v>780.41399999999999</v>
      </c>
      <c r="F96" s="68">
        <f t="shared" si="44"/>
        <v>875.51580799999999</v>
      </c>
      <c r="G96" s="68">
        <f t="shared" si="44"/>
        <v>969.52385132799998</v>
      </c>
      <c r="H96" s="68">
        <f t="shared" si="44"/>
        <v>847.50799856075309</v>
      </c>
      <c r="I96" s="68">
        <f t="shared" si="44"/>
        <v>895.91765543854331</v>
      </c>
      <c r="J96" s="68">
        <f t="shared" si="44"/>
        <v>949.67271476485587</v>
      </c>
    </row>
    <row r="97" spans="2:10" x14ac:dyDescent="0.2">
      <c r="B97" t="s">
        <v>35</v>
      </c>
      <c r="C97" s="68">
        <f>+C95-C96</f>
        <v>2488</v>
      </c>
      <c r="D97" s="68">
        <f t="shared" ref="D97:J97" si="45">+D95-D96</f>
        <v>2740</v>
      </c>
      <c r="E97" s="68">
        <f t="shared" si="45"/>
        <v>3121.6559999999999</v>
      </c>
      <c r="F97" s="68">
        <f t="shared" si="45"/>
        <v>3502.0632319999995</v>
      </c>
      <c r="G97" s="68">
        <f t="shared" si="45"/>
        <v>3878.0954053119995</v>
      </c>
      <c r="H97" s="68">
        <f t="shared" si="45"/>
        <v>3390.0319942430119</v>
      </c>
      <c r="I97" s="68">
        <f t="shared" si="45"/>
        <v>3583.6706217541732</v>
      </c>
      <c r="J97" s="68">
        <f t="shared" si="45"/>
        <v>3798.6908590594235</v>
      </c>
    </row>
    <row r="98" spans="2:10" x14ac:dyDescent="0.2">
      <c r="B98" t="s">
        <v>36</v>
      </c>
      <c r="C98" s="68">
        <f>+C97-C99</f>
        <v>2488</v>
      </c>
      <c r="D98" s="68">
        <f t="shared" ref="D98:I98" si="46">+D97-D99</f>
        <v>2740</v>
      </c>
      <c r="E98" s="68">
        <f t="shared" si="46"/>
        <v>3121.6559999999999</v>
      </c>
      <c r="F98" s="68">
        <f t="shared" si="46"/>
        <v>3502.0632319999995</v>
      </c>
      <c r="G98" s="68">
        <f t="shared" si="46"/>
        <v>3878.0954053119995</v>
      </c>
      <c r="H98" s="68">
        <f t="shared" si="46"/>
        <v>3390.0319942430119</v>
      </c>
      <c r="I98" s="68">
        <f t="shared" si="46"/>
        <v>3583.6706217541732</v>
      </c>
      <c r="J98" s="68"/>
    </row>
    <row r="99" spans="2:10" x14ac:dyDescent="0.2">
      <c r="B99" t="s">
        <v>37</v>
      </c>
      <c r="C99" s="68">
        <f>+IF(C97&lt;0,C97,MAX(0,MIN(C97,C101)))</f>
        <v>0</v>
      </c>
      <c r="D99" s="68">
        <f t="shared" ref="D99:I99" si="47">+IF(D97&lt;0,D97,MAX(0,MIN(D97,D101)))</f>
        <v>0</v>
      </c>
      <c r="E99" s="68">
        <f t="shared" si="47"/>
        <v>0</v>
      </c>
      <c r="F99" s="68">
        <f t="shared" si="47"/>
        <v>0</v>
      </c>
      <c r="G99" s="68">
        <f t="shared" si="47"/>
        <v>0</v>
      </c>
      <c r="H99" s="68">
        <f t="shared" si="47"/>
        <v>0</v>
      </c>
      <c r="I99" s="68">
        <f t="shared" si="47"/>
        <v>0</v>
      </c>
      <c r="J99" s="68"/>
    </row>
    <row r="100" spans="2:10" x14ac:dyDescent="0.2">
      <c r="C100" s="68"/>
      <c r="D100" s="68"/>
      <c r="E100" s="68"/>
      <c r="F100" s="68"/>
      <c r="G100" s="68"/>
      <c r="H100" s="68"/>
      <c r="I100" s="68"/>
      <c r="J100" s="68"/>
    </row>
    <row r="101" spans="2:10" x14ac:dyDescent="0.2">
      <c r="B101" t="s">
        <v>305</v>
      </c>
      <c r="C101" s="68">
        <f t="shared" ref="C101:I101" si="48">+D52-C52</f>
        <v>0</v>
      </c>
      <c r="D101" s="68">
        <f t="shared" si="48"/>
        <v>0</v>
      </c>
      <c r="E101" s="68">
        <f t="shared" si="48"/>
        <v>0</v>
      </c>
      <c r="F101" s="68">
        <f t="shared" si="48"/>
        <v>0</v>
      </c>
      <c r="G101" s="68">
        <f t="shared" si="48"/>
        <v>0</v>
      </c>
      <c r="H101" s="68">
        <f t="shared" si="48"/>
        <v>0</v>
      </c>
      <c r="I101" s="68">
        <f t="shared" si="48"/>
        <v>0</v>
      </c>
      <c r="J101" s="68"/>
    </row>
    <row r="102" spans="2:10" x14ac:dyDescent="0.2">
      <c r="B102" t="s">
        <v>39</v>
      </c>
      <c r="C102" s="68">
        <f>+C101-C99</f>
        <v>0</v>
      </c>
      <c r="D102" s="68">
        <f t="shared" ref="D102:I102" si="49">+D101-D99</f>
        <v>0</v>
      </c>
      <c r="E102" s="68">
        <f t="shared" si="49"/>
        <v>0</v>
      </c>
      <c r="F102" s="68">
        <f t="shared" si="49"/>
        <v>0</v>
      </c>
      <c r="G102" s="68">
        <f t="shared" si="49"/>
        <v>0</v>
      </c>
      <c r="H102" s="68">
        <f t="shared" si="49"/>
        <v>0</v>
      </c>
      <c r="I102" s="68">
        <f t="shared" si="49"/>
        <v>0</v>
      </c>
      <c r="J102" s="68"/>
    </row>
    <row r="103" spans="2:10" x14ac:dyDescent="0.2">
      <c r="C103" s="68"/>
      <c r="D103" s="68"/>
      <c r="E103" s="68"/>
      <c r="F103" s="68"/>
      <c r="G103" s="68"/>
      <c r="H103" s="68"/>
    </row>
    <row r="104" spans="2:10" x14ac:dyDescent="0.2">
      <c r="B104" t="s">
        <v>306</v>
      </c>
      <c r="C104" s="68">
        <f t="shared" ref="C104:J104" si="50">+C78*C51</f>
        <v>1275.9022891504731</v>
      </c>
      <c r="D104" s="68">
        <f t="shared" si="50"/>
        <v>1460.8872755470588</v>
      </c>
      <c r="E104" s="68">
        <f t="shared" si="50"/>
        <v>1842.962929352057</v>
      </c>
      <c r="F104" s="68">
        <f t="shared" si="50"/>
        <v>2234.5160620840838</v>
      </c>
      <c r="G104" s="68">
        <f t="shared" si="50"/>
        <v>2637.0287987322449</v>
      </c>
      <c r="H104" s="68">
        <f t="shared" si="50"/>
        <v>1604.9699162737054</v>
      </c>
      <c r="I104" s="68">
        <f t="shared" si="50"/>
        <v>1798.608543784866</v>
      </c>
      <c r="J104" s="68">
        <f t="shared" si="50"/>
        <v>2013.6287810901156</v>
      </c>
    </row>
    <row r="105" spans="2:10" x14ac:dyDescent="0.2">
      <c r="B105" t="s">
        <v>253</v>
      </c>
      <c r="C105" s="68">
        <f t="shared" ref="C105:F105" si="51">+C97-C104</f>
        <v>1212.0977108495269</v>
      </c>
      <c r="D105" s="68">
        <f t="shared" si="51"/>
        <v>1279.1127244529412</v>
      </c>
      <c r="E105" s="68">
        <f t="shared" si="51"/>
        <v>1278.6930706479429</v>
      </c>
      <c r="F105" s="68">
        <f t="shared" si="51"/>
        <v>1267.5471699159157</v>
      </c>
      <c r="G105" s="68">
        <f>+G97-G104</f>
        <v>1241.0666065797545</v>
      </c>
      <c r="H105" s="68">
        <f>+H97-H104</f>
        <v>1785.0620779693065</v>
      </c>
      <c r="I105" s="68">
        <f t="shared" ref="I105:J105" si="52">+I97-I104</f>
        <v>1785.0620779693072</v>
      </c>
      <c r="J105" s="68">
        <f t="shared" si="52"/>
        <v>1785.0620779693079</v>
      </c>
    </row>
    <row r="106" spans="2:10" x14ac:dyDescent="0.2">
      <c r="B106" t="s">
        <v>255</v>
      </c>
      <c r="C106" s="68">
        <f t="shared" ref="C106:I106" si="53">+(C105+D106)/(1+C78)</f>
        <v>13295.679767887968</v>
      </c>
      <c r="D106" s="68">
        <f t="shared" si="53"/>
        <v>13497.247744676764</v>
      </c>
      <c r="E106" s="68">
        <f t="shared" si="53"/>
        <v>13646.972519144441</v>
      </c>
      <c r="F106" s="68">
        <f t="shared" si="53"/>
        <v>13785.133771058887</v>
      </c>
      <c r="G106" s="68">
        <f t="shared" si="53"/>
        <v>13927.043276164777</v>
      </c>
      <c r="H106" s="68">
        <f t="shared" si="53"/>
        <v>14092.595352389257</v>
      </c>
      <c r="I106" s="68">
        <f t="shared" si="53"/>
        <v>14092.595352389257</v>
      </c>
      <c r="J106" s="82">
        <f>+J79-J51</f>
        <v>14092.595352389257</v>
      </c>
    </row>
    <row r="107" spans="2:10" x14ac:dyDescent="0.2">
      <c r="B107" s="68" t="str">
        <f t="shared" ref="B107:H107" si="54">+B51</f>
        <v>BV Equity boy</v>
      </c>
      <c r="C107" s="68">
        <f t="shared" si="54"/>
        <v>12000</v>
      </c>
      <c r="D107" s="68">
        <f t="shared" si="54"/>
        <v>13800</v>
      </c>
      <c r="E107" s="68">
        <f t="shared" si="54"/>
        <v>17751.2</v>
      </c>
      <c r="F107" s="68">
        <f t="shared" si="54"/>
        <v>21854.5936</v>
      </c>
      <c r="G107" s="68">
        <f t="shared" si="54"/>
        <v>26109.431539199999</v>
      </c>
      <c r="H107" s="68">
        <f t="shared" si="54"/>
        <v>12670.815128476617</v>
      </c>
      <c r="I107" s="68">
        <f>+I51</f>
        <v>14199.541135143674</v>
      </c>
      <c r="J107" s="68">
        <f>+J51</f>
        <v>15897.069324395645</v>
      </c>
    </row>
    <row r="108" spans="2:10" x14ac:dyDescent="0.2">
      <c r="B108" s="68" t="s">
        <v>165</v>
      </c>
      <c r="C108" s="68">
        <f>+C107+C106</f>
        <v>25295.679767887967</v>
      </c>
      <c r="D108" s="68">
        <f t="shared" ref="D108:J108" si="55">+D107+D106</f>
        <v>27297.247744676766</v>
      </c>
      <c r="E108" s="68">
        <f t="shared" si="55"/>
        <v>31398.172519144442</v>
      </c>
      <c r="F108" s="68">
        <f t="shared" si="55"/>
        <v>35639.727371058885</v>
      </c>
      <c r="G108" s="68">
        <f t="shared" si="55"/>
        <v>40036.474815364774</v>
      </c>
      <c r="H108" s="68">
        <f t="shared" si="55"/>
        <v>26763.410480865874</v>
      </c>
      <c r="I108" s="68">
        <f t="shared" si="55"/>
        <v>28292.136487532931</v>
      </c>
      <c r="J108" s="68">
        <f t="shared" si="55"/>
        <v>29989.664676784902</v>
      </c>
    </row>
    <row r="109" spans="2:10" x14ac:dyDescent="0.2">
      <c r="B109" s="68" t="str">
        <f t="shared" ref="B109:H109" si="56">+B50</f>
        <v>BV D boy</v>
      </c>
      <c r="C109" s="68">
        <f t="shared" si="56"/>
        <v>8000</v>
      </c>
      <c r="D109" s="68">
        <f t="shared" si="56"/>
        <v>8000</v>
      </c>
      <c r="E109" s="68">
        <f t="shared" si="56"/>
        <v>6000</v>
      </c>
      <c r="F109" s="68">
        <f t="shared" si="56"/>
        <v>4000</v>
      </c>
      <c r="G109" s="68">
        <f t="shared" si="56"/>
        <v>2000</v>
      </c>
      <c r="H109" s="68">
        <f t="shared" si="56"/>
        <v>17842.273653910583</v>
      </c>
      <c r="I109" s="68">
        <f>+I50</f>
        <v>18861.424325021955</v>
      </c>
      <c r="J109" s="68">
        <f>+J50</f>
        <v>19993.109784523276</v>
      </c>
    </row>
    <row r="110" spans="2:10" x14ac:dyDescent="0.2">
      <c r="B110" s="87" t="s">
        <v>158</v>
      </c>
      <c r="C110" s="87">
        <f>+C108+C109</f>
        <v>33295.679767887967</v>
      </c>
      <c r="D110" s="87">
        <f t="shared" ref="D110:J110" si="57">+D108+D109</f>
        <v>35297.247744676766</v>
      </c>
      <c r="E110" s="87">
        <f t="shared" si="57"/>
        <v>37398.172519144442</v>
      </c>
      <c r="F110" s="87">
        <f t="shared" si="57"/>
        <v>39639.727371058885</v>
      </c>
      <c r="G110" s="87">
        <f t="shared" si="57"/>
        <v>42036.474815364774</v>
      </c>
      <c r="H110" s="87">
        <f t="shared" si="57"/>
        <v>44605.684134776457</v>
      </c>
      <c r="I110" s="87">
        <f t="shared" si="57"/>
        <v>47153.56081255489</v>
      </c>
      <c r="J110" s="87">
        <f t="shared" si="57"/>
        <v>49982.774461308174</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5AD34-06E2-490F-A08F-188201A1BAAE}">
  <sheetPr>
    <tabColor rgb="FFFFCCFF"/>
  </sheetPr>
  <dimension ref="A26:K110"/>
  <sheetViews>
    <sheetView workbookViewId="0">
      <selection activeCell="C36" sqref="C36"/>
    </sheetView>
  </sheetViews>
  <sheetFormatPr baseColWidth="10" defaultColWidth="8.83203125" defaultRowHeight="16" x14ac:dyDescent="0.2"/>
  <cols>
    <col min="1" max="1" width="25.6640625" bestFit="1" customWidth="1"/>
    <col min="2" max="2" width="20" bestFit="1" customWidth="1"/>
    <col min="3" max="6" width="8.6640625" bestFit="1" customWidth="1"/>
    <col min="7" max="7" width="9.33203125" bestFit="1" customWidth="1"/>
    <col min="8" max="9" width="8.6640625" bestFit="1" customWidth="1"/>
    <col min="10" max="10" width="9.33203125" bestFit="1" customWidth="1"/>
    <col min="11" max="11" width="10.33203125" bestFit="1" customWidth="1"/>
  </cols>
  <sheetData>
    <row r="26" spans="2:11" x14ac:dyDescent="0.2">
      <c r="C26" s="50">
        <v>2024</v>
      </c>
      <c r="D26" s="1">
        <f>+C26+1</f>
        <v>2025</v>
      </c>
      <c r="E26" s="1">
        <f t="shared" ref="E26:H26" si="0">+D26+1</f>
        <v>2026</v>
      </c>
      <c r="F26" s="1">
        <f t="shared" si="0"/>
        <v>2027</v>
      </c>
      <c r="G26" s="1">
        <f t="shared" si="0"/>
        <v>2028</v>
      </c>
      <c r="H26" s="1">
        <f t="shared" si="0"/>
        <v>2029</v>
      </c>
      <c r="I26" s="1" t="s">
        <v>273</v>
      </c>
      <c r="J26" s="1" t="s">
        <v>274</v>
      </c>
    </row>
    <row r="27" spans="2:11" x14ac:dyDescent="0.2">
      <c r="B27" t="s">
        <v>90</v>
      </c>
      <c r="C27" s="44">
        <v>20000</v>
      </c>
      <c r="D27" s="68">
        <f t="shared" ref="D27:K27" si="1">+C27+C57</f>
        <v>21800</v>
      </c>
      <c r="E27" s="68">
        <f t="shared" si="1"/>
        <v>23751.200000000001</v>
      </c>
      <c r="F27" s="68">
        <f t="shared" si="1"/>
        <v>25854.5936</v>
      </c>
      <c r="G27" s="68">
        <f t="shared" si="1"/>
        <v>28109.431539199999</v>
      </c>
      <c r="H27" s="68">
        <f t="shared" si="1"/>
        <v>30513.0887823872</v>
      </c>
      <c r="I27" s="68">
        <f t="shared" si="1"/>
        <v>33060.965460165629</v>
      </c>
      <c r="J27" s="68">
        <f t="shared" si="1"/>
        <v>35890.179108918921</v>
      </c>
      <c r="K27" s="68">
        <f t="shared" si="1"/>
        <v>38889.14557659741</v>
      </c>
    </row>
    <row r="28" spans="2:11" x14ac:dyDescent="0.2">
      <c r="B28" t="s">
        <v>93</v>
      </c>
      <c r="C28" s="46">
        <v>0.15</v>
      </c>
      <c r="D28" s="2"/>
      <c r="E28" s="2"/>
      <c r="F28" s="2"/>
      <c r="G28" s="2"/>
      <c r="H28" s="2"/>
    </row>
    <row r="29" spans="2:11" x14ac:dyDescent="0.2">
      <c r="B29" t="s">
        <v>94</v>
      </c>
      <c r="C29" s="2"/>
      <c r="D29" s="46">
        <v>0.14000000000000001</v>
      </c>
      <c r="E29" s="46">
        <v>0.13</v>
      </c>
      <c r="F29" s="46">
        <v>0.12</v>
      </c>
      <c r="G29" s="46">
        <v>0.11</v>
      </c>
      <c r="H29" s="46">
        <v>0.1</v>
      </c>
      <c r="I29" s="78">
        <f>+I36</f>
        <v>9.5200000000000007E-2</v>
      </c>
      <c r="J29" s="78">
        <f>+J36</f>
        <v>9.5200000000000007E-2</v>
      </c>
      <c r="K29" s="78">
        <f>+K36</f>
        <v>9.5200000000000007E-2</v>
      </c>
    </row>
    <row r="30" spans="2:11" x14ac:dyDescent="0.2">
      <c r="B30" t="s">
        <v>95</v>
      </c>
      <c r="C30" s="46">
        <v>0.6</v>
      </c>
      <c r="D30" s="46">
        <v>0.6</v>
      </c>
      <c r="E30" s="46">
        <v>0.6</v>
      </c>
      <c r="F30" s="46">
        <v>0.6</v>
      </c>
      <c r="G30" s="46">
        <v>0.6</v>
      </c>
      <c r="H30" s="46">
        <v>0.6</v>
      </c>
      <c r="I30" s="2">
        <f>+J31/J29</f>
        <v>0.63025210084033612</v>
      </c>
      <c r="J30" s="2">
        <f>+K31/K29</f>
        <v>0.63025210084033612</v>
      </c>
      <c r="K30" s="78"/>
    </row>
    <row r="31" spans="2:11" x14ac:dyDescent="0.2">
      <c r="B31" t="s">
        <v>92</v>
      </c>
      <c r="C31" s="2"/>
      <c r="D31" s="54">
        <f>+D56/C56-1</f>
        <v>8.4000000000000075E-2</v>
      </c>
      <c r="E31" s="54">
        <f t="shared" ref="E31:I31" si="2">+E56/D56-1</f>
        <v>7.8000000000000069E-2</v>
      </c>
      <c r="F31" s="54">
        <f t="shared" si="2"/>
        <v>7.2000000000000064E-2</v>
      </c>
      <c r="G31" s="54">
        <f t="shared" si="2"/>
        <v>6.6000000000000059E-2</v>
      </c>
      <c r="H31" s="54">
        <f t="shared" si="2"/>
        <v>6.0000000000000053E-2</v>
      </c>
      <c r="I31" s="54">
        <f t="shared" si="2"/>
        <v>5.712000000000006E-2</v>
      </c>
      <c r="J31" s="46">
        <v>0.06</v>
      </c>
      <c r="K31" s="46">
        <v>0.06</v>
      </c>
    </row>
    <row r="32" spans="2:11" x14ac:dyDescent="0.2">
      <c r="B32" t="s">
        <v>112</v>
      </c>
      <c r="C32" s="47">
        <v>0.1</v>
      </c>
      <c r="D32" s="47">
        <v>0.1</v>
      </c>
      <c r="E32" s="47">
        <v>0.1</v>
      </c>
      <c r="F32" s="47">
        <v>0.1</v>
      </c>
      <c r="G32" s="47">
        <v>0.1</v>
      </c>
      <c r="H32" s="47">
        <v>0.1</v>
      </c>
      <c r="I32" s="47">
        <v>0.1</v>
      </c>
      <c r="J32" s="47">
        <v>0.1</v>
      </c>
      <c r="K32" s="47">
        <v>0.1</v>
      </c>
    </row>
    <row r="33" spans="1:11" x14ac:dyDescent="0.2">
      <c r="B33" t="s">
        <v>58</v>
      </c>
      <c r="C33" s="47">
        <v>0.2</v>
      </c>
      <c r="D33" s="47">
        <v>0.2</v>
      </c>
      <c r="E33" s="47">
        <v>0.2</v>
      </c>
      <c r="F33" s="47">
        <v>0.2</v>
      </c>
      <c r="G33" s="47">
        <v>0.2</v>
      </c>
      <c r="H33" s="47">
        <v>0.2</v>
      </c>
      <c r="I33" s="47">
        <v>0.2</v>
      </c>
      <c r="J33" s="47">
        <v>0.2</v>
      </c>
      <c r="K33" s="47">
        <v>0.2</v>
      </c>
    </row>
    <row r="34" spans="1:11" x14ac:dyDescent="0.2">
      <c r="A34" s="65" t="s">
        <v>310</v>
      </c>
      <c r="B34" s="79" t="s">
        <v>311</v>
      </c>
      <c r="C34" s="94">
        <f>+C45/C74</f>
        <v>0.24899739315343941</v>
      </c>
      <c r="D34" s="94">
        <f t="shared" ref="D34:G34" si="3">+D45/D74</f>
        <v>0.23849552086899947</v>
      </c>
      <c r="E34" s="94">
        <f t="shared" si="3"/>
        <v>0.22876404376696247</v>
      </c>
      <c r="F34" s="94">
        <f t="shared" si="3"/>
        <v>0.16174915208727819</v>
      </c>
      <c r="G34" s="94">
        <f t="shared" si="3"/>
        <v>4.9918157476362843E-2</v>
      </c>
      <c r="H34" s="46">
        <v>0.4</v>
      </c>
      <c r="I34" s="46">
        <v>0.4</v>
      </c>
      <c r="J34" s="46">
        <v>0.4</v>
      </c>
      <c r="K34" s="46">
        <v>0.4</v>
      </c>
    </row>
    <row r="35" spans="1:11" x14ac:dyDescent="0.2">
      <c r="A35" s="65" t="s">
        <v>312</v>
      </c>
      <c r="B35" s="79" t="s">
        <v>291</v>
      </c>
      <c r="C35" s="80">
        <f>+C42/C45</f>
        <v>5.5547784230698824E-2</v>
      </c>
      <c r="D35" s="80">
        <f t="shared" ref="D35:G35" si="4">+D42/D45</f>
        <v>5.4651693841732608E-2</v>
      </c>
      <c r="E35" s="80">
        <f t="shared" si="4"/>
        <v>5.3724351606565968E-2</v>
      </c>
      <c r="F35" s="80">
        <f t="shared" si="4"/>
        <v>7.1676980914728267E-2</v>
      </c>
      <c r="G35" s="80">
        <f t="shared" si="4"/>
        <v>0.10957501280081929</v>
      </c>
      <c r="H35" s="47">
        <v>0.06</v>
      </c>
      <c r="I35" s="47">
        <v>0.06</v>
      </c>
      <c r="J35" s="47">
        <v>0.06</v>
      </c>
      <c r="K35" s="47">
        <v>0.06</v>
      </c>
    </row>
    <row r="36" spans="1:11" x14ac:dyDescent="0.2">
      <c r="B36" t="s">
        <v>229</v>
      </c>
      <c r="C36" s="81">
        <f t="shared" ref="C36:K36" si="5">+C32-C34*C35*C33</f>
        <v>9.7233749306221251E-2</v>
      </c>
      <c r="D36" s="81">
        <f t="shared" si="5"/>
        <v>9.7393163162168589E-2</v>
      </c>
      <c r="E36" s="81">
        <f t="shared" si="5"/>
        <v>9.7541960015544771E-2</v>
      </c>
      <c r="F36" s="81">
        <f t="shared" si="5"/>
        <v>9.7681261822573348E-2</v>
      </c>
      <c r="G36" s="81">
        <f t="shared" si="5"/>
        <v>9.8906043451106845E-2</v>
      </c>
      <c r="H36" s="4">
        <f t="shared" si="5"/>
        <v>9.5200000000000007E-2</v>
      </c>
      <c r="I36" s="4">
        <f t="shared" si="5"/>
        <v>9.5200000000000007E-2</v>
      </c>
      <c r="J36" s="4">
        <f t="shared" si="5"/>
        <v>9.5200000000000007E-2</v>
      </c>
      <c r="K36" s="4">
        <f t="shared" si="5"/>
        <v>9.5200000000000007E-2</v>
      </c>
    </row>
    <row r="38" spans="1:11" x14ac:dyDescent="0.2">
      <c r="A38" t="s">
        <v>313</v>
      </c>
      <c r="B38" s="95" t="s">
        <v>314</v>
      </c>
      <c r="C38" s="96">
        <v>9200</v>
      </c>
      <c r="D38" s="96">
        <v>9200</v>
      </c>
      <c r="E38" s="96">
        <v>9200</v>
      </c>
      <c r="F38" s="96">
        <v>9200</v>
      </c>
      <c r="G38" s="96">
        <f>+F38/2</f>
        <v>4600</v>
      </c>
    </row>
    <row r="39" spans="1:11" x14ac:dyDescent="0.2">
      <c r="B39" s="70" t="s">
        <v>315</v>
      </c>
      <c r="C39" s="97">
        <v>0.05</v>
      </c>
      <c r="D39" s="97">
        <v>0.05</v>
      </c>
      <c r="E39" s="97">
        <v>0.05</v>
      </c>
      <c r="F39" s="97">
        <v>0.05</v>
      </c>
      <c r="G39" s="97">
        <v>0.05</v>
      </c>
    </row>
    <row r="40" spans="1:11" x14ac:dyDescent="0.2">
      <c r="B40" t="s">
        <v>316</v>
      </c>
      <c r="C40" s="4">
        <v>7.0000000000000007E-2</v>
      </c>
      <c r="D40" s="4">
        <v>7.0000000000000007E-2</v>
      </c>
      <c r="E40" s="4">
        <v>7.0000000000000007E-2</v>
      </c>
      <c r="F40" s="4">
        <v>7.0000000000000007E-2</v>
      </c>
      <c r="G40" s="4">
        <v>7.0000000000000007E-2</v>
      </c>
    </row>
    <row r="41" spans="1:11" x14ac:dyDescent="0.2">
      <c r="B41" s="70" t="s">
        <v>295</v>
      </c>
      <c r="F41" s="96">
        <f>+F38-G38</f>
        <v>4600</v>
      </c>
      <c r="G41" s="96">
        <f>+G38-H38</f>
        <v>4600</v>
      </c>
    </row>
    <row r="42" spans="1:11" x14ac:dyDescent="0.2">
      <c r="B42" t="s">
        <v>296</v>
      </c>
      <c r="C42" s="68">
        <f>+C38*C39</f>
        <v>460</v>
      </c>
      <c r="D42" s="68">
        <f t="shared" ref="D42:G42" si="6">+D38*D39</f>
        <v>460</v>
      </c>
      <c r="E42" s="68">
        <f t="shared" si="6"/>
        <v>460</v>
      </c>
      <c r="F42" s="68">
        <f t="shared" si="6"/>
        <v>460</v>
      </c>
      <c r="G42" s="68">
        <f t="shared" si="6"/>
        <v>230</v>
      </c>
    </row>
    <row r="43" spans="1:11" x14ac:dyDescent="0.2">
      <c r="B43" t="s">
        <v>317</v>
      </c>
      <c r="C43" s="68">
        <f>+C41+C42</f>
        <v>460</v>
      </c>
      <c r="D43" s="68">
        <f t="shared" ref="D43:G43" si="7">+D41+D42</f>
        <v>460</v>
      </c>
      <c r="E43" s="68">
        <f t="shared" si="7"/>
        <v>460</v>
      </c>
      <c r="F43" s="68">
        <f t="shared" si="7"/>
        <v>5060</v>
      </c>
      <c r="G43" s="68">
        <f t="shared" si="7"/>
        <v>4830</v>
      </c>
    </row>
    <row r="44" spans="1:11" x14ac:dyDescent="0.2">
      <c r="B44" t="s">
        <v>318</v>
      </c>
      <c r="C44" s="68">
        <f t="shared" ref="C44:F44" si="8">+(C43+D44)/(1+C40)</f>
        <v>8511.1584002981381</v>
      </c>
      <c r="D44" s="68">
        <f t="shared" si="8"/>
        <v>8646.9394883190089</v>
      </c>
      <c r="E44" s="68">
        <f t="shared" si="8"/>
        <v>8792.2252525013391</v>
      </c>
      <c r="F44" s="68">
        <f t="shared" si="8"/>
        <v>8947.6810201764329</v>
      </c>
      <c r="G44" s="68">
        <f>+(G43+H44)/(1+G40)</f>
        <v>4514.0186915887843</v>
      </c>
      <c r="H44" s="68">
        <v>0</v>
      </c>
    </row>
    <row r="45" spans="1:11" x14ac:dyDescent="0.2">
      <c r="A45" s="70"/>
      <c r="B45" s="98" t="s">
        <v>319</v>
      </c>
      <c r="C45" s="99">
        <f>+C44-C49</f>
        <v>8281.1584002981381</v>
      </c>
      <c r="D45" s="99">
        <f t="shared" ref="D45:G45" si="9">+D44-D49</f>
        <v>8416.9394883190089</v>
      </c>
      <c r="E45" s="99">
        <f t="shared" si="9"/>
        <v>8562.2252525013391</v>
      </c>
      <c r="F45" s="99">
        <f t="shared" si="9"/>
        <v>6417.6810201764329</v>
      </c>
      <c r="G45" s="99">
        <f t="shared" si="9"/>
        <v>2099.0186915887843</v>
      </c>
      <c r="H45" s="99">
        <f>+H44-H49</f>
        <v>0</v>
      </c>
    </row>
    <row r="46" spans="1:11" x14ac:dyDescent="0.2">
      <c r="C46" s="68"/>
      <c r="D46" s="68"/>
      <c r="E46" s="68"/>
      <c r="F46" s="68"/>
      <c r="G46" s="68"/>
    </row>
    <row r="47" spans="1:11" x14ac:dyDescent="0.2">
      <c r="A47" s="95"/>
      <c r="C47" s="68"/>
      <c r="D47" s="68"/>
      <c r="E47" s="68"/>
      <c r="F47" s="68"/>
      <c r="G47" s="68"/>
    </row>
    <row r="48" spans="1:11" x14ac:dyDescent="0.2">
      <c r="A48" t="s">
        <v>299</v>
      </c>
      <c r="C48" s="2"/>
      <c r="D48" s="2"/>
      <c r="E48" s="2"/>
      <c r="F48" s="2"/>
      <c r="G48" s="2"/>
      <c r="H48" s="2"/>
      <c r="I48" s="2"/>
    </row>
    <row r="49" spans="1:11" x14ac:dyDescent="0.2">
      <c r="A49" s="70"/>
      <c r="B49" s="70" t="s">
        <v>320</v>
      </c>
      <c r="C49" s="100">
        <f>+C43/2</f>
        <v>230</v>
      </c>
      <c r="D49" s="100">
        <f t="shared" ref="D49:I49" si="10">+D43/2</f>
        <v>230</v>
      </c>
      <c r="E49" s="100">
        <f t="shared" si="10"/>
        <v>230</v>
      </c>
      <c r="F49" s="100">
        <f t="shared" si="10"/>
        <v>2530</v>
      </c>
      <c r="G49" s="100">
        <f t="shared" si="10"/>
        <v>2415</v>
      </c>
      <c r="H49" s="100">
        <f t="shared" si="10"/>
        <v>0</v>
      </c>
      <c r="I49" s="100">
        <f t="shared" si="10"/>
        <v>0</v>
      </c>
    </row>
    <row r="50" spans="1:11" x14ac:dyDescent="0.2">
      <c r="B50" s="68" t="str">
        <f t="shared" ref="B50:J50" si="11">+B27</f>
        <v>IC boy</v>
      </c>
      <c r="C50" s="68">
        <f t="shared" si="11"/>
        <v>20000</v>
      </c>
      <c r="D50" s="68">
        <f t="shared" si="11"/>
        <v>21800</v>
      </c>
      <c r="E50" s="68">
        <f t="shared" si="11"/>
        <v>23751.200000000001</v>
      </c>
      <c r="F50" s="68">
        <f t="shared" si="11"/>
        <v>25854.5936</v>
      </c>
      <c r="G50" s="68">
        <f t="shared" si="11"/>
        <v>28109.431539199999</v>
      </c>
      <c r="H50" s="68">
        <f t="shared" si="11"/>
        <v>30513.0887823872</v>
      </c>
      <c r="I50" s="68">
        <f t="shared" si="11"/>
        <v>33060.965460165629</v>
      </c>
      <c r="J50" s="68">
        <f t="shared" si="11"/>
        <v>35890.179108918921</v>
      </c>
      <c r="K50" s="68"/>
    </row>
    <row r="51" spans="1:11" x14ac:dyDescent="0.2">
      <c r="B51" t="s">
        <v>300</v>
      </c>
      <c r="C51" s="49">
        <f>+C44</f>
        <v>8511.1584002981381</v>
      </c>
      <c r="D51" s="49">
        <f t="shared" ref="D51:G51" si="12">+D44</f>
        <v>8646.9394883190089</v>
      </c>
      <c r="E51" s="49">
        <f t="shared" si="12"/>
        <v>8792.2252525013391</v>
      </c>
      <c r="F51" s="49">
        <f t="shared" si="12"/>
        <v>8947.6810201764329</v>
      </c>
      <c r="G51" s="49">
        <f t="shared" si="12"/>
        <v>4514.0186915887843</v>
      </c>
      <c r="H51" s="68">
        <f>+H70*H34</f>
        <v>17842.273653910583</v>
      </c>
      <c r="I51" s="68">
        <f>+I70*I34</f>
        <v>18861.424325021955</v>
      </c>
      <c r="J51" s="68">
        <f>+J70*J34</f>
        <v>19993.109784523276</v>
      </c>
      <c r="K51" s="68"/>
    </row>
    <row r="52" spans="1:11" x14ac:dyDescent="0.2">
      <c r="B52" t="s">
        <v>123</v>
      </c>
      <c r="C52" s="49">
        <f>+C50-C51+C49</f>
        <v>11718.841599701862</v>
      </c>
      <c r="D52" s="49">
        <f t="shared" ref="D52:G52" si="13">+D50-D51+D49</f>
        <v>13383.060511680991</v>
      </c>
      <c r="E52" s="49">
        <f t="shared" si="13"/>
        <v>15188.974747498662</v>
      </c>
      <c r="F52" s="49">
        <f t="shared" si="13"/>
        <v>19436.912579823569</v>
      </c>
      <c r="G52" s="49">
        <f t="shared" si="13"/>
        <v>26010.412847611216</v>
      </c>
      <c r="H52" s="68">
        <f t="shared" ref="H52:J52" si="14">+H50-H51</f>
        <v>12670.815128476617</v>
      </c>
      <c r="I52" s="68">
        <f t="shared" si="14"/>
        <v>14199.541135143674</v>
      </c>
      <c r="J52" s="68">
        <f t="shared" si="14"/>
        <v>15897.069324395645</v>
      </c>
      <c r="K52" s="68"/>
    </row>
    <row r="53" spans="1:11" x14ac:dyDescent="0.2">
      <c r="C53" s="68"/>
      <c r="D53" s="68"/>
      <c r="E53" s="68"/>
      <c r="F53" s="68"/>
      <c r="G53" s="68"/>
      <c r="H53" s="68"/>
      <c r="I53" s="68"/>
      <c r="J53" s="68"/>
      <c r="K53" s="68"/>
    </row>
    <row r="56" spans="1:11" x14ac:dyDescent="0.2">
      <c r="B56" t="s">
        <v>81</v>
      </c>
      <c r="C56" s="68">
        <f>+C27*C28</f>
        <v>3000</v>
      </c>
      <c r="D56" s="68">
        <f t="shared" ref="D56:J56" si="15">+C56+C57*D29</f>
        <v>3252</v>
      </c>
      <c r="E56" s="68">
        <f t="shared" si="15"/>
        <v>3505.6559999999999</v>
      </c>
      <c r="F56" s="68">
        <f t="shared" si="15"/>
        <v>3758.063232</v>
      </c>
      <c r="G56" s="68">
        <f t="shared" si="15"/>
        <v>4006.0954053119999</v>
      </c>
      <c r="H56" s="68">
        <f t="shared" si="15"/>
        <v>4246.4611296307203</v>
      </c>
      <c r="I56" s="68">
        <f t="shared" si="15"/>
        <v>4489.0189893552269</v>
      </c>
      <c r="J56" s="68">
        <f t="shared" si="15"/>
        <v>4758.3601287165402</v>
      </c>
    </row>
    <row r="57" spans="1:11" x14ac:dyDescent="0.2">
      <c r="B57" s="68" t="s">
        <v>91</v>
      </c>
      <c r="C57" s="68">
        <f t="shared" ref="C57:J57" si="16">+C56*C30</f>
        <v>1800</v>
      </c>
      <c r="D57" s="68">
        <f t="shared" si="16"/>
        <v>1951.1999999999998</v>
      </c>
      <c r="E57" s="68">
        <f t="shared" si="16"/>
        <v>2103.3935999999999</v>
      </c>
      <c r="F57" s="68">
        <f t="shared" si="16"/>
        <v>2254.8379391999997</v>
      </c>
      <c r="G57" s="68">
        <f t="shared" si="16"/>
        <v>2403.6572431872</v>
      </c>
      <c r="H57" s="68">
        <f t="shared" si="16"/>
        <v>2547.8766777784322</v>
      </c>
      <c r="I57" s="68">
        <f t="shared" si="16"/>
        <v>2829.2136487532944</v>
      </c>
      <c r="J57" s="68">
        <f t="shared" si="16"/>
        <v>2998.9664676784914</v>
      </c>
    </row>
    <row r="58" spans="1:11" x14ac:dyDescent="0.2">
      <c r="B58" t="s">
        <v>75</v>
      </c>
      <c r="C58" s="68">
        <f>+C56-C57</f>
        <v>1200</v>
      </c>
      <c r="D58" s="68">
        <f t="shared" ref="D58:J58" si="17">+D56-D57</f>
        <v>1300.8000000000002</v>
      </c>
      <c r="E58" s="68">
        <f t="shared" si="17"/>
        <v>1402.2624000000001</v>
      </c>
      <c r="F58" s="68">
        <f t="shared" si="17"/>
        <v>1503.2252928000003</v>
      </c>
      <c r="G58" s="68">
        <f t="shared" si="17"/>
        <v>1602.4381621247999</v>
      </c>
      <c r="H58" s="68">
        <f t="shared" si="17"/>
        <v>1698.5844518522881</v>
      </c>
      <c r="I58" s="68">
        <f t="shared" si="17"/>
        <v>1659.8053406019326</v>
      </c>
      <c r="J58" s="68">
        <f t="shared" si="17"/>
        <v>1759.3936610380488</v>
      </c>
    </row>
    <row r="59" spans="1:11" x14ac:dyDescent="0.2">
      <c r="B59" t="s">
        <v>32</v>
      </c>
      <c r="C59" s="68">
        <f>+C42</f>
        <v>460</v>
      </c>
      <c r="D59" s="68">
        <f t="shared" ref="D59:G59" si="18">+D42</f>
        <v>460</v>
      </c>
      <c r="E59" s="68">
        <f t="shared" si="18"/>
        <v>460</v>
      </c>
      <c r="F59" s="68">
        <f t="shared" si="18"/>
        <v>460</v>
      </c>
      <c r="G59" s="68">
        <f t="shared" si="18"/>
        <v>230</v>
      </c>
      <c r="H59" s="68">
        <f>+H51*H35</f>
        <v>1070.5364192346349</v>
      </c>
      <c r="I59" s="68">
        <f>+I51*I35</f>
        <v>1131.6854595013172</v>
      </c>
      <c r="J59" s="68">
        <f>+J51*J35</f>
        <v>1199.5865870713965</v>
      </c>
    </row>
    <row r="60" spans="1:11" x14ac:dyDescent="0.2">
      <c r="B60" t="s">
        <v>88</v>
      </c>
      <c r="C60" s="68">
        <f t="shared" ref="C60:J60" si="19">+C59*C33</f>
        <v>92</v>
      </c>
      <c r="D60" s="68">
        <f t="shared" si="19"/>
        <v>92</v>
      </c>
      <c r="E60" s="68">
        <f t="shared" si="19"/>
        <v>92</v>
      </c>
      <c r="F60" s="68">
        <f t="shared" si="19"/>
        <v>92</v>
      </c>
      <c r="G60" s="68">
        <f t="shared" si="19"/>
        <v>46</v>
      </c>
      <c r="H60" s="68">
        <f t="shared" si="19"/>
        <v>214.10728384692698</v>
      </c>
      <c r="I60" s="68">
        <f t="shared" si="19"/>
        <v>226.33709190026343</v>
      </c>
      <c r="J60" s="68">
        <f t="shared" si="19"/>
        <v>239.9173174142793</v>
      </c>
    </row>
    <row r="61" spans="1:11" x14ac:dyDescent="0.2">
      <c r="B61" t="s">
        <v>77</v>
      </c>
      <c r="C61" s="68">
        <f t="shared" ref="C61:I61" si="20">+D51-C51</f>
        <v>135.78108802087081</v>
      </c>
      <c r="D61" s="68">
        <f t="shared" si="20"/>
        <v>145.28576418233024</v>
      </c>
      <c r="E61" s="68">
        <f t="shared" si="20"/>
        <v>155.45576767509374</v>
      </c>
      <c r="F61" s="68">
        <f t="shared" si="20"/>
        <v>-4433.6623285876485</v>
      </c>
      <c r="G61" s="68">
        <f t="shared" si="20"/>
        <v>13328.254962321798</v>
      </c>
      <c r="H61" s="68">
        <f t="shared" si="20"/>
        <v>1019.1506711113725</v>
      </c>
      <c r="I61" s="68">
        <f t="shared" si="20"/>
        <v>1131.685459501321</v>
      </c>
      <c r="J61" s="82">
        <f>+J51*K31</f>
        <v>1199.5865870713965</v>
      </c>
    </row>
    <row r="62" spans="1:11" x14ac:dyDescent="0.2">
      <c r="A62" s="95"/>
      <c r="B62" s="70" t="s">
        <v>321</v>
      </c>
      <c r="C62" s="96">
        <f>+C49-D49</f>
        <v>0</v>
      </c>
      <c r="D62" s="96">
        <f t="shared" ref="D62:I62" si="21">+D49-E49</f>
        <v>0</v>
      </c>
      <c r="E62" s="96">
        <f t="shared" si="21"/>
        <v>-2300</v>
      </c>
      <c r="F62" s="96">
        <f t="shared" si="21"/>
        <v>115</v>
      </c>
      <c r="G62" s="96">
        <f t="shared" si="21"/>
        <v>2415</v>
      </c>
      <c r="H62" s="96">
        <f t="shared" si="21"/>
        <v>0</v>
      </c>
      <c r="I62" s="96">
        <f t="shared" si="21"/>
        <v>0</v>
      </c>
      <c r="J62" s="82"/>
    </row>
    <row r="63" spans="1:11" x14ac:dyDescent="0.2">
      <c r="A63" s="95"/>
      <c r="B63" t="s">
        <v>78</v>
      </c>
      <c r="C63" s="68">
        <f>+C58-C59+C60+C61+C62</f>
        <v>967.78108802087081</v>
      </c>
      <c r="D63" s="68">
        <f t="shared" ref="D63:I63" si="22">+D58-D59+D60+D61+D62</f>
        <v>1078.0857641823304</v>
      </c>
      <c r="E63" s="68">
        <f t="shared" si="22"/>
        <v>-1110.2818323249062</v>
      </c>
      <c r="F63" s="68">
        <f t="shared" si="22"/>
        <v>-3183.4370357876483</v>
      </c>
      <c r="G63" s="68">
        <f t="shared" si="22"/>
        <v>17161.693124446596</v>
      </c>
      <c r="H63" s="68">
        <f t="shared" si="22"/>
        <v>1861.3059875759527</v>
      </c>
      <c r="I63" s="68">
        <f t="shared" si="22"/>
        <v>1886.1424325021999</v>
      </c>
      <c r="J63" s="68">
        <f t="shared" ref="J63" si="23">+J58-J59+J60+J61</f>
        <v>1999.3109784523281</v>
      </c>
    </row>
    <row r="64" spans="1:11" x14ac:dyDescent="0.2">
      <c r="B64" s="68" t="str">
        <f>+B98</f>
        <v>Dividend</v>
      </c>
      <c r="C64" s="68">
        <f t="shared" ref="C64:I64" si="24">+C98</f>
        <v>967.78108802087081</v>
      </c>
      <c r="D64" s="68">
        <f t="shared" si="24"/>
        <v>1078.0857641823295</v>
      </c>
      <c r="E64" s="68">
        <f t="shared" si="24"/>
        <v>0</v>
      </c>
      <c r="F64" s="68">
        <f t="shared" si="24"/>
        <v>0</v>
      </c>
      <c r="G64" s="68">
        <f t="shared" si="24"/>
        <v>3822.0954053119995</v>
      </c>
      <c r="H64" s="68">
        <f t="shared" si="24"/>
        <v>1861.305987575955</v>
      </c>
      <c r="I64" s="68">
        <f t="shared" si="24"/>
        <v>1886.1424325022026</v>
      </c>
      <c r="J64" s="68"/>
    </row>
    <row r="65" spans="1:10" x14ac:dyDescent="0.2">
      <c r="B65" t="s">
        <v>301</v>
      </c>
      <c r="C65" s="68">
        <f>+D52-C52-C99</f>
        <v>0</v>
      </c>
      <c r="D65" s="68">
        <f t="shared" ref="D65:I65" si="25">+E52-D52-D99</f>
        <v>0</v>
      </c>
      <c r="E65" s="68">
        <f t="shared" si="25"/>
        <v>1110.2818323249076</v>
      </c>
      <c r="F65" s="68">
        <f t="shared" si="25"/>
        <v>3183.4370357876478</v>
      </c>
      <c r="G65" s="68">
        <f t="shared" si="25"/>
        <v>-13339.597719134599</v>
      </c>
      <c r="H65" s="68">
        <f t="shared" si="25"/>
        <v>0</v>
      </c>
      <c r="I65" s="68">
        <f t="shared" si="25"/>
        <v>0</v>
      </c>
      <c r="J65" s="68"/>
    </row>
    <row r="66" spans="1:10" x14ac:dyDescent="0.2">
      <c r="B66" s="93" t="s">
        <v>302</v>
      </c>
      <c r="C66" s="86">
        <f>+C63-C64+C65</f>
        <v>0</v>
      </c>
      <c r="D66" s="86">
        <f t="shared" ref="D66:I66" si="26">+D63-D64+D65</f>
        <v>9.0949470177292824E-13</v>
      </c>
      <c r="E66" s="86">
        <f t="shared" si="26"/>
        <v>0</v>
      </c>
      <c r="F66" s="86">
        <f t="shared" si="26"/>
        <v>0</v>
      </c>
      <c r="G66" s="86">
        <f t="shared" si="26"/>
        <v>0</v>
      </c>
      <c r="H66" s="86">
        <f t="shared" si="26"/>
        <v>-2.2737367544323206E-12</v>
      </c>
      <c r="I66" s="86">
        <f t="shared" si="26"/>
        <v>-2.7284841053187847E-12</v>
      </c>
    </row>
    <row r="68" spans="1:10" x14ac:dyDescent="0.2">
      <c r="B68" s="68" t="str">
        <f>+B58</f>
        <v>FCFF</v>
      </c>
      <c r="C68" s="68">
        <f>+C58</f>
        <v>1200</v>
      </c>
      <c r="D68" s="68">
        <f t="shared" ref="D68:I68" si="27">+D58</f>
        <v>1300.8000000000002</v>
      </c>
      <c r="E68" s="68">
        <f t="shared" si="27"/>
        <v>1402.2624000000001</v>
      </c>
      <c r="F68" s="68">
        <f t="shared" si="27"/>
        <v>1503.2252928000003</v>
      </c>
      <c r="G68" s="68">
        <f t="shared" si="27"/>
        <v>1602.4381621247999</v>
      </c>
      <c r="H68" s="68">
        <f t="shared" si="27"/>
        <v>1698.5844518522881</v>
      </c>
      <c r="I68" s="68">
        <f t="shared" si="27"/>
        <v>1659.8053406019326</v>
      </c>
      <c r="J68" s="68">
        <f>+J58</f>
        <v>1759.3936610380488</v>
      </c>
    </row>
    <row r="69" spans="1:10" x14ac:dyDescent="0.2">
      <c r="B69" t="s">
        <v>229</v>
      </c>
      <c r="C69" s="4">
        <f t="shared" ref="C69:J69" si="28">+C36</f>
        <v>9.7233749306221251E-2</v>
      </c>
      <c r="D69" s="4">
        <f t="shared" si="28"/>
        <v>9.7393163162168589E-2</v>
      </c>
      <c r="E69" s="4">
        <f t="shared" si="28"/>
        <v>9.7541960015544771E-2</v>
      </c>
      <c r="F69" s="4">
        <f t="shared" si="28"/>
        <v>9.7681261822573348E-2</v>
      </c>
      <c r="G69" s="4">
        <f t="shared" si="28"/>
        <v>9.8906043451106845E-2</v>
      </c>
      <c r="H69" s="4">
        <f t="shared" si="28"/>
        <v>9.5200000000000007E-2</v>
      </c>
      <c r="I69" s="4">
        <f t="shared" si="28"/>
        <v>9.5200000000000007E-2</v>
      </c>
      <c r="J69" s="4">
        <f t="shared" si="28"/>
        <v>9.5200000000000007E-2</v>
      </c>
    </row>
    <row r="70" spans="1:10" x14ac:dyDescent="0.2">
      <c r="B70" s="87" t="s">
        <v>158</v>
      </c>
      <c r="C70" s="87">
        <f t="shared" ref="C70:H70" si="29">+(C68+D70)/(1+C69)</f>
        <v>33258.012445114451</v>
      </c>
      <c r="D70" s="87">
        <f t="shared" si="29"/>
        <v>35291.813689625895</v>
      </c>
      <c r="E70" s="87">
        <f t="shared" si="29"/>
        <v>37428.195058588477</v>
      </c>
      <c r="F70" s="87">
        <f t="shared" si="29"/>
        <v>39676.752164447324</v>
      </c>
      <c r="G70" s="87">
        <f t="shared" si="29"/>
        <v>42049.202088092054</v>
      </c>
      <c r="H70" s="87">
        <f t="shared" si="29"/>
        <v>44605.684134776457</v>
      </c>
      <c r="I70" s="87">
        <f>+I68/(I69-J31)</f>
        <v>47153.56081255489</v>
      </c>
      <c r="J70" s="87">
        <f>+J68/(J69-K31)</f>
        <v>49982.774461308189</v>
      </c>
    </row>
    <row r="71" spans="1:10" x14ac:dyDescent="0.2">
      <c r="C71" s="68"/>
      <c r="D71" s="68"/>
      <c r="E71" s="68"/>
      <c r="F71" s="68"/>
      <c r="G71" s="68"/>
      <c r="H71" s="68"/>
    </row>
    <row r="73" spans="1:10" x14ac:dyDescent="0.2">
      <c r="B73" t="s">
        <v>280</v>
      </c>
      <c r="C73" s="68">
        <f>+C58+C60</f>
        <v>1292</v>
      </c>
      <c r="D73" s="68">
        <f t="shared" ref="D73:J73" si="30">+D58+D60</f>
        <v>1392.8000000000002</v>
      </c>
      <c r="E73" s="68">
        <f t="shared" si="30"/>
        <v>1494.2624000000001</v>
      </c>
      <c r="F73" s="68">
        <f t="shared" si="30"/>
        <v>1595.2252928000003</v>
      </c>
      <c r="G73" s="68">
        <f t="shared" si="30"/>
        <v>1648.4381621247999</v>
      </c>
      <c r="H73" s="68">
        <f t="shared" si="30"/>
        <v>1912.6917356992151</v>
      </c>
      <c r="I73" s="68">
        <f t="shared" si="30"/>
        <v>1886.142432502196</v>
      </c>
      <c r="J73" s="68">
        <f t="shared" si="30"/>
        <v>1999.3109784523281</v>
      </c>
    </row>
    <row r="74" spans="1:10" x14ac:dyDescent="0.2">
      <c r="B74" s="88" t="s">
        <v>158</v>
      </c>
      <c r="C74" s="87">
        <f t="shared" ref="C74:H74" si="31">+(C73+D74)/(1+C32)</f>
        <v>33258.012445114429</v>
      </c>
      <c r="D74" s="87">
        <f t="shared" si="31"/>
        <v>35291.813689625873</v>
      </c>
      <c r="E74" s="87">
        <f t="shared" si="31"/>
        <v>37428.195058588462</v>
      </c>
      <c r="F74" s="87">
        <f t="shared" si="31"/>
        <v>39676.752164447316</v>
      </c>
      <c r="G74" s="87">
        <f t="shared" si="31"/>
        <v>42049.202088092054</v>
      </c>
      <c r="H74" s="87">
        <f t="shared" si="31"/>
        <v>44605.684134776457</v>
      </c>
      <c r="I74" s="87">
        <f>+I73/(I32-J31)</f>
        <v>47153.56081255489</v>
      </c>
      <c r="J74" s="87">
        <f>+J73/(K32-K31)</f>
        <v>49982.774461308189</v>
      </c>
    </row>
    <row r="75" spans="1:10" x14ac:dyDescent="0.2">
      <c r="C75" s="68"/>
    </row>
    <row r="77" spans="1:10" x14ac:dyDescent="0.2">
      <c r="B77" s="68" t="str">
        <f t="shared" ref="B77:J77" si="32">+B63</f>
        <v>FCFE</v>
      </c>
      <c r="C77" s="68">
        <f t="shared" si="32"/>
        <v>967.78108802087081</v>
      </c>
      <c r="D77" s="68">
        <f t="shared" si="32"/>
        <v>1078.0857641823304</v>
      </c>
      <c r="E77" s="68">
        <f t="shared" si="32"/>
        <v>-1110.2818323249062</v>
      </c>
      <c r="F77" s="68">
        <f t="shared" si="32"/>
        <v>-3183.4370357876483</v>
      </c>
      <c r="G77" s="68">
        <f t="shared" si="32"/>
        <v>17161.693124446596</v>
      </c>
      <c r="H77" s="68">
        <f t="shared" si="32"/>
        <v>1861.3059875759527</v>
      </c>
      <c r="I77" s="68">
        <f t="shared" si="32"/>
        <v>1886.1424325021999</v>
      </c>
      <c r="J77" s="68">
        <f t="shared" si="32"/>
        <v>1999.3109784523281</v>
      </c>
    </row>
    <row r="78" spans="1:10" x14ac:dyDescent="0.2">
      <c r="B78" t="s">
        <v>163</v>
      </c>
      <c r="C78" s="2">
        <f t="shared" ref="C78:J78" si="33">+(C32-C34*C35)/(1-C34)</f>
        <v>0.11473827886287437</v>
      </c>
      <c r="D78" s="2">
        <f t="shared" si="33"/>
        <v>0.11420263201877016</v>
      </c>
      <c r="E78" s="2">
        <f t="shared" si="33"/>
        <v>0.11372628489227411</v>
      </c>
      <c r="F78" s="2">
        <f t="shared" si="33"/>
        <v>0.10546521883395878</v>
      </c>
      <c r="G78" s="2">
        <f t="shared" si="33"/>
        <v>9.9496920185781157E-2</v>
      </c>
      <c r="H78" s="2">
        <f t="shared" si="33"/>
        <v>0.12666666666666671</v>
      </c>
      <c r="I78" s="2">
        <f t="shared" si="33"/>
        <v>0.12666666666666671</v>
      </c>
      <c r="J78" s="2">
        <f t="shared" si="33"/>
        <v>0.12666666666666671</v>
      </c>
    </row>
    <row r="79" spans="1:10" x14ac:dyDescent="0.2">
      <c r="B79" t="s">
        <v>165</v>
      </c>
      <c r="C79" s="68">
        <f t="shared" ref="C79:H79" si="34">+(C77+D79)/(1+C78)</f>
        <v>24976.854044816326</v>
      </c>
      <c r="D79" s="68">
        <f t="shared" si="34"/>
        <v>26874.874201306902</v>
      </c>
      <c r="E79" s="68">
        <f t="shared" si="34"/>
        <v>28865.969806087163</v>
      </c>
      <c r="F79" s="68">
        <f t="shared" si="34"/>
        <v>33259.071144270922</v>
      </c>
      <c r="G79" s="68">
        <f>+(G77+H79)/(1+G78)</f>
        <v>39950.183396503307</v>
      </c>
      <c r="H79" s="68">
        <f t="shared" si="34"/>
        <v>26763.410480865918</v>
      </c>
      <c r="I79" s="68">
        <f>+I77/(I78-J31)</f>
        <v>28292.136487532982</v>
      </c>
      <c r="J79" s="68">
        <f>+J77/(J78-K31)</f>
        <v>29989.664676784902</v>
      </c>
    </row>
    <row r="80" spans="1:10" x14ac:dyDescent="0.2">
      <c r="A80" s="95"/>
      <c r="B80" s="98" t="str">
        <f>+B45</f>
        <v>Net Loan</v>
      </c>
      <c r="C80" s="99">
        <f t="shared" ref="C80:G80" si="35">+C45</f>
        <v>8281.1584002981381</v>
      </c>
      <c r="D80" s="99">
        <f t="shared" si="35"/>
        <v>8416.9394883190089</v>
      </c>
      <c r="E80" s="99">
        <f t="shared" si="35"/>
        <v>8562.2252525013391</v>
      </c>
      <c r="F80" s="99">
        <f t="shared" si="35"/>
        <v>6417.6810201764329</v>
      </c>
      <c r="G80" s="99">
        <f t="shared" si="35"/>
        <v>2099.0186915887843</v>
      </c>
      <c r="H80" s="92">
        <f>+H51</f>
        <v>17842.273653910583</v>
      </c>
      <c r="I80" s="92">
        <f t="shared" ref="I80:J80" si="36">+I51</f>
        <v>18861.424325021955</v>
      </c>
      <c r="J80" s="92">
        <f t="shared" si="36"/>
        <v>19993.109784523276</v>
      </c>
    </row>
    <row r="81" spans="2:11" x14ac:dyDescent="0.2">
      <c r="B81" s="88" t="s">
        <v>158</v>
      </c>
      <c r="C81" s="87">
        <f>+C79+C80</f>
        <v>33258.012445114466</v>
      </c>
      <c r="D81" s="87">
        <f t="shared" ref="D81:J81" si="37">+D79+D80</f>
        <v>35291.813689625909</v>
      </c>
      <c r="E81" s="87">
        <f t="shared" si="37"/>
        <v>37428.195058588506</v>
      </c>
      <c r="F81" s="87">
        <f t="shared" si="37"/>
        <v>39676.752164447353</v>
      </c>
      <c r="G81" s="87">
        <f t="shared" si="37"/>
        <v>42049.20208809209</v>
      </c>
      <c r="H81" s="87">
        <f t="shared" si="37"/>
        <v>44605.6841347765</v>
      </c>
      <c r="I81" s="87">
        <f t="shared" si="37"/>
        <v>47153.560812554933</v>
      </c>
      <c r="J81" s="87">
        <f t="shared" si="37"/>
        <v>49982.774461308174</v>
      </c>
    </row>
    <row r="83" spans="2:11" x14ac:dyDescent="0.2">
      <c r="B83" t="s">
        <v>240</v>
      </c>
      <c r="C83" s="68">
        <f t="shared" ref="C83:J83" si="38">+C50</f>
        <v>20000</v>
      </c>
      <c r="D83" s="68">
        <f t="shared" si="38"/>
        <v>21800</v>
      </c>
      <c r="E83" s="68">
        <f t="shared" si="38"/>
        <v>23751.200000000001</v>
      </c>
      <c r="F83" s="68">
        <f t="shared" si="38"/>
        <v>25854.5936</v>
      </c>
      <c r="G83" s="68">
        <f t="shared" si="38"/>
        <v>28109.431539199999</v>
      </c>
      <c r="H83" s="68">
        <f t="shared" si="38"/>
        <v>30513.0887823872</v>
      </c>
      <c r="I83" s="68">
        <f t="shared" si="38"/>
        <v>33060.965460165629</v>
      </c>
      <c r="J83" s="68">
        <f t="shared" si="38"/>
        <v>35890.179108918921</v>
      </c>
    </row>
    <row r="85" spans="2:11" x14ac:dyDescent="0.2">
      <c r="B85" s="68" t="str">
        <f t="shared" ref="B85:J85" si="39">+B56</f>
        <v>Noplat</v>
      </c>
      <c r="C85" s="68">
        <f t="shared" si="39"/>
        <v>3000</v>
      </c>
      <c r="D85" s="68">
        <f t="shared" si="39"/>
        <v>3252</v>
      </c>
      <c r="E85" s="68">
        <f t="shared" si="39"/>
        <v>3505.6559999999999</v>
      </c>
      <c r="F85" s="68">
        <f t="shared" si="39"/>
        <v>3758.063232</v>
      </c>
      <c r="G85" s="68">
        <f t="shared" si="39"/>
        <v>4006.0954053119999</v>
      </c>
      <c r="H85" s="68">
        <f t="shared" si="39"/>
        <v>4246.4611296307203</v>
      </c>
      <c r="I85" s="68">
        <f t="shared" si="39"/>
        <v>4489.0189893552269</v>
      </c>
      <c r="J85" s="68">
        <f t="shared" si="39"/>
        <v>4758.3601287165402</v>
      </c>
    </row>
    <row r="86" spans="2:11" x14ac:dyDescent="0.2">
      <c r="B86" t="s">
        <v>303</v>
      </c>
      <c r="C86" s="68">
        <f t="shared" ref="C86:J86" si="40">+C83*C69</f>
        <v>1944.674986124425</v>
      </c>
      <c r="D86" s="68">
        <f t="shared" si="40"/>
        <v>2123.1709569352752</v>
      </c>
      <c r="E86" s="68">
        <f t="shared" si="40"/>
        <v>2316.7386007212071</v>
      </c>
      <c r="F86" s="68">
        <f t="shared" si="40"/>
        <v>2525.5093267578291</v>
      </c>
      <c r="G86" s="68">
        <f t="shared" si="40"/>
        <v>2780.1926572020284</v>
      </c>
      <c r="H86" s="68">
        <f t="shared" si="40"/>
        <v>2904.8460520832618</v>
      </c>
      <c r="I86" s="68">
        <f t="shared" si="40"/>
        <v>3147.4039118077681</v>
      </c>
      <c r="J86" s="68">
        <f t="shared" si="40"/>
        <v>3416.7450511690813</v>
      </c>
    </row>
    <row r="87" spans="2:11" x14ac:dyDescent="0.2">
      <c r="B87" t="s">
        <v>236</v>
      </c>
      <c r="C87" s="68">
        <f>+C85-C86</f>
        <v>1055.325013875575</v>
      </c>
      <c r="D87" s="68">
        <f t="shared" ref="D87:J87" si="41">+D85-D86</f>
        <v>1128.8290430647248</v>
      </c>
      <c r="E87" s="68">
        <f t="shared" si="41"/>
        <v>1188.9173992787928</v>
      </c>
      <c r="F87" s="68">
        <f t="shared" si="41"/>
        <v>1232.5539052421709</v>
      </c>
      <c r="G87" s="68">
        <f t="shared" si="41"/>
        <v>1225.9027481099715</v>
      </c>
      <c r="H87" s="68">
        <f t="shared" si="41"/>
        <v>1341.6150775474584</v>
      </c>
      <c r="I87" s="68">
        <f t="shared" si="41"/>
        <v>1341.6150775474589</v>
      </c>
      <c r="J87" s="68">
        <f t="shared" si="41"/>
        <v>1341.6150775474589</v>
      </c>
      <c r="K87" t="s">
        <v>304</v>
      </c>
    </row>
    <row r="88" spans="2:11" x14ac:dyDescent="0.2">
      <c r="B88" t="s">
        <v>238</v>
      </c>
      <c r="C88" s="68">
        <f t="shared" ref="C88:I88" si="42">+(C87+D88)/(1+C69)</f>
        <v>13258.012445114444</v>
      </c>
      <c r="D88" s="68">
        <f t="shared" si="42"/>
        <v>13491.813689625887</v>
      </c>
      <c r="E88" s="68">
        <f t="shared" si="42"/>
        <v>13676.995058588474</v>
      </c>
      <c r="F88" s="68">
        <f t="shared" si="42"/>
        <v>13822.158564447322</v>
      </c>
      <c r="G88" s="68">
        <f t="shared" si="42"/>
        <v>13939.770548892053</v>
      </c>
      <c r="H88" s="68">
        <f t="shared" si="42"/>
        <v>14092.595352389259</v>
      </c>
      <c r="I88" s="68">
        <f t="shared" si="42"/>
        <v>14092.595352389257</v>
      </c>
      <c r="J88" s="82">
        <f>+J81-J89</f>
        <v>14092.595352389253</v>
      </c>
      <c r="K88" s="91">
        <f>+J87/J36+J57*(K29-K36)/(K36*(K36-K31))</f>
        <v>14092.595352389273</v>
      </c>
    </row>
    <row r="89" spans="2:11" x14ac:dyDescent="0.2">
      <c r="B89" s="68" t="str">
        <f>+B83</f>
        <v>Total IC</v>
      </c>
      <c r="C89" s="68">
        <f t="shared" ref="C89:J89" si="43">+C83</f>
        <v>20000</v>
      </c>
      <c r="D89" s="68">
        <f t="shared" si="43"/>
        <v>21800</v>
      </c>
      <c r="E89" s="68">
        <f t="shared" si="43"/>
        <v>23751.200000000001</v>
      </c>
      <c r="F89" s="68">
        <f t="shared" si="43"/>
        <v>25854.5936</v>
      </c>
      <c r="G89" s="68">
        <f t="shared" si="43"/>
        <v>28109.431539199999</v>
      </c>
      <c r="H89" s="68">
        <f t="shared" si="43"/>
        <v>30513.0887823872</v>
      </c>
      <c r="I89" s="68">
        <f t="shared" si="43"/>
        <v>33060.965460165629</v>
      </c>
      <c r="J89" s="68">
        <f t="shared" si="43"/>
        <v>35890.179108918921</v>
      </c>
    </row>
    <row r="90" spans="2:11" x14ac:dyDescent="0.2">
      <c r="B90" s="87" t="s">
        <v>158</v>
      </c>
      <c r="C90" s="87">
        <f>+C88+C89</f>
        <v>33258.012445114444</v>
      </c>
      <c r="D90" s="87">
        <f t="shared" ref="D90:J90" si="44">+D88+D89</f>
        <v>35291.813689625887</v>
      </c>
      <c r="E90" s="87">
        <f t="shared" si="44"/>
        <v>37428.195058588477</v>
      </c>
      <c r="F90" s="87">
        <f t="shared" si="44"/>
        <v>39676.752164447324</v>
      </c>
      <c r="G90" s="87">
        <f t="shared" si="44"/>
        <v>42049.202088092054</v>
      </c>
      <c r="H90" s="87">
        <f t="shared" si="44"/>
        <v>44605.684134776457</v>
      </c>
      <c r="I90" s="87">
        <f t="shared" si="44"/>
        <v>47153.56081255489</v>
      </c>
      <c r="J90" s="87">
        <f t="shared" si="44"/>
        <v>49982.774461308174</v>
      </c>
    </row>
    <row r="93" spans="2:11" x14ac:dyDescent="0.2">
      <c r="B93" s="68" t="s">
        <v>128</v>
      </c>
      <c r="C93" s="68">
        <f t="shared" ref="C93:J93" si="45">+C56/(1-C33)</f>
        <v>3750</v>
      </c>
      <c r="D93" s="68">
        <f t="shared" si="45"/>
        <v>4065</v>
      </c>
      <c r="E93" s="68">
        <f t="shared" si="45"/>
        <v>4382.07</v>
      </c>
      <c r="F93" s="68">
        <f t="shared" si="45"/>
        <v>4697.5790399999996</v>
      </c>
      <c r="G93" s="68">
        <f t="shared" si="45"/>
        <v>5007.6192566399995</v>
      </c>
      <c r="H93" s="68">
        <f t="shared" si="45"/>
        <v>5308.0764120384001</v>
      </c>
      <c r="I93" s="68">
        <f t="shared" si="45"/>
        <v>5611.2737366940337</v>
      </c>
      <c r="J93" s="68">
        <f t="shared" si="45"/>
        <v>5947.9501608956753</v>
      </c>
    </row>
    <row r="94" spans="2:11" x14ac:dyDescent="0.2">
      <c r="B94" s="68" t="str">
        <f>+B59</f>
        <v>Interest</v>
      </c>
      <c r="C94" s="68">
        <f>+C59</f>
        <v>460</v>
      </c>
      <c r="D94" s="68">
        <f t="shared" ref="D94:J94" si="46">+D59</f>
        <v>460</v>
      </c>
      <c r="E94" s="68">
        <f t="shared" si="46"/>
        <v>460</v>
      </c>
      <c r="F94" s="68">
        <f t="shared" si="46"/>
        <v>460</v>
      </c>
      <c r="G94" s="68">
        <f t="shared" si="46"/>
        <v>230</v>
      </c>
      <c r="H94" s="68">
        <f t="shared" si="46"/>
        <v>1070.5364192346349</v>
      </c>
      <c r="I94" s="68">
        <f t="shared" si="46"/>
        <v>1131.6854595013172</v>
      </c>
      <c r="J94" s="68">
        <f t="shared" si="46"/>
        <v>1199.5865870713965</v>
      </c>
    </row>
    <row r="95" spans="2:11" x14ac:dyDescent="0.2">
      <c r="B95" t="s">
        <v>33</v>
      </c>
      <c r="C95" s="68">
        <f>+C93-C94</f>
        <v>3290</v>
      </c>
      <c r="D95" s="68">
        <f t="shared" ref="D95:J95" si="47">+D93-D94</f>
        <v>3605</v>
      </c>
      <c r="E95" s="68">
        <f t="shared" si="47"/>
        <v>3922.0699999999997</v>
      </c>
      <c r="F95" s="68">
        <f t="shared" si="47"/>
        <v>4237.5790399999996</v>
      </c>
      <c r="G95" s="68">
        <f t="shared" si="47"/>
        <v>4777.6192566399995</v>
      </c>
      <c r="H95" s="68">
        <f t="shared" si="47"/>
        <v>4237.539992803765</v>
      </c>
      <c r="I95" s="68">
        <f t="shared" si="47"/>
        <v>4479.5882771927163</v>
      </c>
      <c r="J95" s="68">
        <f t="shared" si="47"/>
        <v>4748.3635738242792</v>
      </c>
    </row>
    <row r="96" spans="2:11" x14ac:dyDescent="0.2">
      <c r="B96" t="s">
        <v>257</v>
      </c>
      <c r="C96" s="68">
        <f t="shared" ref="C96:J96" si="48">+IF(C95&gt;0,C95*C33,0)</f>
        <v>658</v>
      </c>
      <c r="D96" s="68">
        <f t="shared" si="48"/>
        <v>721</v>
      </c>
      <c r="E96" s="68">
        <f t="shared" si="48"/>
        <v>784.41399999999999</v>
      </c>
      <c r="F96" s="68">
        <f t="shared" si="48"/>
        <v>847.51580799999999</v>
      </c>
      <c r="G96" s="68">
        <f t="shared" si="48"/>
        <v>955.52385132799998</v>
      </c>
      <c r="H96" s="68">
        <f t="shared" si="48"/>
        <v>847.50799856075309</v>
      </c>
      <c r="I96" s="68">
        <f t="shared" si="48"/>
        <v>895.91765543854331</v>
      </c>
      <c r="J96" s="68">
        <f t="shared" si="48"/>
        <v>949.67271476485587</v>
      </c>
    </row>
    <row r="97" spans="2:10" x14ac:dyDescent="0.2">
      <c r="B97" t="s">
        <v>35</v>
      </c>
      <c r="C97" s="68">
        <f>+C95-C96</f>
        <v>2632</v>
      </c>
      <c r="D97" s="68">
        <f t="shared" ref="D97:J97" si="49">+D95-D96</f>
        <v>2884</v>
      </c>
      <c r="E97" s="68">
        <f t="shared" si="49"/>
        <v>3137.6559999999999</v>
      </c>
      <c r="F97" s="68">
        <f t="shared" si="49"/>
        <v>3390.0632319999995</v>
      </c>
      <c r="G97" s="68">
        <f t="shared" si="49"/>
        <v>3822.0954053119995</v>
      </c>
      <c r="H97" s="68">
        <f t="shared" si="49"/>
        <v>3390.0319942430119</v>
      </c>
      <c r="I97" s="68">
        <f t="shared" si="49"/>
        <v>3583.6706217541732</v>
      </c>
      <c r="J97" s="68">
        <f t="shared" si="49"/>
        <v>3798.6908590594235</v>
      </c>
    </row>
    <row r="98" spans="2:10" x14ac:dyDescent="0.2">
      <c r="B98" t="s">
        <v>36</v>
      </c>
      <c r="C98" s="68">
        <f>+C97-C99</f>
        <v>967.78108802087081</v>
      </c>
      <c r="D98" s="68">
        <f t="shared" ref="D98:I98" si="50">+D97-D99</f>
        <v>1078.0857641823295</v>
      </c>
      <c r="E98" s="68">
        <f t="shared" si="50"/>
        <v>0</v>
      </c>
      <c r="F98" s="68">
        <f t="shared" si="50"/>
        <v>0</v>
      </c>
      <c r="G98" s="68">
        <f t="shared" si="50"/>
        <v>3822.0954053119995</v>
      </c>
      <c r="H98" s="68">
        <f t="shared" si="50"/>
        <v>1861.305987575955</v>
      </c>
      <c r="I98" s="68">
        <f t="shared" si="50"/>
        <v>1886.1424325022026</v>
      </c>
      <c r="J98" s="68"/>
    </row>
    <row r="99" spans="2:10" x14ac:dyDescent="0.2">
      <c r="B99" t="s">
        <v>37</v>
      </c>
      <c r="C99" s="68">
        <f>+IF(C97&lt;0,C97,MAX(0,MIN(C97,C101)))</f>
        <v>1664.2189119791292</v>
      </c>
      <c r="D99" s="68">
        <f t="shared" ref="D99:I99" si="51">+IF(D97&lt;0,D97,MAX(0,MIN(D97,D101)))</f>
        <v>1805.9142358176705</v>
      </c>
      <c r="E99" s="68">
        <f t="shared" si="51"/>
        <v>3137.6559999999999</v>
      </c>
      <c r="F99" s="68">
        <f t="shared" si="51"/>
        <v>3390.0632319999995</v>
      </c>
      <c r="G99" s="68">
        <f t="shared" si="51"/>
        <v>0</v>
      </c>
      <c r="H99" s="68">
        <f t="shared" si="51"/>
        <v>1528.7260066670569</v>
      </c>
      <c r="I99" s="68">
        <f t="shared" si="51"/>
        <v>1697.5281892519706</v>
      </c>
      <c r="J99" s="68"/>
    </row>
    <row r="100" spans="2:10" x14ac:dyDescent="0.2">
      <c r="C100" s="68"/>
      <c r="D100" s="68"/>
      <c r="E100" s="68"/>
      <c r="F100" s="68"/>
      <c r="G100" s="68"/>
      <c r="H100" s="68"/>
      <c r="I100" s="68"/>
      <c r="J100" s="68"/>
    </row>
    <row r="101" spans="2:10" x14ac:dyDescent="0.2">
      <c r="B101" t="s">
        <v>305</v>
      </c>
      <c r="C101" s="68">
        <f t="shared" ref="C101:I101" si="52">+D52-C52</f>
        <v>1664.2189119791292</v>
      </c>
      <c r="D101" s="68">
        <f t="shared" si="52"/>
        <v>1805.9142358176705</v>
      </c>
      <c r="E101" s="68">
        <f t="shared" si="52"/>
        <v>4247.9378323249075</v>
      </c>
      <c r="F101" s="68">
        <f t="shared" si="52"/>
        <v>6573.5002677876473</v>
      </c>
      <c r="G101" s="68">
        <f t="shared" si="52"/>
        <v>-13339.597719134599</v>
      </c>
      <c r="H101" s="68">
        <f t="shared" si="52"/>
        <v>1528.7260066670569</v>
      </c>
      <c r="I101" s="68">
        <f t="shared" si="52"/>
        <v>1697.5281892519706</v>
      </c>
      <c r="J101" s="68"/>
    </row>
    <row r="102" spans="2:10" x14ac:dyDescent="0.2">
      <c r="B102" t="s">
        <v>39</v>
      </c>
      <c r="C102" s="68">
        <f>+C101-C99</f>
        <v>0</v>
      </c>
      <c r="D102" s="68">
        <f t="shared" ref="D102:I102" si="53">+D101-D99</f>
        <v>0</v>
      </c>
      <c r="E102" s="68">
        <f t="shared" si="53"/>
        <v>1110.2818323249076</v>
      </c>
      <c r="F102" s="68">
        <f t="shared" si="53"/>
        <v>3183.4370357876478</v>
      </c>
      <c r="G102" s="68">
        <f t="shared" si="53"/>
        <v>-13339.597719134599</v>
      </c>
      <c r="H102" s="68">
        <f t="shared" si="53"/>
        <v>0</v>
      </c>
      <c r="I102" s="68">
        <f t="shared" si="53"/>
        <v>0</v>
      </c>
      <c r="J102" s="68"/>
    </row>
    <row r="103" spans="2:10" x14ac:dyDescent="0.2">
      <c r="C103" s="68"/>
      <c r="D103" s="68"/>
      <c r="E103" s="68"/>
      <c r="F103" s="68"/>
      <c r="G103" s="68"/>
      <c r="H103" s="68"/>
    </row>
    <row r="104" spans="2:10" x14ac:dyDescent="0.2">
      <c r="B104" t="s">
        <v>306</v>
      </c>
      <c r="C104" s="68">
        <f t="shared" ref="C104:J104" si="54">+C78*C52</f>
        <v>1344.599715416445</v>
      </c>
      <c r="D104" s="68">
        <f t="shared" si="54"/>
        <v>1528.3807349004383</v>
      </c>
      <c r="E104" s="68">
        <f t="shared" si="54"/>
        <v>1727.3856693555902</v>
      </c>
      <c r="F104" s="68">
        <f t="shared" si="54"/>
        <v>2049.9182386876191</v>
      </c>
      <c r="G104" s="68">
        <f t="shared" si="54"/>
        <v>2587.9559710979902</v>
      </c>
      <c r="H104" s="68">
        <f t="shared" si="54"/>
        <v>1604.9699162737054</v>
      </c>
      <c r="I104" s="68">
        <f t="shared" si="54"/>
        <v>1798.608543784866</v>
      </c>
      <c r="J104" s="68">
        <f t="shared" si="54"/>
        <v>2013.6287810901156</v>
      </c>
    </row>
    <row r="105" spans="2:10" x14ac:dyDescent="0.2">
      <c r="B105" t="s">
        <v>253</v>
      </c>
      <c r="C105" s="68">
        <f t="shared" ref="C105:F105" si="55">+C97-C104</f>
        <v>1287.400284583555</v>
      </c>
      <c r="D105" s="68">
        <f t="shared" si="55"/>
        <v>1355.6192650995617</v>
      </c>
      <c r="E105" s="68">
        <f t="shared" si="55"/>
        <v>1410.2703306444098</v>
      </c>
      <c r="F105" s="68">
        <f t="shared" si="55"/>
        <v>1340.1449933123804</v>
      </c>
      <c r="G105" s="68">
        <f>+G97-G104</f>
        <v>1234.1394342140093</v>
      </c>
      <c r="H105" s="68">
        <f>+H97-H104</f>
        <v>1785.0620779693065</v>
      </c>
      <c r="I105" s="68">
        <f t="shared" ref="I105:J105" si="56">+I97-I104</f>
        <v>1785.0620779693072</v>
      </c>
      <c r="J105" s="68">
        <f t="shared" si="56"/>
        <v>1785.0620779693079</v>
      </c>
    </row>
    <row r="106" spans="2:10" x14ac:dyDescent="0.2">
      <c r="B106" t="s">
        <v>255</v>
      </c>
      <c r="C106" s="68">
        <f t="shared" ref="C106:I106" si="57">+(C105+D106)/(1+C78)</f>
        <v>13258.012445114435</v>
      </c>
      <c r="D106" s="68">
        <f t="shared" si="57"/>
        <v>13491.813689625878</v>
      </c>
      <c r="E106" s="68">
        <f t="shared" si="57"/>
        <v>13676.995058588465</v>
      </c>
      <c r="F106" s="68">
        <f t="shared" si="57"/>
        <v>13822.158564447314</v>
      </c>
      <c r="G106" s="68">
        <f t="shared" si="57"/>
        <v>13939.770548892049</v>
      </c>
      <c r="H106" s="68">
        <f t="shared" si="57"/>
        <v>14092.595352389257</v>
      </c>
      <c r="I106" s="68">
        <f t="shared" si="57"/>
        <v>14092.595352389257</v>
      </c>
      <c r="J106" s="82">
        <f>+J79-J52</f>
        <v>14092.595352389257</v>
      </c>
    </row>
    <row r="107" spans="2:10" x14ac:dyDescent="0.2">
      <c r="B107" s="68" t="str">
        <f t="shared" ref="B107:H107" si="58">+B52</f>
        <v>BV Equity boy</v>
      </c>
      <c r="C107" s="68">
        <f t="shared" si="58"/>
        <v>11718.841599701862</v>
      </c>
      <c r="D107" s="68">
        <f t="shared" si="58"/>
        <v>13383.060511680991</v>
      </c>
      <c r="E107" s="68">
        <f t="shared" si="58"/>
        <v>15188.974747498662</v>
      </c>
      <c r="F107" s="68">
        <f t="shared" si="58"/>
        <v>19436.912579823569</v>
      </c>
      <c r="G107" s="68">
        <f t="shared" si="58"/>
        <v>26010.412847611216</v>
      </c>
      <c r="H107" s="68">
        <f t="shared" si="58"/>
        <v>12670.815128476617</v>
      </c>
      <c r="I107" s="68">
        <f>+I52</f>
        <v>14199.541135143674</v>
      </c>
      <c r="J107" s="68">
        <f>+J52</f>
        <v>15897.069324395645</v>
      </c>
    </row>
    <row r="108" spans="2:10" x14ac:dyDescent="0.2">
      <c r="B108" s="68" t="s">
        <v>165</v>
      </c>
      <c r="C108" s="68">
        <f>+C107+C106</f>
        <v>24976.854044816297</v>
      </c>
      <c r="D108" s="68">
        <f t="shared" ref="D108:J108" si="59">+D107+D106</f>
        <v>26874.87420130687</v>
      </c>
      <c r="E108" s="68">
        <f t="shared" si="59"/>
        <v>28865.969806087127</v>
      </c>
      <c r="F108" s="68">
        <f t="shared" si="59"/>
        <v>33259.071144270885</v>
      </c>
      <c r="G108" s="68">
        <f t="shared" si="59"/>
        <v>39950.183396503264</v>
      </c>
      <c r="H108" s="68">
        <f t="shared" si="59"/>
        <v>26763.410480865874</v>
      </c>
      <c r="I108" s="68">
        <f t="shared" si="59"/>
        <v>28292.136487532931</v>
      </c>
      <c r="J108" s="68">
        <f t="shared" si="59"/>
        <v>29989.664676784902</v>
      </c>
    </row>
    <row r="109" spans="2:10" x14ac:dyDescent="0.2">
      <c r="B109" s="92" t="str">
        <f t="shared" ref="B109:H109" si="60">+B51</f>
        <v>BV D boy</v>
      </c>
      <c r="C109" s="92">
        <f>+C45</f>
        <v>8281.1584002981381</v>
      </c>
      <c r="D109" s="92">
        <f t="shared" ref="D109:G109" si="61">+D45</f>
        <v>8416.9394883190089</v>
      </c>
      <c r="E109" s="92">
        <f t="shared" si="61"/>
        <v>8562.2252525013391</v>
      </c>
      <c r="F109" s="92">
        <f t="shared" si="61"/>
        <v>6417.6810201764329</v>
      </c>
      <c r="G109" s="92">
        <f t="shared" si="61"/>
        <v>2099.0186915887843</v>
      </c>
      <c r="H109" s="68">
        <f t="shared" si="60"/>
        <v>17842.273653910583</v>
      </c>
      <c r="I109" s="68">
        <f>+I51</f>
        <v>18861.424325021955</v>
      </c>
      <c r="J109" s="68">
        <f>+J51</f>
        <v>19993.109784523276</v>
      </c>
    </row>
    <row r="110" spans="2:10" x14ac:dyDescent="0.2">
      <c r="B110" s="87" t="s">
        <v>158</v>
      </c>
      <c r="C110" s="87">
        <f>+C108+C109</f>
        <v>33258.012445114437</v>
      </c>
      <c r="D110" s="87">
        <f t="shared" ref="D110:J110" si="62">+D108+D109</f>
        <v>35291.81368962588</v>
      </c>
      <c r="E110" s="87">
        <f t="shared" si="62"/>
        <v>37428.195058588462</v>
      </c>
      <c r="F110" s="87">
        <f t="shared" si="62"/>
        <v>39676.752164447316</v>
      </c>
      <c r="G110" s="87">
        <f t="shared" si="62"/>
        <v>42049.202088092046</v>
      </c>
      <c r="H110" s="87">
        <f t="shared" si="62"/>
        <v>44605.684134776457</v>
      </c>
      <c r="I110" s="87">
        <f t="shared" si="62"/>
        <v>47153.56081255489</v>
      </c>
      <c r="J110" s="87">
        <f t="shared" si="62"/>
        <v>49982.774461308174</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CA5E-429A-49E2-A2DB-ECA5F54EFB5A}">
  <sheetPr>
    <tabColor rgb="FFFFCCFF"/>
  </sheetPr>
  <dimension ref="A26:K112"/>
  <sheetViews>
    <sheetView topLeftCell="A10" workbookViewId="0">
      <selection activeCell="C36" sqref="C36"/>
    </sheetView>
  </sheetViews>
  <sheetFormatPr baseColWidth="10" defaultColWidth="8.83203125" defaultRowHeight="16" x14ac:dyDescent="0.2"/>
  <cols>
    <col min="1" max="1" width="29" bestFit="1" customWidth="1"/>
    <col min="2" max="2" width="21.33203125" bestFit="1" customWidth="1"/>
    <col min="4" max="6" width="8.6640625" bestFit="1" customWidth="1"/>
    <col min="7" max="7" width="9.33203125" bestFit="1" customWidth="1"/>
    <col min="8" max="9" width="8.6640625" bestFit="1" customWidth="1"/>
    <col min="10" max="10" width="9.33203125" bestFit="1" customWidth="1"/>
    <col min="11" max="11" width="10.33203125" bestFit="1" customWidth="1"/>
  </cols>
  <sheetData>
    <row r="26" spans="2:11" x14ac:dyDescent="0.2">
      <c r="C26" s="50">
        <v>2024</v>
      </c>
      <c r="D26" s="1">
        <f>+C26+1</f>
        <v>2025</v>
      </c>
      <c r="E26" s="1">
        <f t="shared" ref="E26:H26" si="0">+D26+1</f>
        <v>2026</v>
      </c>
      <c r="F26" s="1">
        <f t="shared" si="0"/>
        <v>2027</v>
      </c>
      <c r="G26" s="1">
        <f t="shared" si="0"/>
        <v>2028</v>
      </c>
      <c r="H26" s="1">
        <f t="shared" si="0"/>
        <v>2029</v>
      </c>
      <c r="I26" s="1" t="s">
        <v>273</v>
      </c>
      <c r="J26" s="1" t="s">
        <v>274</v>
      </c>
    </row>
    <row r="27" spans="2:11" x14ac:dyDescent="0.2">
      <c r="B27" t="s">
        <v>90</v>
      </c>
      <c r="C27" s="44">
        <v>20000</v>
      </c>
      <c r="D27" s="68">
        <f t="shared" ref="D27:K27" si="1">+C27+C59</f>
        <v>21800</v>
      </c>
      <c r="E27" s="68">
        <f t="shared" si="1"/>
        <v>23751.200000000001</v>
      </c>
      <c r="F27" s="68">
        <f t="shared" si="1"/>
        <v>25854.5936</v>
      </c>
      <c r="G27" s="68">
        <f t="shared" si="1"/>
        <v>28109.431539199999</v>
      </c>
      <c r="H27" s="68">
        <f t="shared" si="1"/>
        <v>30513.0887823872</v>
      </c>
      <c r="I27" s="68">
        <f t="shared" si="1"/>
        <v>33060.965460165629</v>
      </c>
      <c r="J27" s="68">
        <f t="shared" si="1"/>
        <v>35890.179108918921</v>
      </c>
      <c r="K27" s="68">
        <f t="shared" si="1"/>
        <v>38889.14557659741</v>
      </c>
    </row>
    <row r="28" spans="2:11" x14ac:dyDescent="0.2">
      <c r="B28" t="s">
        <v>93</v>
      </c>
      <c r="C28" s="46">
        <v>0.15</v>
      </c>
      <c r="D28" s="2"/>
      <c r="E28" s="2"/>
      <c r="F28" s="2"/>
      <c r="G28" s="2"/>
      <c r="H28" s="2"/>
    </row>
    <row r="29" spans="2:11" x14ac:dyDescent="0.2">
      <c r="B29" t="s">
        <v>94</v>
      </c>
      <c r="C29" s="2"/>
      <c r="D29" s="46">
        <v>0.14000000000000001</v>
      </c>
      <c r="E29" s="46">
        <v>0.13</v>
      </c>
      <c r="F29" s="46">
        <v>0.12</v>
      </c>
      <c r="G29" s="46">
        <v>0.11</v>
      </c>
      <c r="H29" s="46">
        <v>0.1</v>
      </c>
      <c r="I29" s="78">
        <f>+I36</f>
        <v>9.5200000000000007E-2</v>
      </c>
      <c r="J29" s="78">
        <f>+J36</f>
        <v>9.5200000000000007E-2</v>
      </c>
      <c r="K29" s="78">
        <f>+K36</f>
        <v>9.5200000000000007E-2</v>
      </c>
    </row>
    <row r="30" spans="2:11" x14ac:dyDescent="0.2">
      <c r="B30" t="s">
        <v>95</v>
      </c>
      <c r="C30" s="46">
        <v>0.6</v>
      </c>
      <c r="D30" s="46">
        <v>0.6</v>
      </c>
      <c r="E30" s="46">
        <v>0.6</v>
      </c>
      <c r="F30" s="46">
        <v>0.6</v>
      </c>
      <c r="G30" s="46">
        <v>0.6</v>
      </c>
      <c r="H30" s="46">
        <v>0.6</v>
      </c>
      <c r="I30" s="2">
        <f>+J31/J29</f>
        <v>0.63025210084033612</v>
      </c>
      <c r="J30" s="2">
        <f>+K31/K29</f>
        <v>0.63025210084033612</v>
      </c>
      <c r="K30" s="78"/>
    </row>
    <row r="31" spans="2:11" x14ac:dyDescent="0.2">
      <c r="B31" t="s">
        <v>92</v>
      </c>
      <c r="C31" s="2"/>
      <c r="D31" s="54">
        <f>+D58/C58-1</f>
        <v>8.4000000000000075E-2</v>
      </c>
      <c r="E31" s="54">
        <f t="shared" ref="E31:I31" si="2">+E58/D58-1</f>
        <v>7.8000000000000069E-2</v>
      </c>
      <c r="F31" s="54">
        <f t="shared" si="2"/>
        <v>7.2000000000000064E-2</v>
      </c>
      <c r="G31" s="54">
        <f t="shared" si="2"/>
        <v>6.6000000000000059E-2</v>
      </c>
      <c r="H31" s="54">
        <f t="shared" si="2"/>
        <v>6.0000000000000053E-2</v>
      </c>
      <c r="I31" s="54">
        <f t="shared" si="2"/>
        <v>5.712000000000006E-2</v>
      </c>
      <c r="J31" s="46">
        <v>0.06</v>
      </c>
      <c r="K31" s="46">
        <v>0.06</v>
      </c>
    </row>
    <row r="32" spans="2:11" x14ac:dyDescent="0.2">
      <c r="B32" t="s">
        <v>112</v>
      </c>
      <c r="C32" s="47">
        <v>0.1</v>
      </c>
      <c r="D32" s="47">
        <v>0.1</v>
      </c>
      <c r="E32" s="47">
        <v>0.1</v>
      </c>
      <c r="F32" s="47">
        <v>0.1</v>
      </c>
      <c r="G32" s="47">
        <v>0.1</v>
      </c>
      <c r="H32" s="47">
        <v>0.1</v>
      </c>
      <c r="I32" s="47">
        <v>0.1</v>
      </c>
      <c r="J32" s="47">
        <v>0.1</v>
      </c>
      <c r="K32" s="47">
        <v>0.1</v>
      </c>
    </row>
    <row r="33" spans="1:11" x14ac:dyDescent="0.2">
      <c r="B33" t="s">
        <v>58</v>
      </c>
      <c r="C33" s="47">
        <v>0.2</v>
      </c>
      <c r="D33" s="47">
        <v>0.2</v>
      </c>
      <c r="E33" s="47">
        <v>0.2</v>
      </c>
      <c r="F33" s="47">
        <v>0.2</v>
      </c>
      <c r="G33" s="47">
        <v>0.2</v>
      </c>
      <c r="H33" s="47">
        <v>0.2</v>
      </c>
      <c r="I33" s="47">
        <v>0.2</v>
      </c>
      <c r="J33" s="47">
        <v>0.2</v>
      </c>
      <c r="K33" s="47">
        <v>0.2</v>
      </c>
    </row>
    <row r="34" spans="1:11" x14ac:dyDescent="0.2">
      <c r="B34" s="79" t="s">
        <v>311</v>
      </c>
      <c r="C34" s="94">
        <f>+C45/C76</f>
        <v>0.2494777603111947</v>
      </c>
      <c r="D34" s="94">
        <f t="shared" ref="D34:G34" si="3">+D45/D76</f>
        <v>0.23884772905973292</v>
      </c>
      <c r="E34" s="94">
        <f t="shared" si="3"/>
        <v>0.22900172010513256</v>
      </c>
      <c r="F34" s="94">
        <f t="shared" si="3"/>
        <v>0.16184840076583981</v>
      </c>
      <c r="G34" s="94">
        <f t="shared" si="3"/>
        <v>4.9928088232562069E-2</v>
      </c>
      <c r="H34" s="46">
        <v>0.4</v>
      </c>
      <c r="I34" s="46">
        <v>0.4</v>
      </c>
      <c r="J34" s="46">
        <v>0.4</v>
      </c>
      <c r="K34" s="46">
        <v>0.4</v>
      </c>
    </row>
    <row r="35" spans="1:11" x14ac:dyDescent="0.2">
      <c r="B35" s="79" t="s">
        <v>322</v>
      </c>
      <c r="C35" s="80">
        <f>+C42/C45</f>
        <v>5.5547784230698824E-2</v>
      </c>
      <c r="D35" s="80">
        <f t="shared" ref="D35:G35" si="4">+D42/D45</f>
        <v>5.4651693841732608E-2</v>
      </c>
      <c r="E35" s="80">
        <f t="shared" si="4"/>
        <v>5.3724351606565968E-2</v>
      </c>
      <c r="F35" s="80">
        <f t="shared" si="4"/>
        <v>7.1676980914728267E-2</v>
      </c>
      <c r="G35" s="80">
        <f t="shared" si="4"/>
        <v>0.10957501280081929</v>
      </c>
      <c r="H35" s="47">
        <v>0.06</v>
      </c>
      <c r="I35" s="47">
        <v>0.06</v>
      </c>
      <c r="J35" s="47">
        <v>0.06</v>
      </c>
      <c r="K35" s="47">
        <v>0.06</v>
      </c>
    </row>
    <row r="36" spans="1:11" x14ac:dyDescent="0.2">
      <c r="B36" s="101" t="s">
        <v>229</v>
      </c>
      <c r="C36" s="102">
        <f>+C32-C34*C35*C47*C33</f>
        <v>9.7782730111980132E-2</v>
      </c>
      <c r="D36" s="102">
        <f t="shared" ref="D36:G36" si="5">+D32-D34*D35*D47*D33</f>
        <v>9.7911450725861507E-2</v>
      </c>
      <c r="E36" s="102">
        <f t="shared" si="5"/>
        <v>9.8031524971290154E-2</v>
      </c>
      <c r="F36" s="102">
        <f t="shared" si="5"/>
        <v>9.814387124275642E-2</v>
      </c>
      <c r="G36" s="102">
        <f t="shared" si="5"/>
        <v>9.9124660654847457E-2</v>
      </c>
      <c r="H36" s="4">
        <f>+H32-H34*H35*H33</f>
        <v>9.5200000000000007E-2</v>
      </c>
      <c r="I36" s="4">
        <f>+I32-I34*I35*I33</f>
        <v>9.5200000000000007E-2</v>
      </c>
      <c r="J36" s="4">
        <f>+J32-J34*J35*J33</f>
        <v>9.5200000000000007E-2</v>
      </c>
      <c r="K36" s="4">
        <f>+K32-K34*K35*K33</f>
        <v>9.5200000000000007E-2</v>
      </c>
    </row>
    <row r="38" spans="1:11" x14ac:dyDescent="0.2">
      <c r="A38" t="s">
        <v>313</v>
      </c>
      <c r="B38" t="s">
        <v>314</v>
      </c>
      <c r="C38" s="68">
        <v>9200</v>
      </c>
      <c r="D38" s="68">
        <v>9200</v>
      </c>
      <c r="E38" s="68">
        <v>9200</v>
      </c>
      <c r="F38" s="68">
        <v>9200</v>
      </c>
      <c r="G38" s="68">
        <v>4600</v>
      </c>
    </row>
    <row r="39" spans="1:11" x14ac:dyDescent="0.2">
      <c r="B39" t="s">
        <v>315</v>
      </c>
      <c r="C39" s="4">
        <v>0.05</v>
      </c>
      <c r="D39" s="4">
        <v>0.05</v>
      </c>
      <c r="E39" s="4">
        <v>0.05</v>
      </c>
      <c r="F39" s="4">
        <v>0.05</v>
      </c>
      <c r="G39" s="4">
        <v>0.05</v>
      </c>
    </row>
    <row r="40" spans="1:11" x14ac:dyDescent="0.2">
      <c r="B40" t="s">
        <v>316</v>
      </c>
      <c r="C40" s="4">
        <v>7.0000000000000007E-2</v>
      </c>
      <c r="D40" s="4">
        <v>7.0000000000000007E-2</v>
      </c>
      <c r="E40" s="4">
        <v>7.0000000000000007E-2</v>
      </c>
      <c r="F40" s="4">
        <v>7.0000000000000007E-2</v>
      </c>
      <c r="G40" s="4">
        <v>7.0000000000000007E-2</v>
      </c>
    </row>
    <row r="41" spans="1:11" x14ac:dyDescent="0.2">
      <c r="B41" t="s">
        <v>295</v>
      </c>
      <c r="F41" s="68">
        <f>+F38-G38</f>
        <v>4600</v>
      </c>
      <c r="G41" s="68">
        <f>+G38-H38</f>
        <v>4600</v>
      </c>
    </row>
    <row r="42" spans="1:11" x14ac:dyDescent="0.2">
      <c r="B42" t="s">
        <v>296</v>
      </c>
      <c r="C42" s="68">
        <f>+C38*C39</f>
        <v>460</v>
      </c>
      <c r="D42" s="68">
        <f t="shared" ref="D42:G42" si="6">+D38*D39</f>
        <v>460</v>
      </c>
      <c r="E42" s="68">
        <f t="shared" si="6"/>
        <v>460</v>
      </c>
      <c r="F42" s="68">
        <f t="shared" si="6"/>
        <v>460</v>
      </c>
      <c r="G42" s="68">
        <f t="shared" si="6"/>
        <v>230</v>
      </c>
    </row>
    <row r="43" spans="1:11" x14ac:dyDescent="0.2">
      <c r="B43" t="s">
        <v>317</v>
      </c>
      <c r="C43" s="68">
        <f>+C41+C42</f>
        <v>460</v>
      </c>
      <c r="D43" s="68">
        <f t="shared" ref="D43:G43" si="7">+D41+D42</f>
        <v>460</v>
      </c>
      <c r="E43" s="68">
        <f t="shared" si="7"/>
        <v>460</v>
      </c>
      <c r="F43" s="68">
        <f t="shared" si="7"/>
        <v>5060</v>
      </c>
      <c r="G43" s="68">
        <f t="shared" si="7"/>
        <v>4830</v>
      </c>
    </row>
    <row r="44" spans="1:11" x14ac:dyDescent="0.2">
      <c r="B44" t="s">
        <v>318</v>
      </c>
      <c r="C44" s="68">
        <f t="shared" ref="C44:F44" si="8">+(C43+D44)/(1+C40)</f>
        <v>8511.1584002981381</v>
      </c>
      <c r="D44" s="68">
        <f t="shared" si="8"/>
        <v>8646.9394883190089</v>
      </c>
      <c r="E44" s="68">
        <f t="shared" si="8"/>
        <v>8792.2252525013391</v>
      </c>
      <c r="F44" s="68">
        <f t="shared" si="8"/>
        <v>8947.6810201764329</v>
      </c>
      <c r="G44" s="68">
        <f>+(G43+H44)/(1+G40)</f>
        <v>4514.0186915887843</v>
      </c>
      <c r="H44" s="68">
        <v>0</v>
      </c>
    </row>
    <row r="45" spans="1:11" x14ac:dyDescent="0.2">
      <c r="B45" s="79" t="s">
        <v>319</v>
      </c>
      <c r="C45" s="92">
        <f>+C44-C51</f>
        <v>8281.1584002981381</v>
      </c>
      <c r="D45" s="92">
        <f t="shared" ref="D45:G45" si="9">+D44-D51</f>
        <v>8416.9394883190089</v>
      </c>
      <c r="E45" s="92">
        <f t="shared" si="9"/>
        <v>8562.2252525013391</v>
      </c>
      <c r="F45" s="92">
        <f t="shared" si="9"/>
        <v>6417.6810201764329</v>
      </c>
      <c r="G45" s="92">
        <f t="shared" si="9"/>
        <v>2099.0186915887843</v>
      </c>
      <c r="H45" s="92">
        <f>+H44-H51</f>
        <v>0</v>
      </c>
    </row>
    <row r="46" spans="1:11" x14ac:dyDescent="0.2">
      <c r="C46" s="68"/>
      <c r="D46" s="68"/>
      <c r="E46" s="68"/>
      <c r="F46" s="68"/>
      <c r="G46" s="68"/>
    </row>
    <row r="47" spans="1:11" x14ac:dyDescent="0.2">
      <c r="A47" s="70" t="s">
        <v>323</v>
      </c>
      <c r="B47" s="70" t="s">
        <v>324</v>
      </c>
      <c r="C47" s="103">
        <v>0.8</v>
      </c>
      <c r="D47" s="103">
        <v>0.8</v>
      </c>
      <c r="E47" s="103">
        <v>0.8</v>
      </c>
      <c r="F47" s="103">
        <v>0.8</v>
      </c>
      <c r="G47" s="103">
        <v>0.8</v>
      </c>
      <c r="H47" s="97">
        <v>1</v>
      </c>
      <c r="I47" s="97">
        <v>1</v>
      </c>
      <c r="J47" s="97">
        <v>1</v>
      </c>
      <c r="K47" s="97">
        <v>1</v>
      </c>
    </row>
    <row r="48" spans="1:11" x14ac:dyDescent="0.2">
      <c r="A48" s="70" t="s">
        <v>323</v>
      </c>
      <c r="B48" s="70" t="s">
        <v>325</v>
      </c>
      <c r="C48" s="96">
        <f>+C42*C47</f>
        <v>368</v>
      </c>
      <c r="D48" s="96">
        <f t="shared" ref="D48:G48" si="10">+D42*D47</f>
        <v>368</v>
      </c>
      <c r="E48" s="96">
        <f t="shared" si="10"/>
        <v>368</v>
      </c>
      <c r="F48" s="96">
        <f t="shared" si="10"/>
        <v>368</v>
      </c>
      <c r="G48" s="96">
        <f t="shared" si="10"/>
        <v>184</v>
      </c>
      <c r="H48" s="70"/>
      <c r="I48" s="70"/>
      <c r="J48" s="70"/>
      <c r="K48" s="70"/>
    </row>
    <row r="49" spans="1:11" x14ac:dyDescent="0.2">
      <c r="C49" s="68"/>
      <c r="D49" s="68"/>
      <c r="E49" s="68"/>
      <c r="F49" s="68"/>
      <c r="G49" s="68"/>
    </row>
    <row r="50" spans="1:11" x14ac:dyDescent="0.2">
      <c r="A50" t="s">
        <v>299</v>
      </c>
      <c r="C50" s="2"/>
      <c r="D50" s="2"/>
      <c r="E50" s="2"/>
      <c r="F50" s="2"/>
      <c r="G50" s="2"/>
      <c r="H50" s="2"/>
      <c r="I50" s="2"/>
    </row>
    <row r="51" spans="1:11" x14ac:dyDescent="0.2">
      <c r="B51" t="s">
        <v>320</v>
      </c>
      <c r="C51" s="104">
        <f>+C43/2</f>
        <v>230</v>
      </c>
      <c r="D51" s="104">
        <f t="shared" ref="D51:I51" si="11">+D43/2</f>
        <v>230</v>
      </c>
      <c r="E51" s="104">
        <f t="shared" si="11"/>
        <v>230</v>
      </c>
      <c r="F51" s="104">
        <f t="shared" si="11"/>
        <v>2530</v>
      </c>
      <c r="G51" s="104">
        <f t="shared" si="11"/>
        <v>2415</v>
      </c>
      <c r="H51" s="104">
        <f t="shared" si="11"/>
        <v>0</v>
      </c>
      <c r="I51" s="104">
        <f t="shared" si="11"/>
        <v>0</v>
      </c>
    </row>
    <row r="52" spans="1:11" x14ac:dyDescent="0.2">
      <c r="B52" s="68" t="str">
        <f t="shared" ref="B52:J52" si="12">+B27</f>
        <v>IC boy</v>
      </c>
      <c r="C52" s="68">
        <f t="shared" si="12"/>
        <v>20000</v>
      </c>
      <c r="D52" s="68">
        <f t="shared" si="12"/>
        <v>21800</v>
      </c>
      <c r="E52" s="68">
        <f t="shared" si="12"/>
        <v>23751.200000000001</v>
      </c>
      <c r="F52" s="68">
        <f t="shared" si="12"/>
        <v>25854.5936</v>
      </c>
      <c r="G52" s="68">
        <f t="shared" si="12"/>
        <v>28109.431539199999</v>
      </c>
      <c r="H52" s="68">
        <f t="shared" si="12"/>
        <v>30513.0887823872</v>
      </c>
      <c r="I52" s="68">
        <f t="shared" si="12"/>
        <v>33060.965460165629</v>
      </c>
      <c r="J52" s="68">
        <f t="shared" si="12"/>
        <v>35890.179108918921</v>
      </c>
      <c r="K52" s="68"/>
    </row>
    <row r="53" spans="1:11" x14ac:dyDescent="0.2">
      <c r="B53" t="s">
        <v>300</v>
      </c>
      <c r="C53" s="49">
        <f>+C44</f>
        <v>8511.1584002981381</v>
      </c>
      <c r="D53" s="49">
        <f t="shared" ref="D53:G53" si="13">+D44</f>
        <v>8646.9394883190089</v>
      </c>
      <c r="E53" s="49">
        <f t="shared" si="13"/>
        <v>8792.2252525013391</v>
      </c>
      <c r="F53" s="49">
        <f t="shared" si="13"/>
        <v>8947.6810201764329</v>
      </c>
      <c r="G53" s="49">
        <f t="shared" si="13"/>
        <v>4514.0186915887843</v>
      </c>
      <c r="H53" s="68">
        <f>+H72*H34</f>
        <v>17842.273653910583</v>
      </c>
      <c r="I53" s="68">
        <f>+I72*I34</f>
        <v>18861.424325021955</v>
      </c>
      <c r="J53" s="68">
        <f>+J72*J34</f>
        <v>19993.109784523276</v>
      </c>
      <c r="K53" s="68"/>
    </row>
    <row r="54" spans="1:11" x14ac:dyDescent="0.2">
      <c r="A54" s="70" t="s">
        <v>326</v>
      </c>
      <c r="B54" t="s">
        <v>123</v>
      </c>
      <c r="C54" s="49">
        <f>+C52-C53+C51</f>
        <v>11718.841599701862</v>
      </c>
      <c r="D54" s="49">
        <f t="shared" ref="D54:G54" si="14">+D52-D53+D51</f>
        <v>13383.060511680991</v>
      </c>
      <c r="E54" s="49">
        <f t="shared" si="14"/>
        <v>15188.974747498662</v>
      </c>
      <c r="F54" s="49">
        <f t="shared" si="14"/>
        <v>19436.912579823569</v>
      </c>
      <c r="G54" s="49">
        <f t="shared" si="14"/>
        <v>26010.412847611216</v>
      </c>
      <c r="H54" s="68">
        <f t="shared" ref="H54:J54" si="15">+H52-H53</f>
        <v>12670.815128476617</v>
      </c>
      <c r="I54" s="68">
        <f t="shared" si="15"/>
        <v>14199.541135143674</v>
      </c>
      <c r="J54" s="68">
        <f t="shared" si="15"/>
        <v>15897.069324395645</v>
      </c>
      <c r="K54" s="68"/>
    </row>
    <row r="55" spans="1:11" x14ac:dyDescent="0.2">
      <c r="C55" s="68"/>
      <c r="D55" s="68"/>
      <c r="E55" s="68"/>
      <c r="F55" s="68"/>
      <c r="G55" s="68"/>
      <c r="H55" s="68"/>
      <c r="I55" s="68"/>
      <c r="J55" s="68"/>
      <c r="K55" s="68"/>
    </row>
    <row r="58" spans="1:11" x14ac:dyDescent="0.2">
      <c r="B58" t="s">
        <v>81</v>
      </c>
      <c r="C58" s="68">
        <f>+C27*C28</f>
        <v>3000</v>
      </c>
      <c r="D58" s="68">
        <f t="shared" ref="D58:J58" si="16">+C58+C59*D29</f>
        <v>3252</v>
      </c>
      <c r="E58" s="68">
        <f t="shared" si="16"/>
        <v>3505.6559999999999</v>
      </c>
      <c r="F58" s="68">
        <f t="shared" si="16"/>
        <v>3758.063232</v>
      </c>
      <c r="G58" s="68">
        <f t="shared" si="16"/>
        <v>4006.0954053119999</v>
      </c>
      <c r="H58" s="68">
        <f t="shared" si="16"/>
        <v>4246.4611296307203</v>
      </c>
      <c r="I58" s="68">
        <f t="shared" si="16"/>
        <v>4489.0189893552269</v>
      </c>
      <c r="J58" s="68">
        <f t="shared" si="16"/>
        <v>4758.3601287165402</v>
      </c>
    </row>
    <row r="59" spans="1:11" x14ac:dyDescent="0.2">
      <c r="B59" s="68" t="s">
        <v>91</v>
      </c>
      <c r="C59" s="68">
        <f t="shared" ref="C59:J59" si="17">+C58*C30</f>
        <v>1800</v>
      </c>
      <c r="D59" s="68">
        <f t="shared" si="17"/>
        <v>1951.1999999999998</v>
      </c>
      <c r="E59" s="68">
        <f t="shared" si="17"/>
        <v>2103.3935999999999</v>
      </c>
      <c r="F59" s="68">
        <f t="shared" si="17"/>
        <v>2254.8379391999997</v>
      </c>
      <c r="G59" s="68">
        <f t="shared" si="17"/>
        <v>2403.6572431872</v>
      </c>
      <c r="H59" s="68">
        <f t="shared" si="17"/>
        <v>2547.8766777784322</v>
      </c>
      <c r="I59" s="68">
        <f t="shared" si="17"/>
        <v>2829.2136487532944</v>
      </c>
      <c r="J59" s="68">
        <f t="shared" si="17"/>
        <v>2998.9664676784914</v>
      </c>
    </row>
    <row r="60" spans="1:11" x14ac:dyDescent="0.2">
      <c r="B60" t="s">
        <v>75</v>
      </c>
      <c r="C60" s="68">
        <f>+C58-C59</f>
        <v>1200</v>
      </c>
      <c r="D60" s="68">
        <f t="shared" ref="D60:J60" si="18">+D58-D59</f>
        <v>1300.8000000000002</v>
      </c>
      <c r="E60" s="68">
        <f t="shared" si="18"/>
        <v>1402.2624000000001</v>
      </c>
      <c r="F60" s="68">
        <f t="shared" si="18"/>
        <v>1503.2252928000003</v>
      </c>
      <c r="G60" s="68">
        <f t="shared" si="18"/>
        <v>1602.4381621247999</v>
      </c>
      <c r="H60" s="68">
        <f t="shared" si="18"/>
        <v>1698.5844518522881</v>
      </c>
      <c r="I60" s="68">
        <f t="shared" si="18"/>
        <v>1659.8053406019326</v>
      </c>
      <c r="J60" s="68">
        <f t="shared" si="18"/>
        <v>1759.3936610380488</v>
      </c>
    </row>
    <row r="61" spans="1:11" x14ac:dyDescent="0.2">
      <c r="B61" t="s">
        <v>32</v>
      </c>
      <c r="C61" s="68">
        <f>+C42</f>
        <v>460</v>
      </c>
      <c r="D61" s="68">
        <f t="shared" ref="D61:G61" si="19">+D42</f>
        <v>460</v>
      </c>
      <c r="E61" s="68">
        <f t="shared" si="19"/>
        <v>460</v>
      </c>
      <c r="F61" s="68">
        <f t="shared" si="19"/>
        <v>460</v>
      </c>
      <c r="G61" s="68">
        <f t="shared" si="19"/>
        <v>230</v>
      </c>
      <c r="H61" s="68">
        <f>+H53*H35</f>
        <v>1070.5364192346349</v>
      </c>
      <c r="I61" s="68">
        <f>+I53*I35</f>
        <v>1131.6854595013172</v>
      </c>
      <c r="J61" s="68">
        <f>+J53*J35</f>
        <v>1199.5865870713965</v>
      </c>
    </row>
    <row r="62" spans="1:11" x14ac:dyDescent="0.2">
      <c r="A62" s="70" t="s">
        <v>327</v>
      </c>
      <c r="B62" s="101" t="s">
        <v>88</v>
      </c>
      <c r="C62" s="105">
        <f>+C48*C33</f>
        <v>73.600000000000009</v>
      </c>
      <c r="D62" s="105">
        <f t="shared" ref="D62:G62" si="20">+D48*D33</f>
        <v>73.600000000000009</v>
      </c>
      <c r="E62" s="105">
        <f t="shared" si="20"/>
        <v>73.600000000000009</v>
      </c>
      <c r="F62" s="105">
        <f t="shared" si="20"/>
        <v>73.600000000000009</v>
      </c>
      <c r="G62" s="105">
        <f t="shared" si="20"/>
        <v>36.800000000000004</v>
      </c>
      <c r="H62" s="68">
        <f>+H61*H33</f>
        <v>214.10728384692698</v>
      </c>
      <c r="I62" s="68">
        <f>+I61*I33</f>
        <v>226.33709190026343</v>
      </c>
      <c r="J62" s="68">
        <f>+J61*J33</f>
        <v>239.9173174142793</v>
      </c>
    </row>
    <row r="63" spans="1:11" x14ac:dyDescent="0.2">
      <c r="B63" t="s">
        <v>77</v>
      </c>
      <c r="C63" s="68">
        <f t="shared" ref="C63:I63" si="21">+D53-C53</f>
        <v>135.78108802087081</v>
      </c>
      <c r="D63" s="68">
        <f t="shared" si="21"/>
        <v>145.28576418233024</v>
      </c>
      <c r="E63" s="68">
        <f t="shared" si="21"/>
        <v>155.45576767509374</v>
      </c>
      <c r="F63" s="68">
        <f t="shared" si="21"/>
        <v>-4433.6623285876485</v>
      </c>
      <c r="G63" s="68">
        <f t="shared" si="21"/>
        <v>13328.254962321798</v>
      </c>
      <c r="H63" s="68">
        <f t="shared" si="21"/>
        <v>1019.1506711113725</v>
      </c>
      <c r="I63" s="68">
        <f t="shared" si="21"/>
        <v>1131.685459501321</v>
      </c>
      <c r="J63" s="82">
        <f>+J53*K31</f>
        <v>1199.5865870713965</v>
      </c>
    </row>
    <row r="64" spans="1:11" x14ac:dyDescent="0.2">
      <c r="B64" t="s">
        <v>321</v>
      </c>
      <c r="C64" s="68">
        <f>+C51-D51</f>
        <v>0</v>
      </c>
      <c r="D64" s="68">
        <f t="shared" ref="D64:I64" si="22">+D51-E51</f>
        <v>0</v>
      </c>
      <c r="E64" s="68">
        <f t="shared" si="22"/>
        <v>-2300</v>
      </c>
      <c r="F64" s="68">
        <f t="shared" si="22"/>
        <v>115</v>
      </c>
      <c r="G64" s="68">
        <f t="shared" si="22"/>
        <v>2415</v>
      </c>
      <c r="H64" s="68">
        <f t="shared" si="22"/>
        <v>0</v>
      </c>
      <c r="I64" s="68">
        <f t="shared" si="22"/>
        <v>0</v>
      </c>
      <c r="J64" s="82"/>
    </row>
    <row r="65" spans="2:10" x14ac:dyDescent="0.2">
      <c r="B65" t="s">
        <v>78</v>
      </c>
      <c r="C65" s="68">
        <f>+C60-C61+C62+C63+C64</f>
        <v>949.38108802087083</v>
      </c>
      <c r="D65" s="68">
        <f t="shared" ref="D65:I65" si="23">+D60-D61+D62+D63+D64</f>
        <v>1059.6857641823303</v>
      </c>
      <c r="E65" s="68">
        <f t="shared" si="23"/>
        <v>-1128.6818323249063</v>
      </c>
      <c r="F65" s="68">
        <f t="shared" si="23"/>
        <v>-3201.8370357876483</v>
      </c>
      <c r="G65" s="68">
        <f t="shared" si="23"/>
        <v>17152.493124446599</v>
      </c>
      <c r="H65" s="68">
        <f t="shared" si="23"/>
        <v>1861.3059875759527</v>
      </c>
      <c r="I65" s="68">
        <f t="shared" si="23"/>
        <v>1886.1424325021999</v>
      </c>
      <c r="J65" s="68">
        <f t="shared" ref="J65" si="24">+J60-J61+J62+J63</f>
        <v>1999.3109784523281</v>
      </c>
    </row>
    <row r="66" spans="2:10" x14ac:dyDescent="0.2">
      <c r="B66" s="68" t="str">
        <f>+B100</f>
        <v>Dividend</v>
      </c>
      <c r="C66" s="68">
        <f t="shared" ref="C66:I66" si="25">+C100</f>
        <v>949.38108802087072</v>
      </c>
      <c r="D66" s="68">
        <f t="shared" si="25"/>
        <v>1059.6857641823294</v>
      </c>
      <c r="E66" s="68">
        <f t="shared" si="25"/>
        <v>0</v>
      </c>
      <c r="F66" s="68">
        <f t="shared" si="25"/>
        <v>0</v>
      </c>
      <c r="G66" s="68">
        <f t="shared" si="25"/>
        <v>3812.8954053119996</v>
      </c>
      <c r="H66" s="68">
        <f t="shared" si="25"/>
        <v>1861.305987575955</v>
      </c>
      <c r="I66" s="68">
        <f t="shared" si="25"/>
        <v>1886.1424325022026</v>
      </c>
      <c r="J66" s="68"/>
    </row>
    <row r="67" spans="2:10" x14ac:dyDescent="0.2">
      <c r="B67" t="s">
        <v>301</v>
      </c>
      <c r="C67" s="68">
        <f>+D54-C54-C101</f>
        <v>0</v>
      </c>
      <c r="D67" s="68">
        <f t="shared" ref="D67:I67" si="26">+E54-D54-D101</f>
        <v>0</v>
      </c>
      <c r="E67" s="68">
        <f t="shared" si="26"/>
        <v>1128.6818323249076</v>
      </c>
      <c r="F67" s="68">
        <f t="shared" si="26"/>
        <v>3201.8370357876474</v>
      </c>
      <c r="G67" s="68">
        <f t="shared" si="26"/>
        <v>-13339.597719134599</v>
      </c>
      <c r="H67" s="68">
        <f t="shared" si="26"/>
        <v>0</v>
      </c>
      <c r="I67" s="68">
        <f t="shared" si="26"/>
        <v>0</v>
      </c>
      <c r="J67" s="68"/>
    </row>
    <row r="68" spans="2:10" x14ac:dyDescent="0.2">
      <c r="B68" s="93" t="s">
        <v>302</v>
      </c>
      <c r="C68" s="86">
        <f>+C65-C66+C67</f>
        <v>1.1368683772161603E-13</v>
      </c>
      <c r="D68" s="86">
        <f t="shared" ref="D68:I68" si="27">+D65-D66+D67</f>
        <v>9.0949470177292824E-13</v>
      </c>
      <c r="E68" s="86">
        <f t="shared" si="27"/>
        <v>0</v>
      </c>
      <c r="F68" s="86">
        <f t="shared" si="27"/>
        <v>0</v>
      </c>
      <c r="G68" s="86">
        <f t="shared" si="27"/>
        <v>0</v>
      </c>
      <c r="H68" s="86">
        <f t="shared" si="27"/>
        <v>-2.2737367544323206E-12</v>
      </c>
      <c r="I68" s="86">
        <f t="shared" si="27"/>
        <v>-2.7284841053187847E-12</v>
      </c>
    </row>
    <row r="70" spans="2:10" x14ac:dyDescent="0.2">
      <c r="B70" s="68" t="str">
        <f>+B60</f>
        <v>FCFF</v>
      </c>
      <c r="C70" s="68">
        <f>+C60</f>
        <v>1200</v>
      </c>
      <c r="D70" s="68">
        <f t="shared" ref="D70:I70" si="28">+D60</f>
        <v>1300.8000000000002</v>
      </c>
      <c r="E70" s="68">
        <f t="shared" si="28"/>
        <v>1402.2624000000001</v>
      </c>
      <c r="F70" s="68">
        <f t="shared" si="28"/>
        <v>1503.2252928000003</v>
      </c>
      <c r="G70" s="68">
        <f t="shared" si="28"/>
        <v>1602.4381621247999</v>
      </c>
      <c r="H70" s="68">
        <f t="shared" si="28"/>
        <v>1698.5844518522881</v>
      </c>
      <c r="I70" s="68">
        <f t="shared" si="28"/>
        <v>1659.8053406019326</v>
      </c>
      <c r="J70" s="68">
        <f>+J60</f>
        <v>1759.3936610380488</v>
      </c>
    </row>
    <row r="71" spans="2:10" x14ac:dyDescent="0.2">
      <c r="B71" t="s">
        <v>229</v>
      </c>
      <c r="C71" s="4">
        <f t="shared" ref="C71:J71" si="29">+C36</f>
        <v>9.7782730111980132E-2</v>
      </c>
      <c r="D71" s="4">
        <f t="shared" si="29"/>
        <v>9.7911450725861507E-2</v>
      </c>
      <c r="E71" s="4">
        <f t="shared" si="29"/>
        <v>9.8031524971290154E-2</v>
      </c>
      <c r="F71" s="4">
        <f t="shared" si="29"/>
        <v>9.814387124275642E-2</v>
      </c>
      <c r="G71" s="4">
        <f t="shared" si="29"/>
        <v>9.9124660654847457E-2</v>
      </c>
      <c r="H71" s="4">
        <f t="shared" si="29"/>
        <v>9.5200000000000007E-2</v>
      </c>
      <c r="I71" s="4">
        <f t="shared" si="29"/>
        <v>9.5200000000000007E-2</v>
      </c>
      <c r="J71" s="4">
        <f t="shared" si="29"/>
        <v>9.5200000000000007E-2</v>
      </c>
    </row>
    <row r="72" spans="2:10" x14ac:dyDescent="0.2">
      <c r="B72" s="87" t="s">
        <v>158</v>
      </c>
      <c r="C72" s="87">
        <f t="shared" ref="C72:H72" si="30">+(C70+D72)/(1+C71)</f>
        <v>33193.974444729458</v>
      </c>
      <c r="D72" s="87">
        <f t="shared" si="30"/>
        <v>35239.771889202406</v>
      </c>
      <c r="E72" s="87">
        <f t="shared" si="30"/>
        <v>37389.34907812265</v>
      </c>
      <c r="F72" s="87">
        <f t="shared" si="30"/>
        <v>39652.421585934921</v>
      </c>
      <c r="G72" s="87">
        <f t="shared" si="30"/>
        <v>42040.838451728414</v>
      </c>
      <c r="H72" s="87">
        <f t="shared" si="30"/>
        <v>44605.684134776457</v>
      </c>
      <c r="I72" s="87">
        <f>+I70/(I71-J31)</f>
        <v>47153.56081255489</v>
      </c>
      <c r="J72" s="87">
        <f>+J70/(J71-K31)</f>
        <v>49982.774461308189</v>
      </c>
    </row>
    <row r="73" spans="2:10" x14ac:dyDescent="0.2">
      <c r="C73" s="68"/>
      <c r="D73" s="68"/>
      <c r="E73" s="68"/>
      <c r="F73" s="68"/>
      <c r="G73" s="68"/>
      <c r="H73" s="68"/>
    </row>
    <row r="75" spans="2:10" x14ac:dyDescent="0.2">
      <c r="B75" t="s">
        <v>280</v>
      </c>
      <c r="C75" s="68">
        <f>+C60+C62</f>
        <v>1273.5999999999999</v>
      </c>
      <c r="D75" s="68">
        <f t="shared" ref="D75:J75" si="31">+D60+D62</f>
        <v>1374.4</v>
      </c>
      <c r="E75" s="68">
        <f t="shared" si="31"/>
        <v>1475.8624</v>
      </c>
      <c r="F75" s="68">
        <f t="shared" si="31"/>
        <v>1576.8252928000002</v>
      </c>
      <c r="G75" s="68">
        <f t="shared" si="31"/>
        <v>1639.2381621247998</v>
      </c>
      <c r="H75" s="68">
        <f t="shared" si="31"/>
        <v>1912.6917356992151</v>
      </c>
      <c r="I75" s="68">
        <f t="shared" si="31"/>
        <v>1886.142432502196</v>
      </c>
      <c r="J75" s="68">
        <f t="shared" si="31"/>
        <v>1999.3109784523281</v>
      </c>
    </row>
    <row r="76" spans="2:10" x14ac:dyDescent="0.2">
      <c r="B76" s="88" t="s">
        <v>158</v>
      </c>
      <c r="C76" s="87">
        <f t="shared" ref="C76:H76" si="32">+(C75+D76)/(1+C32)</f>
        <v>33193.974444729458</v>
      </c>
      <c r="D76" s="87">
        <f t="shared" si="32"/>
        <v>35239.771889202406</v>
      </c>
      <c r="E76" s="87">
        <f t="shared" si="32"/>
        <v>37389.34907812265</v>
      </c>
      <c r="F76" s="87">
        <f t="shared" si="32"/>
        <v>39652.421585934921</v>
      </c>
      <c r="G76" s="87">
        <f t="shared" si="32"/>
        <v>42040.838451728414</v>
      </c>
      <c r="H76" s="87">
        <f t="shared" si="32"/>
        <v>44605.684134776457</v>
      </c>
      <c r="I76" s="87">
        <f>+I75/(I32-J31)</f>
        <v>47153.56081255489</v>
      </c>
      <c r="J76" s="87">
        <f>+J75/(K32-K31)</f>
        <v>49982.774461308189</v>
      </c>
    </row>
    <row r="77" spans="2:10" x14ac:dyDescent="0.2">
      <c r="C77" s="68"/>
    </row>
    <row r="79" spans="2:10" x14ac:dyDescent="0.2">
      <c r="B79" s="68" t="str">
        <f t="shared" ref="B79:J79" si="33">+B65</f>
        <v>FCFE</v>
      </c>
      <c r="C79" s="68">
        <f t="shared" si="33"/>
        <v>949.38108802087083</v>
      </c>
      <c r="D79" s="68">
        <f t="shared" si="33"/>
        <v>1059.6857641823303</v>
      </c>
      <c r="E79" s="68">
        <f t="shared" si="33"/>
        <v>-1128.6818323249063</v>
      </c>
      <c r="F79" s="68">
        <f t="shared" si="33"/>
        <v>-3201.8370357876483</v>
      </c>
      <c r="G79" s="68">
        <f t="shared" si="33"/>
        <v>17152.493124446599</v>
      </c>
      <c r="H79" s="68">
        <f t="shared" si="33"/>
        <v>1861.3059875759527</v>
      </c>
      <c r="I79" s="68">
        <f t="shared" si="33"/>
        <v>1886.1424325021999</v>
      </c>
      <c r="J79" s="68">
        <f t="shared" si="33"/>
        <v>1999.3109784523281</v>
      </c>
    </row>
    <row r="80" spans="2:10" x14ac:dyDescent="0.2">
      <c r="B80" t="s">
        <v>163</v>
      </c>
      <c r="C80" s="2">
        <f t="shared" ref="C80:J80" si="34">+(C32-C34*C35)/(1-C34)</f>
        <v>0.11477616337604266</v>
      </c>
      <c r="D80" s="2">
        <f t="shared" si="34"/>
        <v>0.11423018804007179</v>
      </c>
      <c r="E80" s="2">
        <f t="shared" si="34"/>
        <v>0.11374478174260225</v>
      </c>
      <c r="F80" s="2">
        <f t="shared" si="34"/>
        <v>0.10546921982610323</v>
      </c>
      <c r="G80" s="2">
        <f t="shared" si="34"/>
        <v>9.9496814843143974E-2</v>
      </c>
      <c r="H80" s="2">
        <f t="shared" si="34"/>
        <v>0.12666666666666671</v>
      </c>
      <c r="I80" s="2">
        <f t="shared" si="34"/>
        <v>0.12666666666666671</v>
      </c>
      <c r="J80" s="2">
        <f t="shared" si="34"/>
        <v>0.12666666666666671</v>
      </c>
    </row>
    <row r="81" spans="2:11" x14ac:dyDescent="0.2">
      <c r="B81" t="s">
        <v>165</v>
      </c>
      <c r="C81" s="68">
        <f t="shared" ref="C81:H81" si="35">+(C79+D81)/(1+C80)</f>
        <v>24912.816044431358</v>
      </c>
      <c r="D81" s="68">
        <f t="shared" si="35"/>
        <v>26822.832400883439</v>
      </c>
      <c r="E81" s="68">
        <f t="shared" si="35"/>
        <v>28827.123825621355</v>
      </c>
      <c r="F81" s="68">
        <f t="shared" si="35"/>
        <v>33234.740565758533</v>
      </c>
      <c r="G81" s="68">
        <f t="shared" si="35"/>
        <v>39941.819760139675</v>
      </c>
      <c r="H81" s="68">
        <f t="shared" si="35"/>
        <v>26763.410480865918</v>
      </c>
      <c r="I81" s="68">
        <f>+I79/(I80-J31)</f>
        <v>28292.136487532982</v>
      </c>
      <c r="J81" s="68">
        <f>+J79/(J80-K31)</f>
        <v>29989.664676784902</v>
      </c>
    </row>
    <row r="82" spans="2:11" x14ac:dyDescent="0.2">
      <c r="B82" s="79" t="str">
        <f>+B45</f>
        <v>Net Loan</v>
      </c>
      <c r="C82" s="92">
        <f t="shared" ref="C82:G82" si="36">+C45</f>
        <v>8281.1584002981381</v>
      </c>
      <c r="D82" s="92">
        <f t="shared" si="36"/>
        <v>8416.9394883190089</v>
      </c>
      <c r="E82" s="92">
        <f t="shared" si="36"/>
        <v>8562.2252525013391</v>
      </c>
      <c r="F82" s="92">
        <f t="shared" si="36"/>
        <v>6417.6810201764329</v>
      </c>
      <c r="G82" s="92">
        <f t="shared" si="36"/>
        <v>2099.0186915887843</v>
      </c>
      <c r="H82" s="92">
        <f>+H53</f>
        <v>17842.273653910583</v>
      </c>
      <c r="I82" s="92">
        <f t="shared" ref="I82:J82" si="37">+I53</f>
        <v>18861.424325021955</v>
      </c>
      <c r="J82" s="92">
        <f t="shared" si="37"/>
        <v>19993.109784523276</v>
      </c>
    </row>
    <row r="83" spans="2:11" x14ac:dyDescent="0.2">
      <c r="B83" s="88" t="s">
        <v>158</v>
      </c>
      <c r="C83" s="87">
        <f>+C81+C82</f>
        <v>33193.974444729494</v>
      </c>
      <c r="D83" s="87">
        <f t="shared" ref="D83:J83" si="38">+D81+D82</f>
        <v>35239.77188920245</v>
      </c>
      <c r="E83" s="87">
        <f t="shared" si="38"/>
        <v>37389.349078122694</v>
      </c>
      <c r="F83" s="87">
        <f t="shared" si="38"/>
        <v>39652.421585934964</v>
      </c>
      <c r="G83" s="87">
        <f t="shared" si="38"/>
        <v>42040.838451728458</v>
      </c>
      <c r="H83" s="87">
        <f t="shared" si="38"/>
        <v>44605.6841347765</v>
      </c>
      <c r="I83" s="87">
        <f t="shared" si="38"/>
        <v>47153.560812554933</v>
      </c>
      <c r="J83" s="87">
        <f t="shared" si="38"/>
        <v>49982.774461308174</v>
      </c>
    </row>
    <row r="85" spans="2:11" x14ac:dyDescent="0.2">
      <c r="B85" t="s">
        <v>240</v>
      </c>
      <c r="C85" s="68">
        <f t="shared" ref="C85:J85" si="39">+C52</f>
        <v>20000</v>
      </c>
      <c r="D85" s="68">
        <f t="shared" si="39"/>
        <v>21800</v>
      </c>
      <c r="E85" s="68">
        <f t="shared" si="39"/>
        <v>23751.200000000001</v>
      </c>
      <c r="F85" s="68">
        <f t="shared" si="39"/>
        <v>25854.5936</v>
      </c>
      <c r="G85" s="68">
        <f t="shared" si="39"/>
        <v>28109.431539199999</v>
      </c>
      <c r="H85" s="68">
        <f t="shared" si="39"/>
        <v>30513.0887823872</v>
      </c>
      <c r="I85" s="68">
        <f t="shared" si="39"/>
        <v>33060.965460165629</v>
      </c>
      <c r="J85" s="68">
        <f t="shared" si="39"/>
        <v>35890.179108918921</v>
      </c>
    </row>
    <row r="87" spans="2:11" x14ac:dyDescent="0.2">
      <c r="B87" s="68" t="str">
        <f t="shared" ref="B87:J87" si="40">+B58</f>
        <v>Noplat</v>
      </c>
      <c r="C87" s="68">
        <f t="shared" si="40"/>
        <v>3000</v>
      </c>
      <c r="D87" s="68">
        <f t="shared" si="40"/>
        <v>3252</v>
      </c>
      <c r="E87" s="68">
        <f t="shared" si="40"/>
        <v>3505.6559999999999</v>
      </c>
      <c r="F87" s="68">
        <f t="shared" si="40"/>
        <v>3758.063232</v>
      </c>
      <c r="G87" s="68">
        <f t="shared" si="40"/>
        <v>4006.0954053119999</v>
      </c>
      <c r="H87" s="68">
        <f t="shared" si="40"/>
        <v>4246.4611296307203</v>
      </c>
      <c r="I87" s="68">
        <f t="shared" si="40"/>
        <v>4489.0189893552269</v>
      </c>
      <c r="J87" s="68">
        <f t="shared" si="40"/>
        <v>4758.3601287165402</v>
      </c>
    </row>
    <row r="88" spans="2:11" x14ac:dyDescent="0.2">
      <c r="B88" t="s">
        <v>303</v>
      </c>
      <c r="C88" s="68">
        <f t="shared" ref="C88:J88" si="41">+C85*C71</f>
        <v>1955.6546022396026</v>
      </c>
      <c r="D88" s="68">
        <f t="shared" si="41"/>
        <v>2134.4696258237809</v>
      </c>
      <c r="E88" s="68">
        <f t="shared" si="41"/>
        <v>2328.3663558981066</v>
      </c>
      <c r="F88" s="68">
        <f t="shared" si="41"/>
        <v>2537.469905312194</v>
      </c>
      <c r="G88" s="68">
        <f t="shared" si="41"/>
        <v>2786.3378625238665</v>
      </c>
      <c r="H88" s="68">
        <f t="shared" si="41"/>
        <v>2904.8460520832618</v>
      </c>
      <c r="I88" s="68">
        <f t="shared" si="41"/>
        <v>3147.4039118077681</v>
      </c>
      <c r="J88" s="68">
        <f t="shared" si="41"/>
        <v>3416.7450511690813</v>
      </c>
    </row>
    <row r="89" spans="2:11" x14ac:dyDescent="0.2">
      <c r="B89" t="s">
        <v>236</v>
      </c>
      <c r="C89" s="68">
        <f>+C87-C88</f>
        <v>1044.3453977603974</v>
      </c>
      <c r="D89" s="68">
        <f t="shared" ref="D89:J89" si="42">+D87-D88</f>
        <v>1117.5303741762191</v>
      </c>
      <c r="E89" s="68">
        <f t="shared" si="42"/>
        <v>1177.2896441018934</v>
      </c>
      <c r="F89" s="68">
        <f t="shared" si="42"/>
        <v>1220.593326687806</v>
      </c>
      <c r="G89" s="68">
        <f t="shared" si="42"/>
        <v>1219.7575427881334</v>
      </c>
      <c r="H89" s="68">
        <f t="shared" si="42"/>
        <v>1341.6150775474584</v>
      </c>
      <c r="I89" s="68">
        <f t="shared" si="42"/>
        <v>1341.6150775474589</v>
      </c>
      <c r="J89" s="68">
        <f t="shared" si="42"/>
        <v>1341.6150775474589</v>
      </c>
      <c r="K89" t="s">
        <v>304</v>
      </c>
    </row>
    <row r="90" spans="2:11" x14ac:dyDescent="0.2">
      <c r="B90" t="s">
        <v>238</v>
      </c>
      <c r="C90" s="68">
        <f t="shared" ref="C90:I90" si="43">+(C89+D90)/(1+C71)</f>
        <v>13193.974444729465</v>
      </c>
      <c r="D90" s="68">
        <f t="shared" si="43"/>
        <v>13439.771889202413</v>
      </c>
      <c r="E90" s="68">
        <f t="shared" si="43"/>
        <v>13638.149078122655</v>
      </c>
      <c r="F90" s="68">
        <f t="shared" si="43"/>
        <v>13797.827985934922</v>
      </c>
      <c r="G90" s="68">
        <f t="shared" si="43"/>
        <v>13931.406912528415</v>
      </c>
      <c r="H90" s="68">
        <f t="shared" si="43"/>
        <v>14092.595352389259</v>
      </c>
      <c r="I90" s="68">
        <f t="shared" si="43"/>
        <v>14092.595352389257</v>
      </c>
      <c r="J90" s="82">
        <f>+J83-J91</f>
        <v>14092.595352389253</v>
      </c>
      <c r="K90" s="91">
        <f>+J89/J36+J59*(K29-K36)/(K36*(K36-K31))</f>
        <v>14092.595352389273</v>
      </c>
    </row>
    <row r="91" spans="2:11" x14ac:dyDescent="0.2">
      <c r="B91" s="68" t="str">
        <f>+B85</f>
        <v>Total IC</v>
      </c>
      <c r="C91" s="68">
        <f t="shared" ref="C91:J91" si="44">+C85</f>
        <v>20000</v>
      </c>
      <c r="D91" s="68">
        <f t="shared" si="44"/>
        <v>21800</v>
      </c>
      <c r="E91" s="68">
        <f t="shared" si="44"/>
        <v>23751.200000000001</v>
      </c>
      <c r="F91" s="68">
        <f t="shared" si="44"/>
        <v>25854.5936</v>
      </c>
      <c r="G91" s="68">
        <f t="shared" si="44"/>
        <v>28109.431539199999</v>
      </c>
      <c r="H91" s="68">
        <f t="shared" si="44"/>
        <v>30513.0887823872</v>
      </c>
      <c r="I91" s="68">
        <f t="shared" si="44"/>
        <v>33060.965460165629</v>
      </c>
      <c r="J91" s="68">
        <f t="shared" si="44"/>
        <v>35890.179108918921</v>
      </c>
    </row>
    <row r="92" spans="2:11" x14ac:dyDescent="0.2">
      <c r="B92" s="87" t="s">
        <v>158</v>
      </c>
      <c r="C92" s="87">
        <f>+C90+C91</f>
        <v>33193.974444729465</v>
      </c>
      <c r="D92" s="87">
        <f t="shared" ref="D92:J92" si="45">+D90+D91</f>
        <v>35239.771889202413</v>
      </c>
      <c r="E92" s="87">
        <f t="shared" si="45"/>
        <v>37389.349078122657</v>
      </c>
      <c r="F92" s="87">
        <f t="shared" si="45"/>
        <v>39652.421585934921</v>
      </c>
      <c r="G92" s="87">
        <f t="shared" si="45"/>
        <v>42040.838451728414</v>
      </c>
      <c r="H92" s="87">
        <f t="shared" si="45"/>
        <v>44605.684134776457</v>
      </c>
      <c r="I92" s="87">
        <f t="shared" si="45"/>
        <v>47153.56081255489</v>
      </c>
      <c r="J92" s="87">
        <f t="shared" si="45"/>
        <v>49982.774461308174</v>
      </c>
    </row>
    <row r="95" spans="2:11" x14ac:dyDescent="0.2">
      <c r="B95" s="68" t="s">
        <v>128</v>
      </c>
      <c r="C95" s="68">
        <f t="shared" ref="C95:J95" si="46">+C58/(1-C33)</f>
        <v>3750</v>
      </c>
      <c r="D95" s="68">
        <f t="shared" si="46"/>
        <v>4065</v>
      </c>
      <c r="E95" s="68">
        <f t="shared" si="46"/>
        <v>4382.07</v>
      </c>
      <c r="F95" s="68">
        <f t="shared" si="46"/>
        <v>4697.5790399999996</v>
      </c>
      <c r="G95" s="68">
        <f t="shared" si="46"/>
        <v>5007.6192566399995</v>
      </c>
      <c r="H95" s="68">
        <f t="shared" si="46"/>
        <v>5308.0764120384001</v>
      </c>
      <c r="I95" s="68">
        <f t="shared" si="46"/>
        <v>5611.2737366940337</v>
      </c>
      <c r="J95" s="68">
        <f t="shared" si="46"/>
        <v>5947.9501608956753</v>
      </c>
    </row>
    <row r="96" spans="2:11" x14ac:dyDescent="0.2">
      <c r="B96" s="68" t="str">
        <f>+B61</f>
        <v>Interest</v>
      </c>
      <c r="C96" s="68">
        <f>+C61</f>
        <v>460</v>
      </c>
      <c r="D96" s="68">
        <f t="shared" ref="D96:J96" si="47">+D61</f>
        <v>460</v>
      </c>
      <c r="E96" s="68">
        <f t="shared" si="47"/>
        <v>460</v>
      </c>
      <c r="F96" s="68">
        <f t="shared" si="47"/>
        <v>460</v>
      </c>
      <c r="G96" s="68">
        <f t="shared" si="47"/>
        <v>230</v>
      </c>
      <c r="H96" s="68">
        <f t="shared" si="47"/>
        <v>1070.5364192346349</v>
      </c>
      <c r="I96" s="68">
        <f t="shared" si="47"/>
        <v>1131.6854595013172</v>
      </c>
      <c r="J96" s="68">
        <f t="shared" si="47"/>
        <v>1199.5865870713965</v>
      </c>
    </row>
    <row r="97" spans="1:10" x14ac:dyDescent="0.2">
      <c r="B97" t="s">
        <v>33</v>
      </c>
      <c r="C97" s="68">
        <f>+C95-C96</f>
        <v>3290</v>
      </c>
      <c r="D97" s="68">
        <f t="shared" ref="D97:J97" si="48">+D95-D96</f>
        <v>3605</v>
      </c>
      <c r="E97" s="68">
        <f t="shared" si="48"/>
        <v>3922.0699999999997</v>
      </c>
      <c r="F97" s="68">
        <f t="shared" si="48"/>
        <v>4237.5790399999996</v>
      </c>
      <c r="G97" s="68">
        <f t="shared" si="48"/>
        <v>4777.6192566399995</v>
      </c>
      <c r="H97" s="68">
        <f t="shared" si="48"/>
        <v>4237.539992803765</v>
      </c>
      <c r="I97" s="68">
        <f t="shared" si="48"/>
        <v>4479.5882771927163</v>
      </c>
      <c r="J97" s="68">
        <f t="shared" si="48"/>
        <v>4748.3635738242792</v>
      </c>
    </row>
    <row r="98" spans="1:10" x14ac:dyDescent="0.2">
      <c r="A98" s="65" t="s">
        <v>328</v>
      </c>
      <c r="B98" s="101" t="s">
        <v>257</v>
      </c>
      <c r="C98" s="105">
        <f>+IF(C97&gt;0,(C97+C96-C48)*C33,0)</f>
        <v>676.40000000000009</v>
      </c>
      <c r="D98" s="105">
        <f t="shared" ref="D98:G98" si="49">+IF(D97&gt;0,(D97+D96-D48)*D33,0)</f>
        <v>739.40000000000009</v>
      </c>
      <c r="E98" s="105">
        <f t="shared" si="49"/>
        <v>802.81399999999996</v>
      </c>
      <c r="F98" s="105">
        <f t="shared" si="49"/>
        <v>865.91580799999997</v>
      </c>
      <c r="G98" s="105">
        <f t="shared" si="49"/>
        <v>964.72385132799991</v>
      </c>
      <c r="H98" s="68">
        <f>+IF(H97&gt;0,H97*H33,0)</f>
        <v>847.50799856075309</v>
      </c>
      <c r="I98" s="68">
        <f>+IF(I97&gt;0,I97*I33,0)</f>
        <v>895.91765543854331</v>
      </c>
      <c r="J98" s="68">
        <f>+IF(J97&gt;0,J97*J33,0)</f>
        <v>949.67271476485587</v>
      </c>
    </row>
    <row r="99" spans="1:10" x14ac:dyDescent="0.2">
      <c r="B99" t="s">
        <v>35</v>
      </c>
      <c r="C99" s="68">
        <f>+C97-C98</f>
        <v>2613.6</v>
      </c>
      <c r="D99" s="68">
        <f t="shared" ref="D99:J99" si="50">+D97-D98</f>
        <v>2865.6</v>
      </c>
      <c r="E99" s="68">
        <f t="shared" si="50"/>
        <v>3119.2559999999999</v>
      </c>
      <c r="F99" s="68">
        <f t="shared" si="50"/>
        <v>3371.6632319999999</v>
      </c>
      <c r="G99" s="68">
        <f t="shared" si="50"/>
        <v>3812.8954053119996</v>
      </c>
      <c r="H99" s="68">
        <f t="shared" si="50"/>
        <v>3390.0319942430119</v>
      </c>
      <c r="I99" s="68">
        <f t="shared" si="50"/>
        <v>3583.6706217541732</v>
      </c>
      <c r="J99" s="68">
        <f t="shared" si="50"/>
        <v>3798.6908590594235</v>
      </c>
    </row>
    <row r="100" spans="1:10" x14ac:dyDescent="0.2">
      <c r="B100" t="s">
        <v>36</v>
      </c>
      <c r="C100" s="68">
        <f>+C99-C101</f>
        <v>949.38108802087072</v>
      </c>
      <c r="D100" s="68">
        <f t="shared" ref="D100:I100" si="51">+D99-D101</f>
        <v>1059.6857641823294</v>
      </c>
      <c r="E100" s="68">
        <f t="shared" si="51"/>
        <v>0</v>
      </c>
      <c r="F100" s="68">
        <f t="shared" si="51"/>
        <v>0</v>
      </c>
      <c r="G100" s="68">
        <f t="shared" si="51"/>
        <v>3812.8954053119996</v>
      </c>
      <c r="H100" s="68">
        <f t="shared" si="51"/>
        <v>1861.305987575955</v>
      </c>
      <c r="I100" s="68">
        <f t="shared" si="51"/>
        <v>1886.1424325022026</v>
      </c>
      <c r="J100" s="68"/>
    </row>
    <row r="101" spans="1:10" x14ac:dyDescent="0.2">
      <c r="B101" t="s">
        <v>37</v>
      </c>
      <c r="C101" s="68">
        <f>+IF(C99&lt;0,C99,MAX(0,MIN(C99,C103)))</f>
        <v>1664.2189119791292</v>
      </c>
      <c r="D101" s="68">
        <f t="shared" ref="D101:I101" si="52">+IF(D99&lt;0,D99,MAX(0,MIN(D99,D103)))</f>
        <v>1805.9142358176705</v>
      </c>
      <c r="E101" s="68">
        <f t="shared" si="52"/>
        <v>3119.2559999999999</v>
      </c>
      <c r="F101" s="68">
        <f t="shared" si="52"/>
        <v>3371.6632319999999</v>
      </c>
      <c r="G101" s="68">
        <f t="shared" si="52"/>
        <v>0</v>
      </c>
      <c r="H101" s="68">
        <f t="shared" si="52"/>
        <v>1528.7260066670569</v>
      </c>
      <c r="I101" s="68">
        <f t="shared" si="52"/>
        <v>1697.5281892519706</v>
      </c>
      <c r="J101" s="68"/>
    </row>
    <row r="102" spans="1:10" x14ac:dyDescent="0.2">
      <c r="C102" s="68"/>
      <c r="D102" s="68"/>
      <c r="E102" s="68"/>
      <c r="F102" s="68"/>
      <c r="G102" s="68"/>
      <c r="H102" s="68"/>
      <c r="I102" s="68"/>
      <c r="J102" s="68"/>
    </row>
    <row r="103" spans="1:10" x14ac:dyDescent="0.2">
      <c r="B103" t="s">
        <v>305</v>
      </c>
      <c r="C103" s="68">
        <f t="shared" ref="C103:I103" si="53">+D54-C54</f>
        <v>1664.2189119791292</v>
      </c>
      <c r="D103" s="68">
        <f t="shared" si="53"/>
        <v>1805.9142358176705</v>
      </c>
      <c r="E103" s="68">
        <f t="shared" si="53"/>
        <v>4247.9378323249075</v>
      </c>
      <c r="F103" s="68">
        <f t="shared" si="53"/>
        <v>6573.5002677876473</v>
      </c>
      <c r="G103" s="68">
        <f t="shared" si="53"/>
        <v>-13339.597719134599</v>
      </c>
      <c r="H103" s="68">
        <f t="shared" si="53"/>
        <v>1528.7260066670569</v>
      </c>
      <c r="I103" s="68">
        <f t="shared" si="53"/>
        <v>1697.5281892519706</v>
      </c>
      <c r="J103" s="68"/>
    </row>
    <row r="104" spans="1:10" x14ac:dyDescent="0.2">
      <c r="B104" t="s">
        <v>39</v>
      </c>
      <c r="C104" s="68">
        <f>+C103-C101</f>
        <v>0</v>
      </c>
      <c r="D104" s="68">
        <f t="shared" ref="D104:I104" si="54">+D103-D101</f>
        <v>0</v>
      </c>
      <c r="E104" s="68">
        <f t="shared" si="54"/>
        <v>1128.6818323249076</v>
      </c>
      <c r="F104" s="68">
        <f t="shared" si="54"/>
        <v>3201.8370357876474</v>
      </c>
      <c r="G104" s="68">
        <f t="shared" si="54"/>
        <v>-13339.597719134599</v>
      </c>
      <c r="H104" s="68">
        <f t="shared" si="54"/>
        <v>0</v>
      </c>
      <c r="I104" s="68">
        <f t="shared" si="54"/>
        <v>0</v>
      </c>
      <c r="J104" s="68"/>
    </row>
    <row r="105" spans="1:10" x14ac:dyDescent="0.2">
      <c r="C105" s="68"/>
      <c r="D105" s="68"/>
      <c r="E105" s="68"/>
      <c r="F105" s="68"/>
      <c r="G105" s="68"/>
      <c r="H105" s="68"/>
    </row>
    <row r="106" spans="1:10" x14ac:dyDescent="0.2">
      <c r="B106" t="s">
        <v>306</v>
      </c>
      <c r="C106" s="68">
        <f t="shared" ref="C106:J106" si="55">+C80*C54</f>
        <v>1345.043678025346</v>
      </c>
      <c r="D106" s="68">
        <f t="shared" si="55"/>
        <v>1528.7495188009791</v>
      </c>
      <c r="E106" s="68">
        <f t="shared" si="55"/>
        <v>1727.6666175481323</v>
      </c>
      <c r="F106" s="68">
        <f t="shared" si="55"/>
        <v>2049.9960056221635</v>
      </c>
      <c r="G106" s="68">
        <f t="shared" si="55"/>
        <v>2587.9532310925065</v>
      </c>
      <c r="H106" s="68">
        <f t="shared" si="55"/>
        <v>1604.9699162737054</v>
      </c>
      <c r="I106" s="68">
        <f t="shared" si="55"/>
        <v>1798.608543784866</v>
      </c>
      <c r="J106" s="68">
        <f t="shared" si="55"/>
        <v>2013.6287810901156</v>
      </c>
    </row>
    <row r="107" spans="1:10" x14ac:dyDescent="0.2">
      <c r="B107" t="s">
        <v>253</v>
      </c>
      <c r="C107" s="68">
        <f t="shared" ref="C107:F107" si="56">+C99-C106</f>
        <v>1268.5563219746539</v>
      </c>
      <c r="D107" s="68">
        <f t="shared" si="56"/>
        <v>1336.8504811990208</v>
      </c>
      <c r="E107" s="68">
        <f t="shared" si="56"/>
        <v>1391.5893824518676</v>
      </c>
      <c r="F107" s="68">
        <f t="shared" si="56"/>
        <v>1321.6672263778364</v>
      </c>
      <c r="G107" s="68">
        <f>+G99-G106</f>
        <v>1224.9421742194932</v>
      </c>
      <c r="H107" s="68">
        <f>+H99-H106</f>
        <v>1785.0620779693065</v>
      </c>
      <c r="I107" s="68">
        <f t="shared" ref="I107:J107" si="57">+I99-I106</f>
        <v>1785.0620779693072</v>
      </c>
      <c r="J107" s="68">
        <f t="shared" si="57"/>
        <v>1785.0620779693079</v>
      </c>
    </row>
    <row r="108" spans="1:10" x14ac:dyDescent="0.2">
      <c r="B108" t="s">
        <v>255</v>
      </c>
      <c r="C108" s="68">
        <f t="shared" ref="C108:I108" si="58">+(C107+D108)/(1+C80)</f>
        <v>13193.974444729469</v>
      </c>
      <c r="D108" s="68">
        <f t="shared" si="58"/>
        <v>13439.771889202415</v>
      </c>
      <c r="E108" s="68">
        <f t="shared" si="58"/>
        <v>13638.149078122657</v>
      </c>
      <c r="F108" s="68">
        <f t="shared" si="58"/>
        <v>13797.827985934922</v>
      </c>
      <c r="G108" s="68">
        <f t="shared" si="58"/>
        <v>13931.406912528415</v>
      </c>
      <c r="H108" s="68">
        <f t="shared" si="58"/>
        <v>14092.595352389257</v>
      </c>
      <c r="I108" s="68">
        <f t="shared" si="58"/>
        <v>14092.595352389257</v>
      </c>
      <c r="J108" s="82">
        <f>+J81-J54</f>
        <v>14092.595352389257</v>
      </c>
    </row>
    <row r="109" spans="1:10" x14ac:dyDescent="0.2">
      <c r="B109" s="68" t="str">
        <f t="shared" ref="B109:H109" si="59">+B54</f>
        <v>BV Equity boy</v>
      </c>
      <c r="C109" s="68">
        <f t="shared" si="59"/>
        <v>11718.841599701862</v>
      </c>
      <c r="D109" s="68">
        <f t="shared" si="59"/>
        <v>13383.060511680991</v>
      </c>
      <c r="E109" s="68">
        <f t="shared" si="59"/>
        <v>15188.974747498662</v>
      </c>
      <c r="F109" s="68">
        <f t="shared" si="59"/>
        <v>19436.912579823569</v>
      </c>
      <c r="G109" s="68">
        <f t="shared" si="59"/>
        <v>26010.412847611216</v>
      </c>
      <c r="H109" s="68">
        <f t="shared" si="59"/>
        <v>12670.815128476617</v>
      </c>
      <c r="I109" s="68">
        <f>+I54</f>
        <v>14199.541135143674</v>
      </c>
      <c r="J109" s="68">
        <f>+J54</f>
        <v>15897.069324395645</v>
      </c>
    </row>
    <row r="110" spans="1:10" x14ac:dyDescent="0.2">
      <c r="B110" s="68" t="s">
        <v>165</v>
      </c>
      <c r="C110" s="68">
        <f>+C109+C108</f>
        <v>24912.816044431333</v>
      </c>
      <c r="D110" s="68">
        <f t="shared" ref="D110:J110" si="60">+D109+D108</f>
        <v>26822.832400883406</v>
      </c>
      <c r="E110" s="68">
        <f t="shared" si="60"/>
        <v>28827.123825621318</v>
      </c>
      <c r="F110" s="68">
        <f t="shared" si="60"/>
        <v>33234.74056575849</v>
      </c>
      <c r="G110" s="68">
        <f t="shared" si="60"/>
        <v>39941.819760139631</v>
      </c>
      <c r="H110" s="68">
        <f t="shared" si="60"/>
        <v>26763.410480865874</v>
      </c>
      <c r="I110" s="68">
        <f t="shared" si="60"/>
        <v>28292.136487532931</v>
      </c>
      <c r="J110" s="68">
        <f t="shared" si="60"/>
        <v>29989.664676784902</v>
      </c>
    </row>
    <row r="111" spans="1:10" x14ac:dyDescent="0.2">
      <c r="B111" s="79" t="str">
        <f t="shared" ref="B111:H111" si="61">+B53</f>
        <v>BV D boy</v>
      </c>
      <c r="C111" s="92">
        <f>+C45</f>
        <v>8281.1584002981381</v>
      </c>
      <c r="D111" s="92">
        <f t="shared" ref="D111:G111" si="62">+D45</f>
        <v>8416.9394883190089</v>
      </c>
      <c r="E111" s="92">
        <f t="shared" si="62"/>
        <v>8562.2252525013391</v>
      </c>
      <c r="F111" s="92">
        <f t="shared" si="62"/>
        <v>6417.6810201764329</v>
      </c>
      <c r="G111" s="92">
        <f t="shared" si="62"/>
        <v>2099.0186915887843</v>
      </c>
      <c r="H111" s="68">
        <f t="shared" si="61"/>
        <v>17842.273653910583</v>
      </c>
      <c r="I111" s="68">
        <f>+I53</f>
        <v>18861.424325021955</v>
      </c>
      <c r="J111" s="68">
        <f>+J53</f>
        <v>19993.109784523276</v>
      </c>
    </row>
    <row r="112" spans="1:10" x14ac:dyDescent="0.2">
      <c r="B112" s="87" t="s">
        <v>158</v>
      </c>
      <c r="C112" s="87">
        <f>+C110+C111</f>
        <v>33193.974444729472</v>
      </c>
      <c r="D112" s="87">
        <f t="shared" ref="D112:J112" si="63">+D110+D111</f>
        <v>35239.771889202413</v>
      </c>
      <c r="E112" s="87">
        <f t="shared" si="63"/>
        <v>37389.349078122657</v>
      </c>
      <c r="F112" s="87">
        <f t="shared" si="63"/>
        <v>39652.421585934921</v>
      </c>
      <c r="G112" s="87">
        <f t="shared" si="63"/>
        <v>42040.838451728414</v>
      </c>
      <c r="H112" s="87">
        <f t="shared" si="63"/>
        <v>44605.684134776457</v>
      </c>
      <c r="I112" s="87">
        <f t="shared" si="63"/>
        <v>47153.56081255489</v>
      </c>
      <c r="J112" s="87">
        <f t="shared" si="63"/>
        <v>49982.774461308174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29A4-964A-4117-A4E5-530D15FA076B}">
  <sheetPr>
    <tabColor theme="7" tint="0.39997558519241921"/>
  </sheetPr>
  <dimension ref="B3:S68"/>
  <sheetViews>
    <sheetView topLeftCell="A24" workbookViewId="0">
      <selection activeCell="C48" sqref="C48"/>
    </sheetView>
  </sheetViews>
  <sheetFormatPr baseColWidth="10" defaultColWidth="8.83203125" defaultRowHeight="16" x14ac:dyDescent="0.2"/>
  <cols>
    <col min="2" max="2" width="21.1640625" bestFit="1" customWidth="1"/>
    <col min="3" max="3" width="9.33203125" bestFit="1" customWidth="1"/>
    <col min="4" max="4" width="11.6640625" bestFit="1" customWidth="1"/>
    <col min="5" max="5" width="10.5" bestFit="1" customWidth="1"/>
    <col min="6" max="6" width="14.6640625" bestFit="1" customWidth="1"/>
    <col min="11" max="11" width="9.33203125" bestFit="1" customWidth="1"/>
    <col min="12" max="12" width="10.5" bestFit="1" customWidth="1"/>
    <col min="13" max="13" width="9.33203125" bestFit="1" customWidth="1"/>
    <col min="14" max="15" width="8.1640625" bestFit="1" customWidth="1"/>
    <col min="16" max="16" width="14.83203125" bestFit="1" customWidth="1"/>
    <col min="17" max="19" width="8.1640625" bestFit="1" customWidth="1"/>
  </cols>
  <sheetData>
    <row r="3" spans="2:5" x14ac:dyDescent="0.2">
      <c r="C3" s="59">
        <v>2022</v>
      </c>
      <c r="D3" s="59" t="str">
        <f>+C3+1&amp;"e"</f>
        <v>2023e</v>
      </c>
      <c r="E3" s="59" t="str">
        <f>+C3+2&amp;"f"</f>
        <v>2024f</v>
      </c>
    </row>
    <row r="4" spans="2:5" x14ac:dyDescent="0.2">
      <c r="B4" t="s">
        <v>27</v>
      </c>
      <c r="C4" s="68">
        <v>10000</v>
      </c>
      <c r="D4" s="68">
        <v>11000</v>
      </c>
      <c r="E4" s="68">
        <v>13000</v>
      </c>
    </row>
    <row r="5" spans="2:5" x14ac:dyDescent="0.2">
      <c r="B5" t="s">
        <v>329</v>
      </c>
      <c r="C5" s="68">
        <v>1600</v>
      </c>
      <c r="D5" s="68">
        <v>1900</v>
      </c>
      <c r="E5" s="68">
        <v>2400</v>
      </c>
    </row>
    <row r="6" spans="2:5" x14ac:dyDescent="0.2">
      <c r="B6" t="s">
        <v>33</v>
      </c>
      <c r="C6" s="68">
        <v>1300</v>
      </c>
      <c r="D6" s="68">
        <v>1400</v>
      </c>
      <c r="E6" s="68">
        <v>2100</v>
      </c>
    </row>
    <row r="7" spans="2:5" x14ac:dyDescent="0.2">
      <c r="B7" t="s">
        <v>35</v>
      </c>
      <c r="C7" s="68">
        <v>1200</v>
      </c>
      <c r="D7" s="68">
        <v>1250</v>
      </c>
      <c r="E7" s="68">
        <v>1800</v>
      </c>
    </row>
    <row r="8" spans="2:5" x14ac:dyDescent="0.2">
      <c r="C8" s="68"/>
      <c r="D8" s="68"/>
      <c r="E8" s="68"/>
    </row>
    <row r="9" spans="2:5" x14ac:dyDescent="0.2">
      <c r="B9" t="s">
        <v>40</v>
      </c>
      <c r="C9" s="68">
        <v>5000</v>
      </c>
      <c r="D9" s="68">
        <v>5200</v>
      </c>
      <c r="E9" s="68">
        <v>5400</v>
      </c>
    </row>
    <row r="10" spans="2:5" x14ac:dyDescent="0.2">
      <c r="B10" t="s">
        <v>330</v>
      </c>
      <c r="C10" s="68">
        <v>500</v>
      </c>
      <c r="D10" s="68">
        <v>700</v>
      </c>
      <c r="E10" s="68">
        <v>900</v>
      </c>
    </row>
    <row r="11" spans="2:5" x14ac:dyDescent="0.2">
      <c r="B11" t="s">
        <v>42</v>
      </c>
      <c r="C11" s="68">
        <v>2000</v>
      </c>
      <c r="D11" s="68">
        <v>2400</v>
      </c>
      <c r="E11" s="68">
        <v>2600</v>
      </c>
    </row>
    <row r="12" spans="2:5" x14ac:dyDescent="0.2">
      <c r="B12" t="s">
        <v>43</v>
      </c>
      <c r="C12" s="68">
        <f>+C14+C15+C16-C9-C10-C11</f>
        <v>200</v>
      </c>
      <c r="D12" s="68">
        <f t="shared" ref="D12:E12" si="0">+D14+D15+D16-D9-D10-D11</f>
        <v>400</v>
      </c>
      <c r="E12" s="68">
        <f t="shared" si="0"/>
        <v>500</v>
      </c>
    </row>
    <row r="13" spans="2:5" x14ac:dyDescent="0.2">
      <c r="C13" s="68"/>
      <c r="D13" s="68"/>
      <c r="E13" s="68"/>
    </row>
    <row r="14" spans="2:5" x14ac:dyDescent="0.2">
      <c r="B14" t="s">
        <v>44</v>
      </c>
      <c r="C14" s="68">
        <v>2000</v>
      </c>
      <c r="D14" s="68">
        <v>2700</v>
      </c>
      <c r="E14" s="68">
        <v>3400</v>
      </c>
    </row>
    <row r="15" spans="2:5" x14ac:dyDescent="0.2">
      <c r="B15" t="s">
        <v>45</v>
      </c>
      <c r="C15" s="68">
        <v>2700</v>
      </c>
      <c r="D15" s="68">
        <v>2800</v>
      </c>
      <c r="E15" s="68">
        <v>3000</v>
      </c>
    </row>
    <row r="16" spans="2:5" x14ac:dyDescent="0.2">
      <c r="B16" t="s">
        <v>46</v>
      </c>
      <c r="C16" s="68">
        <v>3000</v>
      </c>
      <c r="D16" s="68">
        <v>3200</v>
      </c>
      <c r="E16" s="68">
        <v>3000</v>
      </c>
    </row>
    <row r="18" spans="2:6" x14ac:dyDescent="0.2">
      <c r="B18" t="s">
        <v>331</v>
      </c>
    </row>
    <row r="19" spans="2:6" x14ac:dyDescent="0.2">
      <c r="B19" t="str">
        <f>+D3</f>
        <v>2023e</v>
      </c>
      <c r="C19" t="s">
        <v>332</v>
      </c>
      <c r="D19" t="s">
        <v>333</v>
      </c>
    </row>
    <row r="20" spans="2:6" x14ac:dyDescent="0.2">
      <c r="B20" t="s">
        <v>27</v>
      </c>
      <c r="C20" s="106">
        <v>0.5</v>
      </c>
      <c r="D20" s="106">
        <f>1-C20</f>
        <v>0.5</v>
      </c>
    </row>
    <row r="21" spans="2:6" x14ac:dyDescent="0.2">
      <c r="B21" t="s">
        <v>128</v>
      </c>
      <c r="C21" s="106">
        <v>0.6</v>
      </c>
      <c r="D21" s="106">
        <f t="shared" ref="D21" si="1">1-C21</f>
        <v>0.4</v>
      </c>
    </row>
    <row r="22" spans="2:6" ht="19" x14ac:dyDescent="0.2">
      <c r="B22" t="s">
        <v>334</v>
      </c>
      <c r="C22" s="68">
        <v>850</v>
      </c>
      <c r="D22" s="68">
        <v>0</v>
      </c>
    </row>
    <row r="24" spans="2:6" x14ac:dyDescent="0.2">
      <c r="B24" t="s">
        <v>335</v>
      </c>
    </row>
    <row r="25" spans="2:6" x14ac:dyDescent="0.2">
      <c r="B25" t="s">
        <v>336</v>
      </c>
      <c r="C25" s="1" t="s">
        <v>337</v>
      </c>
      <c r="D25" s="1" t="s">
        <v>338</v>
      </c>
      <c r="E25" s="1" t="s">
        <v>339</v>
      </c>
      <c r="F25" s="1" t="s">
        <v>340</v>
      </c>
    </row>
    <row r="26" spans="2:6" x14ac:dyDescent="0.2">
      <c r="B26" t="s">
        <v>341</v>
      </c>
      <c r="C26" s="59">
        <f>+C3-4</f>
        <v>2018</v>
      </c>
      <c r="D26" s="59">
        <f>+C3-3</f>
        <v>2019</v>
      </c>
      <c r="E26" s="59">
        <f>+C3-1</f>
        <v>2021</v>
      </c>
      <c r="F26" s="59">
        <f>+C3-1</f>
        <v>2021</v>
      </c>
    </row>
    <row r="27" spans="2:6" x14ac:dyDescent="0.2">
      <c r="B27" t="s">
        <v>342</v>
      </c>
      <c r="C27" t="s">
        <v>343</v>
      </c>
      <c r="D27" t="s">
        <v>344</v>
      </c>
      <c r="E27" t="s">
        <v>345</v>
      </c>
      <c r="F27" t="s">
        <v>346</v>
      </c>
    </row>
    <row r="28" spans="2:6" x14ac:dyDescent="0.2">
      <c r="B28" t="s">
        <v>347</v>
      </c>
      <c r="C28" t="s">
        <v>348</v>
      </c>
      <c r="D28" t="s">
        <v>348</v>
      </c>
      <c r="E28" t="s">
        <v>349</v>
      </c>
      <c r="F28" t="s">
        <v>350</v>
      </c>
    </row>
    <row r="29" spans="2:6" ht="19" x14ac:dyDescent="0.2">
      <c r="B29" t="s">
        <v>334</v>
      </c>
      <c r="C29" s="107">
        <v>700</v>
      </c>
      <c r="D29" s="107">
        <v>3600</v>
      </c>
      <c r="E29" s="107">
        <v>8000</v>
      </c>
      <c r="F29" s="107">
        <v>0</v>
      </c>
    </row>
    <row r="30" spans="2:6" x14ac:dyDescent="0.2">
      <c r="B30" t="s">
        <v>27</v>
      </c>
      <c r="C30" s="107">
        <v>10000</v>
      </c>
      <c r="D30" s="107">
        <v>40000</v>
      </c>
      <c r="E30" s="107">
        <v>120000</v>
      </c>
      <c r="F30" s="107">
        <v>60000</v>
      </c>
    </row>
    <row r="31" spans="2:6" x14ac:dyDescent="0.2">
      <c r="B31" t="s">
        <v>329</v>
      </c>
      <c r="C31" s="107">
        <v>2000</v>
      </c>
      <c r="D31" s="107">
        <v>6000</v>
      </c>
      <c r="E31" s="107">
        <v>28000</v>
      </c>
      <c r="F31" s="107">
        <v>8000</v>
      </c>
    </row>
    <row r="32" spans="2:6" x14ac:dyDescent="0.2">
      <c r="B32" t="s">
        <v>45</v>
      </c>
      <c r="C32" s="107">
        <v>0</v>
      </c>
      <c r="D32" s="107">
        <v>10000</v>
      </c>
      <c r="E32" s="107">
        <v>50000</v>
      </c>
      <c r="F32" s="107">
        <v>20000</v>
      </c>
    </row>
    <row r="33" spans="2:19" x14ac:dyDescent="0.2">
      <c r="B33" t="s">
        <v>351</v>
      </c>
      <c r="C33" s="21">
        <v>0.6</v>
      </c>
      <c r="D33" s="21">
        <v>0.8</v>
      </c>
      <c r="E33" s="21">
        <v>1</v>
      </c>
      <c r="F33" s="21">
        <v>0.4</v>
      </c>
    </row>
    <row r="34" spans="2:19" x14ac:dyDescent="0.2">
      <c r="B34" t="s">
        <v>352</v>
      </c>
      <c r="C34" s="107">
        <v>7000</v>
      </c>
      <c r="D34" s="107">
        <v>39000</v>
      </c>
      <c r="E34" s="107">
        <v>60000</v>
      </c>
      <c r="F34" s="107">
        <v>15000</v>
      </c>
      <c r="G34" s="107"/>
    </row>
    <row r="35" spans="2:19" x14ac:dyDescent="0.2">
      <c r="C35" s="68"/>
    </row>
    <row r="37" spans="2:19" x14ac:dyDescent="0.2">
      <c r="B37" s="65" t="s">
        <v>353</v>
      </c>
    </row>
    <row r="38" spans="2:19" x14ac:dyDescent="0.2">
      <c r="C38" t="s">
        <v>354</v>
      </c>
      <c r="D38" t="s">
        <v>355</v>
      </c>
    </row>
    <row r="39" spans="2:19" x14ac:dyDescent="0.2">
      <c r="B39" t="s">
        <v>356</v>
      </c>
      <c r="C39">
        <v>6</v>
      </c>
      <c r="D39">
        <v>38</v>
      </c>
    </row>
    <row r="40" spans="2:19" x14ac:dyDescent="0.2">
      <c r="B40" t="s">
        <v>357</v>
      </c>
      <c r="C40" s="68">
        <v>0.87</v>
      </c>
      <c r="D40" s="68">
        <v>1.1000000000000001</v>
      </c>
    </row>
    <row r="41" spans="2:19" x14ac:dyDescent="0.2">
      <c r="B41" t="s">
        <v>358</v>
      </c>
      <c r="C41" s="68">
        <v>4.8</v>
      </c>
      <c r="D41" s="68">
        <v>5.2</v>
      </c>
    </row>
    <row r="45" spans="2:19" x14ac:dyDescent="0.2">
      <c r="B45" s="67" t="s">
        <v>335</v>
      </c>
      <c r="C45" s="1" t="s">
        <v>337</v>
      </c>
      <c r="D45" s="1" t="s">
        <v>338</v>
      </c>
      <c r="E45" s="1" t="s">
        <v>339</v>
      </c>
      <c r="F45" s="1" t="s">
        <v>340</v>
      </c>
      <c r="G45" t="s">
        <v>359</v>
      </c>
      <c r="R45" s="108" t="s">
        <v>360</v>
      </c>
      <c r="S45" s="108"/>
    </row>
    <row r="46" spans="2:19" x14ac:dyDescent="0.2">
      <c r="B46" t="s">
        <v>361</v>
      </c>
      <c r="C46" s="68">
        <f>+C34/C33+C32</f>
        <v>11666.666666666668</v>
      </c>
      <c r="D46" s="68">
        <f t="shared" ref="D46:F46" si="2">+D34/D33+D32</f>
        <v>58750</v>
      </c>
      <c r="E46" s="68">
        <f t="shared" si="2"/>
        <v>110000</v>
      </c>
      <c r="F46" s="68">
        <f t="shared" si="2"/>
        <v>57500</v>
      </c>
      <c r="K46" s="59" t="s">
        <v>362</v>
      </c>
      <c r="L46" s="59" t="s">
        <v>363</v>
      </c>
      <c r="M46" s="59" t="s">
        <v>364</v>
      </c>
      <c r="N46" s="59" t="s">
        <v>340</v>
      </c>
      <c r="O46" s="59" t="s">
        <v>365</v>
      </c>
      <c r="P46" s="59" t="s">
        <v>366</v>
      </c>
      <c r="Q46" s="59" t="s">
        <v>367</v>
      </c>
      <c r="R46" s="109">
        <v>0.4</v>
      </c>
      <c r="S46" s="109">
        <v>0.5</v>
      </c>
    </row>
    <row r="47" spans="2:19" x14ac:dyDescent="0.2">
      <c r="B47" t="s">
        <v>368</v>
      </c>
      <c r="C47" s="68">
        <f>+C46/C30</f>
        <v>1.1666666666666667</v>
      </c>
      <c r="D47" s="68">
        <f t="shared" ref="D47:F47" si="3">+D46/D30</f>
        <v>1.46875</v>
      </c>
      <c r="E47" s="68">
        <f t="shared" si="3"/>
        <v>0.91666666666666663</v>
      </c>
      <c r="F47" s="68">
        <f t="shared" si="3"/>
        <v>0.95833333333333337</v>
      </c>
      <c r="G47" s="68">
        <f>AVERAGE(C47:F47)</f>
        <v>1.1276041666666667</v>
      </c>
      <c r="J47" t="s">
        <v>369</v>
      </c>
      <c r="K47" s="110">
        <f>+C55</f>
        <v>10986.235119047618</v>
      </c>
      <c r="L47" s="46">
        <v>-0.15</v>
      </c>
      <c r="M47" s="68">
        <f>+K47*(1+L47)</f>
        <v>9338.2998511904752</v>
      </c>
      <c r="N47" s="68">
        <f>+$D$15</f>
        <v>2800</v>
      </c>
      <c r="O47" s="68">
        <f>+M47-N47</f>
        <v>6538.2998511904752</v>
      </c>
      <c r="P47" s="47">
        <v>-0.1</v>
      </c>
      <c r="Q47" s="68">
        <f>+O47*(1+P47)</f>
        <v>5884.4698660714275</v>
      </c>
      <c r="R47" s="68">
        <f>+Q47*40%</f>
        <v>2353.7879464285711</v>
      </c>
      <c r="S47" s="68">
        <f>+Q47*50%</f>
        <v>2942.2349330357138</v>
      </c>
    </row>
    <row r="48" spans="2:19" x14ac:dyDescent="0.2">
      <c r="B48" t="s">
        <v>358</v>
      </c>
      <c r="C48" s="68">
        <f>+C46/C31</f>
        <v>5.8333333333333339</v>
      </c>
      <c r="D48" s="68">
        <f t="shared" ref="D48:F48" si="4">+D46/D31</f>
        <v>9.7916666666666661</v>
      </c>
      <c r="E48" s="68">
        <f>+E46/E31</f>
        <v>3.9285714285714284</v>
      </c>
      <c r="F48" s="68">
        <f t="shared" si="4"/>
        <v>7.1875</v>
      </c>
      <c r="G48" s="68">
        <f>AVERAGE(C48:F48)</f>
        <v>6.6852678571428568</v>
      </c>
      <c r="J48" t="s">
        <v>370</v>
      </c>
      <c r="K48" s="111">
        <f>+D55</f>
        <v>12782.517636684302</v>
      </c>
      <c r="L48" s="46">
        <v>-0.15</v>
      </c>
      <c r="M48" s="68">
        <f>+K48*(1+L48)</f>
        <v>10865.139991181657</v>
      </c>
      <c r="N48" s="68">
        <f>+$D$15</f>
        <v>2800</v>
      </c>
      <c r="O48" s="68">
        <f>+M48-N48</f>
        <v>8065.139991181657</v>
      </c>
      <c r="P48" s="47">
        <v>-0.1</v>
      </c>
      <c r="Q48" s="68">
        <f>+O48*(1+P48)</f>
        <v>7258.6259920634911</v>
      </c>
      <c r="R48" s="68">
        <f>+Q48*40%</f>
        <v>2903.4503968253966</v>
      </c>
      <c r="S48" s="68">
        <f>+Q48*50%</f>
        <v>3629.3129960317456</v>
      </c>
    </row>
    <row r="49" spans="2:19" x14ac:dyDescent="0.2">
      <c r="B49" t="s">
        <v>371</v>
      </c>
      <c r="C49" s="68">
        <f>+C46/C29</f>
        <v>16.666666666666668</v>
      </c>
      <c r="D49" s="68">
        <f t="shared" ref="D49:E49" si="5">+D46/D29</f>
        <v>16.319444444444443</v>
      </c>
      <c r="E49" s="68">
        <f t="shared" si="5"/>
        <v>13.75</v>
      </c>
      <c r="F49" s="68"/>
      <c r="G49" s="68">
        <f>AVERAGE(C49:E49)</f>
        <v>15.578703703703704</v>
      </c>
    </row>
    <row r="51" spans="2:19" x14ac:dyDescent="0.2">
      <c r="B51" s="112" t="s">
        <v>372</v>
      </c>
      <c r="C51" s="59">
        <f>+C3</f>
        <v>2022</v>
      </c>
      <c r="D51" s="59" t="str">
        <f t="shared" ref="D51:E51" si="6">+D3</f>
        <v>2023e</v>
      </c>
      <c r="E51" s="59" t="str">
        <f t="shared" si="6"/>
        <v>2024f</v>
      </c>
    </row>
    <row r="52" spans="2:19" x14ac:dyDescent="0.2">
      <c r="B52" t="s">
        <v>373</v>
      </c>
      <c r="C52" s="68">
        <f>+C4*$G$47</f>
        <v>11276.041666666668</v>
      </c>
      <c r="D52" s="68">
        <f t="shared" ref="D52:E52" si="7">+D4*$G$47</f>
        <v>12403.645833333334</v>
      </c>
      <c r="E52" s="113">
        <f t="shared" si="7"/>
        <v>14658.854166666668</v>
      </c>
      <c r="G52" t="s">
        <v>374</v>
      </c>
    </row>
    <row r="53" spans="2:19" x14ac:dyDescent="0.2">
      <c r="B53" t="s">
        <v>375</v>
      </c>
      <c r="C53" s="68">
        <f>+$G$48*C5</f>
        <v>10696.428571428571</v>
      </c>
      <c r="D53" s="68">
        <f t="shared" ref="D53:E53" si="8">+$G$48*D5</f>
        <v>12702.008928571428</v>
      </c>
      <c r="E53" s="113">
        <f t="shared" si="8"/>
        <v>16044.642857142857</v>
      </c>
    </row>
    <row r="54" spans="2:19" x14ac:dyDescent="0.2">
      <c r="B54" t="s">
        <v>376</v>
      </c>
      <c r="D54" s="68">
        <f>+G49*C22</f>
        <v>13241.898148148148</v>
      </c>
      <c r="E54" s="114"/>
    </row>
    <row r="55" spans="2:19" x14ac:dyDescent="0.2">
      <c r="B55" s="65" t="s">
        <v>359</v>
      </c>
      <c r="C55" s="115">
        <f>AVERAGE(C52:C54)</f>
        <v>10986.235119047618</v>
      </c>
      <c r="D55" s="116">
        <f t="shared" ref="D55:E55" si="9">AVERAGE(D52:D54)</f>
        <v>12782.517636684302</v>
      </c>
      <c r="E55" s="117">
        <f t="shared" si="9"/>
        <v>15351.748511904763</v>
      </c>
    </row>
    <row r="57" spans="2:19" x14ac:dyDescent="0.2">
      <c r="B57" t="s">
        <v>377</v>
      </c>
    </row>
    <row r="59" spans="2:19" x14ac:dyDescent="0.2">
      <c r="B59" s="67" t="s">
        <v>335</v>
      </c>
    </row>
    <row r="60" spans="2:19" x14ac:dyDescent="0.2">
      <c r="B60" t="str">
        <f>+C38</f>
        <v>CEE</v>
      </c>
      <c r="C60" s="59">
        <f>+C51</f>
        <v>2022</v>
      </c>
      <c r="D60" s="59" t="str">
        <f t="shared" ref="D60:E60" si="10">+D51</f>
        <v>2023e</v>
      </c>
      <c r="E60" s="59" t="str">
        <f t="shared" si="10"/>
        <v>2024f</v>
      </c>
      <c r="F60" s="59" t="s">
        <v>359</v>
      </c>
      <c r="R60" s="108" t="s">
        <v>360</v>
      </c>
      <c r="S60" s="108"/>
    </row>
    <row r="61" spans="2:19" x14ac:dyDescent="0.2">
      <c r="B61" t="s">
        <v>373</v>
      </c>
      <c r="C61" s="68">
        <f>+$C$40*C4</f>
        <v>8700</v>
      </c>
      <c r="D61" s="68">
        <f t="shared" ref="D61:E61" si="11">+$C$40*D4</f>
        <v>9570</v>
      </c>
      <c r="E61" s="68">
        <f t="shared" si="11"/>
        <v>11310</v>
      </c>
      <c r="F61" s="68">
        <f>AVERAGE(C61:E61)</f>
        <v>9860</v>
      </c>
      <c r="K61" s="59" t="s">
        <v>362</v>
      </c>
      <c r="L61" s="59" t="s">
        <v>363</v>
      </c>
      <c r="M61" s="59" t="s">
        <v>364</v>
      </c>
      <c r="N61" s="59" t="s">
        <v>340</v>
      </c>
      <c r="O61" s="59" t="s">
        <v>365</v>
      </c>
      <c r="P61" s="59" t="s">
        <v>366</v>
      </c>
      <c r="Q61" s="59" t="s">
        <v>367</v>
      </c>
      <c r="R61" s="109">
        <v>0.4</v>
      </c>
      <c r="S61" s="109">
        <v>0.5</v>
      </c>
    </row>
    <row r="62" spans="2:19" x14ac:dyDescent="0.2">
      <c r="B62" t="s">
        <v>375</v>
      </c>
      <c r="C62" s="68">
        <f>+$C$41*C5</f>
        <v>7680</v>
      </c>
      <c r="D62" s="68">
        <f t="shared" ref="D62:E62" si="12">+$C$41*D5</f>
        <v>9120</v>
      </c>
      <c r="E62" s="68">
        <f t="shared" si="12"/>
        <v>11520</v>
      </c>
      <c r="F62" s="118">
        <f>AVERAGE(C62:E62)</f>
        <v>9440</v>
      </c>
      <c r="J62" t="s">
        <v>369</v>
      </c>
      <c r="K62" s="118">
        <f>+F62</f>
        <v>9440</v>
      </c>
      <c r="L62" s="46">
        <v>-0.2</v>
      </c>
      <c r="M62" s="68">
        <f>+K62*(1+L62)</f>
        <v>7552</v>
      </c>
      <c r="N62" s="68">
        <f>+$D$15</f>
        <v>2800</v>
      </c>
      <c r="O62" s="68">
        <f>+M62-N62</f>
        <v>4752</v>
      </c>
      <c r="P62" s="47">
        <v>-0.1</v>
      </c>
      <c r="Q62" s="68">
        <f>+O62*(1+P62)</f>
        <v>4276.8</v>
      </c>
      <c r="R62" s="68">
        <f>+Q62*40%</f>
        <v>1710.7200000000003</v>
      </c>
      <c r="S62" s="68">
        <f>+Q62*50%</f>
        <v>2138.4</v>
      </c>
    </row>
    <row r="63" spans="2:19" x14ac:dyDescent="0.2">
      <c r="J63" t="s">
        <v>370</v>
      </c>
      <c r="K63" s="111">
        <f>+F65</f>
        <v>12466.666666666666</v>
      </c>
      <c r="L63" s="46">
        <v>-0.2</v>
      </c>
      <c r="M63" s="68">
        <f>+K63*(1+L63)</f>
        <v>9973.3333333333339</v>
      </c>
      <c r="N63" s="68">
        <f>+$D$15</f>
        <v>2800</v>
      </c>
      <c r="O63" s="68">
        <f>+M63-N63</f>
        <v>7173.3333333333339</v>
      </c>
      <c r="P63" s="47">
        <v>-0.1</v>
      </c>
      <c r="Q63" s="68">
        <f>+O63*(1+P63)</f>
        <v>6456.0000000000009</v>
      </c>
      <c r="R63" s="68">
        <f>+Q63*40%</f>
        <v>2582.4000000000005</v>
      </c>
      <c r="S63" s="68">
        <f>+Q63*50%</f>
        <v>3228.0000000000005</v>
      </c>
    </row>
    <row r="64" spans="2:19" x14ac:dyDescent="0.2">
      <c r="B64" t="str">
        <f>+D38</f>
        <v>West EU</v>
      </c>
      <c r="C64" s="59">
        <f>+C60</f>
        <v>2022</v>
      </c>
      <c r="D64" s="59" t="str">
        <f t="shared" ref="D64:E64" si="13">+D60</f>
        <v>2023e</v>
      </c>
      <c r="E64" s="59" t="str">
        <f t="shared" si="13"/>
        <v>2024f</v>
      </c>
    </row>
    <row r="65" spans="2:6" x14ac:dyDescent="0.2">
      <c r="B65" t="s">
        <v>373</v>
      </c>
      <c r="C65" s="68">
        <f>+$D$40*C4</f>
        <v>11000</v>
      </c>
      <c r="D65" s="68">
        <f t="shared" ref="D65:E65" si="14">+$D$40*D4</f>
        <v>12100.000000000002</v>
      </c>
      <c r="E65" s="68">
        <f t="shared" si="14"/>
        <v>14300.000000000002</v>
      </c>
      <c r="F65" s="111">
        <f>AVERAGE(C65:E65)</f>
        <v>12466.666666666666</v>
      </c>
    </row>
    <row r="66" spans="2:6" x14ac:dyDescent="0.2">
      <c r="B66" t="s">
        <v>375</v>
      </c>
      <c r="C66" s="68">
        <f>+$D$41*C5</f>
        <v>8320</v>
      </c>
      <c r="D66" s="68">
        <f t="shared" ref="D66:E66" si="15">+$D$41*D5</f>
        <v>9880</v>
      </c>
      <c r="E66" s="68">
        <f t="shared" si="15"/>
        <v>12480</v>
      </c>
      <c r="F66" s="68">
        <f>AVERAGE(C66:E66)</f>
        <v>10226.666666666666</v>
      </c>
    </row>
    <row r="68" spans="2:6" x14ac:dyDescent="0.2">
      <c r="B68" t="s">
        <v>378</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F5F48-6316-41D6-8EE6-E1B08F52D062}">
  <sheetPr>
    <tabColor rgb="FFFF6600"/>
  </sheetPr>
  <dimension ref="B2:L52"/>
  <sheetViews>
    <sheetView topLeftCell="E1" workbookViewId="0">
      <selection activeCell="K25" sqref="K25"/>
    </sheetView>
  </sheetViews>
  <sheetFormatPr baseColWidth="10" defaultColWidth="8.83203125" defaultRowHeight="16" x14ac:dyDescent="0.2"/>
  <cols>
    <col min="2" max="2" width="21.6640625" bestFit="1" customWidth="1"/>
    <col min="3" max="3" width="21" bestFit="1" customWidth="1"/>
    <col min="4" max="4" width="6.1640625" bestFit="1" customWidth="1"/>
    <col min="5" max="5" width="6.33203125" bestFit="1" customWidth="1"/>
    <col min="7" max="7" width="20.83203125" bestFit="1" customWidth="1"/>
    <col min="9" max="9" width="10.5" bestFit="1" customWidth="1"/>
    <col min="10" max="10" width="18" bestFit="1" customWidth="1"/>
  </cols>
  <sheetData>
    <row r="2" spans="2:12" x14ac:dyDescent="0.2">
      <c r="B2" s="119" t="s">
        <v>379</v>
      </c>
    </row>
    <row r="3" spans="2:12" x14ac:dyDescent="0.2">
      <c r="C3" t="s">
        <v>380</v>
      </c>
      <c r="D3" s="106">
        <v>0.2</v>
      </c>
      <c r="G3" s="120" t="s">
        <v>381</v>
      </c>
    </row>
    <row r="4" spans="2:12" x14ac:dyDescent="0.2">
      <c r="G4" t="s">
        <v>382</v>
      </c>
      <c r="H4" s="107">
        <f>+D10-D13</f>
        <v>188</v>
      </c>
    </row>
    <row r="5" spans="2:12" x14ac:dyDescent="0.2">
      <c r="C5" t="s">
        <v>383</v>
      </c>
      <c r="D5" s="106">
        <v>0.1</v>
      </c>
      <c r="G5" t="s">
        <v>362</v>
      </c>
      <c r="H5" s="121">
        <f>+H4*D12</f>
        <v>1128</v>
      </c>
      <c r="J5" s="121">
        <f>+H9-H5</f>
        <v>72</v>
      </c>
    </row>
    <row r="6" spans="2:12" x14ac:dyDescent="0.2">
      <c r="C6" t="s">
        <v>384</v>
      </c>
      <c r="D6" s="106">
        <v>0.15</v>
      </c>
      <c r="G6" s="122" t="s">
        <v>385</v>
      </c>
      <c r="H6" s="122">
        <f>+H5-D11</f>
        <v>1008</v>
      </c>
      <c r="I6" s="122" t="s">
        <v>386</v>
      </c>
    </row>
    <row r="7" spans="2:12" x14ac:dyDescent="0.2">
      <c r="C7" t="s">
        <v>387</v>
      </c>
      <c r="D7" s="106">
        <v>0.12</v>
      </c>
    </row>
    <row r="9" spans="2:12" x14ac:dyDescent="0.2">
      <c r="B9" s="119" t="s">
        <v>388</v>
      </c>
      <c r="G9" t="s">
        <v>389</v>
      </c>
      <c r="H9" s="121">
        <f>+D10*D12</f>
        <v>1200</v>
      </c>
      <c r="I9" t="s">
        <v>390</v>
      </c>
    </row>
    <row r="10" spans="2:12" x14ac:dyDescent="0.2">
      <c r="C10" t="s">
        <v>329</v>
      </c>
      <c r="D10" s="107">
        <v>200</v>
      </c>
      <c r="E10" t="s">
        <v>391</v>
      </c>
      <c r="G10" t="s">
        <v>392</v>
      </c>
      <c r="H10">
        <f>+((D13*(1-D3)/(D5-D14))*(1+D5))</f>
        <v>211.20000000000005</v>
      </c>
      <c r="I10" t="s">
        <v>393</v>
      </c>
      <c r="L10" t="s">
        <v>394</v>
      </c>
    </row>
    <row r="11" spans="2:12" x14ac:dyDescent="0.2">
      <c r="C11" t="s">
        <v>45</v>
      </c>
      <c r="D11">
        <v>120</v>
      </c>
      <c r="E11" t="s">
        <v>391</v>
      </c>
      <c r="G11" t="s">
        <v>395</v>
      </c>
      <c r="H11">
        <f>+H9-H10</f>
        <v>988.8</v>
      </c>
    </row>
    <row r="12" spans="2:12" x14ac:dyDescent="0.2">
      <c r="B12" t="s">
        <v>396</v>
      </c>
      <c r="C12" t="s">
        <v>397</v>
      </c>
      <c r="D12">
        <v>6</v>
      </c>
      <c r="G12" s="122" t="s">
        <v>398</v>
      </c>
      <c r="H12" s="122">
        <f>+H11-D11</f>
        <v>868.8</v>
      </c>
      <c r="I12" s="122" t="s">
        <v>399</v>
      </c>
    </row>
    <row r="13" spans="2:12" x14ac:dyDescent="0.2">
      <c r="C13" t="s">
        <v>400</v>
      </c>
      <c r="D13" s="107">
        <v>12</v>
      </c>
      <c r="E13" t="s">
        <v>391</v>
      </c>
    </row>
    <row r="14" spans="2:12" x14ac:dyDescent="0.2">
      <c r="C14" t="s">
        <v>92</v>
      </c>
      <c r="D14" s="106">
        <v>0.05</v>
      </c>
    </row>
    <row r="15" spans="2:12" x14ac:dyDescent="0.2">
      <c r="G15" s="120" t="s">
        <v>401</v>
      </c>
    </row>
    <row r="16" spans="2:12" x14ac:dyDescent="0.2">
      <c r="B16" s="119" t="s">
        <v>402</v>
      </c>
      <c r="G16" s="123" t="s">
        <v>403</v>
      </c>
      <c r="H16" s="123">
        <v>10</v>
      </c>
      <c r="J16" t="s">
        <v>404</v>
      </c>
      <c r="K16">
        <v>10</v>
      </c>
      <c r="L16" s="124" t="s">
        <v>405</v>
      </c>
    </row>
    <row r="17" spans="2:12" x14ac:dyDescent="0.2">
      <c r="C17" t="s">
        <v>406</v>
      </c>
      <c r="D17">
        <v>30</v>
      </c>
      <c r="E17" t="s">
        <v>391</v>
      </c>
      <c r="G17" s="123" t="s">
        <v>403</v>
      </c>
      <c r="H17" s="123">
        <f>+D24*(1-D3)</f>
        <v>8</v>
      </c>
      <c r="J17" s="125" t="s">
        <v>407</v>
      </c>
      <c r="K17" s="125">
        <f>-D17*D22</f>
        <v>-6</v>
      </c>
      <c r="L17" s="124" t="s">
        <v>408</v>
      </c>
    </row>
    <row r="18" spans="2:12" x14ac:dyDescent="0.2">
      <c r="C18" t="s">
        <v>409</v>
      </c>
      <c r="D18">
        <v>2</v>
      </c>
      <c r="E18" t="s">
        <v>410</v>
      </c>
      <c r="J18" t="s">
        <v>285</v>
      </c>
      <c r="K18">
        <f>+K16+K17</f>
        <v>4</v>
      </c>
    </row>
    <row r="19" spans="2:12" x14ac:dyDescent="0.2">
      <c r="C19" t="s">
        <v>411</v>
      </c>
      <c r="D19">
        <v>1100</v>
      </c>
      <c r="E19" t="s">
        <v>391</v>
      </c>
      <c r="G19" s="122" t="s">
        <v>403</v>
      </c>
      <c r="H19" s="122">
        <f>+K16+K19</f>
        <v>9.1999999999999993</v>
      </c>
      <c r="J19" t="s">
        <v>412</v>
      </c>
      <c r="K19">
        <f>-D3*K18</f>
        <v>-0.8</v>
      </c>
    </row>
    <row r="20" spans="2:12" x14ac:dyDescent="0.2">
      <c r="J20" s="65" t="s">
        <v>286</v>
      </c>
      <c r="K20" s="65">
        <f>+K18+K19</f>
        <v>3.2</v>
      </c>
    </row>
    <row r="21" spans="2:12" x14ac:dyDescent="0.2">
      <c r="B21" s="126" t="s">
        <v>413</v>
      </c>
    </row>
    <row r="22" spans="2:12" x14ac:dyDescent="0.2">
      <c r="B22" s="10"/>
      <c r="C22" t="s">
        <v>414</v>
      </c>
      <c r="D22" s="106">
        <v>0.2</v>
      </c>
    </row>
    <row r="23" spans="2:12" x14ac:dyDescent="0.2">
      <c r="B23" s="10"/>
      <c r="C23" t="s">
        <v>415</v>
      </c>
      <c r="D23" s="106">
        <v>0</v>
      </c>
      <c r="G23" s="120" t="s">
        <v>416</v>
      </c>
    </row>
    <row r="24" spans="2:12" x14ac:dyDescent="0.2">
      <c r="B24" s="10"/>
      <c r="C24" t="s">
        <v>417</v>
      </c>
      <c r="D24">
        <v>10</v>
      </c>
      <c r="E24" t="s">
        <v>391</v>
      </c>
      <c r="G24" s="65" t="s">
        <v>418</v>
      </c>
      <c r="J24" s="65" t="s">
        <v>419</v>
      </c>
    </row>
    <row r="25" spans="2:12" x14ac:dyDescent="0.2">
      <c r="B25" s="10"/>
      <c r="G25" s="127" t="s">
        <v>420</v>
      </c>
      <c r="H25">
        <f>+D29</f>
        <v>1250</v>
      </c>
      <c r="J25" s="128" t="str">
        <f>+G25</f>
        <v>Revenue</v>
      </c>
      <c r="K25">
        <f t="shared" ref="K25" si="0">+H25</f>
        <v>1250</v>
      </c>
    </row>
    <row r="26" spans="2:12" x14ac:dyDescent="0.2">
      <c r="B26" s="126" t="s">
        <v>421</v>
      </c>
      <c r="G26" s="127" t="s">
        <v>422</v>
      </c>
      <c r="H26" s="84">
        <f>+D19*D28</f>
        <v>660</v>
      </c>
      <c r="J26" s="128" t="str">
        <f>+G26</f>
        <v>Cost of construction</v>
      </c>
      <c r="K26">
        <f>+H26</f>
        <v>660</v>
      </c>
    </row>
    <row r="27" spans="2:12" x14ac:dyDescent="0.2">
      <c r="B27" s="10"/>
      <c r="C27" s="129" t="s">
        <v>414</v>
      </c>
      <c r="D27" s="130">
        <v>0.6</v>
      </c>
      <c r="G27" s="131" t="s">
        <v>423</v>
      </c>
      <c r="H27" s="132">
        <f>+D27*D17</f>
        <v>18</v>
      </c>
      <c r="J27" s="133" t="str">
        <f>+G29</f>
        <v>tax</v>
      </c>
      <c r="K27" s="125">
        <f>+H29</f>
        <v>114.4</v>
      </c>
    </row>
    <row r="28" spans="2:12" x14ac:dyDescent="0.2">
      <c r="B28" s="10"/>
      <c r="C28" s="84" t="s">
        <v>415</v>
      </c>
      <c r="D28" s="134">
        <v>0.6</v>
      </c>
      <c r="G28" s="127" t="s">
        <v>424</v>
      </c>
      <c r="H28">
        <f>+H25-H26-H27</f>
        <v>572</v>
      </c>
      <c r="J28" s="65" t="s">
        <v>425</v>
      </c>
      <c r="K28">
        <f>+K25-K26-K27</f>
        <v>475.6</v>
      </c>
    </row>
    <row r="29" spans="2:12" x14ac:dyDescent="0.2">
      <c r="B29" s="10"/>
      <c r="C29" t="s">
        <v>417</v>
      </c>
      <c r="D29">
        <v>1250</v>
      </c>
      <c r="E29" t="s">
        <v>391</v>
      </c>
      <c r="G29" s="127" t="s">
        <v>412</v>
      </c>
      <c r="H29">
        <f>+H28*D3</f>
        <v>114.4</v>
      </c>
      <c r="J29" s="135" t="s">
        <v>426</v>
      </c>
      <c r="K29" s="122">
        <f>+K28/(1+D6)^2</f>
        <v>359.62192816635167</v>
      </c>
    </row>
    <row r="30" spans="2:12" x14ac:dyDescent="0.2">
      <c r="B30" s="10"/>
    </row>
    <row r="31" spans="2:12" x14ac:dyDescent="0.2">
      <c r="B31" s="10"/>
    </row>
    <row r="32" spans="2:12" x14ac:dyDescent="0.2">
      <c r="B32" s="126" t="s">
        <v>427</v>
      </c>
      <c r="G32" s="120" t="s">
        <v>428</v>
      </c>
    </row>
    <row r="33" spans="3:9" x14ac:dyDescent="0.2">
      <c r="C33" t="s">
        <v>414</v>
      </c>
      <c r="D33" s="106">
        <v>0.2</v>
      </c>
      <c r="E33" t="s">
        <v>429</v>
      </c>
    </row>
    <row r="34" spans="3:9" x14ac:dyDescent="0.2">
      <c r="C34" t="s">
        <v>415</v>
      </c>
      <c r="D34" s="106">
        <v>0.4</v>
      </c>
      <c r="G34" t="s">
        <v>430</v>
      </c>
      <c r="H34">
        <f>+D34*D19</f>
        <v>440</v>
      </c>
      <c r="I34" t="s">
        <v>431</v>
      </c>
    </row>
    <row r="35" spans="3:9" x14ac:dyDescent="0.2">
      <c r="G35" t="s">
        <v>432</v>
      </c>
      <c r="H35">
        <f>+H34*(1-20%)/(1+D6)^2</f>
        <v>266.16257088846885</v>
      </c>
    </row>
    <row r="36" spans="3:9" x14ac:dyDescent="0.2">
      <c r="C36" t="s">
        <v>433</v>
      </c>
      <c r="D36">
        <v>30</v>
      </c>
      <c r="E36" t="s">
        <v>410</v>
      </c>
      <c r="G36" t="s">
        <v>30</v>
      </c>
      <c r="H36">
        <f>+H34/D37</f>
        <v>22</v>
      </c>
    </row>
    <row r="37" spans="3:9" x14ac:dyDescent="0.2">
      <c r="C37" t="s">
        <v>434</v>
      </c>
      <c r="D37">
        <v>20</v>
      </c>
      <c r="E37" t="s">
        <v>410</v>
      </c>
    </row>
    <row r="39" spans="3:9" x14ac:dyDescent="0.2">
      <c r="C39" t="s">
        <v>435</v>
      </c>
      <c r="D39">
        <v>60</v>
      </c>
      <c r="E39" t="s">
        <v>391</v>
      </c>
      <c r="G39" s="65" t="s">
        <v>436</v>
      </c>
    </row>
    <row r="40" spans="3:9" x14ac:dyDescent="0.2">
      <c r="C40" s="122" t="s">
        <v>437</v>
      </c>
      <c r="D40">
        <f>+D39*(1-D3)</f>
        <v>48</v>
      </c>
      <c r="G40" s="127" t="s">
        <v>392</v>
      </c>
      <c r="H40">
        <f>+((D40/(D5-D41))*(1-((1+D41)^D36/(1+D5)^D36)))*(1+D5)</f>
        <v>794.44541619073152</v>
      </c>
      <c r="I40" t="s">
        <v>438</v>
      </c>
    </row>
    <row r="41" spans="3:9" x14ac:dyDescent="0.2">
      <c r="C41" t="s">
        <v>92</v>
      </c>
      <c r="D41" s="106">
        <v>0.05</v>
      </c>
    </row>
    <row r="42" spans="3:9" x14ac:dyDescent="0.2">
      <c r="G42" t="s">
        <v>439</v>
      </c>
      <c r="H42">
        <f>+H36*D3</f>
        <v>4.4000000000000004</v>
      </c>
    </row>
    <row r="43" spans="3:9" x14ac:dyDescent="0.2">
      <c r="G43" t="s">
        <v>440</v>
      </c>
      <c r="H43">
        <f>+H42/D5*(1-(1/(1+D5)^D37))</f>
        <v>37.45968036693769</v>
      </c>
      <c r="I43" t="s">
        <v>441</v>
      </c>
    </row>
    <row r="45" spans="3:9" x14ac:dyDescent="0.2">
      <c r="G45" t="s">
        <v>442</v>
      </c>
      <c r="H45">
        <f>+H40+H43</f>
        <v>831.90509655766925</v>
      </c>
    </row>
    <row r="46" spans="3:9" x14ac:dyDescent="0.2">
      <c r="G46" t="s">
        <v>443</v>
      </c>
      <c r="H46">
        <f>+H45/(1+D6)^2</f>
        <v>629.03977055400333</v>
      </c>
    </row>
    <row r="48" spans="3:9" x14ac:dyDescent="0.2">
      <c r="C48" s="136" t="s">
        <v>444</v>
      </c>
      <c r="D48" s="137">
        <f>+SUM(D49:D52)</f>
        <v>1600.4991278318862</v>
      </c>
    </row>
    <row r="49" spans="3:4" x14ac:dyDescent="0.2">
      <c r="C49" s="138" t="s">
        <v>381</v>
      </c>
      <c r="D49" s="122">
        <f>+H12</f>
        <v>868.8</v>
      </c>
    </row>
    <row r="50" spans="3:4" x14ac:dyDescent="0.2">
      <c r="C50" s="138" t="str">
        <f>+G15</f>
        <v>Roads</v>
      </c>
      <c r="D50" s="122">
        <f>+H19</f>
        <v>9.1999999999999993</v>
      </c>
    </row>
    <row r="51" spans="3:4" x14ac:dyDescent="0.2">
      <c r="C51" s="138" t="str">
        <f>+G23</f>
        <v>RESIDENTIAL</v>
      </c>
      <c r="D51" s="122">
        <f>+K29</f>
        <v>359.62192816635167</v>
      </c>
    </row>
    <row r="52" spans="3:4" x14ac:dyDescent="0.2">
      <c r="C52" s="138" t="str">
        <f>+G32</f>
        <v>Office buildings</v>
      </c>
      <c r="D52" s="122">
        <f>+H46-H35</f>
        <v>362.87719966553448</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D58C7-2D23-40F0-B1A9-33DCFB0A1297}">
  <sheetPr>
    <tabColor theme="8" tint="-0.249977111117893"/>
  </sheetPr>
  <dimension ref="A3:H89"/>
  <sheetViews>
    <sheetView tabSelected="1" zoomScale="75" workbookViewId="0">
      <selection activeCell="G43" sqref="G43"/>
    </sheetView>
  </sheetViews>
  <sheetFormatPr baseColWidth="10" defaultColWidth="8.83203125" defaultRowHeight="16" x14ac:dyDescent="0.2"/>
  <cols>
    <col min="1" max="1" width="32.1640625" bestFit="1" customWidth="1"/>
    <col min="2" max="2" width="30.1640625" bestFit="1" customWidth="1"/>
    <col min="4" max="4" width="7.6640625" bestFit="1" customWidth="1"/>
    <col min="5" max="5" width="6.6640625" customWidth="1"/>
    <col min="6" max="6" width="17.83203125" bestFit="1" customWidth="1"/>
  </cols>
  <sheetData>
    <row r="3" spans="2:4" x14ac:dyDescent="0.2">
      <c r="B3" s="65" t="s">
        <v>445</v>
      </c>
    </row>
    <row r="5" spans="2:4" x14ac:dyDescent="0.2">
      <c r="B5" s="106">
        <v>0.2</v>
      </c>
      <c r="C5" t="s">
        <v>446</v>
      </c>
    </row>
    <row r="6" spans="2:4" x14ac:dyDescent="0.2">
      <c r="B6" s="106">
        <v>0.2</v>
      </c>
      <c r="C6" t="s">
        <v>446</v>
      </c>
    </row>
    <row r="7" spans="2:4" x14ac:dyDescent="0.2">
      <c r="B7" s="106">
        <v>0.2</v>
      </c>
    </row>
    <row r="8" spans="2:4" x14ac:dyDescent="0.2">
      <c r="B8" s="106">
        <v>0.2</v>
      </c>
    </row>
    <row r="9" spans="2:4" x14ac:dyDescent="0.2">
      <c r="B9" s="106">
        <v>0.2</v>
      </c>
    </row>
    <row r="12" spans="2:4" x14ac:dyDescent="0.2">
      <c r="B12" t="s">
        <v>447</v>
      </c>
      <c r="C12" s="106">
        <v>0.13</v>
      </c>
      <c r="D12" s="106"/>
    </row>
    <row r="13" spans="2:4" x14ac:dyDescent="0.2">
      <c r="B13" t="s">
        <v>448</v>
      </c>
      <c r="C13" s="106">
        <v>0.11</v>
      </c>
      <c r="D13" s="106"/>
    </row>
    <row r="14" spans="2:4" x14ac:dyDescent="0.2">
      <c r="B14" t="s">
        <v>449</v>
      </c>
      <c r="C14" s="106">
        <v>0.12</v>
      </c>
      <c r="D14" s="106"/>
    </row>
    <row r="15" spans="2:4" x14ac:dyDescent="0.2">
      <c r="B15" t="s">
        <v>450</v>
      </c>
      <c r="C15" s="106">
        <v>0.04</v>
      </c>
      <c r="D15" s="106"/>
    </row>
    <row r="16" spans="2:4" x14ac:dyDescent="0.2">
      <c r="B16" t="s">
        <v>58</v>
      </c>
      <c r="C16" s="106">
        <v>0.1</v>
      </c>
      <c r="D16" s="106"/>
    </row>
    <row r="20" spans="1:7" x14ac:dyDescent="0.2">
      <c r="B20" s="142" t="s">
        <v>451</v>
      </c>
    </row>
    <row r="21" spans="1:7" x14ac:dyDescent="0.2">
      <c r="B21" s="121" t="s">
        <v>452</v>
      </c>
      <c r="C21" s="147">
        <v>0.06</v>
      </c>
      <c r="D21" s="147"/>
      <c r="F21" t="s">
        <v>453</v>
      </c>
      <c r="G21" s="145">
        <f>+C25/(C30-C26)</f>
        <v>4444.4444444444443</v>
      </c>
    </row>
    <row r="22" spans="1:7" x14ac:dyDescent="0.2">
      <c r="B22" t="s">
        <v>454</v>
      </c>
      <c r="C22" s="106">
        <v>0.47</v>
      </c>
      <c r="D22" s="106"/>
      <c r="F22" s="121" t="s">
        <v>455</v>
      </c>
      <c r="G22">
        <f>+G21*C21</f>
        <v>266.66666666666663</v>
      </c>
    </row>
    <row r="23" spans="1:7" x14ac:dyDescent="0.2">
      <c r="B23" t="s">
        <v>456</v>
      </c>
      <c r="C23" s="106">
        <v>0.47</v>
      </c>
      <c r="D23" s="106"/>
      <c r="F23" t="s">
        <v>457</v>
      </c>
      <c r="G23" s="106">
        <v>0.1</v>
      </c>
    </row>
    <row r="25" spans="1:7" x14ac:dyDescent="0.2">
      <c r="B25" t="s">
        <v>75</v>
      </c>
      <c r="C25" s="6">
        <v>400</v>
      </c>
      <c r="D25" s="6"/>
    </row>
    <row r="26" spans="1:7" x14ac:dyDescent="0.2">
      <c r="B26" t="s">
        <v>92</v>
      </c>
      <c r="C26" s="106">
        <v>0.04</v>
      </c>
      <c r="D26" s="106"/>
    </row>
    <row r="27" spans="1:7" x14ac:dyDescent="0.2">
      <c r="A27" t="s">
        <v>458</v>
      </c>
      <c r="B27" t="s">
        <v>162</v>
      </c>
      <c r="C27" s="106">
        <v>0</v>
      </c>
      <c r="D27" s="106"/>
    </row>
    <row r="28" spans="1:7" x14ac:dyDescent="0.2">
      <c r="B28" t="s">
        <v>459</v>
      </c>
      <c r="C28" s="6">
        <v>110</v>
      </c>
      <c r="D28" s="6"/>
      <c r="F28" t="s">
        <v>460</v>
      </c>
      <c r="G28" s="112">
        <f>+C28/(1+C15)</f>
        <v>105.76923076923076</v>
      </c>
    </row>
    <row r="30" spans="1:7" x14ac:dyDescent="0.2">
      <c r="A30" t="s">
        <v>461</v>
      </c>
      <c r="B30" t="str">
        <f>+B12</f>
        <v>rA sanitary</v>
      </c>
      <c r="C30" s="106">
        <f>+C12</f>
        <v>0.13</v>
      </c>
      <c r="D30" s="106"/>
    </row>
    <row r="33" spans="1:7" x14ac:dyDescent="0.2">
      <c r="B33" s="144" t="s">
        <v>462</v>
      </c>
    </row>
    <row r="34" spans="1:7" x14ac:dyDescent="0.2">
      <c r="B34" s="84" t="s">
        <v>452</v>
      </c>
      <c r="C34" s="106">
        <v>0.85</v>
      </c>
      <c r="D34" s="106"/>
      <c r="F34" t="s">
        <v>463</v>
      </c>
    </row>
    <row r="35" spans="1:7" x14ac:dyDescent="0.2">
      <c r="B35" t="s">
        <v>454</v>
      </c>
      <c r="C35" s="106">
        <v>0.1</v>
      </c>
      <c r="D35" s="106"/>
      <c r="F35" t="s">
        <v>362</v>
      </c>
      <c r="G35">
        <f>+C44*C38</f>
        <v>1250</v>
      </c>
    </row>
    <row r="36" spans="1:7" x14ac:dyDescent="0.2">
      <c r="B36" t="s">
        <v>464</v>
      </c>
      <c r="C36" s="106">
        <v>0.05</v>
      </c>
      <c r="D36" s="106"/>
      <c r="F36" t="s">
        <v>385</v>
      </c>
      <c r="G36">
        <f>+G35-C41</f>
        <v>750</v>
      </c>
    </row>
    <row r="37" spans="1:7" x14ac:dyDescent="0.2">
      <c r="C37" s="106"/>
      <c r="D37" s="106"/>
      <c r="F37" s="84" t="s">
        <v>465</v>
      </c>
      <c r="G37" s="150">
        <f>+G36*C34</f>
        <v>637.5</v>
      </c>
    </row>
    <row r="38" spans="1:7" x14ac:dyDescent="0.2">
      <c r="B38" t="s">
        <v>27</v>
      </c>
      <c r="C38">
        <v>250</v>
      </c>
    </row>
    <row r="39" spans="1:7" x14ac:dyDescent="0.2">
      <c r="B39" t="s">
        <v>36</v>
      </c>
      <c r="C39">
        <v>50</v>
      </c>
      <c r="F39" t="s">
        <v>466</v>
      </c>
    </row>
    <row r="40" spans="1:7" x14ac:dyDescent="0.2">
      <c r="B40" t="s">
        <v>92</v>
      </c>
      <c r="C40" s="106">
        <v>0.03</v>
      </c>
      <c r="D40" s="106"/>
      <c r="F40" t="s">
        <v>163</v>
      </c>
      <c r="G40">
        <f>+(C43-G41*C42)/(1-G41)</f>
        <v>0.18955227976851266</v>
      </c>
    </row>
    <row r="41" spans="1:7" x14ac:dyDescent="0.2">
      <c r="B41" t="s">
        <v>45</v>
      </c>
      <c r="C41">
        <v>500</v>
      </c>
      <c r="F41" t="s">
        <v>467</v>
      </c>
      <c r="G41" s="149">
        <v>0.6140554215692593</v>
      </c>
    </row>
    <row r="42" spans="1:7" x14ac:dyDescent="0.2">
      <c r="B42" t="s">
        <v>57</v>
      </c>
      <c r="C42" s="106">
        <v>0.06</v>
      </c>
      <c r="D42" s="106"/>
      <c r="E42" s="1" t="s">
        <v>468</v>
      </c>
      <c r="F42" t="s">
        <v>165</v>
      </c>
      <c r="G42">
        <f>+C39/(G40-C40)</f>
        <v>313.37690738448106</v>
      </c>
    </row>
    <row r="43" spans="1:7" x14ac:dyDescent="0.2">
      <c r="B43" t="str">
        <f>+B13</f>
        <v>rA hospitality</v>
      </c>
      <c r="C43">
        <f>+C13</f>
        <v>0.11</v>
      </c>
      <c r="F43" t="s">
        <v>158</v>
      </c>
      <c r="G43">
        <f>+G42+C41</f>
        <v>813.376907384481</v>
      </c>
    </row>
    <row r="44" spans="1:7" x14ac:dyDescent="0.2">
      <c r="A44" t="s">
        <v>368</v>
      </c>
      <c r="B44" t="s">
        <v>469</v>
      </c>
      <c r="C44" s="68">
        <v>5</v>
      </c>
      <c r="D44" s="68"/>
      <c r="F44" t="s">
        <v>470</v>
      </c>
      <c r="G44" s="148">
        <f>+C41/G43</f>
        <v>0.61472116488752415</v>
      </c>
    </row>
    <row r="45" spans="1:7" x14ac:dyDescent="0.2">
      <c r="F45" s="22" t="s">
        <v>471</v>
      </c>
      <c r="G45" s="106">
        <f>+G44-G41</f>
        <v>6.6574331826485533E-4</v>
      </c>
    </row>
    <row r="46" spans="1:7" x14ac:dyDescent="0.2">
      <c r="F46" s="84" t="s">
        <v>465</v>
      </c>
      <c r="G46" s="150">
        <f>+G42*C34</f>
        <v>266.3703712768089</v>
      </c>
    </row>
    <row r="50" spans="1:8" x14ac:dyDescent="0.2">
      <c r="B50" s="143" t="s">
        <v>472</v>
      </c>
    </row>
    <row r="51" spans="1:8" x14ac:dyDescent="0.2">
      <c r="B51" t="s">
        <v>452</v>
      </c>
      <c r="C51" s="106">
        <v>1</v>
      </c>
      <c r="D51" s="106"/>
      <c r="F51" t="s">
        <v>473</v>
      </c>
      <c r="G51">
        <f>+C55/(C60-C56)</f>
        <v>214.28571428571431</v>
      </c>
      <c r="H51" t="s">
        <v>474</v>
      </c>
    </row>
    <row r="53" spans="1:8" x14ac:dyDescent="0.2">
      <c r="A53" t="s">
        <v>475</v>
      </c>
      <c r="B53" s="151" t="s">
        <v>476</v>
      </c>
      <c r="C53" s="151">
        <v>30</v>
      </c>
      <c r="F53" t="s">
        <v>477</v>
      </c>
      <c r="G53">
        <f>+C55/(C60-C56)*(1-(1+C56)^C57/(1+C60)^C57)</f>
        <v>37.719726562500028</v>
      </c>
    </row>
    <row r="54" spans="1:8" x14ac:dyDescent="0.2">
      <c r="B54" t="s">
        <v>478</v>
      </c>
      <c r="C54">
        <v>0</v>
      </c>
    </row>
    <row r="55" spans="1:8" x14ac:dyDescent="0.2">
      <c r="B55" t="s">
        <v>78</v>
      </c>
      <c r="C55">
        <v>15</v>
      </c>
    </row>
    <row r="56" spans="1:8" x14ac:dyDescent="0.2">
      <c r="B56" t="s">
        <v>92</v>
      </c>
      <c r="C56" s="106">
        <v>0.05</v>
      </c>
      <c r="D56" s="106"/>
    </row>
    <row r="57" spans="1:8" x14ac:dyDescent="0.2">
      <c r="B57" t="s">
        <v>479</v>
      </c>
      <c r="C57" s="129">
        <v>3</v>
      </c>
      <c r="E57" t="s">
        <v>410</v>
      </c>
    </row>
    <row r="58" spans="1:8" x14ac:dyDescent="0.2">
      <c r="B58" t="s">
        <v>480</v>
      </c>
      <c r="C58">
        <v>5</v>
      </c>
    </row>
    <row r="59" spans="1:8" x14ac:dyDescent="0.2">
      <c r="B59" t="s">
        <v>480</v>
      </c>
      <c r="C59">
        <v>10</v>
      </c>
      <c r="D59" s="141"/>
      <c r="E59" t="s">
        <v>410</v>
      </c>
    </row>
    <row r="60" spans="1:8" x14ac:dyDescent="0.2">
      <c r="A60" t="s">
        <v>481</v>
      </c>
      <c r="B60" t="str">
        <f>+B14</f>
        <v>rA entertainment</v>
      </c>
      <c r="C60">
        <f>+C14</f>
        <v>0.12</v>
      </c>
    </row>
    <row r="62" spans="1:8" x14ac:dyDescent="0.2">
      <c r="C62" t="s">
        <v>482</v>
      </c>
      <c r="D62" t="s">
        <v>483</v>
      </c>
      <c r="G62" t="s">
        <v>484</v>
      </c>
    </row>
    <row r="63" spans="1:8" x14ac:dyDescent="0.2">
      <c r="B63" t="s">
        <v>485</v>
      </c>
      <c r="C63">
        <f>+C55/(C60-C56)*(1-(1+C56)^C58/(1+C60)^C58)</f>
        <v>59.100764138358009</v>
      </c>
      <c r="E63" s="106">
        <v>0.25</v>
      </c>
      <c r="G63" s="146">
        <f>+E63*C63</f>
        <v>14.775191034589502</v>
      </c>
    </row>
    <row r="64" spans="1:8" x14ac:dyDescent="0.2">
      <c r="B64" t="s">
        <v>486</v>
      </c>
      <c r="C64">
        <f>+C63*2/3</f>
        <v>39.400509425572004</v>
      </c>
      <c r="E64" s="106">
        <v>0.25</v>
      </c>
      <c r="G64" s="146">
        <f t="shared" ref="G64" si="0">+E64*C64</f>
        <v>9.850127356393001</v>
      </c>
    </row>
    <row r="65" spans="1:7" x14ac:dyDescent="0.2">
      <c r="A65" t="s">
        <v>487</v>
      </c>
      <c r="B65" s="151" t="s">
        <v>488</v>
      </c>
      <c r="C65" s="151">
        <f>+C63/3</f>
        <v>19.700254712786002</v>
      </c>
      <c r="E65" s="106">
        <v>0.25</v>
      </c>
      <c r="G65" s="152">
        <f>+E65*C53</f>
        <v>7.5</v>
      </c>
    </row>
    <row r="66" spans="1:7" ht="17" thickBot="1" x14ac:dyDescent="0.25">
      <c r="A66" s="151" t="s">
        <v>489</v>
      </c>
      <c r="B66" s="151" t="s">
        <v>490</v>
      </c>
      <c r="E66" s="106">
        <v>0.25</v>
      </c>
      <c r="G66" s="153">
        <f>+E66*C53</f>
        <v>7.5</v>
      </c>
    </row>
    <row r="67" spans="1:7" x14ac:dyDescent="0.2">
      <c r="G67" s="146">
        <f>+SUM(G63:G66)</f>
        <v>39.6253183909825</v>
      </c>
    </row>
    <row r="69" spans="1:7" x14ac:dyDescent="0.2">
      <c r="F69" t="s">
        <v>491</v>
      </c>
      <c r="G69">
        <f>+G67/(1+C60)^5</f>
        <v>22.484469821443582</v>
      </c>
    </row>
    <row r="71" spans="1:7" x14ac:dyDescent="0.2">
      <c r="F71" t="s">
        <v>385</v>
      </c>
      <c r="G71" s="112">
        <f>+G69+G53</f>
        <v>60.204196383943611</v>
      </c>
    </row>
    <row r="72" spans="1:7" x14ac:dyDescent="0.2">
      <c r="F72" t="s">
        <v>492</v>
      </c>
      <c r="G72">
        <f>+G71/G51</f>
        <v>0.28095291645840348</v>
      </c>
    </row>
    <row r="73" spans="1:7" x14ac:dyDescent="0.2">
      <c r="B73" t="s">
        <v>403</v>
      </c>
    </row>
    <row r="74" spans="1:7" x14ac:dyDescent="0.2">
      <c r="B74" s="142" t="s">
        <v>451</v>
      </c>
      <c r="C74">
        <f>+G28</f>
        <v>105.76923076923076</v>
      </c>
    </row>
    <row r="75" spans="1:7" x14ac:dyDescent="0.2">
      <c r="B75" s="144" t="s">
        <v>462</v>
      </c>
      <c r="C75" s="6">
        <f>+G37</f>
        <v>637.5</v>
      </c>
    </row>
    <row r="76" spans="1:7" ht="17" thickBot="1" x14ac:dyDescent="0.25">
      <c r="B76" s="143" t="s">
        <v>472</v>
      </c>
      <c r="C76" s="154">
        <f>+G71</f>
        <v>60.204196383943611</v>
      </c>
    </row>
    <row r="77" spans="1:7" x14ac:dyDescent="0.2">
      <c r="C77">
        <f>+SUM(C74:C76)</f>
        <v>803.47342715317427</v>
      </c>
    </row>
    <row r="79" spans="1:7" x14ac:dyDescent="0.2">
      <c r="B79" s="155" t="s">
        <v>493</v>
      </c>
      <c r="C79" s="155">
        <f>+C77*0.2</f>
        <v>160.69468543063488</v>
      </c>
    </row>
    <row r="81" spans="2:5" x14ac:dyDescent="0.2">
      <c r="B81" t="s">
        <v>494</v>
      </c>
      <c r="C81" s="106">
        <v>0.1</v>
      </c>
      <c r="D81" t="s">
        <v>495</v>
      </c>
    </row>
    <row r="82" spans="2:5" x14ac:dyDescent="0.2">
      <c r="B82" t="s">
        <v>496</v>
      </c>
    </row>
    <row r="84" spans="2:5" x14ac:dyDescent="0.2">
      <c r="B84" t="s">
        <v>497</v>
      </c>
      <c r="C84" s="106">
        <v>-0.2</v>
      </c>
      <c r="D84" t="s">
        <v>492</v>
      </c>
      <c r="E84" t="s">
        <v>498</v>
      </c>
    </row>
    <row r="85" spans="2:5" x14ac:dyDescent="0.2">
      <c r="B85" t="s">
        <v>499</v>
      </c>
    </row>
    <row r="86" spans="2:5" x14ac:dyDescent="0.2">
      <c r="B86" t="s">
        <v>500</v>
      </c>
    </row>
    <row r="87" spans="2:5" x14ac:dyDescent="0.2">
      <c r="B87" t="s">
        <v>501</v>
      </c>
    </row>
    <row r="89" spans="2:5" x14ac:dyDescent="0.2">
      <c r="B89" t="s">
        <v>502</v>
      </c>
      <c r="D89" t="s">
        <v>495</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21C7-5DE4-4768-A59F-3E711546EE1C}">
  <sheetPr>
    <tabColor rgb="FFCC99FF"/>
  </sheetPr>
  <dimension ref="C1:S96"/>
  <sheetViews>
    <sheetView topLeftCell="A33" zoomScale="106" workbookViewId="0">
      <selection activeCell="D56" sqref="D56"/>
    </sheetView>
  </sheetViews>
  <sheetFormatPr baseColWidth="10" defaultColWidth="8.83203125" defaultRowHeight="16" x14ac:dyDescent="0.2"/>
  <cols>
    <col min="3" max="3" width="18.6640625" bestFit="1" customWidth="1"/>
    <col min="4" max="4" width="9.83203125" bestFit="1" customWidth="1"/>
    <col min="5" max="5" width="15.6640625" bestFit="1" customWidth="1"/>
    <col min="6" max="6" width="15" bestFit="1" customWidth="1"/>
    <col min="7" max="7" width="8.83203125" bestFit="1" customWidth="1"/>
    <col min="8" max="9" width="9" bestFit="1" customWidth="1"/>
    <col min="10" max="10" width="7.33203125" bestFit="1" customWidth="1"/>
    <col min="12" max="12" width="13.83203125" bestFit="1" customWidth="1"/>
    <col min="13" max="13" width="9.6640625" customWidth="1"/>
    <col min="14" max="14" width="25.83203125" bestFit="1" customWidth="1"/>
    <col min="15" max="18" width="9.83203125" bestFit="1" customWidth="1"/>
    <col min="19" max="19" width="7.83203125" bestFit="1" customWidth="1"/>
  </cols>
  <sheetData>
    <row r="1" spans="3:7" x14ac:dyDescent="0.2">
      <c r="E1" s="4"/>
    </row>
    <row r="2" spans="3:7" x14ac:dyDescent="0.2">
      <c r="E2" s="4"/>
    </row>
    <row r="3" spans="3:7" x14ac:dyDescent="0.2">
      <c r="C3" t="s">
        <v>503</v>
      </c>
      <c r="D3" s="1">
        <f>+D23</f>
        <v>2024</v>
      </c>
      <c r="F3" t="s">
        <v>504</v>
      </c>
    </row>
    <row r="4" spans="3:7" x14ac:dyDescent="0.2">
      <c r="C4" t="s">
        <v>90</v>
      </c>
      <c r="D4" s="68">
        <v>6000</v>
      </c>
      <c r="F4" t="s">
        <v>505</v>
      </c>
      <c r="G4" s="68">
        <v>300</v>
      </c>
    </row>
    <row r="5" spans="3:7" x14ac:dyDescent="0.2">
      <c r="C5" t="s">
        <v>45</v>
      </c>
      <c r="D5" s="68">
        <v>2800</v>
      </c>
      <c r="F5" t="s">
        <v>506</v>
      </c>
      <c r="G5" s="68">
        <v>600</v>
      </c>
    </row>
    <row r="6" spans="3:7" x14ac:dyDescent="0.2">
      <c r="C6" t="s">
        <v>93</v>
      </c>
      <c r="D6" s="4">
        <v>0.14000000000000001</v>
      </c>
    </row>
    <row r="7" spans="3:7" x14ac:dyDescent="0.2">
      <c r="C7" t="s">
        <v>507</v>
      </c>
      <c r="D7" s="2">
        <v>0.12</v>
      </c>
    </row>
    <row r="8" spans="3:7" x14ac:dyDescent="0.2">
      <c r="C8" t="s">
        <v>229</v>
      </c>
      <c r="D8" s="4">
        <v>0.1</v>
      </c>
    </row>
    <row r="9" spans="3:7" x14ac:dyDescent="0.2">
      <c r="C9" t="s">
        <v>508</v>
      </c>
      <c r="D9" s="4">
        <v>0.06</v>
      </c>
    </row>
    <row r="10" spans="3:7" x14ac:dyDescent="0.2">
      <c r="C10" t="s">
        <v>58</v>
      </c>
      <c r="D10" s="4">
        <v>0.12</v>
      </c>
    </row>
    <row r="12" spans="3:7" x14ac:dyDescent="0.2">
      <c r="C12" t="s">
        <v>95</v>
      </c>
      <c r="D12" s="2">
        <f>+D9/D7</f>
        <v>0.5</v>
      </c>
    </row>
    <row r="14" spans="3:7" x14ac:dyDescent="0.2">
      <c r="C14" t="s">
        <v>81</v>
      </c>
      <c r="D14" s="68">
        <f>+D4*D6</f>
        <v>840.00000000000011</v>
      </c>
    </row>
    <row r="15" spans="3:7" x14ac:dyDescent="0.2">
      <c r="C15" t="s">
        <v>91</v>
      </c>
      <c r="D15" s="68">
        <f>+D14*D12</f>
        <v>420.00000000000006</v>
      </c>
    </row>
    <row r="16" spans="3:7" x14ac:dyDescent="0.2">
      <c r="C16" t="s">
        <v>75</v>
      </c>
      <c r="D16" s="68">
        <f>+D14-D15</f>
        <v>420.00000000000006</v>
      </c>
    </row>
    <row r="17" spans="3:19" x14ac:dyDescent="0.2">
      <c r="C17" s="119" t="s">
        <v>158</v>
      </c>
      <c r="D17" s="139">
        <f>+D16/(D8-D9)</f>
        <v>10500</v>
      </c>
    </row>
    <row r="18" spans="3:19" x14ac:dyDescent="0.2">
      <c r="C18" t="str">
        <f>+C5</f>
        <v>Debt</v>
      </c>
      <c r="D18" s="68">
        <f>+D5</f>
        <v>2800</v>
      </c>
    </row>
    <row r="19" spans="3:19" x14ac:dyDescent="0.2">
      <c r="C19" t="s">
        <v>165</v>
      </c>
      <c r="D19" s="68">
        <f>+D17-D18</f>
        <v>7700</v>
      </c>
    </row>
    <row r="23" spans="3:19" x14ac:dyDescent="0.2">
      <c r="C23" t="s">
        <v>509</v>
      </c>
      <c r="D23" s="1">
        <v>2024</v>
      </c>
      <c r="E23" s="1">
        <f>+D23+1</f>
        <v>2025</v>
      </c>
      <c r="F23" s="1">
        <v>2025</v>
      </c>
      <c r="G23" s="1">
        <f t="shared" ref="G23" si="0">+F23+1</f>
        <v>2026</v>
      </c>
      <c r="H23" s="1">
        <v>2026</v>
      </c>
      <c r="I23" s="1" t="s">
        <v>510</v>
      </c>
      <c r="L23" t="s">
        <v>511</v>
      </c>
      <c r="M23" s="1">
        <v>2024</v>
      </c>
      <c r="N23" s="1">
        <f>+M23+1</f>
        <v>2025</v>
      </c>
      <c r="O23" s="1">
        <v>2025</v>
      </c>
      <c r="P23" s="1">
        <f t="shared" ref="P23" si="1">+O23+1</f>
        <v>2026</v>
      </c>
      <c r="Q23" s="1">
        <v>2026</v>
      </c>
      <c r="R23" s="1" t="s">
        <v>510</v>
      </c>
    </row>
    <row r="24" spans="3:19" x14ac:dyDescent="0.2">
      <c r="E24" s="1"/>
      <c r="F24" s="1"/>
      <c r="G24" s="1"/>
      <c r="H24" s="1"/>
      <c r="I24" s="1"/>
      <c r="L24" t="s">
        <v>512</v>
      </c>
      <c r="M24" s="105">
        <v>1000</v>
      </c>
      <c r="N24" s="1"/>
      <c r="O24" s="1"/>
      <c r="P24" s="1"/>
      <c r="Q24" s="1"/>
      <c r="R24" s="1"/>
    </row>
    <row r="25" spans="3:19" x14ac:dyDescent="0.2">
      <c r="C25" t="s">
        <v>90</v>
      </c>
      <c r="D25" s="68">
        <v>30000</v>
      </c>
      <c r="E25" s="106"/>
      <c r="L25" t="s">
        <v>90</v>
      </c>
      <c r="M25" s="68">
        <f>+D25+D4+M24</f>
        <v>37000</v>
      </c>
      <c r="N25" s="106"/>
    </row>
    <row r="26" spans="3:19" x14ac:dyDescent="0.2">
      <c r="C26" t="s">
        <v>277</v>
      </c>
      <c r="D26" s="68">
        <f>+D25*50%</f>
        <v>15000</v>
      </c>
      <c r="E26" s="106"/>
      <c r="L26" t="s">
        <v>277</v>
      </c>
      <c r="M26" s="68">
        <f>+M25*50%</f>
        <v>18500</v>
      </c>
      <c r="N26" s="106"/>
    </row>
    <row r="27" spans="3:19" x14ac:dyDescent="0.2">
      <c r="C27" t="s">
        <v>93</v>
      </c>
      <c r="D27" s="4">
        <v>0.13</v>
      </c>
      <c r="L27" t="s">
        <v>93</v>
      </c>
      <c r="M27" s="102">
        <v>0.13400000000000001</v>
      </c>
    </row>
    <row r="28" spans="3:19" x14ac:dyDescent="0.2">
      <c r="C28" t="s">
        <v>94</v>
      </c>
      <c r="D28" s="4"/>
      <c r="E28" s="4">
        <v>0.11</v>
      </c>
      <c r="F28" s="4">
        <v>0.11</v>
      </c>
      <c r="G28" s="4">
        <v>0.11</v>
      </c>
      <c r="H28" s="4">
        <v>0.11</v>
      </c>
      <c r="I28" s="4">
        <v>0.11</v>
      </c>
      <c r="J28" s="4">
        <v>0.11</v>
      </c>
      <c r="L28" t="s">
        <v>94</v>
      </c>
      <c r="M28" s="4"/>
      <c r="N28" s="102">
        <v>0.11191542288552156</v>
      </c>
      <c r="O28" s="102">
        <f>+O49</f>
        <v>0.11191542288552156</v>
      </c>
      <c r="P28" s="102">
        <f>+P49</f>
        <v>0.11191542288552156</v>
      </c>
      <c r="Q28" s="102">
        <f>+Q49</f>
        <v>0.11191542288552156</v>
      </c>
      <c r="R28" s="102">
        <f>+R49</f>
        <v>0.11191542288552156</v>
      </c>
      <c r="S28" s="102">
        <f>+S49</f>
        <v>0.11191542288552156</v>
      </c>
    </row>
    <row r="29" spans="3:19" x14ac:dyDescent="0.2">
      <c r="C29" t="s">
        <v>229</v>
      </c>
      <c r="D29" s="4">
        <v>0.1</v>
      </c>
      <c r="E29" s="4">
        <v>0.1</v>
      </c>
      <c r="F29" s="4">
        <v>0.1</v>
      </c>
      <c r="G29" s="4">
        <v>0.1</v>
      </c>
      <c r="H29" s="4">
        <v>0.1</v>
      </c>
      <c r="I29" s="4">
        <v>0.1</v>
      </c>
      <c r="J29" s="4">
        <v>0.1</v>
      </c>
      <c r="L29" t="s">
        <v>229</v>
      </c>
      <c r="M29" s="140">
        <f>+D29</f>
        <v>0.1</v>
      </c>
      <c r="N29" s="140">
        <f t="shared" ref="N29:S30" si="2">+E29</f>
        <v>0.1</v>
      </c>
      <c r="O29" s="140">
        <f t="shared" si="2"/>
        <v>0.1</v>
      </c>
      <c r="P29" s="140">
        <f t="shared" si="2"/>
        <v>0.1</v>
      </c>
      <c r="Q29" s="140">
        <f t="shared" si="2"/>
        <v>0.1</v>
      </c>
      <c r="R29" s="140">
        <f t="shared" si="2"/>
        <v>0.1</v>
      </c>
      <c r="S29" s="140">
        <f t="shared" si="2"/>
        <v>0.1</v>
      </c>
    </row>
    <row r="30" spans="3:19" x14ac:dyDescent="0.2">
      <c r="C30" t="s">
        <v>92</v>
      </c>
      <c r="D30" s="4"/>
      <c r="E30" s="4">
        <v>0.06</v>
      </c>
      <c r="F30" s="4">
        <v>0.06</v>
      </c>
      <c r="G30" s="4">
        <v>0.06</v>
      </c>
      <c r="H30" s="4">
        <v>0.06</v>
      </c>
      <c r="I30" s="4">
        <v>0.06</v>
      </c>
      <c r="J30" s="4">
        <v>0.06</v>
      </c>
      <c r="L30" t="s">
        <v>92</v>
      </c>
      <c r="M30" s="4"/>
      <c r="N30" s="102">
        <v>0.12</v>
      </c>
      <c r="O30" s="102">
        <v>0.1</v>
      </c>
      <c r="P30" s="102">
        <v>0.08</v>
      </c>
      <c r="Q30" s="140">
        <f>+H30</f>
        <v>0.06</v>
      </c>
      <c r="R30" s="140">
        <f t="shared" si="2"/>
        <v>0.06</v>
      </c>
      <c r="S30" s="140">
        <f t="shared" si="2"/>
        <v>0.06</v>
      </c>
    </row>
    <row r="31" spans="3:19" x14ac:dyDescent="0.2">
      <c r="C31" t="s">
        <v>58</v>
      </c>
      <c r="D31" s="4">
        <v>0.12</v>
      </c>
      <c r="E31" s="4">
        <v>0.12</v>
      </c>
      <c r="F31" s="4">
        <v>0.12</v>
      </c>
      <c r="G31" s="4">
        <v>0.12</v>
      </c>
      <c r="H31" s="4">
        <v>0.12</v>
      </c>
      <c r="I31" s="4">
        <v>0.12</v>
      </c>
      <c r="J31" s="4">
        <v>0.12</v>
      </c>
      <c r="L31" t="s">
        <v>58</v>
      </c>
      <c r="M31" s="140">
        <f>+D31</f>
        <v>0.12</v>
      </c>
      <c r="N31" s="140">
        <f t="shared" ref="N31:S31" si="3">+E31</f>
        <v>0.12</v>
      </c>
      <c r="O31" s="140">
        <f t="shared" si="3"/>
        <v>0.12</v>
      </c>
      <c r="P31" s="140">
        <f t="shared" si="3"/>
        <v>0.12</v>
      </c>
      <c r="Q31" s="140">
        <f t="shared" si="3"/>
        <v>0.12</v>
      </c>
      <c r="R31" s="140">
        <f t="shared" si="3"/>
        <v>0.12</v>
      </c>
      <c r="S31" s="140">
        <f t="shared" si="3"/>
        <v>0.12</v>
      </c>
    </row>
    <row r="33" spans="3:18" x14ac:dyDescent="0.2">
      <c r="C33" t="s">
        <v>95</v>
      </c>
      <c r="D33" s="2">
        <f>+E30/E28</f>
        <v>0.54545454545454541</v>
      </c>
      <c r="E33" s="2">
        <f t="shared" ref="E33:I33" si="4">+F30/F28</f>
        <v>0.54545454545454541</v>
      </c>
      <c r="F33" s="2">
        <f t="shared" si="4"/>
        <v>0.54545454545454541</v>
      </c>
      <c r="G33" s="2">
        <f t="shared" si="4"/>
        <v>0.54545454545454541</v>
      </c>
      <c r="H33" s="2">
        <f t="shared" si="4"/>
        <v>0.54545454545454541</v>
      </c>
      <c r="I33" s="2">
        <f t="shared" si="4"/>
        <v>0.54545454545454541</v>
      </c>
      <c r="L33" t="s">
        <v>95</v>
      </c>
      <c r="M33" s="2">
        <f>+N30/N28</f>
        <v>1.0722382751727451</v>
      </c>
      <c r="N33" s="2">
        <f t="shared" ref="N33:R33" si="5">+O30/O28</f>
        <v>0.89353189597728766</v>
      </c>
      <c r="O33" s="2">
        <f t="shared" si="5"/>
        <v>0.71482551678183004</v>
      </c>
      <c r="P33" s="2">
        <f t="shared" si="5"/>
        <v>0.53611913758637253</v>
      </c>
      <c r="Q33" s="2">
        <f t="shared" si="5"/>
        <v>0.53611913758637253</v>
      </c>
      <c r="R33" s="2">
        <f t="shared" si="5"/>
        <v>0.53611913758637253</v>
      </c>
    </row>
    <row r="34" spans="3:18" x14ac:dyDescent="0.2">
      <c r="M34" s="68"/>
    </row>
    <row r="35" spans="3:18" x14ac:dyDescent="0.2">
      <c r="C35" t="s">
        <v>81</v>
      </c>
      <c r="D35" s="68">
        <f>+D25*D27</f>
        <v>3900</v>
      </c>
      <c r="E35" s="68">
        <f>+D35+D36*E28</f>
        <v>4134</v>
      </c>
      <c r="F35" s="68">
        <f t="shared" ref="F35:I35" si="6">+E35+E36*F28</f>
        <v>4382.04</v>
      </c>
      <c r="G35" s="68">
        <f t="shared" si="6"/>
        <v>4644.9624000000003</v>
      </c>
      <c r="H35" s="68">
        <f>+G35+G36*H28</f>
        <v>4923.6601440000004</v>
      </c>
      <c r="I35" s="68">
        <f t="shared" si="6"/>
        <v>5219.0797526400002</v>
      </c>
      <c r="J35" s="68"/>
      <c r="L35" t="s">
        <v>81</v>
      </c>
      <c r="M35" s="68">
        <f>+M25*M27</f>
        <v>4958</v>
      </c>
      <c r="N35" s="68">
        <f>+M35+M36*N28</f>
        <v>5552.96</v>
      </c>
      <c r="O35" s="68">
        <f t="shared" ref="O35:R35" si="7">+N35+N36*O28</f>
        <v>6108.2560000000003</v>
      </c>
      <c r="P35" s="68">
        <f t="shared" si="7"/>
        <v>6596.9164800000008</v>
      </c>
      <c r="Q35" s="68">
        <f t="shared" si="7"/>
        <v>6992.7314688000006</v>
      </c>
      <c r="R35" s="68">
        <f t="shared" si="7"/>
        <v>7412.2953569280007</v>
      </c>
    </row>
    <row r="36" spans="3:18" x14ac:dyDescent="0.2">
      <c r="C36" t="s">
        <v>91</v>
      </c>
      <c r="D36" s="68">
        <f>+D35*D33</f>
        <v>2127.272727272727</v>
      </c>
      <c r="E36" s="68">
        <f>+E35*E33</f>
        <v>2254.9090909090905</v>
      </c>
      <c r="F36" s="68">
        <f t="shared" ref="F36:I36" si="8">+F35*F33</f>
        <v>2390.2036363636362</v>
      </c>
      <c r="G36" s="68">
        <f t="shared" si="8"/>
        <v>2533.6158545454546</v>
      </c>
      <c r="H36" s="68">
        <f t="shared" si="8"/>
        <v>2685.6328058181816</v>
      </c>
      <c r="I36" s="68">
        <f t="shared" si="8"/>
        <v>2846.7707741672725</v>
      </c>
      <c r="J36" s="68"/>
      <c r="L36" t="s">
        <v>91</v>
      </c>
      <c r="M36" s="68">
        <f>+M35*M33</f>
        <v>5316.1573683064698</v>
      </c>
      <c r="N36" s="68">
        <f t="shared" ref="N36:R36" si="9">+N35*N33</f>
        <v>4961.7468770860396</v>
      </c>
      <c r="O36" s="68">
        <f t="shared" si="9"/>
        <v>4366.3372518357146</v>
      </c>
      <c r="P36" s="68">
        <f t="shared" si="9"/>
        <v>3536.7331739869287</v>
      </c>
      <c r="Q36" s="68">
        <f t="shared" si="9"/>
        <v>3748.9371644261446</v>
      </c>
      <c r="R36" s="68">
        <f t="shared" si="9"/>
        <v>3973.8733942917129</v>
      </c>
    </row>
    <row r="37" spans="3:18" x14ac:dyDescent="0.2">
      <c r="C37" t="s">
        <v>75</v>
      </c>
      <c r="D37" s="68">
        <f>+D35-D36</f>
        <v>1772.727272727273</v>
      </c>
      <c r="E37" s="68">
        <f t="shared" ref="E37:I37" si="10">+E35-E36</f>
        <v>1879.0909090909095</v>
      </c>
      <c r="F37" s="68">
        <f t="shared" si="10"/>
        <v>1991.8363636363638</v>
      </c>
      <c r="G37" s="68">
        <f t="shared" si="10"/>
        <v>2111.3465454545458</v>
      </c>
      <c r="H37" s="68">
        <f t="shared" si="10"/>
        <v>2238.0273381818188</v>
      </c>
      <c r="I37" s="68">
        <f t="shared" si="10"/>
        <v>2372.3089784727276</v>
      </c>
      <c r="J37" s="68"/>
      <c r="L37" t="s">
        <v>75</v>
      </c>
      <c r="M37" s="68">
        <f>+M35-M36</f>
        <v>-358.15736830646983</v>
      </c>
      <c r="N37" s="68">
        <f t="shared" ref="N37:R37" si="11">+N35-N36</f>
        <v>591.21312291396043</v>
      </c>
      <c r="O37" s="68">
        <f t="shared" si="11"/>
        <v>1741.9187481642857</v>
      </c>
      <c r="P37" s="68">
        <f t="shared" si="11"/>
        <v>3060.1833060130721</v>
      </c>
      <c r="Q37" s="68">
        <f t="shared" si="11"/>
        <v>3243.794304373856</v>
      </c>
      <c r="R37" s="68">
        <f t="shared" si="11"/>
        <v>3438.4219626362878</v>
      </c>
    </row>
    <row r="38" spans="3:18" x14ac:dyDescent="0.2">
      <c r="C38" s="119" t="s">
        <v>158</v>
      </c>
      <c r="D38" s="139">
        <f t="shared" ref="D38:G38" si="12">+(D37+E38)/(1+D29)</f>
        <v>44318.181818181802</v>
      </c>
      <c r="E38" s="139">
        <f t="shared" si="12"/>
        <v>46977.272727272713</v>
      </c>
      <c r="F38" s="139">
        <f t="shared" si="12"/>
        <v>49795.909090909081</v>
      </c>
      <c r="G38" s="139">
        <f t="shared" si="12"/>
        <v>52783.663636363628</v>
      </c>
      <c r="H38" s="139">
        <f>+(H37+I38)/(1+H29)</f>
        <v>55950.683454545448</v>
      </c>
      <c r="I38" s="139">
        <f>+I37/(I29-J30)</f>
        <v>59307.724461818179</v>
      </c>
      <c r="L38" s="119" t="s">
        <v>158</v>
      </c>
      <c r="M38" s="139">
        <f t="shared" ref="M38:P38" si="13">+(M37+N38)/(1+M29)</f>
        <v>58950.76289860675</v>
      </c>
      <c r="N38" s="139">
        <f t="shared" si="13"/>
        <v>65203.996556773898</v>
      </c>
      <c r="O38" s="139">
        <f t="shared" si="13"/>
        <v>71133.183089537328</v>
      </c>
      <c r="P38" s="139">
        <f t="shared" si="13"/>
        <v>76504.582650326774</v>
      </c>
      <c r="Q38" s="139">
        <f>+(Q37+R38)/(1+Q29)</f>
        <v>81094.857609346393</v>
      </c>
      <c r="R38" s="139">
        <f>+R37/(R29-S30)</f>
        <v>85960.54906590718</v>
      </c>
    </row>
    <row r="39" spans="3:18" x14ac:dyDescent="0.2">
      <c r="C39" t="s">
        <v>165</v>
      </c>
      <c r="D39" s="68">
        <f>+D38-D26</f>
        <v>29318.181818181802</v>
      </c>
      <c r="L39" s="63" t="s">
        <v>513</v>
      </c>
      <c r="M39" s="156">
        <f>+(D38+D17)*M60*M78*M96</f>
        <v>59277.487596575113</v>
      </c>
      <c r="N39" t="s">
        <v>514</v>
      </c>
    </row>
    <row r="40" spans="3:18" x14ac:dyDescent="0.2">
      <c r="L40" t="s">
        <v>165</v>
      </c>
      <c r="M40" s="68">
        <f>+M38-M26</f>
        <v>40450.76289860675</v>
      </c>
    </row>
    <row r="41" spans="3:18" x14ac:dyDescent="0.2">
      <c r="C41" t="s">
        <v>515</v>
      </c>
      <c r="D41" s="68">
        <f>+M38-D38-D17</f>
        <v>4132.5810804249486</v>
      </c>
      <c r="L41" t="s">
        <v>516</v>
      </c>
      <c r="M41" s="68">
        <f>+M40-D39-D19-50%*M24</f>
        <v>2932.5810804249486</v>
      </c>
    </row>
    <row r="42" spans="3:18" x14ac:dyDescent="0.2">
      <c r="C42" t="str">
        <f>+L24</f>
        <v>Additional IC</v>
      </c>
      <c r="D42" s="68">
        <f>+M24</f>
        <v>1000</v>
      </c>
      <c r="L42" s="63" t="s">
        <v>517</v>
      </c>
      <c r="M42" s="156">
        <f>+D43-M41</f>
        <v>200</v>
      </c>
    </row>
    <row r="43" spans="3:18" x14ac:dyDescent="0.2">
      <c r="C43" s="119" t="s">
        <v>518</v>
      </c>
      <c r="D43" s="139">
        <f>+M38-D38-D17-M24</f>
        <v>3132.5810804249486</v>
      </c>
    </row>
    <row r="44" spans="3:18" x14ac:dyDescent="0.2">
      <c r="L44" t="s">
        <v>511</v>
      </c>
      <c r="M44" s="1">
        <v>2024</v>
      </c>
      <c r="N44" s="1">
        <f>+M44+1</f>
        <v>2025</v>
      </c>
      <c r="O44" s="1">
        <v>2025</v>
      </c>
      <c r="P44" s="1">
        <f t="shared" ref="P44" si="14">+O44+1</f>
        <v>2026</v>
      </c>
      <c r="Q44" s="1">
        <v>2026</v>
      </c>
      <c r="R44" s="1" t="s">
        <v>510</v>
      </c>
    </row>
    <row r="45" spans="3:18" x14ac:dyDescent="0.2">
      <c r="E45" t="s">
        <v>504</v>
      </c>
      <c r="L45" t="s">
        <v>512</v>
      </c>
      <c r="M45" s="49">
        <v>0</v>
      </c>
      <c r="N45" s="1"/>
      <c r="O45" s="1"/>
      <c r="P45" s="1"/>
      <c r="Q45" s="1"/>
      <c r="R45" s="1"/>
    </row>
    <row r="46" spans="3:18" x14ac:dyDescent="0.2">
      <c r="C46" s="119" t="s">
        <v>519</v>
      </c>
      <c r="D46" s="139">
        <f>+D19</f>
        <v>7700</v>
      </c>
      <c r="E46" s="68">
        <f>+G4</f>
        <v>300</v>
      </c>
      <c r="F46" s="139">
        <f>+D46+E46</f>
        <v>8000</v>
      </c>
      <c r="L46" t="s">
        <v>90</v>
      </c>
      <c r="M46" s="68">
        <f>+M45+$D$25+$D$4</f>
        <v>36000</v>
      </c>
      <c r="N46" s="106"/>
    </row>
    <row r="47" spans="3:18" x14ac:dyDescent="0.2">
      <c r="C47" s="119" t="s">
        <v>520</v>
      </c>
      <c r="D47" s="139">
        <f>+D46+D43</f>
        <v>10832.581080424949</v>
      </c>
      <c r="E47" s="68">
        <f>+G5</f>
        <v>600</v>
      </c>
      <c r="F47" s="139">
        <f>+D47-E47</f>
        <v>10232.581080424949</v>
      </c>
      <c r="L47" t="s">
        <v>277</v>
      </c>
      <c r="M47" s="68">
        <f>+$D$26+$D$5+M45*50%</f>
        <v>17800</v>
      </c>
      <c r="N47" s="106"/>
    </row>
    <row r="48" spans="3:18" x14ac:dyDescent="0.2">
      <c r="L48" t="s">
        <v>93</v>
      </c>
      <c r="M48" s="102">
        <v>0.13200000000000001</v>
      </c>
    </row>
    <row r="49" spans="3:19" x14ac:dyDescent="0.2">
      <c r="L49" t="s">
        <v>94</v>
      </c>
      <c r="M49" s="4"/>
      <c r="N49" s="102">
        <v>0.11191542288552156</v>
      </c>
      <c r="O49" s="102">
        <f t="shared" ref="O49:S49" si="15">+O67</f>
        <v>0.11191542288552156</v>
      </c>
      <c r="P49" s="102">
        <f t="shared" si="15"/>
        <v>0.11191542288552156</v>
      </c>
      <c r="Q49" s="102">
        <f t="shared" si="15"/>
        <v>0.11191542288552156</v>
      </c>
      <c r="R49" s="102">
        <f t="shared" si="15"/>
        <v>0.11191542288552156</v>
      </c>
      <c r="S49" s="102">
        <f t="shared" si="15"/>
        <v>0.11191542288552156</v>
      </c>
    </row>
    <row r="50" spans="3:19" x14ac:dyDescent="0.2">
      <c r="C50" t="s">
        <v>521</v>
      </c>
      <c r="L50" t="s">
        <v>229</v>
      </c>
      <c r="M50" s="140">
        <f t="shared" ref="M50:S52" si="16">+M29</f>
        <v>0.1</v>
      </c>
      <c r="N50" s="140">
        <f t="shared" si="16"/>
        <v>0.1</v>
      </c>
      <c r="O50" s="140">
        <f t="shared" si="16"/>
        <v>0.1</v>
      </c>
      <c r="P50" s="140">
        <f t="shared" si="16"/>
        <v>0.1</v>
      </c>
      <c r="Q50" s="140">
        <f t="shared" si="16"/>
        <v>0.1</v>
      </c>
      <c r="R50" s="140">
        <f t="shared" si="16"/>
        <v>0.1</v>
      </c>
      <c r="S50" s="140">
        <f t="shared" si="16"/>
        <v>0.1</v>
      </c>
    </row>
    <row r="51" spans="3:19" x14ac:dyDescent="0.2">
      <c r="C51" t="s">
        <v>522</v>
      </c>
      <c r="D51" s="4">
        <v>0.3</v>
      </c>
      <c r="L51" t="s">
        <v>92</v>
      </c>
      <c r="M51" s="4"/>
      <c r="N51" s="102">
        <v>0.12</v>
      </c>
      <c r="O51" s="102">
        <v>0.1</v>
      </c>
      <c r="P51" s="102">
        <v>0.08</v>
      </c>
      <c r="Q51" s="140">
        <f t="shared" si="16"/>
        <v>0.06</v>
      </c>
      <c r="R51" s="140">
        <f t="shared" si="16"/>
        <v>0.06</v>
      </c>
      <c r="S51" s="140">
        <f t="shared" si="16"/>
        <v>0.06</v>
      </c>
    </row>
    <row r="52" spans="3:19" x14ac:dyDescent="0.2">
      <c r="C52" t="s">
        <v>523</v>
      </c>
      <c r="D52" s="68">
        <f>+D51*D43+D19</f>
        <v>8639.7743241274839</v>
      </c>
      <c r="L52" t="s">
        <v>58</v>
      </c>
      <c r="M52" s="140">
        <f>+M31</f>
        <v>0.12</v>
      </c>
      <c r="N52" s="140">
        <f>+N31</f>
        <v>0.12</v>
      </c>
      <c r="O52" s="140">
        <f>+O31</f>
        <v>0.12</v>
      </c>
      <c r="P52" s="140">
        <f>+P31</f>
        <v>0.12</v>
      </c>
      <c r="Q52" s="140">
        <f t="shared" si="16"/>
        <v>0.12</v>
      </c>
      <c r="R52" s="140">
        <f t="shared" si="16"/>
        <v>0.12</v>
      </c>
      <c r="S52" s="140">
        <f t="shared" si="16"/>
        <v>0.12</v>
      </c>
    </row>
    <row r="53" spans="3:19" x14ac:dyDescent="0.2">
      <c r="C53" t="s">
        <v>524</v>
      </c>
      <c r="D53" s="4">
        <v>0.4</v>
      </c>
    </row>
    <row r="54" spans="3:19" x14ac:dyDescent="0.2">
      <c r="C54" t="s">
        <v>525</v>
      </c>
      <c r="D54" s="68">
        <f>+D52*D53</f>
        <v>3455.9097296509935</v>
      </c>
      <c r="L54" t="s">
        <v>95</v>
      </c>
      <c r="M54" s="2">
        <f>+N51/N49</f>
        <v>1.0722382751727451</v>
      </c>
      <c r="N54" s="2">
        <f t="shared" ref="N54:O54" si="17">+O51/O49</f>
        <v>0.89353189597728766</v>
      </c>
      <c r="O54" s="2">
        <f t="shared" si="17"/>
        <v>0.71482551678183004</v>
      </c>
      <c r="P54" s="2">
        <f>+Q51/Q49</f>
        <v>0.53611913758637253</v>
      </c>
      <c r="Q54" s="2">
        <f t="shared" ref="Q54:R54" si="18">+R51/R49</f>
        <v>0.53611913758637253</v>
      </c>
      <c r="R54" s="2">
        <f t="shared" si="18"/>
        <v>0.53611913758637253</v>
      </c>
    </row>
    <row r="55" spans="3:19" x14ac:dyDescent="0.2">
      <c r="C55" t="s">
        <v>526</v>
      </c>
      <c r="D55" s="68">
        <f>+D52-D54</f>
        <v>5183.8645944764903</v>
      </c>
      <c r="M55" s="68"/>
    </row>
    <row r="56" spans="3:19" x14ac:dyDescent="0.2">
      <c r="C56" s="63" t="s">
        <v>527</v>
      </c>
      <c r="D56" s="157">
        <f>+D55/(M40+M42)</f>
        <v>0.12752195100019045</v>
      </c>
      <c r="L56" t="s">
        <v>81</v>
      </c>
      <c r="M56" s="49">
        <f>+D35+D14</f>
        <v>4740</v>
      </c>
      <c r="N56" s="68">
        <f>+M56+M57*N49</f>
        <v>5308.8</v>
      </c>
      <c r="O56" s="68">
        <f t="shared" ref="O56:R56" si="19">+N56+N57*O49</f>
        <v>5839.68</v>
      </c>
      <c r="P56" s="68">
        <f t="shared" si="19"/>
        <v>6306.8544000000002</v>
      </c>
      <c r="Q56" s="68">
        <f t="shared" si="19"/>
        <v>6685.2656640000005</v>
      </c>
      <c r="R56" s="68">
        <f t="shared" si="19"/>
        <v>7086.38160384</v>
      </c>
    </row>
    <row r="57" spans="3:19" x14ac:dyDescent="0.2">
      <c r="L57" t="s">
        <v>91</v>
      </c>
      <c r="M57" s="68">
        <f>+M56*M54</f>
        <v>5082.4094243188119</v>
      </c>
      <c r="N57" s="68">
        <f t="shared" ref="N57:R57" si="20">+N56*N54</f>
        <v>4743.5821293642248</v>
      </c>
      <c r="O57" s="68">
        <f t="shared" si="20"/>
        <v>4174.3522738405172</v>
      </c>
      <c r="P57" s="68">
        <f t="shared" si="20"/>
        <v>3381.2253418108189</v>
      </c>
      <c r="Q57" s="68">
        <f t="shared" si="20"/>
        <v>3584.0988623194685</v>
      </c>
      <c r="R57" s="68">
        <f t="shared" si="20"/>
        <v>3799.1447940586363</v>
      </c>
    </row>
    <row r="58" spans="3:19" x14ac:dyDescent="0.2">
      <c r="C58" t="s">
        <v>525</v>
      </c>
      <c r="D58" s="68">
        <f>+D54</f>
        <v>3455.9097296509935</v>
      </c>
      <c r="L58" t="s">
        <v>75</v>
      </c>
      <c r="M58" s="68">
        <f>+M56-M57</f>
        <v>-342.40942431881194</v>
      </c>
      <c r="N58" s="68">
        <f t="shared" ref="N58:R58" si="21">+N56-N57</f>
        <v>565.2178706357754</v>
      </c>
      <c r="O58" s="68">
        <f t="shared" si="21"/>
        <v>1665.3277261594831</v>
      </c>
      <c r="P58" s="68">
        <f t="shared" si="21"/>
        <v>2925.6290581891813</v>
      </c>
      <c r="Q58" s="68">
        <f t="shared" si="21"/>
        <v>3101.166801680532</v>
      </c>
      <c r="R58" s="68">
        <f t="shared" si="21"/>
        <v>3287.2368097813637</v>
      </c>
    </row>
    <row r="59" spans="3:19" x14ac:dyDescent="0.2">
      <c r="C59" t="s">
        <v>517</v>
      </c>
      <c r="D59" s="68">
        <f>+D56*M42</f>
        <v>25.504390200038092</v>
      </c>
      <c r="L59" s="119" t="s">
        <v>158</v>
      </c>
      <c r="M59" s="139">
        <f t="shared" ref="M59:P59" si="22">+(M58+N59)/(1+M50)</f>
        <v>56358.736615448957</v>
      </c>
      <c r="N59" s="139">
        <f t="shared" si="22"/>
        <v>62337.019701312667</v>
      </c>
      <c r="O59" s="139">
        <f t="shared" si="22"/>
        <v>68005.503800808161</v>
      </c>
      <c r="P59" s="139">
        <f t="shared" si="22"/>
        <v>73140.726454729505</v>
      </c>
      <c r="Q59" s="139">
        <f>+(Q58+R59)/(1+Q50)</f>
        <v>77529.170042013284</v>
      </c>
      <c r="R59" s="139">
        <f>+R58/(R50-S51)</f>
        <v>82180.920244534078</v>
      </c>
    </row>
    <row r="60" spans="3:19" x14ac:dyDescent="0.2">
      <c r="C60" t="s">
        <v>528</v>
      </c>
      <c r="D60" s="68">
        <f>+D56*M40</f>
        <v>5158.3602042764524</v>
      </c>
      <c r="L60" t="s">
        <v>529</v>
      </c>
      <c r="M60" s="158">
        <f>+M59/($D$38+$D$17)</f>
        <v>1.0281029896682234</v>
      </c>
    </row>
    <row r="61" spans="3:19" x14ac:dyDescent="0.2">
      <c r="C61" s="65" t="s">
        <v>530</v>
      </c>
      <c r="D61" s="159">
        <f>SUM(D58:D60)</f>
        <v>8639.7743241274839</v>
      </c>
    </row>
    <row r="62" spans="3:19" x14ac:dyDescent="0.2">
      <c r="L62" t="s">
        <v>511</v>
      </c>
      <c r="M62" s="1">
        <v>2024</v>
      </c>
      <c r="N62" s="1">
        <f>+M62+1</f>
        <v>2025</v>
      </c>
      <c r="O62" s="1">
        <v>2025</v>
      </c>
      <c r="P62" s="1">
        <f t="shared" ref="P62" si="23">+O62+1</f>
        <v>2026</v>
      </c>
      <c r="Q62" s="1">
        <v>2026</v>
      </c>
      <c r="R62" s="1" t="s">
        <v>510</v>
      </c>
    </row>
    <row r="63" spans="3:19" x14ac:dyDescent="0.2">
      <c r="L63" t="s">
        <v>512</v>
      </c>
      <c r="M63" s="49">
        <v>0</v>
      </c>
      <c r="N63" s="1"/>
      <c r="O63" s="1"/>
      <c r="P63" s="1"/>
      <c r="Q63" s="1"/>
      <c r="R63" s="1"/>
    </row>
    <row r="64" spans="3:19" x14ac:dyDescent="0.2">
      <c r="L64" t="s">
        <v>90</v>
      </c>
      <c r="M64" s="118">
        <f>+M63+$D$25+$D$4</f>
        <v>36000</v>
      </c>
      <c r="N64" s="106"/>
    </row>
    <row r="65" spans="12:19" x14ac:dyDescent="0.2">
      <c r="L65" t="s">
        <v>277</v>
      </c>
      <c r="M65" s="118">
        <f>+$D$26+$D$5+M63*50%</f>
        <v>17800</v>
      </c>
      <c r="N65" s="106"/>
    </row>
    <row r="66" spans="12:19" x14ac:dyDescent="0.2">
      <c r="L66" t="s">
        <v>93</v>
      </c>
      <c r="M66" s="102">
        <v>0.13400000000000001</v>
      </c>
    </row>
    <row r="67" spans="12:19" x14ac:dyDescent="0.2">
      <c r="L67" t="s">
        <v>94</v>
      </c>
      <c r="M67" s="4"/>
      <c r="N67" s="102">
        <v>0.11191542288552156</v>
      </c>
      <c r="O67" s="102">
        <f t="shared" ref="O67:S67" si="24">+O85</f>
        <v>0.11191542288552156</v>
      </c>
      <c r="P67" s="102">
        <f t="shared" si="24"/>
        <v>0.11191542288552156</v>
      </c>
      <c r="Q67" s="102">
        <f t="shared" si="24"/>
        <v>0.11191542288552156</v>
      </c>
      <c r="R67" s="102">
        <f t="shared" si="24"/>
        <v>0.11191542288552156</v>
      </c>
      <c r="S67" s="102">
        <f t="shared" si="24"/>
        <v>0.11191542288552156</v>
      </c>
    </row>
    <row r="68" spans="12:19" x14ac:dyDescent="0.2">
      <c r="L68" t="s">
        <v>229</v>
      </c>
      <c r="M68" s="140">
        <f t="shared" ref="M68:S68" si="25">+M29</f>
        <v>0.1</v>
      </c>
      <c r="N68" s="140">
        <f t="shared" si="25"/>
        <v>0.1</v>
      </c>
      <c r="O68" s="140">
        <f t="shared" si="25"/>
        <v>0.1</v>
      </c>
      <c r="P68" s="140">
        <f t="shared" si="25"/>
        <v>0.1</v>
      </c>
      <c r="Q68" s="140">
        <f t="shared" si="25"/>
        <v>0.1</v>
      </c>
      <c r="R68" s="140">
        <f t="shared" si="25"/>
        <v>0.1</v>
      </c>
      <c r="S68" s="140">
        <f t="shared" si="25"/>
        <v>0.1</v>
      </c>
    </row>
    <row r="69" spans="12:19" x14ac:dyDescent="0.2">
      <c r="L69" t="s">
        <v>92</v>
      </c>
      <c r="M69" s="4"/>
      <c r="N69" s="81">
        <v>0.06</v>
      </c>
      <c r="O69" s="81">
        <v>0.06</v>
      </c>
      <c r="P69" s="81">
        <v>0.06</v>
      </c>
      <c r="Q69" s="140">
        <f>+Q51</f>
        <v>0.06</v>
      </c>
      <c r="R69" s="140">
        <f t="shared" ref="R69:S69" si="26">+R51</f>
        <v>0.06</v>
      </c>
      <c r="S69" s="140">
        <f t="shared" si="26"/>
        <v>0.06</v>
      </c>
    </row>
    <row r="70" spans="12:19" x14ac:dyDescent="0.2">
      <c r="L70" t="s">
        <v>58</v>
      </c>
      <c r="M70" s="140">
        <f t="shared" ref="M70:S70" si="27">+M31</f>
        <v>0.12</v>
      </c>
      <c r="N70" s="140">
        <f t="shared" si="27"/>
        <v>0.12</v>
      </c>
      <c r="O70" s="140">
        <f t="shared" si="27"/>
        <v>0.12</v>
      </c>
      <c r="P70" s="140">
        <f t="shared" si="27"/>
        <v>0.12</v>
      </c>
      <c r="Q70" s="140">
        <f t="shared" si="27"/>
        <v>0.12</v>
      </c>
      <c r="R70" s="140">
        <f t="shared" si="27"/>
        <v>0.12</v>
      </c>
      <c r="S70" s="140">
        <f t="shared" si="27"/>
        <v>0.12</v>
      </c>
    </row>
    <row r="72" spans="12:19" x14ac:dyDescent="0.2">
      <c r="L72" t="s">
        <v>95</v>
      </c>
      <c r="M72" s="2">
        <f>+N69/N67</f>
        <v>0.53611913758637253</v>
      </c>
      <c r="N72" s="2">
        <f t="shared" ref="N72:R72" si="28">+O69/O67</f>
        <v>0.53611913758637253</v>
      </c>
      <c r="O72" s="2">
        <f t="shared" si="28"/>
        <v>0.53611913758637253</v>
      </c>
      <c r="P72" s="2">
        <f t="shared" si="28"/>
        <v>0.53611913758637253</v>
      </c>
      <c r="Q72" s="2">
        <f t="shared" si="28"/>
        <v>0.53611913758637253</v>
      </c>
      <c r="R72" s="2">
        <f t="shared" si="28"/>
        <v>0.53611913758637253</v>
      </c>
    </row>
    <row r="73" spans="12:19" x14ac:dyDescent="0.2">
      <c r="M73" s="68"/>
    </row>
    <row r="74" spans="12:19" x14ac:dyDescent="0.2">
      <c r="L74" t="s">
        <v>81</v>
      </c>
      <c r="M74" s="68">
        <f>+M64*M66</f>
        <v>4824</v>
      </c>
      <c r="N74" s="68">
        <f>+M74+M75*N67</f>
        <v>5113.4399999999996</v>
      </c>
      <c r="O74" s="68">
        <f t="shared" ref="O74:R74" si="29">+N74+N75*O67</f>
        <v>5420.2464</v>
      </c>
      <c r="P74" s="68">
        <f t="shared" si="29"/>
        <v>5745.4611839999998</v>
      </c>
      <c r="Q74" s="68">
        <f t="shared" si="29"/>
        <v>6090.1888550399999</v>
      </c>
      <c r="R74" s="68">
        <f t="shared" si="29"/>
        <v>6455.6001863423999</v>
      </c>
    </row>
    <row r="75" spans="12:19" x14ac:dyDescent="0.2">
      <c r="L75" t="s">
        <v>91</v>
      </c>
      <c r="M75" s="68">
        <f>+M74*M72</f>
        <v>2586.2387197166613</v>
      </c>
      <c r="N75" s="68">
        <f t="shared" ref="N75:R75" si="30">+N74*N72</f>
        <v>2741.4130428996605</v>
      </c>
      <c r="O75" s="68">
        <f t="shared" si="30"/>
        <v>2905.8978254736403</v>
      </c>
      <c r="P75" s="68">
        <f t="shared" si="30"/>
        <v>3080.2516950020586</v>
      </c>
      <c r="Q75" s="68">
        <f t="shared" si="30"/>
        <v>3265.0667967021823</v>
      </c>
      <c r="R75" s="68">
        <f t="shared" si="30"/>
        <v>3460.970804504313</v>
      </c>
    </row>
    <row r="76" spans="12:19" x14ac:dyDescent="0.2">
      <c r="L76" t="s">
        <v>75</v>
      </c>
      <c r="M76" s="68">
        <f>+M74-M75</f>
        <v>2237.7612802833387</v>
      </c>
      <c r="N76" s="68">
        <f t="shared" ref="N76:R76" si="31">+N74-N75</f>
        <v>2372.0269571003391</v>
      </c>
      <c r="O76" s="68">
        <f t="shared" si="31"/>
        <v>2514.3485745263597</v>
      </c>
      <c r="P76" s="68">
        <f t="shared" si="31"/>
        <v>2665.2094889979412</v>
      </c>
      <c r="Q76" s="68">
        <f t="shared" si="31"/>
        <v>2825.1220583378176</v>
      </c>
      <c r="R76" s="68">
        <f t="shared" si="31"/>
        <v>2994.6293818380868</v>
      </c>
    </row>
    <row r="77" spans="12:19" x14ac:dyDescent="0.2">
      <c r="L77" s="119" t="s">
        <v>158</v>
      </c>
      <c r="M77" s="139">
        <f t="shared" ref="M77:P77" si="32">+(M76+N77)/(1+M68)</f>
        <v>55944.032007083442</v>
      </c>
      <c r="N77" s="139">
        <f t="shared" si="32"/>
        <v>59300.673927508455</v>
      </c>
      <c r="O77" s="139">
        <f t="shared" si="32"/>
        <v>62858.714363158964</v>
      </c>
      <c r="P77" s="139">
        <f t="shared" si="32"/>
        <v>66630.237224948505</v>
      </c>
      <c r="Q77" s="139">
        <f>+(Q76+R77)/(1+Q68)</f>
        <v>70628.051458445421</v>
      </c>
      <c r="R77" s="139">
        <f>+R76/(R68-S69)</f>
        <v>74865.73454595216</v>
      </c>
    </row>
    <row r="78" spans="12:19" x14ac:dyDescent="0.2">
      <c r="L78" t="s">
        <v>529</v>
      </c>
      <c r="M78" s="158">
        <f>+M77/($D$38+$D$17)</f>
        <v>1.0205378973099801</v>
      </c>
    </row>
    <row r="80" spans="12:19" x14ac:dyDescent="0.2">
      <c r="L80" t="s">
        <v>511</v>
      </c>
      <c r="M80" s="1">
        <v>2024</v>
      </c>
      <c r="N80" s="1">
        <f>+M80+1</f>
        <v>2025</v>
      </c>
      <c r="O80" s="1">
        <v>2025</v>
      </c>
      <c r="P80" s="1">
        <f t="shared" ref="P80" si="33">+O80+1</f>
        <v>2026</v>
      </c>
      <c r="Q80" s="1">
        <v>2026</v>
      </c>
      <c r="R80" s="1" t="s">
        <v>510</v>
      </c>
    </row>
    <row r="81" spans="12:19" x14ac:dyDescent="0.2">
      <c r="L81" t="s">
        <v>512</v>
      </c>
      <c r="M81" s="160">
        <v>1000</v>
      </c>
      <c r="N81" s="1"/>
      <c r="O81" s="1"/>
      <c r="P81" s="1"/>
      <c r="Q81" s="1"/>
      <c r="R81" s="1"/>
    </row>
    <row r="82" spans="12:19" x14ac:dyDescent="0.2">
      <c r="L82" t="s">
        <v>90</v>
      </c>
      <c r="M82" s="68">
        <f>+M81+$D$25+$D$4</f>
        <v>37000</v>
      </c>
      <c r="N82" s="106"/>
    </row>
    <row r="83" spans="12:19" x14ac:dyDescent="0.2">
      <c r="L83" t="s">
        <v>277</v>
      </c>
      <c r="M83" s="68">
        <f>+$D$26+$D$5+M81*50%</f>
        <v>18300</v>
      </c>
      <c r="N83" s="106"/>
    </row>
    <row r="84" spans="12:19" x14ac:dyDescent="0.2">
      <c r="L84" t="s">
        <v>93</v>
      </c>
      <c r="M84" s="102">
        <f>+M56/M46</f>
        <v>0.13166666666666665</v>
      </c>
    </row>
    <row r="85" spans="12:19" x14ac:dyDescent="0.2">
      <c r="L85" t="s">
        <v>94</v>
      </c>
      <c r="M85" s="4"/>
      <c r="N85" s="102">
        <v>0.11191542288552156</v>
      </c>
      <c r="O85" s="102">
        <f>+N85</f>
        <v>0.11191542288552156</v>
      </c>
      <c r="P85" s="102">
        <f t="shared" ref="P85:S85" si="34">+O85</f>
        <v>0.11191542288552156</v>
      </c>
      <c r="Q85" s="102">
        <f t="shared" si="34"/>
        <v>0.11191542288552156</v>
      </c>
      <c r="R85" s="102">
        <f t="shared" si="34"/>
        <v>0.11191542288552156</v>
      </c>
      <c r="S85" s="102">
        <f t="shared" si="34"/>
        <v>0.11191542288552156</v>
      </c>
    </row>
    <row r="86" spans="12:19" x14ac:dyDescent="0.2">
      <c r="L86" t="s">
        <v>229</v>
      </c>
      <c r="M86" s="140">
        <f>+M50</f>
        <v>0.1</v>
      </c>
      <c r="N86" s="140">
        <f t="shared" ref="N86:S86" si="35">+N50</f>
        <v>0.1</v>
      </c>
      <c r="O86" s="140">
        <f t="shared" si="35"/>
        <v>0.1</v>
      </c>
      <c r="P86" s="140">
        <f t="shared" si="35"/>
        <v>0.1</v>
      </c>
      <c r="Q86" s="140">
        <f t="shared" si="35"/>
        <v>0.1</v>
      </c>
      <c r="R86" s="140">
        <f t="shared" si="35"/>
        <v>0.1</v>
      </c>
      <c r="S86" s="140">
        <f t="shared" si="35"/>
        <v>0.1</v>
      </c>
    </row>
    <row r="87" spans="12:19" x14ac:dyDescent="0.2">
      <c r="L87" t="s">
        <v>92</v>
      </c>
      <c r="M87" s="4"/>
      <c r="N87" s="102">
        <v>0.06</v>
      </c>
      <c r="O87" s="102">
        <v>0.06</v>
      </c>
      <c r="P87" s="102">
        <v>0.06</v>
      </c>
      <c r="Q87" s="140">
        <f>+Q69</f>
        <v>0.06</v>
      </c>
      <c r="R87" s="140">
        <f t="shared" ref="R87:S87" si="36">+R69</f>
        <v>0.06</v>
      </c>
      <c r="S87" s="140">
        <f t="shared" si="36"/>
        <v>0.06</v>
      </c>
    </row>
    <row r="88" spans="12:19" x14ac:dyDescent="0.2">
      <c r="L88" t="s">
        <v>58</v>
      </c>
      <c r="M88" s="140">
        <f>+M52</f>
        <v>0.12</v>
      </c>
      <c r="N88" s="140">
        <f t="shared" ref="N88:S88" si="37">+N52</f>
        <v>0.12</v>
      </c>
      <c r="O88" s="140">
        <f t="shared" si="37"/>
        <v>0.12</v>
      </c>
      <c r="P88" s="140">
        <f t="shared" si="37"/>
        <v>0.12</v>
      </c>
      <c r="Q88" s="140">
        <f t="shared" si="37"/>
        <v>0.12</v>
      </c>
      <c r="R88" s="140">
        <f t="shared" si="37"/>
        <v>0.12</v>
      </c>
      <c r="S88" s="140">
        <f t="shared" si="37"/>
        <v>0.12</v>
      </c>
    </row>
    <row r="90" spans="12:19" x14ac:dyDescent="0.2">
      <c r="L90" t="s">
        <v>95</v>
      </c>
      <c r="M90" s="2">
        <f>+N87/N85</f>
        <v>0.53611913758637253</v>
      </c>
      <c r="N90" s="2">
        <f t="shared" ref="N90:R90" si="38">+O87/O85</f>
        <v>0.53611913758637253</v>
      </c>
      <c r="O90" s="2">
        <f t="shared" si="38"/>
        <v>0.53611913758637253</v>
      </c>
      <c r="P90" s="2">
        <f t="shared" si="38"/>
        <v>0.53611913758637253</v>
      </c>
      <c r="Q90" s="2">
        <f t="shared" si="38"/>
        <v>0.53611913758637253</v>
      </c>
      <c r="R90" s="2">
        <f t="shared" si="38"/>
        <v>0.53611913758637253</v>
      </c>
    </row>
    <row r="91" spans="12:19" x14ac:dyDescent="0.2">
      <c r="M91" s="68"/>
    </row>
    <row r="92" spans="12:19" x14ac:dyDescent="0.2">
      <c r="L92" t="s">
        <v>81</v>
      </c>
      <c r="M92" s="160">
        <f>+D35+D14+M81*M84</f>
        <v>4871.666666666667</v>
      </c>
      <c r="N92" s="68">
        <f>+M92+M93*N85</f>
        <v>5163.9666666666672</v>
      </c>
      <c r="O92" s="68">
        <f t="shared" ref="O92:R92" si="39">+N92+N93*O85</f>
        <v>5473.8046666666669</v>
      </c>
      <c r="P92" s="68">
        <f t="shared" si="39"/>
        <v>5802.232946666667</v>
      </c>
      <c r="Q92" s="68">
        <f t="shared" si="39"/>
        <v>6150.3669234666668</v>
      </c>
      <c r="R92" s="68">
        <f t="shared" si="39"/>
        <v>6519.3889388746666</v>
      </c>
    </row>
    <row r="93" spans="12:19" x14ac:dyDescent="0.2">
      <c r="L93" t="s">
        <v>91</v>
      </c>
      <c r="M93" s="68">
        <f>+M92*M90</f>
        <v>2611.7937319416119</v>
      </c>
      <c r="N93" s="68">
        <f t="shared" ref="N93:R93" si="40">+N92*N90</f>
        <v>2768.5013558581086</v>
      </c>
      <c r="O93" s="68">
        <f t="shared" si="40"/>
        <v>2934.6114372095949</v>
      </c>
      <c r="P93" s="68">
        <f t="shared" si="40"/>
        <v>3110.6881234421703</v>
      </c>
      <c r="Q93" s="68">
        <f t="shared" si="40"/>
        <v>3297.3294108487007</v>
      </c>
      <c r="R93" s="68">
        <f t="shared" si="40"/>
        <v>3495.1691754996227</v>
      </c>
    </row>
    <row r="94" spans="12:19" x14ac:dyDescent="0.2">
      <c r="L94" t="s">
        <v>75</v>
      </c>
      <c r="M94" s="68">
        <f>+M92-M93</f>
        <v>2259.8729347250551</v>
      </c>
      <c r="N94" s="68">
        <f t="shared" ref="N94:R94" si="41">+N92-N93</f>
        <v>2395.4653108085586</v>
      </c>
      <c r="O94" s="68">
        <f t="shared" si="41"/>
        <v>2539.193229457072</v>
      </c>
      <c r="P94" s="68">
        <f t="shared" si="41"/>
        <v>2691.5448232244967</v>
      </c>
      <c r="Q94" s="68">
        <f t="shared" si="41"/>
        <v>2853.0375126179661</v>
      </c>
      <c r="R94" s="68">
        <f t="shared" si="41"/>
        <v>3024.2197633750438</v>
      </c>
    </row>
    <row r="95" spans="12:19" x14ac:dyDescent="0.2">
      <c r="L95" s="119" t="s">
        <v>158</v>
      </c>
      <c r="M95" s="139">
        <f t="shared" ref="M95:P95" si="42">+(M94+N95)/(1+M86)</f>
        <v>56496.823368126359</v>
      </c>
      <c r="N95" s="139">
        <f t="shared" si="42"/>
        <v>59886.632770213946</v>
      </c>
      <c r="O95" s="139">
        <f t="shared" si="42"/>
        <v>63479.830736426782</v>
      </c>
      <c r="P95" s="139">
        <f t="shared" si="42"/>
        <v>67288.620580612391</v>
      </c>
      <c r="Q95" s="139">
        <f>+(Q94+R95)/(1+Q86)</f>
        <v>71325.937815449142</v>
      </c>
      <c r="R95" s="139">
        <f>+R94/(R86-S87)</f>
        <v>75605.494084376085</v>
      </c>
    </row>
    <row r="96" spans="12:19" x14ac:dyDescent="0.2">
      <c r="L96" t="s">
        <v>529</v>
      </c>
      <c r="M96" s="2">
        <f>+M95/(D38+D17)</f>
        <v>1.0306219851565341</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30DFF-ED05-4663-84FB-63B547E100C3}">
  <sheetPr>
    <tabColor rgb="FFCC99FF"/>
  </sheetPr>
  <dimension ref="C1:S96"/>
  <sheetViews>
    <sheetView workbookViewId="0">
      <selection activeCell="C60" sqref="C60"/>
    </sheetView>
  </sheetViews>
  <sheetFormatPr baseColWidth="10" defaultColWidth="8.83203125" defaultRowHeight="16" x14ac:dyDescent="0.2"/>
  <cols>
    <col min="3" max="3" width="18.6640625" bestFit="1" customWidth="1"/>
    <col min="4" max="4" width="9.6640625" bestFit="1" customWidth="1"/>
    <col min="5" max="6" width="14.83203125" bestFit="1" customWidth="1"/>
    <col min="7" max="9" width="8.6640625" bestFit="1" customWidth="1"/>
    <col min="10" max="10" width="6.6640625" bestFit="1" customWidth="1"/>
    <col min="12" max="12" width="13.83203125" bestFit="1" customWidth="1"/>
    <col min="13" max="13" width="9.6640625" bestFit="1" customWidth="1"/>
    <col min="14" max="18" width="8.6640625" bestFit="1" customWidth="1"/>
    <col min="19" max="19" width="7.6640625" bestFit="1" customWidth="1"/>
  </cols>
  <sheetData>
    <row r="1" spans="3:7" x14ac:dyDescent="0.2">
      <c r="E1" s="4"/>
    </row>
    <row r="2" spans="3:7" x14ac:dyDescent="0.2">
      <c r="E2" s="4"/>
    </row>
    <row r="3" spans="3:7" x14ac:dyDescent="0.2">
      <c r="C3" t="s">
        <v>503</v>
      </c>
      <c r="D3" s="1">
        <f>+D23</f>
        <v>2024</v>
      </c>
      <c r="F3" t="s">
        <v>504</v>
      </c>
    </row>
    <row r="4" spans="3:7" x14ac:dyDescent="0.2">
      <c r="C4" t="s">
        <v>90</v>
      </c>
      <c r="D4" s="68">
        <v>6000</v>
      </c>
      <c r="F4" t="s">
        <v>505</v>
      </c>
      <c r="G4" s="68">
        <v>300</v>
      </c>
    </row>
    <row r="5" spans="3:7" x14ac:dyDescent="0.2">
      <c r="C5" t="s">
        <v>45</v>
      </c>
      <c r="D5" s="68">
        <v>2800</v>
      </c>
      <c r="F5" t="s">
        <v>506</v>
      </c>
      <c r="G5" s="68">
        <v>600</v>
      </c>
    </row>
    <row r="6" spans="3:7" x14ac:dyDescent="0.2">
      <c r="C6" t="s">
        <v>93</v>
      </c>
      <c r="D6" s="4">
        <v>0.14000000000000001</v>
      </c>
    </row>
    <row r="7" spans="3:7" x14ac:dyDescent="0.2">
      <c r="C7" t="s">
        <v>507</v>
      </c>
      <c r="D7" s="2">
        <v>0.12</v>
      </c>
    </row>
    <row r="8" spans="3:7" x14ac:dyDescent="0.2">
      <c r="C8" t="s">
        <v>229</v>
      </c>
      <c r="D8" s="4">
        <v>0.1</v>
      </c>
    </row>
    <row r="9" spans="3:7" x14ac:dyDescent="0.2">
      <c r="C9" t="s">
        <v>508</v>
      </c>
      <c r="D9" s="4">
        <v>0.06</v>
      </c>
    </row>
    <row r="10" spans="3:7" x14ac:dyDescent="0.2">
      <c r="C10" t="s">
        <v>58</v>
      </c>
      <c r="D10" s="4">
        <v>0.12</v>
      </c>
    </row>
    <row r="12" spans="3:7" x14ac:dyDescent="0.2">
      <c r="C12" t="s">
        <v>95</v>
      </c>
      <c r="D12" s="2">
        <f>+D9/D7</f>
        <v>0.5</v>
      </c>
    </row>
    <row r="14" spans="3:7" x14ac:dyDescent="0.2">
      <c r="C14" t="s">
        <v>81</v>
      </c>
      <c r="D14" s="68">
        <f>+D4*D6</f>
        <v>840.00000000000011</v>
      </c>
    </row>
    <row r="15" spans="3:7" x14ac:dyDescent="0.2">
      <c r="C15" t="s">
        <v>91</v>
      </c>
      <c r="D15" s="68">
        <f>+D14*D12</f>
        <v>420.00000000000006</v>
      </c>
    </row>
    <row r="16" spans="3:7" x14ac:dyDescent="0.2">
      <c r="C16" t="s">
        <v>75</v>
      </c>
      <c r="D16" s="68">
        <f>+D14-D15</f>
        <v>420.00000000000006</v>
      </c>
    </row>
    <row r="17" spans="3:19" x14ac:dyDescent="0.2">
      <c r="C17" s="119" t="s">
        <v>158</v>
      </c>
      <c r="D17" s="139">
        <f>+D16/(D8-D9)</f>
        <v>10500</v>
      </c>
    </row>
    <row r="18" spans="3:19" x14ac:dyDescent="0.2">
      <c r="C18" t="str">
        <f>+C5</f>
        <v>Debt</v>
      </c>
      <c r="D18" s="68">
        <f>+D5</f>
        <v>2800</v>
      </c>
    </row>
    <row r="19" spans="3:19" x14ac:dyDescent="0.2">
      <c r="C19" t="s">
        <v>165</v>
      </c>
      <c r="D19" s="68">
        <f>+D17-D18</f>
        <v>7700</v>
      </c>
    </row>
    <row r="23" spans="3:19" x14ac:dyDescent="0.2">
      <c r="C23" t="s">
        <v>509</v>
      </c>
      <c r="D23" s="1">
        <v>2024</v>
      </c>
      <c r="E23" s="1">
        <f>+D23+1</f>
        <v>2025</v>
      </c>
      <c r="F23" s="1">
        <v>2025</v>
      </c>
      <c r="G23" s="1">
        <f t="shared" ref="G23" si="0">+F23+1</f>
        <v>2026</v>
      </c>
      <c r="H23" s="1">
        <v>2026</v>
      </c>
      <c r="I23" s="1" t="s">
        <v>510</v>
      </c>
      <c r="L23" t="s">
        <v>511</v>
      </c>
      <c r="M23" s="1">
        <v>2024</v>
      </c>
      <c r="N23" s="1">
        <f>+M23+1</f>
        <v>2025</v>
      </c>
      <c r="O23" s="1">
        <v>2025</v>
      </c>
      <c r="P23" s="1">
        <f t="shared" ref="P23" si="1">+O23+1</f>
        <v>2026</v>
      </c>
      <c r="Q23" s="1">
        <v>2026</v>
      </c>
      <c r="R23" s="1" t="s">
        <v>510</v>
      </c>
    </row>
    <row r="24" spans="3:19" x14ac:dyDescent="0.2">
      <c r="E24" s="1"/>
      <c r="F24" s="1"/>
      <c r="G24" s="1"/>
      <c r="H24" s="1"/>
      <c r="I24" s="1"/>
      <c r="L24" t="s">
        <v>512</v>
      </c>
      <c r="M24" s="105">
        <v>1000</v>
      </c>
      <c r="N24" s="1"/>
      <c r="O24" s="1"/>
      <c r="P24" s="1"/>
      <c r="Q24" s="1"/>
      <c r="R24" s="1"/>
    </row>
    <row r="25" spans="3:19" x14ac:dyDescent="0.2">
      <c r="C25" t="s">
        <v>90</v>
      </c>
      <c r="D25" s="91">
        <v>15000</v>
      </c>
      <c r="E25" s="106"/>
      <c r="L25" t="s">
        <v>90</v>
      </c>
      <c r="M25" s="68">
        <f>+D25+D4+M24</f>
        <v>22000</v>
      </c>
      <c r="N25" s="106"/>
    </row>
    <row r="26" spans="3:19" x14ac:dyDescent="0.2">
      <c r="C26" t="s">
        <v>277</v>
      </c>
      <c r="D26" s="68">
        <f>+D25*50%</f>
        <v>7500</v>
      </c>
      <c r="E26" s="106"/>
      <c r="L26" t="s">
        <v>277</v>
      </c>
      <c r="M26" s="68">
        <f>+M25*50%</f>
        <v>11000</v>
      </c>
      <c r="N26" s="106"/>
    </row>
    <row r="27" spans="3:19" x14ac:dyDescent="0.2">
      <c r="C27" t="s">
        <v>93</v>
      </c>
      <c r="D27" s="4">
        <v>0.13</v>
      </c>
      <c r="L27" t="s">
        <v>93</v>
      </c>
      <c r="M27" s="102">
        <v>0.13400000000000001</v>
      </c>
    </row>
    <row r="28" spans="3:19" x14ac:dyDescent="0.2">
      <c r="C28" t="s">
        <v>94</v>
      </c>
      <c r="D28" s="4"/>
      <c r="E28" s="4">
        <v>0.11</v>
      </c>
      <c r="F28" s="4">
        <v>0.11</v>
      </c>
      <c r="G28" s="4">
        <v>0.11</v>
      </c>
      <c r="H28" s="4">
        <v>0.11</v>
      </c>
      <c r="I28" s="4">
        <v>0.11</v>
      </c>
      <c r="J28" s="4">
        <v>0.11</v>
      </c>
      <c r="L28" t="s">
        <v>94</v>
      </c>
      <c r="M28" s="4"/>
      <c r="N28" s="102">
        <v>0.11191542288552156</v>
      </c>
      <c r="O28" s="102">
        <f>+O49</f>
        <v>0.11191542288552156</v>
      </c>
      <c r="P28" s="102">
        <f>+P49</f>
        <v>0.11191542288552156</v>
      </c>
      <c r="Q28" s="102">
        <f>+Q49</f>
        <v>0.11191542288552156</v>
      </c>
      <c r="R28" s="102">
        <f>+R49</f>
        <v>0.11191542288552156</v>
      </c>
      <c r="S28" s="102">
        <f>+S49</f>
        <v>0.11191542288552156</v>
      </c>
    </row>
    <row r="29" spans="3:19" x14ac:dyDescent="0.2">
      <c r="C29" t="s">
        <v>229</v>
      </c>
      <c r="D29" s="4">
        <v>0.1</v>
      </c>
      <c r="E29" s="4">
        <v>0.1</v>
      </c>
      <c r="F29" s="4">
        <v>0.1</v>
      </c>
      <c r="G29" s="4">
        <v>0.1</v>
      </c>
      <c r="H29" s="4">
        <v>0.1</v>
      </c>
      <c r="I29" s="4">
        <v>0.1</v>
      </c>
      <c r="J29" s="4">
        <v>0.1</v>
      </c>
      <c r="L29" t="s">
        <v>229</v>
      </c>
      <c r="M29" s="140">
        <f>+D29</f>
        <v>0.1</v>
      </c>
      <c r="N29" s="140">
        <f t="shared" ref="N29:S30" si="2">+E29</f>
        <v>0.1</v>
      </c>
      <c r="O29" s="140">
        <f t="shared" si="2"/>
        <v>0.1</v>
      </c>
      <c r="P29" s="140">
        <f t="shared" si="2"/>
        <v>0.1</v>
      </c>
      <c r="Q29" s="140">
        <f t="shared" si="2"/>
        <v>0.1</v>
      </c>
      <c r="R29" s="140">
        <f t="shared" si="2"/>
        <v>0.1</v>
      </c>
      <c r="S29" s="140">
        <f t="shared" si="2"/>
        <v>0.1</v>
      </c>
    </row>
    <row r="30" spans="3:19" x14ac:dyDescent="0.2">
      <c r="C30" t="s">
        <v>92</v>
      </c>
      <c r="D30" s="4"/>
      <c r="E30" s="4">
        <v>0.06</v>
      </c>
      <c r="F30" s="4">
        <v>0.06</v>
      </c>
      <c r="G30" s="4">
        <v>0.06</v>
      </c>
      <c r="H30" s="4">
        <v>0.06</v>
      </c>
      <c r="I30" s="4">
        <v>0.06</v>
      </c>
      <c r="J30" s="4">
        <v>0.06</v>
      </c>
      <c r="L30" t="s">
        <v>92</v>
      </c>
      <c r="M30" s="4"/>
      <c r="N30" s="102">
        <v>0.12</v>
      </c>
      <c r="O30" s="102">
        <v>0.1</v>
      </c>
      <c r="P30" s="102">
        <v>0.08</v>
      </c>
      <c r="Q30" s="140">
        <f>+H30</f>
        <v>0.06</v>
      </c>
      <c r="R30" s="140">
        <f t="shared" si="2"/>
        <v>0.06</v>
      </c>
      <c r="S30" s="140">
        <f t="shared" si="2"/>
        <v>0.06</v>
      </c>
    </row>
    <row r="31" spans="3:19" x14ac:dyDescent="0.2">
      <c r="C31" t="s">
        <v>58</v>
      </c>
      <c r="D31" s="4">
        <v>0.12</v>
      </c>
      <c r="E31" s="4">
        <v>0.12</v>
      </c>
      <c r="F31" s="4">
        <v>0.12</v>
      </c>
      <c r="G31" s="4">
        <v>0.12</v>
      </c>
      <c r="H31" s="4">
        <v>0.12</v>
      </c>
      <c r="I31" s="4">
        <v>0.12</v>
      </c>
      <c r="J31" s="4">
        <v>0.12</v>
      </c>
      <c r="L31" t="s">
        <v>58</v>
      </c>
      <c r="M31" s="140">
        <f>+D31</f>
        <v>0.12</v>
      </c>
      <c r="N31" s="140">
        <f t="shared" ref="N31:S31" si="3">+E31</f>
        <v>0.12</v>
      </c>
      <c r="O31" s="140">
        <f t="shared" si="3"/>
        <v>0.12</v>
      </c>
      <c r="P31" s="140">
        <f t="shared" si="3"/>
        <v>0.12</v>
      </c>
      <c r="Q31" s="140">
        <f t="shared" si="3"/>
        <v>0.12</v>
      </c>
      <c r="R31" s="140">
        <f t="shared" si="3"/>
        <v>0.12</v>
      </c>
      <c r="S31" s="140">
        <f t="shared" si="3"/>
        <v>0.12</v>
      </c>
    </row>
    <row r="33" spans="3:18" x14ac:dyDescent="0.2">
      <c r="C33" t="s">
        <v>95</v>
      </c>
      <c r="D33" s="2">
        <f>+E30/E28</f>
        <v>0.54545454545454541</v>
      </c>
      <c r="E33" s="2">
        <f t="shared" ref="E33:I33" si="4">+F30/F28</f>
        <v>0.54545454545454541</v>
      </c>
      <c r="F33" s="2">
        <f t="shared" si="4"/>
        <v>0.54545454545454541</v>
      </c>
      <c r="G33" s="2">
        <f t="shared" si="4"/>
        <v>0.54545454545454541</v>
      </c>
      <c r="H33" s="2">
        <f t="shared" si="4"/>
        <v>0.54545454545454541</v>
      </c>
      <c r="I33" s="2">
        <f t="shared" si="4"/>
        <v>0.54545454545454541</v>
      </c>
      <c r="L33" t="s">
        <v>95</v>
      </c>
      <c r="M33" s="2">
        <f>+N30/N28</f>
        <v>1.0722382751727451</v>
      </c>
      <c r="N33" s="2">
        <f t="shared" ref="N33:R33" si="5">+O30/O28</f>
        <v>0.89353189597728766</v>
      </c>
      <c r="O33" s="2">
        <f t="shared" si="5"/>
        <v>0.71482551678183004</v>
      </c>
      <c r="P33" s="2">
        <f t="shared" si="5"/>
        <v>0.53611913758637253</v>
      </c>
      <c r="Q33" s="2">
        <f t="shared" si="5"/>
        <v>0.53611913758637253</v>
      </c>
      <c r="R33" s="2">
        <f t="shared" si="5"/>
        <v>0.53611913758637253</v>
      </c>
    </row>
    <row r="34" spans="3:18" x14ac:dyDescent="0.2">
      <c r="M34" s="68"/>
    </row>
    <row r="35" spans="3:18" x14ac:dyDescent="0.2">
      <c r="C35" t="s">
        <v>81</v>
      </c>
      <c r="D35" s="68">
        <f>+D25*D27</f>
        <v>1950</v>
      </c>
      <c r="E35" s="68">
        <f>+D35+D36*E28</f>
        <v>2067</v>
      </c>
      <c r="F35" s="68">
        <f t="shared" ref="F35:I35" si="6">+E35+E36*F28</f>
        <v>2191.02</v>
      </c>
      <c r="G35" s="68">
        <f t="shared" si="6"/>
        <v>2322.4812000000002</v>
      </c>
      <c r="H35" s="68">
        <f t="shared" si="6"/>
        <v>2461.8300720000002</v>
      </c>
      <c r="I35" s="68">
        <f t="shared" si="6"/>
        <v>2609.5398763200001</v>
      </c>
      <c r="J35" s="68"/>
      <c r="L35" t="s">
        <v>81</v>
      </c>
      <c r="M35" s="68">
        <f>+M25*M27</f>
        <v>2948</v>
      </c>
      <c r="N35" s="68">
        <f>+M35+M36*N28</f>
        <v>3301.76</v>
      </c>
      <c r="O35" s="68">
        <f t="shared" ref="O35:R35" si="7">+N35+N36*O28</f>
        <v>3631.9360000000001</v>
      </c>
      <c r="P35" s="68">
        <f t="shared" si="7"/>
        <v>3922.4908800000003</v>
      </c>
      <c r="Q35" s="68">
        <f t="shared" si="7"/>
        <v>4157.8403328000004</v>
      </c>
      <c r="R35" s="68">
        <f t="shared" si="7"/>
        <v>4407.3107527680004</v>
      </c>
    </row>
    <row r="36" spans="3:18" x14ac:dyDescent="0.2">
      <c r="C36" t="s">
        <v>91</v>
      </c>
      <c r="D36" s="68">
        <f>+D35*D33</f>
        <v>1063.6363636363635</v>
      </c>
      <c r="E36" s="68">
        <f t="shared" ref="E36:I36" si="8">+E35*E33</f>
        <v>1127.4545454545453</v>
      </c>
      <c r="F36" s="68">
        <f t="shared" si="8"/>
        <v>1195.1018181818181</v>
      </c>
      <c r="G36" s="68">
        <f t="shared" si="8"/>
        <v>1266.8079272727273</v>
      </c>
      <c r="H36" s="68">
        <f t="shared" si="8"/>
        <v>1342.8164029090908</v>
      </c>
      <c r="I36" s="68">
        <f t="shared" si="8"/>
        <v>1423.3853870836363</v>
      </c>
      <c r="J36" s="68"/>
      <c r="L36" t="s">
        <v>91</v>
      </c>
      <c r="M36" s="68">
        <f>+M35*M33</f>
        <v>3160.9584352092525</v>
      </c>
      <c r="N36" s="68">
        <f t="shared" ref="N36:R36" si="9">+N35*N33</f>
        <v>2950.2278728619694</v>
      </c>
      <c r="O36" s="68">
        <f t="shared" si="9"/>
        <v>2596.2005281185329</v>
      </c>
      <c r="P36" s="68">
        <f t="shared" si="9"/>
        <v>2102.9224277760118</v>
      </c>
      <c r="Q36" s="68">
        <f t="shared" si="9"/>
        <v>2229.0977734425724</v>
      </c>
      <c r="R36" s="68">
        <f t="shared" si="9"/>
        <v>2362.8436398491267</v>
      </c>
    </row>
    <row r="37" spans="3:18" x14ac:dyDescent="0.2">
      <c r="C37" t="s">
        <v>75</v>
      </c>
      <c r="D37" s="68">
        <f>+D35-D36</f>
        <v>886.36363636363649</v>
      </c>
      <c r="E37" s="68">
        <f t="shared" ref="E37:I37" si="10">+E35-E36</f>
        <v>939.54545454545473</v>
      </c>
      <c r="F37" s="68">
        <f t="shared" si="10"/>
        <v>995.91818181818189</v>
      </c>
      <c r="G37" s="68">
        <f t="shared" si="10"/>
        <v>1055.6732727272729</v>
      </c>
      <c r="H37" s="68">
        <f t="shared" si="10"/>
        <v>1119.0136690909094</v>
      </c>
      <c r="I37" s="68">
        <f t="shared" si="10"/>
        <v>1186.1544892363638</v>
      </c>
      <c r="J37" s="68"/>
      <c r="L37" t="s">
        <v>75</v>
      </c>
      <c r="M37" s="68">
        <f>+M35-M36</f>
        <v>-212.95843520925246</v>
      </c>
      <c r="N37" s="68">
        <f t="shared" ref="N37:R37" si="11">+N35-N36</f>
        <v>351.53212713803077</v>
      </c>
      <c r="O37" s="68">
        <f t="shared" si="11"/>
        <v>1035.7354718814672</v>
      </c>
      <c r="P37" s="68">
        <f t="shared" si="11"/>
        <v>1819.5684522239885</v>
      </c>
      <c r="Q37" s="68">
        <f t="shared" si="11"/>
        <v>1928.742559357428</v>
      </c>
      <c r="R37" s="68">
        <f t="shared" si="11"/>
        <v>2044.4671129188737</v>
      </c>
    </row>
    <row r="38" spans="3:18" x14ac:dyDescent="0.2">
      <c r="C38" s="119" t="s">
        <v>158</v>
      </c>
      <c r="D38" s="139">
        <f t="shared" ref="D38:G38" si="12">+(D37+E38)/(1+D29)</f>
        <v>22159.090909090901</v>
      </c>
      <c r="E38" s="139">
        <f t="shared" si="12"/>
        <v>23488.636363636357</v>
      </c>
      <c r="F38" s="139">
        <f t="shared" si="12"/>
        <v>24897.95454545454</v>
      </c>
      <c r="G38" s="139">
        <f t="shared" si="12"/>
        <v>26391.831818181814</v>
      </c>
      <c r="H38" s="139">
        <f>+(H37+I38)/(1+H29)</f>
        <v>27975.341727272724</v>
      </c>
      <c r="I38" s="139">
        <f>+I37/(I29-J30)</f>
        <v>29653.86223090909</v>
      </c>
      <c r="L38" s="119" t="s">
        <v>158</v>
      </c>
      <c r="M38" s="139">
        <f t="shared" ref="M38:P38" si="13">+(M37+N38)/(1+M29)</f>
        <v>35051.804966739146</v>
      </c>
      <c r="N38" s="139">
        <f t="shared" si="13"/>
        <v>38769.94389862231</v>
      </c>
      <c r="O38" s="139">
        <f t="shared" si="13"/>
        <v>42295.406161346516</v>
      </c>
      <c r="P38" s="139">
        <f t="shared" si="13"/>
        <v>45489.211305599703</v>
      </c>
      <c r="Q38" s="139">
        <f>+(Q37+R38)/(1+Q29)</f>
        <v>48218.563983935688</v>
      </c>
      <c r="R38" s="139">
        <f>+R37/(R29-S30)</f>
        <v>51111.677822971833</v>
      </c>
    </row>
    <row r="39" spans="3:18" x14ac:dyDescent="0.2">
      <c r="C39" t="s">
        <v>165</v>
      </c>
      <c r="D39" s="68">
        <f>+D38-D26</f>
        <v>14659.090909090901</v>
      </c>
      <c r="L39" s="63" t="s">
        <v>513</v>
      </c>
      <c r="M39" s="156">
        <f>+(D38+D17)*M60*M78*M96</f>
        <v>34403.572220885129</v>
      </c>
      <c r="N39" t="s">
        <v>514</v>
      </c>
    </row>
    <row r="40" spans="3:18" x14ac:dyDescent="0.2">
      <c r="L40" t="s">
        <v>165</v>
      </c>
      <c r="M40" s="68">
        <f>+M38-M26</f>
        <v>24051.804966739146</v>
      </c>
    </row>
    <row r="41" spans="3:18" x14ac:dyDescent="0.2">
      <c r="C41" t="s">
        <v>515</v>
      </c>
      <c r="D41" s="68">
        <f>+M38-D38-D17</f>
        <v>2392.7140576482452</v>
      </c>
      <c r="L41" t="s">
        <v>516</v>
      </c>
      <c r="M41" s="68">
        <f>+M40-D39-D19-50%*M24</f>
        <v>1192.7140576482452</v>
      </c>
    </row>
    <row r="42" spans="3:18" x14ac:dyDescent="0.2">
      <c r="C42" t="str">
        <f>+L24</f>
        <v>Additional IC</v>
      </c>
      <c r="D42" s="68">
        <f>+M24</f>
        <v>1000</v>
      </c>
      <c r="L42" s="63" t="s">
        <v>517</v>
      </c>
      <c r="M42" s="156">
        <f>+D43-M41</f>
        <v>200</v>
      </c>
    </row>
    <row r="43" spans="3:18" x14ac:dyDescent="0.2">
      <c r="C43" s="119" t="s">
        <v>518</v>
      </c>
      <c r="D43" s="139">
        <f>+M38-D38-D17-M24</f>
        <v>1392.7140576482452</v>
      </c>
    </row>
    <row r="44" spans="3:18" x14ac:dyDescent="0.2">
      <c r="L44" t="s">
        <v>511</v>
      </c>
      <c r="M44" s="1">
        <v>2024</v>
      </c>
      <c r="N44" s="1">
        <f>+M44+1</f>
        <v>2025</v>
      </c>
      <c r="O44" s="1">
        <v>2025</v>
      </c>
      <c r="P44" s="1">
        <f t="shared" ref="P44" si="14">+O44+1</f>
        <v>2026</v>
      </c>
      <c r="Q44" s="1">
        <v>2026</v>
      </c>
      <c r="R44" s="1" t="s">
        <v>510</v>
      </c>
    </row>
    <row r="45" spans="3:18" x14ac:dyDescent="0.2">
      <c r="E45" t="s">
        <v>504</v>
      </c>
      <c r="L45" t="s">
        <v>512</v>
      </c>
      <c r="M45" s="49">
        <v>0</v>
      </c>
      <c r="N45" s="1"/>
      <c r="O45" s="1"/>
      <c r="P45" s="1"/>
      <c r="Q45" s="1"/>
      <c r="R45" s="1"/>
    </row>
    <row r="46" spans="3:18" x14ac:dyDescent="0.2">
      <c r="C46" s="119" t="s">
        <v>519</v>
      </c>
      <c r="D46" s="139">
        <f>+D19</f>
        <v>7700</v>
      </c>
      <c r="E46" s="68">
        <f>+G4</f>
        <v>300</v>
      </c>
      <c r="F46" s="139">
        <f>+D46+E46</f>
        <v>8000</v>
      </c>
      <c r="L46" t="s">
        <v>90</v>
      </c>
      <c r="M46" s="68">
        <f>+M45+$D$25+$D$4</f>
        <v>21000</v>
      </c>
      <c r="N46" s="106"/>
    </row>
    <row r="47" spans="3:18" x14ac:dyDescent="0.2">
      <c r="C47" s="119" t="s">
        <v>520</v>
      </c>
      <c r="D47" s="139">
        <f>+D46+D43</f>
        <v>9092.7140576482452</v>
      </c>
      <c r="E47" s="68">
        <f>+G5</f>
        <v>600</v>
      </c>
      <c r="F47" s="139">
        <f>+D47-E47</f>
        <v>8492.7140576482452</v>
      </c>
      <c r="L47" t="s">
        <v>277</v>
      </c>
      <c r="M47" s="68">
        <f>+$D$26+$D$5+M45*50%</f>
        <v>10300</v>
      </c>
      <c r="N47" s="106"/>
    </row>
    <row r="48" spans="3:18" x14ac:dyDescent="0.2">
      <c r="L48" t="s">
        <v>93</v>
      </c>
      <c r="M48" s="102">
        <v>0.13200000000000001</v>
      </c>
    </row>
    <row r="49" spans="3:19" x14ac:dyDescent="0.2">
      <c r="L49" t="s">
        <v>94</v>
      </c>
      <c r="M49" s="4"/>
      <c r="N49" s="102">
        <v>0.11191542288552156</v>
      </c>
      <c r="O49" s="102">
        <f t="shared" ref="O49:S49" si="15">+O67</f>
        <v>0.11191542288552156</v>
      </c>
      <c r="P49" s="102">
        <f t="shared" si="15"/>
        <v>0.11191542288552156</v>
      </c>
      <c r="Q49" s="102">
        <f t="shared" si="15"/>
        <v>0.11191542288552156</v>
      </c>
      <c r="R49" s="102">
        <f t="shared" si="15"/>
        <v>0.11191542288552156</v>
      </c>
      <c r="S49" s="102">
        <f t="shared" si="15"/>
        <v>0.11191542288552156</v>
      </c>
    </row>
    <row r="50" spans="3:19" x14ac:dyDescent="0.2">
      <c r="C50" t="s">
        <v>521</v>
      </c>
      <c r="L50" t="s">
        <v>229</v>
      </c>
      <c r="M50" s="140">
        <f t="shared" ref="M50:S52" si="16">+M29</f>
        <v>0.1</v>
      </c>
      <c r="N50" s="140">
        <f t="shared" si="16"/>
        <v>0.1</v>
      </c>
      <c r="O50" s="140">
        <f t="shared" si="16"/>
        <v>0.1</v>
      </c>
      <c r="P50" s="140">
        <f t="shared" si="16"/>
        <v>0.1</v>
      </c>
      <c r="Q50" s="140">
        <f t="shared" si="16"/>
        <v>0.1</v>
      </c>
      <c r="R50" s="140">
        <f t="shared" si="16"/>
        <v>0.1</v>
      </c>
      <c r="S50" s="140">
        <f t="shared" si="16"/>
        <v>0.1</v>
      </c>
    </row>
    <row r="51" spans="3:19" x14ac:dyDescent="0.2">
      <c r="C51" t="s">
        <v>522</v>
      </c>
      <c r="D51" s="4">
        <v>0.3</v>
      </c>
      <c r="L51" t="s">
        <v>92</v>
      </c>
      <c r="M51" s="4"/>
      <c r="N51" s="102">
        <v>0.12</v>
      </c>
      <c r="O51" s="102">
        <v>0.1</v>
      </c>
      <c r="P51" s="102">
        <v>0.08</v>
      </c>
      <c r="Q51" s="140">
        <f t="shared" si="16"/>
        <v>0.06</v>
      </c>
      <c r="R51" s="140">
        <f t="shared" si="16"/>
        <v>0.06</v>
      </c>
      <c r="S51" s="140">
        <f t="shared" si="16"/>
        <v>0.06</v>
      </c>
    </row>
    <row r="52" spans="3:19" x14ac:dyDescent="0.2">
      <c r="C52" t="s">
        <v>523</v>
      </c>
      <c r="D52" s="68">
        <f>+D51*D43+D19</f>
        <v>8117.8142172944736</v>
      </c>
      <c r="L52" t="s">
        <v>58</v>
      </c>
      <c r="M52" s="140">
        <f>+M31</f>
        <v>0.12</v>
      </c>
      <c r="N52" s="140">
        <f>+N31</f>
        <v>0.12</v>
      </c>
      <c r="O52" s="140">
        <f>+O31</f>
        <v>0.12</v>
      </c>
      <c r="P52" s="140">
        <f>+P31</f>
        <v>0.12</v>
      </c>
      <c r="Q52" s="140">
        <f t="shared" si="16"/>
        <v>0.12</v>
      </c>
      <c r="R52" s="140">
        <f t="shared" si="16"/>
        <v>0.12</v>
      </c>
      <c r="S52" s="140">
        <f t="shared" si="16"/>
        <v>0.12</v>
      </c>
    </row>
    <row r="53" spans="3:19" x14ac:dyDescent="0.2">
      <c r="C53" t="s">
        <v>524</v>
      </c>
      <c r="D53" s="4">
        <v>0.4</v>
      </c>
    </row>
    <row r="54" spans="3:19" x14ac:dyDescent="0.2">
      <c r="C54" t="s">
        <v>525</v>
      </c>
      <c r="D54" s="68">
        <f>+D52*D53</f>
        <v>3247.1256869177896</v>
      </c>
      <c r="L54" t="s">
        <v>95</v>
      </c>
      <c r="M54" s="2">
        <f>+N51/N49</f>
        <v>1.0722382751727451</v>
      </c>
      <c r="N54" s="2">
        <f t="shared" ref="N54:O54" si="17">+O51/O49</f>
        <v>0.89353189597728766</v>
      </c>
      <c r="O54" s="2">
        <f t="shared" si="17"/>
        <v>0.71482551678183004</v>
      </c>
      <c r="P54" s="2">
        <f>+Q51/Q49</f>
        <v>0.53611913758637253</v>
      </c>
      <c r="Q54" s="2">
        <f t="shared" ref="Q54:R54" si="18">+R51/R49</f>
        <v>0.53611913758637253</v>
      </c>
      <c r="R54" s="2">
        <f t="shared" si="18"/>
        <v>0.53611913758637253</v>
      </c>
    </row>
    <row r="55" spans="3:19" x14ac:dyDescent="0.2">
      <c r="C55" t="s">
        <v>526</v>
      </c>
      <c r="D55" s="68">
        <f>+D52-D54</f>
        <v>4870.688530376684</v>
      </c>
      <c r="M55" s="68"/>
    </row>
    <row r="56" spans="3:19" x14ac:dyDescent="0.2">
      <c r="C56" s="63" t="s">
        <v>527</v>
      </c>
      <c r="D56" s="157">
        <f>+D55/(M40+M42)</f>
        <v>0.2008381865620614</v>
      </c>
      <c r="L56" t="s">
        <v>81</v>
      </c>
      <c r="M56" s="49">
        <f>+D35+D14</f>
        <v>2790</v>
      </c>
      <c r="N56" s="68">
        <f>+M56+M57*N49</f>
        <v>3124.8</v>
      </c>
      <c r="O56" s="68">
        <f t="shared" ref="O56:R56" si="19">+N56+N57*O49</f>
        <v>3437.28</v>
      </c>
      <c r="P56" s="68">
        <f t="shared" si="19"/>
        <v>3712.2624000000001</v>
      </c>
      <c r="Q56" s="68">
        <f t="shared" si="19"/>
        <v>3934.9981440000001</v>
      </c>
      <c r="R56" s="68">
        <f t="shared" si="19"/>
        <v>4171.0980326400004</v>
      </c>
    </row>
    <row r="57" spans="3:19" x14ac:dyDescent="0.2">
      <c r="L57" t="s">
        <v>91</v>
      </c>
      <c r="M57" s="68">
        <f>+M56*M54</f>
        <v>2991.5447877319589</v>
      </c>
      <c r="N57" s="68">
        <f t="shared" ref="N57:R57" si="20">+N56*N54</f>
        <v>2792.1084685498286</v>
      </c>
      <c r="O57" s="68">
        <f t="shared" si="20"/>
        <v>2457.0554523238488</v>
      </c>
      <c r="P57" s="68">
        <f t="shared" si="20"/>
        <v>1990.2149163823176</v>
      </c>
      <c r="Q57" s="68">
        <f t="shared" si="20"/>
        <v>2109.6278113652565</v>
      </c>
      <c r="R57" s="68">
        <f t="shared" si="20"/>
        <v>2236.2054800471719</v>
      </c>
    </row>
    <row r="58" spans="3:19" x14ac:dyDescent="0.2">
      <c r="C58" t="s">
        <v>525</v>
      </c>
      <c r="D58" s="68">
        <f>+D54</f>
        <v>3247.1256869177896</v>
      </c>
      <c r="L58" t="s">
        <v>75</v>
      </c>
      <c r="M58" s="68">
        <f>+M56-M57</f>
        <v>-201.54478773195888</v>
      </c>
      <c r="N58" s="68">
        <f t="shared" ref="N58:R58" si="21">+N56-N57</f>
        <v>332.69153145017162</v>
      </c>
      <c r="O58" s="68">
        <f t="shared" si="21"/>
        <v>980.22454767615136</v>
      </c>
      <c r="P58" s="68">
        <f t="shared" si="21"/>
        <v>1722.0474836176825</v>
      </c>
      <c r="Q58" s="68">
        <f t="shared" si="21"/>
        <v>1825.3703326347436</v>
      </c>
      <c r="R58" s="68">
        <f t="shared" si="21"/>
        <v>1934.8925525928285</v>
      </c>
    </row>
    <row r="59" spans="3:19" x14ac:dyDescent="0.2">
      <c r="C59" t="s">
        <v>517</v>
      </c>
      <c r="D59" s="68">
        <f>+D56*M42</f>
        <v>40.167637312412282</v>
      </c>
      <c r="L59" s="119" t="s">
        <v>158</v>
      </c>
      <c r="M59" s="139">
        <f t="shared" ref="M59:P59" si="22">+(M58+N59)/(1+M50)</f>
        <v>33173.180412890848</v>
      </c>
      <c r="N59" s="139">
        <f t="shared" si="22"/>
        <v>36692.043241911895</v>
      </c>
      <c r="O59" s="139">
        <f t="shared" si="22"/>
        <v>40028.556034652909</v>
      </c>
      <c r="P59" s="139">
        <f t="shared" si="22"/>
        <v>43051.18709044205</v>
      </c>
      <c r="Q59" s="139">
        <f>+(Q58+R59)/(1+Q50)</f>
        <v>45634.258315868581</v>
      </c>
      <c r="R59" s="139">
        <f>+R58/(R50-S51)</f>
        <v>48372.3138148207</v>
      </c>
    </row>
    <row r="60" spans="3:19" x14ac:dyDescent="0.2">
      <c r="C60" t="s">
        <v>528</v>
      </c>
      <c r="D60" s="68">
        <f>+D56*M40</f>
        <v>4830.5208930642711</v>
      </c>
      <c r="L60" t="s">
        <v>529</v>
      </c>
      <c r="M60" s="158">
        <f>+M59/($D$38+$D$17)</f>
        <v>1.0157410843195531</v>
      </c>
    </row>
    <row r="61" spans="3:19" x14ac:dyDescent="0.2">
      <c r="C61" s="65" t="s">
        <v>530</v>
      </c>
      <c r="D61" s="159">
        <f>SUM(D58:D60)</f>
        <v>8117.8142172944736</v>
      </c>
    </row>
    <row r="62" spans="3:19" x14ac:dyDescent="0.2">
      <c r="L62" t="s">
        <v>511</v>
      </c>
      <c r="M62" s="1">
        <v>2024</v>
      </c>
      <c r="N62" s="1">
        <f>+M62+1</f>
        <v>2025</v>
      </c>
      <c r="O62" s="1">
        <v>2025</v>
      </c>
      <c r="P62" s="1">
        <f t="shared" ref="P62" si="23">+O62+1</f>
        <v>2026</v>
      </c>
      <c r="Q62" s="1">
        <v>2026</v>
      </c>
      <c r="R62" s="1" t="s">
        <v>510</v>
      </c>
    </row>
    <row r="63" spans="3:19" x14ac:dyDescent="0.2">
      <c r="L63" t="s">
        <v>512</v>
      </c>
      <c r="M63" s="49">
        <v>0</v>
      </c>
      <c r="N63" s="1"/>
      <c r="O63" s="1"/>
      <c r="P63" s="1"/>
      <c r="Q63" s="1"/>
      <c r="R63" s="1"/>
    </row>
    <row r="64" spans="3:19" x14ac:dyDescent="0.2">
      <c r="L64" t="s">
        <v>90</v>
      </c>
      <c r="M64" s="68">
        <f>+M63+$D$25+$D$4</f>
        <v>21000</v>
      </c>
      <c r="N64" s="106"/>
    </row>
    <row r="65" spans="12:19" x14ac:dyDescent="0.2">
      <c r="L65" t="s">
        <v>277</v>
      </c>
      <c r="M65" s="68">
        <f>+$D$26+$D$5+M63*50%</f>
        <v>10300</v>
      </c>
      <c r="N65" s="106"/>
    </row>
    <row r="66" spans="12:19" x14ac:dyDescent="0.2">
      <c r="L66" t="s">
        <v>93</v>
      </c>
      <c r="M66" s="102">
        <v>0.13400000000000001</v>
      </c>
    </row>
    <row r="67" spans="12:19" x14ac:dyDescent="0.2">
      <c r="L67" t="s">
        <v>94</v>
      </c>
      <c r="M67" s="4"/>
      <c r="N67" s="102">
        <v>0.11191542288552156</v>
      </c>
      <c r="O67" s="102">
        <f t="shared" ref="O67:S67" si="24">+O85</f>
        <v>0.11191542288552156</v>
      </c>
      <c r="P67" s="102">
        <f t="shared" si="24"/>
        <v>0.11191542288552156</v>
      </c>
      <c r="Q67" s="102">
        <f t="shared" si="24"/>
        <v>0.11191542288552156</v>
      </c>
      <c r="R67" s="102">
        <f t="shared" si="24"/>
        <v>0.11191542288552156</v>
      </c>
      <c r="S67" s="102">
        <f t="shared" si="24"/>
        <v>0.11191542288552156</v>
      </c>
    </row>
    <row r="68" spans="12:19" x14ac:dyDescent="0.2">
      <c r="L68" t="s">
        <v>229</v>
      </c>
      <c r="M68" s="140">
        <f t="shared" ref="M68:S68" si="25">+M29</f>
        <v>0.1</v>
      </c>
      <c r="N68" s="140">
        <f t="shared" si="25"/>
        <v>0.1</v>
      </c>
      <c r="O68" s="140">
        <f t="shared" si="25"/>
        <v>0.1</v>
      </c>
      <c r="P68" s="140">
        <f t="shared" si="25"/>
        <v>0.1</v>
      </c>
      <c r="Q68" s="140">
        <f t="shared" si="25"/>
        <v>0.1</v>
      </c>
      <c r="R68" s="140">
        <f t="shared" si="25"/>
        <v>0.1</v>
      </c>
      <c r="S68" s="140">
        <f t="shared" si="25"/>
        <v>0.1</v>
      </c>
    </row>
    <row r="69" spans="12:19" x14ac:dyDescent="0.2">
      <c r="L69" t="s">
        <v>92</v>
      </c>
      <c r="M69" s="4"/>
      <c r="N69" s="81">
        <v>0.06</v>
      </c>
      <c r="O69" s="81">
        <v>0.06</v>
      </c>
      <c r="P69" s="81">
        <v>0.06</v>
      </c>
      <c r="Q69" s="140">
        <f>+Q51</f>
        <v>0.06</v>
      </c>
      <c r="R69" s="140">
        <f t="shared" ref="R69:S69" si="26">+R51</f>
        <v>0.06</v>
      </c>
      <c r="S69" s="140">
        <f t="shared" si="26"/>
        <v>0.06</v>
      </c>
    </row>
    <row r="70" spans="12:19" x14ac:dyDescent="0.2">
      <c r="L70" t="s">
        <v>58</v>
      </c>
      <c r="M70" s="140">
        <f t="shared" ref="M70:S70" si="27">+M31</f>
        <v>0.12</v>
      </c>
      <c r="N70" s="140">
        <f t="shared" si="27"/>
        <v>0.12</v>
      </c>
      <c r="O70" s="140">
        <f t="shared" si="27"/>
        <v>0.12</v>
      </c>
      <c r="P70" s="140">
        <f t="shared" si="27"/>
        <v>0.12</v>
      </c>
      <c r="Q70" s="140">
        <f t="shared" si="27"/>
        <v>0.12</v>
      </c>
      <c r="R70" s="140">
        <f t="shared" si="27"/>
        <v>0.12</v>
      </c>
      <c r="S70" s="140">
        <f t="shared" si="27"/>
        <v>0.12</v>
      </c>
    </row>
    <row r="72" spans="12:19" x14ac:dyDescent="0.2">
      <c r="L72" t="s">
        <v>95</v>
      </c>
      <c r="M72" s="2">
        <f>+N69/N67</f>
        <v>0.53611913758637253</v>
      </c>
      <c r="N72" s="2">
        <f t="shared" ref="N72:R72" si="28">+O69/O67</f>
        <v>0.53611913758637253</v>
      </c>
      <c r="O72" s="2">
        <f t="shared" si="28"/>
        <v>0.53611913758637253</v>
      </c>
      <c r="P72" s="2">
        <f t="shared" si="28"/>
        <v>0.53611913758637253</v>
      </c>
      <c r="Q72" s="2">
        <f t="shared" si="28"/>
        <v>0.53611913758637253</v>
      </c>
      <c r="R72" s="2">
        <f t="shared" si="28"/>
        <v>0.53611913758637253</v>
      </c>
    </row>
    <row r="73" spans="12:19" x14ac:dyDescent="0.2">
      <c r="M73" s="68"/>
    </row>
    <row r="74" spans="12:19" x14ac:dyDescent="0.2">
      <c r="L74" t="s">
        <v>81</v>
      </c>
      <c r="M74" s="68">
        <f>+M64*M66</f>
        <v>2814</v>
      </c>
      <c r="N74" s="68">
        <f>+M74+M75*N67</f>
        <v>2982.84</v>
      </c>
      <c r="O74" s="68">
        <f t="shared" ref="O74:R74" si="29">+N74+N75*O67</f>
        <v>3161.8104000000003</v>
      </c>
      <c r="P74" s="68">
        <f t="shared" si="29"/>
        <v>3351.5190240000002</v>
      </c>
      <c r="Q74" s="68">
        <f t="shared" si="29"/>
        <v>3552.6101654399999</v>
      </c>
      <c r="R74" s="68">
        <f t="shared" si="29"/>
        <v>3765.7667753664</v>
      </c>
    </row>
    <row r="75" spans="12:19" x14ac:dyDescent="0.2">
      <c r="L75" t="s">
        <v>91</v>
      </c>
      <c r="M75" s="68">
        <f>+M74*M72</f>
        <v>1508.6392531680524</v>
      </c>
      <c r="N75" s="68">
        <f t="shared" ref="N75:R75" si="30">+N74*N72</f>
        <v>1599.1576083581356</v>
      </c>
      <c r="O75" s="68">
        <f t="shared" si="30"/>
        <v>1695.1070648596237</v>
      </c>
      <c r="P75" s="68">
        <f t="shared" si="30"/>
        <v>1796.813488751201</v>
      </c>
      <c r="Q75" s="68">
        <f t="shared" si="30"/>
        <v>1904.622298076273</v>
      </c>
      <c r="R75" s="68">
        <f t="shared" si="30"/>
        <v>2018.8996359608493</v>
      </c>
    </row>
    <row r="76" spans="12:19" x14ac:dyDescent="0.2">
      <c r="L76" t="s">
        <v>75</v>
      </c>
      <c r="M76" s="68">
        <f>+M74-M75</f>
        <v>1305.3607468319476</v>
      </c>
      <c r="N76" s="68">
        <f t="shared" ref="N76:R76" si="31">+N74-N75</f>
        <v>1383.6823916418646</v>
      </c>
      <c r="O76" s="68">
        <f t="shared" si="31"/>
        <v>1466.7033351403766</v>
      </c>
      <c r="P76" s="68">
        <f t="shared" si="31"/>
        <v>1554.7055352487992</v>
      </c>
      <c r="Q76" s="68">
        <f t="shared" si="31"/>
        <v>1647.987867363727</v>
      </c>
      <c r="R76" s="68">
        <f t="shared" si="31"/>
        <v>1746.8671394055507</v>
      </c>
    </row>
    <row r="77" spans="12:19" x14ac:dyDescent="0.2">
      <c r="L77" s="119" t="s">
        <v>158</v>
      </c>
      <c r="M77" s="139">
        <f t="shared" ref="M77:P77" si="32">+(M76+N77)/(1+M68)</f>
        <v>32634.018670798672</v>
      </c>
      <c r="N77" s="139">
        <f t="shared" si="32"/>
        <v>34592.059791046595</v>
      </c>
      <c r="O77" s="139">
        <f t="shared" si="32"/>
        <v>36667.583378509393</v>
      </c>
      <c r="P77" s="139">
        <f t="shared" si="32"/>
        <v>38867.638381219964</v>
      </c>
      <c r="Q77" s="139">
        <f>+(Q76+R77)/(1+Q68)</f>
        <v>41199.696684093164</v>
      </c>
      <c r="R77" s="139">
        <f>+R76/(R68-S69)</f>
        <v>43671.678485138757</v>
      </c>
    </row>
    <row r="78" spans="12:19" x14ac:dyDescent="0.2">
      <c r="L78" t="s">
        <v>529</v>
      </c>
      <c r="M78" s="158">
        <f>+M77/($D$38+$D$17)</f>
        <v>0.99923230446426026</v>
      </c>
    </row>
    <row r="80" spans="12:19" x14ac:dyDescent="0.2">
      <c r="L80" t="s">
        <v>511</v>
      </c>
      <c r="M80" s="1">
        <v>2024</v>
      </c>
      <c r="N80" s="1">
        <f>+M80+1</f>
        <v>2025</v>
      </c>
      <c r="O80" s="1">
        <v>2025</v>
      </c>
      <c r="P80" s="1">
        <f t="shared" ref="P80" si="33">+O80+1</f>
        <v>2026</v>
      </c>
      <c r="Q80" s="1">
        <v>2026</v>
      </c>
      <c r="R80" s="1" t="s">
        <v>510</v>
      </c>
    </row>
    <row r="81" spans="12:19" x14ac:dyDescent="0.2">
      <c r="L81" t="s">
        <v>512</v>
      </c>
      <c r="M81" s="105">
        <v>1000</v>
      </c>
      <c r="N81" s="1"/>
      <c r="O81" s="1"/>
      <c r="P81" s="1"/>
      <c r="Q81" s="1"/>
      <c r="R81" s="1"/>
    </row>
    <row r="82" spans="12:19" x14ac:dyDescent="0.2">
      <c r="L82" t="s">
        <v>90</v>
      </c>
      <c r="M82" s="68">
        <f>+M81+$D$25+$D$4</f>
        <v>22000</v>
      </c>
      <c r="N82" s="106"/>
    </row>
    <row r="83" spans="12:19" x14ac:dyDescent="0.2">
      <c r="L83" t="s">
        <v>277</v>
      </c>
      <c r="M83" s="68">
        <f>+$D$26+$D$5+M81*50%</f>
        <v>10800</v>
      </c>
      <c r="N83" s="106"/>
    </row>
    <row r="84" spans="12:19" x14ac:dyDescent="0.2">
      <c r="L84" t="s">
        <v>93</v>
      </c>
      <c r="M84" s="102">
        <f>+M56/M46</f>
        <v>0.13285714285714287</v>
      </c>
    </row>
    <row r="85" spans="12:19" x14ac:dyDescent="0.2">
      <c r="L85" t="s">
        <v>94</v>
      </c>
      <c r="M85" s="4"/>
      <c r="N85" s="102">
        <v>0.11191542288552156</v>
      </c>
      <c r="O85" s="102">
        <f>+N85</f>
        <v>0.11191542288552156</v>
      </c>
      <c r="P85" s="102">
        <f t="shared" ref="P85:S85" si="34">+O85</f>
        <v>0.11191542288552156</v>
      </c>
      <c r="Q85" s="102">
        <f t="shared" si="34"/>
        <v>0.11191542288552156</v>
      </c>
      <c r="R85" s="102">
        <f t="shared" si="34"/>
        <v>0.11191542288552156</v>
      </c>
      <c r="S85" s="102">
        <f t="shared" si="34"/>
        <v>0.11191542288552156</v>
      </c>
    </row>
    <row r="86" spans="12:19" x14ac:dyDescent="0.2">
      <c r="L86" t="s">
        <v>229</v>
      </c>
      <c r="M86" s="140">
        <f>+M50</f>
        <v>0.1</v>
      </c>
      <c r="N86" s="140">
        <f t="shared" ref="N86:S86" si="35">+N50</f>
        <v>0.1</v>
      </c>
      <c r="O86" s="140">
        <f t="shared" si="35"/>
        <v>0.1</v>
      </c>
      <c r="P86" s="140">
        <f t="shared" si="35"/>
        <v>0.1</v>
      </c>
      <c r="Q86" s="140">
        <f t="shared" si="35"/>
        <v>0.1</v>
      </c>
      <c r="R86" s="140">
        <f t="shared" si="35"/>
        <v>0.1</v>
      </c>
      <c r="S86" s="140">
        <f t="shared" si="35"/>
        <v>0.1</v>
      </c>
    </row>
    <row r="87" spans="12:19" x14ac:dyDescent="0.2">
      <c r="L87" t="s">
        <v>92</v>
      </c>
      <c r="M87" s="4"/>
      <c r="N87" s="102">
        <v>0.06</v>
      </c>
      <c r="O87" s="102">
        <v>0.06</v>
      </c>
      <c r="P87" s="102">
        <v>0.06</v>
      </c>
      <c r="Q87" s="140">
        <f>+Q69</f>
        <v>0.06</v>
      </c>
      <c r="R87" s="140">
        <f t="shared" ref="R87:S87" si="36">+R69</f>
        <v>0.06</v>
      </c>
      <c r="S87" s="140">
        <f t="shared" si="36"/>
        <v>0.06</v>
      </c>
    </row>
    <row r="88" spans="12:19" x14ac:dyDescent="0.2">
      <c r="L88" t="s">
        <v>58</v>
      </c>
      <c r="M88" s="140">
        <f>+M52</f>
        <v>0.12</v>
      </c>
      <c r="N88" s="140">
        <f t="shared" ref="N88:S88" si="37">+N52</f>
        <v>0.12</v>
      </c>
      <c r="O88" s="140">
        <f t="shared" si="37"/>
        <v>0.12</v>
      </c>
      <c r="P88" s="140">
        <f t="shared" si="37"/>
        <v>0.12</v>
      </c>
      <c r="Q88" s="140">
        <f t="shared" si="37"/>
        <v>0.12</v>
      </c>
      <c r="R88" s="140">
        <f t="shared" si="37"/>
        <v>0.12</v>
      </c>
      <c r="S88" s="140">
        <f t="shared" si="37"/>
        <v>0.12</v>
      </c>
    </row>
    <row r="90" spans="12:19" x14ac:dyDescent="0.2">
      <c r="L90" t="s">
        <v>95</v>
      </c>
      <c r="M90" s="2">
        <f>+N87/N85</f>
        <v>0.53611913758637253</v>
      </c>
      <c r="N90" s="2">
        <f t="shared" ref="N90:R90" si="38">+O87/O85</f>
        <v>0.53611913758637253</v>
      </c>
      <c r="O90" s="2">
        <f t="shared" si="38"/>
        <v>0.53611913758637253</v>
      </c>
      <c r="P90" s="2">
        <f t="shared" si="38"/>
        <v>0.53611913758637253</v>
      </c>
      <c r="Q90" s="2">
        <f t="shared" si="38"/>
        <v>0.53611913758637253</v>
      </c>
      <c r="R90" s="2">
        <f t="shared" si="38"/>
        <v>0.53611913758637253</v>
      </c>
    </row>
    <row r="91" spans="12:19" x14ac:dyDescent="0.2">
      <c r="M91" s="68"/>
    </row>
    <row r="92" spans="12:19" x14ac:dyDescent="0.2">
      <c r="L92" t="s">
        <v>81</v>
      </c>
      <c r="M92" s="49">
        <f>+D35+D14+M81*M84</f>
        <v>2922.8571428571427</v>
      </c>
      <c r="N92" s="68">
        <f>+M92+M93*N85</f>
        <v>3098.2285714285713</v>
      </c>
      <c r="O92" s="68">
        <f t="shared" ref="O92:R92" si="39">+N92+N93*O85</f>
        <v>3284.1222857142857</v>
      </c>
      <c r="P92" s="68">
        <f t="shared" si="39"/>
        <v>3481.1696228571427</v>
      </c>
      <c r="Q92" s="68">
        <f t="shared" si="39"/>
        <v>3690.039800228571</v>
      </c>
      <c r="R92" s="68">
        <f t="shared" si="39"/>
        <v>3911.4421882422853</v>
      </c>
    </row>
    <row r="93" spans="12:19" x14ac:dyDescent="0.2">
      <c r="L93" t="s">
        <v>91</v>
      </c>
      <c r="M93" s="68">
        <f>+M92*M90</f>
        <v>1566.9996507167402</v>
      </c>
      <c r="N93" s="68">
        <f t="shared" ref="N93:R93" si="40">+N92*N90</f>
        <v>1661.0196297597447</v>
      </c>
      <c r="O93" s="68">
        <f t="shared" si="40"/>
        <v>1760.6808075453293</v>
      </c>
      <c r="P93" s="68">
        <f t="shared" si="40"/>
        <v>1866.321655998049</v>
      </c>
      <c r="Q93" s="68">
        <f t="shared" si="40"/>
        <v>1978.3009553579318</v>
      </c>
      <c r="R93" s="68">
        <f t="shared" si="40"/>
        <v>2096.9990126794078</v>
      </c>
    </row>
    <row r="94" spans="12:19" x14ac:dyDescent="0.2">
      <c r="L94" t="s">
        <v>75</v>
      </c>
      <c r="M94" s="68">
        <f>+M92-M93</f>
        <v>1355.8574921404024</v>
      </c>
      <c r="N94" s="68">
        <f t="shared" ref="N94:R94" si="41">+N92-N93</f>
        <v>1437.2089416688266</v>
      </c>
      <c r="O94" s="68">
        <f t="shared" si="41"/>
        <v>1523.4414781689563</v>
      </c>
      <c r="P94" s="68">
        <f t="shared" si="41"/>
        <v>1614.8479668590937</v>
      </c>
      <c r="Q94" s="68">
        <f t="shared" si="41"/>
        <v>1711.7388448706392</v>
      </c>
      <c r="R94" s="68">
        <f t="shared" si="41"/>
        <v>1814.4431755628775</v>
      </c>
    </row>
    <row r="95" spans="12:19" x14ac:dyDescent="0.2">
      <c r="L95" s="119" t="s">
        <v>158</v>
      </c>
      <c r="M95" s="139">
        <f t="shared" ref="M95:P95" si="42">+(M94+N95)/(1+M86)</f>
        <v>33896.437303510036</v>
      </c>
      <c r="N95" s="139">
        <f t="shared" si="42"/>
        <v>35930.223541720647</v>
      </c>
      <c r="O95" s="139">
        <f t="shared" si="42"/>
        <v>38086.036954223891</v>
      </c>
      <c r="P95" s="139">
        <f t="shared" si="42"/>
        <v>40371.199171477332</v>
      </c>
      <c r="Q95" s="139">
        <f>+(Q94+R95)/(1+Q86)</f>
        <v>42793.471121765971</v>
      </c>
      <c r="R95" s="139">
        <f>+R94/(R86-S87)</f>
        <v>45361.079389071929</v>
      </c>
    </row>
    <row r="96" spans="12:19" x14ac:dyDescent="0.2">
      <c r="L96" t="s">
        <v>529</v>
      </c>
      <c r="M96" s="2">
        <f>+M95/(D38+D17)</f>
        <v>1.0378867371986373</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D52BD-3C66-4A6B-A4DA-2E2DA124A65B}">
  <sheetPr>
    <tabColor rgb="FFFFFF00"/>
  </sheetPr>
  <dimension ref="A3:P66"/>
  <sheetViews>
    <sheetView workbookViewId="0">
      <selection activeCell="M53" sqref="M53"/>
    </sheetView>
  </sheetViews>
  <sheetFormatPr baseColWidth="10" defaultColWidth="8.83203125" defaultRowHeight="16" x14ac:dyDescent="0.2"/>
  <cols>
    <col min="1" max="1" width="9.6640625" bestFit="1" customWidth="1"/>
    <col min="2" max="2" width="18" bestFit="1" customWidth="1"/>
    <col min="3" max="3" width="10.6640625" customWidth="1"/>
    <col min="6" max="6" width="17.1640625" bestFit="1" customWidth="1"/>
    <col min="11" max="11" width="18.83203125" customWidth="1"/>
    <col min="12" max="12" width="13.83203125" customWidth="1"/>
    <col min="13" max="13" width="22.33203125" customWidth="1"/>
    <col min="14" max="14" width="15.33203125" customWidth="1"/>
  </cols>
  <sheetData>
    <row r="3" spans="2:3" x14ac:dyDescent="0.2">
      <c r="B3" t="s">
        <v>531</v>
      </c>
    </row>
    <row r="5" spans="2:3" x14ac:dyDescent="0.2">
      <c r="B5" t="s">
        <v>532</v>
      </c>
      <c r="C5" s="106">
        <v>0.2</v>
      </c>
    </row>
    <row r="9" spans="2:3" x14ac:dyDescent="0.2">
      <c r="B9" t="s">
        <v>533</v>
      </c>
      <c r="C9" s="106">
        <v>7.0000000000000007E-2</v>
      </c>
    </row>
    <row r="12" spans="2:3" ht="16.25" customHeight="1" x14ac:dyDescent="0.2"/>
    <row r="19" spans="1:12" x14ac:dyDescent="0.2">
      <c r="B19" t="s">
        <v>534</v>
      </c>
    </row>
    <row r="20" spans="1:12" x14ac:dyDescent="0.2">
      <c r="F20" s="170" t="s">
        <v>535</v>
      </c>
      <c r="G20" s="170">
        <f>L24/(1+C37)^4</f>
        <v>355.49517505221297</v>
      </c>
    </row>
    <row r="21" spans="1:12" x14ac:dyDescent="0.2">
      <c r="C21" t="s">
        <v>536</v>
      </c>
      <c r="G21" t="s">
        <v>537</v>
      </c>
      <c r="L21" t="s">
        <v>538</v>
      </c>
    </row>
    <row r="22" spans="1:12" x14ac:dyDescent="0.2">
      <c r="B22" s="121" t="s">
        <v>46</v>
      </c>
      <c r="C22" s="121">
        <v>30</v>
      </c>
      <c r="F22" s="121" t="s">
        <v>539</v>
      </c>
      <c r="G22" s="121">
        <v>100</v>
      </c>
      <c r="K22" s="121" t="s">
        <v>417</v>
      </c>
      <c r="L22" s="121">
        <v>1500</v>
      </c>
    </row>
    <row r="23" spans="1:12" x14ac:dyDescent="0.2">
      <c r="B23" t="s">
        <v>540</v>
      </c>
      <c r="C23">
        <f>C26-C24</f>
        <v>58.746532322086466</v>
      </c>
      <c r="F23" s="22" t="s">
        <v>541</v>
      </c>
      <c r="G23" s="22">
        <f>G20-C25</f>
        <v>255.49517505221297</v>
      </c>
      <c r="K23" t="s">
        <v>340</v>
      </c>
      <c r="L23">
        <f>G22</f>
        <v>100</v>
      </c>
    </row>
    <row r="24" spans="1:12" x14ac:dyDescent="0.2">
      <c r="B24" s="121" t="s">
        <v>542</v>
      </c>
      <c r="C24" s="121">
        <v>70</v>
      </c>
      <c r="F24" s="121" t="s">
        <v>543</v>
      </c>
      <c r="G24" s="121">
        <v>100</v>
      </c>
      <c r="K24" s="170" t="s">
        <v>385</v>
      </c>
      <c r="L24" s="170">
        <f>L22-L23</f>
        <v>1400</v>
      </c>
    </row>
    <row r="25" spans="1:12" x14ac:dyDescent="0.2">
      <c r="B25" t="s">
        <v>544</v>
      </c>
      <c r="C25">
        <f>C22+C24</f>
        <v>100</v>
      </c>
      <c r="F25" s="171" t="s">
        <v>545</v>
      </c>
      <c r="G25" s="172">
        <f>G22/G20</f>
        <v>0.28129777003390444</v>
      </c>
      <c r="H25" t="s">
        <v>546</v>
      </c>
    </row>
    <row r="26" spans="1:12" x14ac:dyDescent="0.2">
      <c r="B26" s="121" t="s">
        <v>547</v>
      </c>
      <c r="C26">
        <f>G23/(1+C37)^2</f>
        <v>128.74653232208647</v>
      </c>
      <c r="F26" t="s">
        <v>548</v>
      </c>
      <c r="G26" s="4">
        <f>1-G25</f>
        <v>0.71870222996609556</v>
      </c>
      <c r="K26" s="171" t="s">
        <v>545</v>
      </c>
      <c r="L26" s="172">
        <f>G25</f>
        <v>0.28129777003390444</v>
      </c>
    </row>
    <row r="27" spans="1:12" x14ac:dyDescent="0.2">
      <c r="D27" s="147">
        <v>0.3</v>
      </c>
      <c r="F27" s="171" t="s">
        <v>549</v>
      </c>
      <c r="G27" s="173">
        <f>G26*C28</f>
        <v>0.39076125318163285</v>
      </c>
      <c r="H27" t="s">
        <v>550</v>
      </c>
      <c r="K27" s="171" t="s">
        <v>549</v>
      </c>
      <c r="L27" s="173">
        <f>G27</f>
        <v>0.39076125318163285</v>
      </c>
    </row>
    <row r="28" spans="1:12" x14ac:dyDescent="0.2">
      <c r="B28" s="129" t="s">
        <v>551</v>
      </c>
      <c r="C28" s="130">
        <v>0.54370396652319675</v>
      </c>
      <c r="F28" s="171" t="s">
        <v>552</v>
      </c>
      <c r="G28" s="173">
        <f>C31*G26</f>
        <v>0.32794097678446271</v>
      </c>
      <c r="H28" t="s">
        <v>553</v>
      </c>
      <c r="K28" s="171" t="s">
        <v>552</v>
      </c>
      <c r="L28" s="173">
        <f>G28</f>
        <v>0.32794097678446271</v>
      </c>
    </row>
    <row r="29" spans="1:12" x14ac:dyDescent="0.2">
      <c r="B29" t="s">
        <v>554</v>
      </c>
      <c r="C29" s="21">
        <f>C24/C26</f>
        <v>0.54370396419594669</v>
      </c>
    </row>
    <row r="30" spans="1:12" x14ac:dyDescent="0.2">
      <c r="B30" t="s">
        <v>555</v>
      </c>
      <c r="C30" s="106">
        <f>C29-C28</f>
        <v>-2.3272500593307655E-9</v>
      </c>
      <c r="D30" s="147">
        <v>0.7</v>
      </c>
      <c r="F30" s="121" t="s">
        <v>556</v>
      </c>
      <c r="G30" s="147">
        <v>0.9</v>
      </c>
      <c r="K30" t="s">
        <v>557</v>
      </c>
      <c r="L30" s="174">
        <f>G31*(1+C9)^4</f>
        <v>117.9716409</v>
      </c>
    </row>
    <row r="31" spans="1:12" x14ac:dyDescent="0.2">
      <c r="A31" s="112" t="s">
        <v>558</v>
      </c>
      <c r="B31" s="171" t="s">
        <v>552</v>
      </c>
      <c r="C31" s="175">
        <f>1-C28</f>
        <v>0.45629603347680325</v>
      </c>
      <c r="D31" t="s">
        <v>410</v>
      </c>
      <c r="F31" t="s">
        <v>559</v>
      </c>
      <c r="G31" s="34">
        <f>G30*C25</f>
        <v>90</v>
      </c>
      <c r="K31" t="s">
        <v>560</v>
      </c>
      <c r="L31" s="174">
        <f>G32*(1+C9)^4</f>
        <v>64.141649094580188</v>
      </c>
    </row>
    <row r="32" spans="1:12" x14ac:dyDescent="0.2">
      <c r="F32" t="s">
        <v>561</v>
      </c>
      <c r="G32" s="174">
        <f>G31*C28</f>
        <v>48.933356987087706</v>
      </c>
      <c r="K32" t="s">
        <v>560</v>
      </c>
      <c r="L32" s="174">
        <f>L30*C28</f>
        <v>64.141649094580188</v>
      </c>
    </row>
    <row r="33" spans="1:16" x14ac:dyDescent="0.2">
      <c r="B33" t="s">
        <v>562</v>
      </c>
      <c r="C33">
        <v>6</v>
      </c>
    </row>
    <row r="34" spans="1:16" x14ac:dyDescent="0.2">
      <c r="B34" t="s">
        <v>563</v>
      </c>
      <c r="C34" s="106">
        <v>0.7</v>
      </c>
      <c r="K34" t="s">
        <v>564</v>
      </c>
      <c r="L34">
        <f>L24*L28</f>
        <v>459.1173674982478</v>
      </c>
      <c r="M34" t="s">
        <v>565</v>
      </c>
    </row>
    <row r="35" spans="1:16" x14ac:dyDescent="0.2">
      <c r="B35" t="s">
        <v>566</v>
      </c>
      <c r="C35" s="158">
        <f>(L31/C24)^(1/6)-1</f>
        <v>-1.4461305704725924E-2</v>
      </c>
      <c r="K35" t="s">
        <v>567</v>
      </c>
      <c r="L35" s="21">
        <f>(L34/C23)^(1/6)-1</f>
        <v>0.40871643335676322</v>
      </c>
    </row>
    <row r="36" spans="1:16" x14ac:dyDescent="0.2">
      <c r="B36" t="s">
        <v>568</v>
      </c>
      <c r="C36" s="106">
        <v>0.3</v>
      </c>
    </row>
    <row r="37" spans="1:16" x14ac:dyDescent="0.2">
      <c r="A37" s="112" t="s">
        <v>569</v>
      </c>
      <c r="B37" t="s">
        <v>570</v>
      </c>
      <c r="C37">
        <f>(((1+C5)^C33-C34*(1+C35)^C33)/C36)^(1/C33)-1</f>
        <v>0.40871643455424422</v>
      </c>
      <c r="D37" t="s">
        <v>571</v>
      </c>
    </row>
    <row r="40" spans="1:16" x14ac:dyDescent="0.2">
      <c r="A40" s="11"/>
      <c r="B40" t="s">
        <v>532</v>
      </c>
      <c r="C40" s="179">
        <v>0.2</v>
      </c>
      <c r="E40" s="11"/>
      <c r="I40" s="11"/>
    </row>
    <row r="41" spans="1:16" x14ac:dyDescent="0.2">
      <c r="A41" s="11"/>
      <c r="E41" s="11"/>
      <c r="I41" s="11"/>
      <c r="N41" t="s">
        <v>609</v>
      </c>
      <c r="O41" s="65" t="s">
        <v>341</v>
      </c>
      <c r="P41" s="65" t="s">
        <v>610</v>
      </c>
    </row>
    <row r="42" spans="1:16" x14ac:dyDescent="0.2">
      <c r="A42" s="11"/>
      <c r="B42" s="180" t="s">
        <v>536</v>
      </c>
      <c r="C42" s="180"/>
      <c r="E42" s="11"/>
      <c r="F42" s="180" t="s">
        <v>537</v>
      </c>
      <c r="G42" s="180"/>
      <c r="I42" s="11"/>
      <c r="J42" s="180" t="s">
        <v>538</v>
      </c>
      <c r="K42" s="180"/>
      <c r="M42" s="193" t="s">
        <v>606</v>
      </c>
      <c r="N42" s="194">
        <f>C45</f>
        <v>30</v>
      </c>
      <c r="O42" s="65">
        <v>0</v>
      </c>
      <c r="P42" s="65" t="s">
        <v>611</v>
      </c>
    </row>
    <row r="43" spans="1:16" x14ac:dyDescent="0.2">
      <c r="A43" s="11"/>
      <c r="B43" t="s">
        <v>240</v>
      </c>
      <c r="C43" s="5">
        <f>C45+C48</f>
        <v>100</v>
      </c>
      <c r="E43" s="11"/>
      <c r="G43" s="1"/>
      <c r="I43" s="11"/>
      <c r="K43" s="1"/>
      <c r="M43" s="193" t="s">
        <v>607</v>
      </c>
      <c r="N43" s="194">
        <f>C48</f>
        <v>70</v>
      </c>
      <c r="O43" s="65">
        <v>0</v>
      </c>
      <c r="P43" s="65" t="s">
        <v>611</v>
      </c>
    </row>
    <row r="44" spans="1:16" x14ac:dyDescent="0.2">
      <c r="A44" s="11"/>
      <c r="C44" s="5"/>
      <c r="E44" s="11"/>
      <c r="F44" s="181" t="s">
        <v>577</v>
      </c>
      <c r="I44" s="11"/>
      <c r="J44" s="181" t="s">
        <v>578</v>
      </c>
      <c r="M44" s="193" t="s">
        <v>608</v>
      </c>
      <c r="N44" s="194">
        <f>G47</f>
        <v>100</v>
      </c>
      <c r="O44" s="65">
        <v>2</v>
      </c>
      <c r="P44" s="65" t="s">
        <v>612</v>
      </c>
    </row>
    <row r="45" spans="1:16" x14ac:dyDescent="0.2">
      <c r="A45" s="11"/>
      <c r="B45" t="s">
        <v>579</v>
      </c>
      <c r="C45" s="182">
        <v>30</v>
      </c>
      <c r="E45" s="11"/>
      <c r="I45" s="11"/>
    </row>
    <row r="46" spans="1:16" x14ac:dyDescent="0.2">
      <c r="A46" s="11"/>
      <c r="C46" s="5"/>
      <c r="E46" s="11" t="s">
        <v>100</v>
      </c>
      <c r="F46" t="s">
        <v>580</v>
      </c>
      <c r="G46" s="5">
        <f>G48-G47</f>
        <v>255.49517641814828</v>
      </c>
      <c r="I46" s="11"/>
      <c r="J46" t="s">
        <v>581</v>
      </c>
      <c r="K46" s="182">
        <v>1500</v>
      </c>
      <c r="M46" s="193" t="s">
        <v>167</v>
      </c>
    </row>
    <row r="47" spans="1:16" x14ac:dyDescent="0.2">
      <c r="A47" s="11" t="s">
        <v>132</v>
      </c>
      <c r="B47" t="s">
        <v>580</v>
      </c>
      <c r="C47" s="5">
        <f>C49-C48</f>
        <v>58.746533257739031</v>
      </c>
      <c r="E47" s="11"/>
      <c r="F47" t="s">
        <v>582</v>
      </c>
      <c r="G47" s="182">
        <v>100</v>
      </c>
      <c r="I47" s="11"/>
      <c r="J47" t="s">
        <v>45</v>
      </c>
      <c r="K47" s="182">
        <v>100</v>
      </c>
      <c r="M47" s="21" t="s">
        <v>613</v>
      </c>
      <c r="N47" s="21"/>
      <c r="O47" s="21"/>
      <c r="P47" s="21"/>
    </row>
    <row r="48" spans="1:16" x14ac:dyDescent="0.2">
      <c r="A48" s="11"/>
      <c r="B48" t="s">
        <v>583</v>
      </c>
      <c r="C48" s="182">
        <v>70</v>
      </c>
      <c r="E48" s="11" t="s">
        <v>127</v>
      </c>
      <c r="F48" t="s">
        <v>584</v>
      </c>
      <c r="G48" s="5">
        <f>K48/(1+C64)^4</f>
        <v>355.49517641814828</v>
      </c>
      <c r="I48" s="11" t="s">
        <v>130</v>
      </c>
      <c r="J48" t="s">
        <v>46</v>
      </c>
      <c r="K48" s="5">
        <f>K46-K47</f>
        <v>1400</v>
      </c>
      <c r="M48" s="21" t="s">
        <v>614</v>
      </c>
      <c r="N48" s="21"/>
      <c r="O48" s="21"/>
      <c r="P48" s="21"/>
    </row>
    <row r="49" spans="1:16" x14ac:dyDescent="0.2">
      <c r="A49" s="11" t="s">
        <v>97</v>
      </c>
      <c r="B49" t="s">
        <v>584</v>
      </c>
      <c r="C49" s="5">
        <f>G46/(1+C64)^2</f>
        <v>128.74653325773903</v>
      </c>
      <c r="E49" s="11"/>
      <c r="I49" s="11"/>
      <c r="M49" s="21" t="s">
        <v>615</v>
      </c>
      <c r="N49" s="21"/>
      <c r="O49" s="21"/>
      <c r="P49" s="21"/>
    </row>
    <row r="50" spans="1:16" x14ac:dyDescent="0.2">
      <c r="A50" s="11"/>
      <c r="C50" s="5"/>
      <c r="E50" s="11"/>
      <c r="F50" t="s">
        <v>585</v>
      </c>
      <c r="G50" s="21">
        <f>G47/G48</f>
        <v>0.28129776895306119</v>
      </c>
      <c r="I50" s="11"/>
      <c r="J50" t="s">
        <v>585</v>
      </c>
      <c r="K50" s="21">
        <f>G50</f>
        <v>0.28129776895306119</v>
      </c>
      <c r="M50" s="21" t="s">
        <v>616</v>
      </c>
      <c r="N50" s="21"/>
      <c r="O50" s="21"/>
      <c r="P50" s="21"/>
    </row>
    <row r="51" spans="1:16" x14ac:dyDescent="0.2">
      <c r="A51" s="11"/>
      <c r="E51" s="11"/>
      <c r="F51" t="s">
        <v>586</v>
      </c>
      <c r="G51" s="21">
        <f>1-G50</f>
        <v>0.71870223104693887</v>
      </c>
      <c r="I51" s="11"/>
      <c r="J51" t="s">
        <v>587</v>
      </c>
      <c r="K51" s="21">
        <f>G52</f>
        <v>0.39076126200160111</v>
      </c>
      <c r="M51" s="21" t="s">
        <v>617</v>
      </c>
      <c r="N51" s="21"/>
      <c r="O51" s="21"/>
      <c r="P51" s="21"/>
    </row>
    <row r="52" spans="1:16" x14ac:dyDescent="0.2">
      <c r="A52" s="11"/>
      <c r="E52" s="11"/>
      <c r="F52" t="s">
        <v>588</v>
      </c>
      <c r="G52" s="21">
        <f>C54*G51</f>
        <v>0.39076126200160111</v>
      </c>
      <c r="I52" s="11"/>
      <c r="J52" t="s">
        <v>589</v>
      </c>
      <c r="K52" s="21">
        <f>G53</f>
        <v>0.32794096904533776</v>
      </c>
      <c r="M52" s="21" t="s">
        <v>618</v>
      </c>
      <c r="N52" s="21"/>
      <c r="O52" s="21"/>
      <c r="P52" s="21"/>
    </row>
    <row r="53" spans="1:16" x14ac:dyDescent="0.2">
      <c r="A53" s="11"/>
      <c r="B53" t="s">
        <v>589</v>
      </c>
      <c r="C53" s="21">
        <f>1-C54</f>
        <v>0.45629602202239405</v>
      </c>
      <c r="E53" s="11"/>
      <c r="F53" t="s">
        <v>590</v>
      </c>
      <c r="G53" s="21">
        <f>C53*G51</f>
        <v>0.32794096904533776</v>
      </c>
      <c r="I53" s="11"/>
      <c r="M53" s="21" t="s">
        <v>619</v>
      </c>
      <c r="N53" s="21"/>
      <c r="O53" s="21"/>
      <c r="P53" s="21"/>
    </row>
    <row r="54" spans="1:16" x14ac:dyDescent="0.2">
      <c r="A54" s="11"/>
      <c r="B54" s="7" t="s">
        <v>587</v>
      </c>
      <c r="C54" s="183">
        <v>0.54370397797760595</v>
      </c>
      <c r="E54" s="11"/>
      <c r="F54" t="s">
        <v>591</v>
      </c>
      <c r="G54" s="106">
        <f>G50+G52+G53</f>
        <v>1</v>
      </c>
      <c r="I54" s="11"/>
      <c r="J54" t="s">
        <v>592</v>
      </c>
      <c r="K54" s="5">
        <f>+K48*K52</f>
        <v>459.11735666347289</v>
      </c>
      <c r="M54" s="21" t="s">
        <v>620</v>
      </c>
    </row>
    <row r="55" spans="1:16" x14ac:dyDescent="0.2">
      <c r="A55" s="11"/>
      <c r="B55" t="s">
        <v>593</v>
      </c>
      <c r="C55" s="21">
        <f>C48/C49</f>
        <v>0.54370396024463252</v>
      </c>
      <c r="E55" s="11"/>
      <c r="I55" s="11"/>
      <c r="J55" s="184" t="s">
        <v>594</v>
      </c>
      <c r="K55" s="185">
        <f>+(K54/C47)^(1/6)-1</f>
        <v>0.40871642407658992</v>
      </c>
      <c r="M55" s="21" t="s">
        <v>621</v>
      </c>
    </row>
    <row r="56" spans="1:16" x14ac:dyDescent="0.2">
      <c r="A56" s="11" t="s">
        <v>119</v>
      </c>
      <c r="B56" t="s">
        <v>595</v>
      </c>
      <c r="C56" s="21">
        <f>C54-C55</f>
        <v>1.7732973423001397E-8</v>
      </c>
      <c r="E56" s="11"/>
      <c r="I56" s="11"/>
      <c r="M56" s="21" t="s">
        <v>622</v>
      </c>
    </row>
    <row r="57" spans="1:16" x14ac:dyDescent="0.2">
      <c r="A57" s="11"/>
      <c r="C57" s="21"/>
      <c r="E57" s="11"/>
      <c r="I57" s="11"/>
      <c r="M57" s="21" t="s">
        <v>623</v>
      </c>
    </row>
    <row r="58" spans="1:16" x14ac:dyDescent="0.2">
      <c r="A58" s="11"/>
      <c r="E58" s="11"/>
      <c r="F58" s="186" t="s">
        <v>596</v>
      </c>
      <c r="I58" s="11"/>
      <c r="J58" s="186" t="s">
        <v>597</v>
      </c>
      <c r="M58" t="s">
        <v>624</v>
      </c>
    </row>
    <row r="59" spans="1:16" x14ac:dyDescent="0.2">
      <c r="A59" s="11"/>
      <c r="E59" s="11"/>
      <c r="I59" s="11"/>
      <c r="M59" s="21" t="s">
        <v>626</v>
      </c>
    </row>
    <row r="60" spans="1:16" x14ac:dyDescent="0.2">
      <c r="A60" s="11"/>
      <c r="B60" s="187" t="s">
        <v>598</v>
      </c>
      <c r="C60" s="188">
        <v>6</v>
      </c>
      <c r="E60" s="11"/>
      <c r="F60" t="s">
        <v>599</v>
      </c>
      <c r="G60" s="179">
        <v>0.9</v>
      </c>
      <c r="I60" s="11"/>
      <c r="J60" t="s">
        <v>533</v>
      </c>
      <c r="K60" s="179">
        <v>7.0000000000000007E-2</v>
      </c>
      <c r="M60" t="s">
        <v>625</v>
      </c>
    </row>
    <row r="61" spans="1:16" x14ac:dyDescent="0.2">
      <c r="A61" s="11"/>
      <c r="B61" s="187" t="s">
        <v>563</v>
      </c>
      <c r="C61" s="189">
        <v>0.7</v>
      </c>
      <c r="E61" s="11" t="s">
        <v>600</v>
      </c>
      <c r="F61" t="s">
        <v>601</v>
      </c>
      <c r="G61" s="5">
        <f>C43*G60</f>
        <v>90</v>
      </c>
      <c r="I61" s="11"/>
      <c r="J61" t="s">
        <v>601</v>
      </c>
      <c r="K61" s="5">
        <f>G61*(1+K60)^4</f>
        <v>117.9716409</v>
      </c>
      <c r="M61" s="21" t="s">
        <v>627</v>
      </c>
    </row>
    <row r="62" spans="1:16" x14ac:dyDescent="0.2">
      <c r="A62" s="11" t="s">
        <v>141</v>
      </c>
      <c r="B62" s="190" t="s">
        <v>602</v>
      </c>
      <c r="C62" s="195">
        <f>+(K62/C48)^(1/6)-1</f>
        <v>-1.4461302244275664E-2</v>
      </c>
      <c r="E62" s="11"/>
      <c r="F62" t="s">
        <v>603</v>
      </c>
      <c r="G62" s="5">
        <f>+G61*C54</f>
        <v>48.933358017984538</v>
      </c>
      <c r="I62" s="11" t="s">
        <v>138</v>
      </c>
      <c r="J62" t="s">
        <v>603</v>
      </c>
      <c r="K62" s="5">
        <f>+K61*C54</f>
        <v>64.141650445875641</v>
      </c>
      <c r="L62" s="16">
        <f>G62*(1+K60)^4</f>
        <v>64.141650445875641</v>
      </c>
      <c r="M62" t="s">
        <v>628</v>
      </c>
    </row>
    <row r="63" spans="1:16" x14ac:dyDescent="0.2">
      <c r="A63" s="11"/>
      <c r="B63" s="187" t="s">
        <v>568</v>
      </c>
      <c r="C63" s="189">
        <f>1-C61</f>
        <v>0.30000000000000004</v>
      </c>
      <c r="E63" s="11"/>
      <c r="F63" t="s">
        <v>604</v>
      </c>
      <c r="G63" s="5">
        <f>+G61*C53</f>
        <v>41.066641982015462</v>
      </c>
      <c r="I63" s="11"/>
      <c r="J63" t="s">
        <v>604</v>
      </c>
      <c r="K63" s="5">
        <f>+K61*C53</f>
        <v>53.829990454124363</v>
      </c>
      <c r="L63" s="16">
        <f>G63*(1+K60)^4</f>
        <v>53.829990454124356</v>
      </c>
      <c r="M63" s="21" t="s">
        <v>629</v>
      </c>
    </row>
    <row r="64" spans="1:16" x14ac:dyDescent="0.2">
      <c r="A64" s="11" t="s">
        <v>143</v>
      </c>
      <c r="B64" s="191" t="s">
        <v>605</v>
      </c>
      <c r="C64" s="192">
        <f>+(((1+C40)^C60-C61*(1+C62)^C60)/C63)^(1/6)-1</f>
        <v>0.40871643320105044</v>
      </c>
      <c r="E64" s="11"/>
      <c r="I64" s="11"/>
      <c r="M64" t="s">
        <v>630</v>
      </c>
    </row>
    <row r="65" spans="1:9" x14ac:dyDescent="0.2">
      <c r="A65" s="11"/>
      <c r="E65" s="11"/>
      <c r="I65" s="11"/>
    </row>
    <row r="66" spans="1:9" x14ac:dyDescent="0.2">
      <c r="A66" s="11"/>
      <c r="E66" s="11"/>
      <c r="I66" s="11"/>
    </row>
  </sheetData>
  <pageMargins left="0.7" right="0.7" top="0.75" bottom="0.75" header="0.3" footer="0.3"/>
  <pageSetup paperSize="9"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9E66-A5F8-4D1D-BED3-ED381D2FA85F}">
  <sheetPr>
    <tabColor rgb="FFFFFF00"/>
  </sheetPr>
  <dimension ref="A3:M43"/>
  <sheetViews>
    <sheetView topLeftCell="A14" workbookViewId="0">
      <selection activeCell="D54" sqref="D54"/>
    </sheetView>
  </sheetViews>
  <sheetFormatPr baseColWidth="10" defaultColWidth="8.83203125" defaultRowHeight="16" x14ac:dyDescent="0.2"/>
  <cols>
    <col min="1" max="1" width="9.6640625" bestFit="1" customWidth="1"/>
    <col min="2" max="2" width="18" bestFit="1" customWidth="1"/>
    <col min="3" max="3" width="10.6640625" customWidth="1"/>
    <col min="6" max="6" width="17.1640625" bestFit="1" customWidth="1"/>
    <col min="11" max="11" width="18.83203125" customWidth="1"/>
  </cols>
  <sheetData>
    <row r="3" spans="2:3" x14ac:dyDescent="0.2">
      <c r="B3" t="s">
        <v>531</v>
      </c>
    </row>
    <row r="5" spans="2:3" x14ac:dyDescent="0.2">
      <c r="B5" t="s">
        <v>532</v>
      </c>
      <c r="C5" s="106">
        <v>0.2</v>
      </c>
    </row>
    <row r="9" spans="2:3" x14ac:dyDescent="0.2">
      <c r="B9" t="s">
        <v>533</v>
      </c>
      <c r="C9" s="106">
        <v>7.0000000000000007E-2</v>
      </c>
    </row>
    <row r="12" spans="2:3" ht="16.25" customHeight="1" x14ac:dyDescent="0.2"/>
    <row r="19" spans="1:12" x14ac:dyDescent="0.2">
      <c r="B19" t="s">
        <v>534</v>
      </c>
    </row>
    <row r="20" spans="1:12" x14ac:dyDescent="0.2">
      <c r="F20" s="170" t="s">
        <v>535</v>
      </c>
      <c r="G20" s="170">
        <f>L24/(1+C37)^4</f>
        <v>274.67780812957466</v>
      </c>
    </row>
    <row r="21" spans="1:12" x14ac:dyDescent="0.2">
      <c r="C21" t="s">
        <v>536</v>
      </c>
      <c r="G21" t="s">
        <v>537</v>
      </c>
      <c r="L21" t="s">
        <v>538</v>
      </c>
    </row>
    <row r="22" spans="1:12" x14ac:dyDescent="0.2">
      <c r="B22" s="121" t="s">
        <v>46</v>
      </c>
      <c r="C22" s="121">
        <v>30</v>
      </c>
      <c r="F22" s="121" t="s">
        <v>539</v>
      </c>
      <c r="G22" s="121">
        <v>100</v>
      </c>
      <c r="K22" s="121" t="s">
        <v>417</v>
      </c>
      <c r="L22" s="177">
        <v>1100</v>
      </c>
    </row>
    <row r="23" spans="1:12" x14ac:dyDescent="0.2">
      <c r="B23" t="s">
        <v>540</v>
      </c>
      <c r="C23">
        <f>C26-C24</f>
        <v>21.54813899115959</v>
      </c>
      <c r="F23" s="22" t="s">
        <v>541</v>
      </c>
      <c r="G23" s="22">
        <f>G20-C25</f>
        <v>174.67780812957466</v>
      </c>
      <c r="K23" t="s">
        <v>340</v>
      </c>
      <c r="L23">
        <v>100</v>
      </c>
    </row>
    <row r="24" spans="1:12" x14ac:dyDescent="0.2">
      <c r="B24" s="121" t="s">
        <v>542</v>
      </c>
      <c r="C24" s="121">
        <v>70</v>
      </c>
      <c r="F24" s="121" t="s">
        <v>543</v>
      </c>
      <c r="G24" s="121">
        <v>100</v>
      </c>
      <c r="K24" s="170" t="s">
        <v>385</v>
      </c>
      <c r="L24" s="170">
        <f>L22-L23</f>
        <v>1000</v>
      </c>
    </row>
    <row r="25" spans="1:12" x14ac:dyDescent="0.2">
      <c r="B25" t="s">
        <v>544</v>
      </c>
      <c r="C25">
        <f>C22+C24</f>
        <v>100</v>
      </c>
      <c r="F25" s="171" t="s">
        <v>545</v>
      </c>
      <c r="G25" s="172">
        <f>G22/G20</f>
        <v>0.36406290220878229</v>
      </c>
      <c r="H25" t="s">
        <v>572</v>
      </c>
    </row>
    <row r="26" spans="1:12" x14ac:dyDescent="0.2">
      <c r="B26" s="121" t="s">
        <v>547</v>
      </c>
      <c r="C26">
        <f>G23/(1+C37)^2</f>
        <v>91.54813899115959</v>
      </c>
      <c r="F26" t="s">
        <v>548</v>
      </c>
      <c r="G26" s="4">
        <f>1-G25</f>
        <v>0.63593709779121776</v>
      </c>
      <c r="K26" s="171" t="s">
        <v>545</v>
      </c>
      <c r="L26" s="172">
        <f>G25</f>
        <v>0.36406290220878229</v>
      </c>
    </row>
    <row r="27" spans="1:12" x14ac:dyDescent="0.2">
      <c r="D27" s="147">
        <v>0.3</v>
      </c>
      <c r="F27" s="171" t="s">
        <v>549</v>
      </c>
      <c r="G27" s="173">
        <f>G26*C28</f>
        <v>0.48625343444740332</v>
      </c>
      <c r="H27" t="s">
        <v>573</v>
      </c>
      <c r="K27" s="171" t="s">
        <v>549</v>
      </c>
      <c r="L27" s="173">
        <f>G27</f>
        <v>0.48625343444740332</v>
      </c>
    </row>
    <row r="28" spans="1:12" x14ac:dyDescent="0.2">
      <c r="B28" s="129" t="s">
        <v>551</v>
      </c>
      <c r="C28" s="130">
        <v>0.76462504882368643</v>
      </c>
      <c r="F28" s="171" t="s">
        <v>552</v>
      </c>
      <c r="G28" s="173">
        <f>C31*G26</f>
        <v>0.14968366334381444</v>
      </c>
      <c r="H28" t="s">
        <v>553</v>
      </c>
      <c r="K28" s="171" t="s">
        <v>552</v>
      </c>
      <c r="L28" s="173">
        <f>G28</f>
        <v>0.14968366334381444</v>
      </c>
    </row>
    <row r="29" spans="1:12" x14ac:dyDescent="0.2">
      <c r="B29" t="s">
        <v>554</v>
      </c>
      <c r="C29" s="21">
        <f>C24/C26</f>
        <v>0.76462504613839932</v>
      </c>
    </row>
    <row r="30" spans="1:12" x14ac:dyDescent="0.2">
      <c r="B30" s="177" t="s">
        <v>555</v>
      </c>
      <c r="C30" s="178">
        <f>C29-C28</f>
        <v>-2.6852871037874593E-9</v>
      </c>
      <c r="D30" s="147">
        <v>0.7</v>
      </c>
      <c r="F30" s="121" t="s">
        <v>556</v>
      </c>
      <c r="G30" s="147">
        <v>0.9</v>
      </c>
      <c r="K30" t="s">
        <v>557</v>
      </c>
      <c r="L30" s="174">
        <f>G31*(1+C9)^4</f>
        <v>117.9716409</v>
      </c>
    </row>
    <row r="31" spans="1:12" x14ac:dyDescent="0.2">
      <c r="A31" s="112" t="s">
        <v>558</v>
      </c>
      <c r="B31" s="171" t="s">
        <v>552</v>
      </c>
      <c r="C31" s="175">
        <f>1-C28</f>
        <v>0.23537495117631357</v>
      </c>
      <c r="D31" t="s">
        <v>410</v>
      </c>
      <c r="F31" t="s">
        <v>559</v>
      </c>
      <c r="G31" s="34">
        <f>G30*C25</f>
        <v>90</v>
      </c>
      <c r="K31" t="s">
        <v>560</v>
      </c>
      <c r="L31" s="174">
        <f>G32*(1+C9)^4</f>
        <v>90.204071682972895</v>
      </c>
    </row>
    <row r="32" spans="1:12" x14ac:dyDescent="0.2">
      <c r="F32" t="s">
        <v>561</v>
      </c>
      <c r="G32" s="174">
        <f>G31*C28</f>
        <v>68.816254394131775</v>
      </c>
      <c r="K32" t="s">
        <v>560</v>
      </c>
      <c r="L32" s="174">
        <f>L30*C28</f>
        <v>90.204071682972895</v>
      </c>
    </row>
    <row r="33" spans="1:13" x14ac:dyDescent="0.2">
      <c r="B33" t="s">
        <v>562</v>
      </c>
      <c r="C33">
        <v>6</v>
      </c>
    </row>
    <row r="34" spans="1:13" x14ac:dyDescent="0.2">
      <c r="B34" t="s">
        <v>563</v>
      </c>
      <c r="C34" s="106">
        <v>0.7</v>
      </c>
      <c r="K34" t="s">
        <v>564</v>
      </c>
      <c r="L34">
        <f>L24*L28</f>
        <v>149.68366334381443</v>
      </c>
      <c r="M34" t="s">
        <v>565</v>
      </c>
    </row>
    <row r="35" spans="1:13" x14ac:dyDescent="0.2">
      <c r="B35" t="s">
        <v>566</v>
      </c>
      <c r="C35" s="176">
        <f>(L31/C24)^(1/6)-1</f>
        <v>4.3169026368459873E-2</v>
      </c>
      <c r="K35" t="s">
        <v>567</v>
      </c>
      <c r="L35" s="21">
        <f>(L34/C23)^(1/6)-1</f>
        <v>0.38131938270476096</v>
      </c>
    </row>
    <row r="36" spans="1:13" x14ac:dyDescent="0.2">
      <c r="B36" t="s">
        <v>568</v>
      </c>
      <c r="C36" s="106">
        <v>0.3</v>
      </c>
    </row>
    <row r="37" spans="1:13" x14ac:dyDescent="0.2">
      <c r="A37" s="112" t="s">
        <v>569</v>
      </c>
      <c r="B37" t="s">
        <v>570</v>
      </c>
      <c r="C37">
        <f>(((1+C5)^C33-C34*(1+C35)^C33)/C36)^(1/C33)-1</f>
        <v>0.38131938533123622</v>
      </c>
      <c r="D37" t="s">
        <v>571</v>
      </c>
    </row>
    <row r="42" spans="1:13" x14ac:dyDescent="0.2">
      <c r="B42" t="s">
        <v>574</v>
      </c>
      <c r="C42" t="s">
        <v>575</v>
      </c>
    </row>
    <row r="43" spans="1:13" x14ac:dyDescent="0.2">
      <c r="C43" t="s">
        <v>576</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Menu</vt:lpstr>
      <vt:lpstr>S2_KebabShop</vt:lpstr>
      <vt:lpstr>S3_Moving_Q1</vt:lpstr>
      <vt:lpstr>S3_Moving_Q2</vt:lpstr>
      <vt:lpstr>S3_Moving_Q3</vt:lpstr>
      <vt:lpstr>S4_Online</vt:lpstr>
      <vt:lpstr>S5_MustGo_Q1_Q2</vt:lpstr>
      <vt:lpstr>S5_MustGo_Q3</vt:lpstr>
      <vt:lpstr>S5_MustGo_Q4</vt:lpstr>
      <vt:lpstr>S6_Financing Challenge-Q1</vt:lpstr>
      <vt:lpstr>S6_Financing Challenge-Q2</vt:lpstr>
      <vt:lpstr>S6_Financing Challenge-Q3</vt:lpstr>
      <vt:lpstr>S6_Financing Challenge-Q4</vt:lpstr>
      <vt:lpstr>S7_ToyStory</vt:lpstr>
      <vt:lpstr>S8_AssetBased</vt:lpstr>
      <vt:lpstr>S9_Premiums</vt:lpstr>
      <vt:lpstr>S10_Together_P1</vt:lpstr>
      <vt:lpstr>S10_Together_P2</vt:lpstr>
      <vt:lpstr>S11_ Private_Equity_Q1_Q2</vt:lpstr>
      <vt:lpstr>S11_ Private_Equity_Q3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Péter Juhász</dc:creator>
  <cp:keywords/>
  <dc:description/>
  <cp:lastModifiedBy>Bangani Mridul Kumar</cp:lastModifiedBy>
  <cp:revision/>
  <dcterms:created xsi:type="dcterms:W3CDTF">2023-11-05T11:18:39Z</dcterms:created>
  <dcterms:modified xsi:type="dcterms:W3CDTF">2024-01-15T12:18:56Z</dcterms:modified>
  <cp:category/>
  <cp:contentStatus/>
</cp:coreProperties>
</file>