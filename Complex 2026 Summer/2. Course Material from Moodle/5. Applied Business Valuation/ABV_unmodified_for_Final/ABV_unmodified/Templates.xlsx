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https://d.docs.live.net/ae079e5fbc8865c9/Bureau/"/>
    </mc:Choice>
  </mc:AlternateContent>
  <xr:revisionPtr revIDLastSave="471" documentId="11_F25DC773A252ABDACC10483FD11A4C305BDE58EA" xr6:coauthVersionLast="47" xr6:coauthVersionMax="47" xr10:uidLastSave="{7BACA226-9087-478B-95A9-1FDBC0386794}"/>
  <bookViews>
    <workbookView xWindow="-108" yWindow="-108" windowWidth="23256" windowHeight="12456" firstSheet="1" activeTab="7" xr2:uid="{00000000-000D-0000-FFFF-FFFF00000000}"/>
  </bookViews>
  <sheets>
    <sheet name="Fin Statements + Valuation" sheetId="1" r:id="rId1"/>
    <sheet name="BCF" sheetId="2" r:id="rId2"/>
    <sheet name="Ratios from BCF " sheetId="8" r:id="rId3"/>
    <sheet name="Debt (Bond or Loan)" sheetId="3" r:id="rId4"/>
    <sheet name="Multiples" sheetId="4" r:id="rId5"/>
    <sheet name="AssetBased" sheetId="5" r:id="rId6"/>
    <sheet name="M&amp;A" sheetId="6" r:id="rId7"/>
    <sheet name="PE" sheetId="7" r:id="rId8"/>
    <sheet name="Cost of Capital" sheetId="11" r:id="rId9"/>
  </sheets>
  <externalReferences>
    <externalReference r:id="rId10"/>
  </externalReferences>
  <definedNames>
    <definedName name="solver_adj" localSheetId="7" hidden="1">PE!$C$15</definedName>
    <definedName name="solver_cvg" localSheetId="7" hidden="1">0.0001</definedName>
    <definedName name="solver_drv" localSheetId="7" hidden="1">1</definedName>
    <definedName name="solver_eng" localSheetId="7" hidden="1">1</definedName>
    <definedName name="solver_est" localSheetId="7" hidden="1">1</definedName>
    <definedName name="solver_itr" localSheetId="7" hidden="1">2147483647</definedName>
    <definedName name="solver_mip" localSheetId="7" hidden="1">2147483647</definedName>
    <definedName name="solver_mni" localSheetId="7" hidden="1">30</definedName>
    <definedName name="solver_mrt" localSheetId="7" hidden="1">0.075</definedName>
    <definedName name="solver_msl" localSheetId="7" hidden="1">2</definedName>
    <definedName name="solver_neg" localSheetId="7" hidden="1">1</definedName>
    <definedName name="solver_nod" localSheetId="7" hidden="1">2147483647</definedName>
    <definedName name="solver_num" localSheetId="7" hidden="1">0</definedName>
    <definedName name="solver_nwt" localSheetId="7" hidden="1">1</definedName>
    <definedName name="solver_opt" localSheetId="7" hidden="1">PE!$C$17</definedName>
    <definedName name="solver_pre" localSheetId="7" hidden="1">0.000001</definedName>
    <definedName name="solver_rbv" localSheetId="7" hidden="1">1</definedName>
    <definedName name="solver_rlx" localSheetId="7" hidden="1">2</definedName>
    <definedName name="solver_rsd" localSheetId="7" hidden="1">0</definedName>
    <definedName name="solver_scl" localSheetId="7" hidden="1">1</definedName>
    <definedName name="solver_sho" localSheetId="7" hidden="1">2</definedName>
    <definedName name="solver_ssz" localSheetId="7" hidden="1">100</definedName>
    <definedName name="solver_tim" localSheetId="7" hidden="1">2147483647</definedName>
    <definedName name="solver_tol" localSheetId="7" hidden="1">0.01</definedName>
    <definedName name="solver_typ" localSheetId="7" hidden="1">3</definedName>
    <definedName name="solver_val" localSheetId="7" hidden="1">0</definedName>
    <definedName name="solver_ver" localSheetId="7"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4" i="11" l="1"/>
  <c r="N34" i="11" s="1"/>
  <c r="K34" i="11"/>
  <c r="F34" i="11"/>
  <c r="N33" i="11"/>
  <c r="P33" i="11" s="1"/>
  <c r="M33" i="11"/>
  <c r="K33" i="11"/>
  <c r="I33" i="11"/>
  <c r="G33" i="11"/>
  <c r="O32" i="11"/>
  <c r="N32" i="11"/>
  <c r="P32" i="11" s="1"/>
  <c r="M32" i="11"/>
  <c r="K32" i="11"/>
  <c r="J32" i="11" s="1"/>
  <c r="H32" i="11"/>
  <c r="G32" i="11"/>
  <c r="O31" i="11"/>
  <c r="K31" i="11"/>
  <c r="I31" i="11" s="1"/>
  <c r="F31" i="11"/>
  <c r="E31" i="11"/>
  <c r="L31" i="11" s="1"/>
  <c r="M31" i="11" l="1"/>
  <c r="N31" i="11"/>
  <c r="P31" i="11" s="1"/>
  <c r="P34" i="11" s="1"/>
  <c r="G34" i="11" s="1"/>
  <c r="C22" i="6" l="1"/>
  <c r="C36" i="6"/>
  <c r="C21" i="6" l="1"/>
  <c r="C18" i="6"/>
  <c r="D6" i="2" l="1"/>
  <c r="K13" i="7"/>
  <c r="K23" i="7"/>
  <c r="C23" i="7" s="1"/>
  <c r="C25" i="7" s="1"/>
  <c r="G9" i="7" s="1"/>
  <c r="G7" i="7" s="1"/>
  <c r="C10" i="7" s="1"/>
  <c r="K22" i="7"/>
  <c r="K9" i="7"/>
  <c r="G23" i="7"/>
  <c r="C14" i="7"/>
  <c r="K24" i="7" s="1"/>
  <c r="G22" i="7"/>
  <c r="C16" i="7" l="1"/>
  <c r="C17" i="7" s="1"/>
  <c r="C8" i="7"/>
  <c r="G11" i="7"/>
  <c r="G24" i="7"/>
  <c r="G12" i="7" l="1"/>
  <c r="G13" i="7" s="1"/>
  <c r="K12" i="7" s="1"/>
  <c r="K11" i="7"/>
  <c r="G14" i="7" l="1"/>
  <c r="D54" i="8"/>
  <c r="D52" i="8"/>
  <c r="D51" i="8"/>
  <c r="D49" i="8"/>
  <c r="D47" i="8"/>
  <c r="F49" i="8"/>
  <c r="E49" i="8"/>
  <c r="F48" i="8"/>
  <c r="E48" i="8"/>
  <c r="D48" i="8"/>
  <c r="F47" i="8"/>
  <c r="E47" i="8"/>
  <c r="F46" i="8"/>
  <c r="E46" i="8"/>
  <c r="F37" i="8"/>
  <c r="E37" i="8"/>
  <c r="D37" i="8"/>
  <c r="F32" i="8"/>
  <c r="F34" i="8" s="1"/>
  <c r="F39" i="8" s="1"/>
  <c r="E32" i="8"/>
  <c r="E34" i="8" s="1"/>
  <c r="E39" i="8" s="1"/>
  <c r="D32" i="8"/>
  <c r="D34" i="8" s="1"/>
  <c r="F21" i="8"/>
  <c r="F44" i="8" s="1"/>
  <c r="F20" i="8"/>
  <c r="E20" i="8"/>
  <c r="D20" i="8"/>
  <c r="F16" i="8"/>
  <c r="E16" i="8"/>
  <c r="D16" i="8"/>
  <c r="F10" i="8"/>
  <c r="E10" i="8" s="1"/>
  <c r="D10" i="8" s="1"/>
  <c r="E45" i="2"/>
  <c r="D45" i="2"/>
  <c r="D24" i="2"/>
  <c r="D21" i="2"/>
  <c r="D20" i="2"/>
  <c r="D7" i="2"/>
  <c r="D9" i="2" s="1"/>
  <c r="D15" i="2" s="1"/>
  <c r="C24" i="7"/>
  <c r="C4" i="7"/>
  <c r="C26" i="6"/>
  <c r="E26" i="6" s="1"/>
  <c r="C32" i="6"/>
  <c r="D54" i="5"/>
  <c r="D51" i="5"/>
  <c r="D47" i="5"/>
  <c r="D53" i="5" s="1"/>
  <c r="D55" i="5" s="1"/>
  <c r="D30" i="5"/>
  <c r="H28" i="5" s="1"/>
  <c r="G28" i="5"/>
  <c r="D28" i="5"/>
  <c r="G27" i="5"/>
  <c r="F27" i="5"/>
  <c r="G26" i="5"/>
  <c r="F26" i="5"/>
  <c r="G25" i="5"/>
  <c r="F25" i="5"/>
  <c r="D18" i="5"/>
  <c r="D14" i="5"/>
  <c r="D16" i="5" s="1"/>
  <c r="E18" i="5" s="1"/>
  <c r="K8" i="5"/>
  <c r="K6" i="5"/>
  <c r="D6" i="5"/>
  <c r="E58" i="4"/>
  <c r="D58" i="4"/>
  <c r="C58" i="4"/>
  <c r="F58" i="4" s="1"/>
  <c r="E57" i="4"/>
  <c r="D57" i="4"/>
  <c r="C57" i="4"/>
  <c r="F57" i="4" s="1"/>
  <c r="K55" i="4" s="1"/>
  <c r="M55" i="4" s="1"/>
  <c r="O55" i="4" s="1"/>
  <c r="Q55" i="4" s="1"/>
  <c r="B56" i="4"/>
  <c r="N55" i="4"/>
  <c r="N54" i="4"/>
  <c r="E54" i="4"/>
  <c r="D54" i="4"/>
  <c r="C54" i="4"/>
  <c r="F54" i="4" s="1"/>
  <c r="K54" i="4" s="1"/>
  <c r="M54" i="4" s="1"/>
  <c r="O54" i="4" s="1"/>
  <c r="Q54" i="4" s="1"/>
  <c r="E53" i="4"/>
  <c r="F53" i="4" s="1"/>
  <c r="D53" i="4"/>
  <c r="C53" i="4"/>
  <c r="C52" i="4"/>
  <c r="C56" i="4" s="1"/>
  <c r="B52" i="4"/>
  <c r="N39" i="4"/>
  <c r="N38" i="4"/>
  <c r="F28" i="4"/>
  <c r="F30" i="4" s="1"/>
  <c r="E28" i="4"/>
  <c r="E31" i="4" s="1"/>
  <c r="D28" i="4"/>
  <c r="D31" i="4" s="1"/>
  <c r="C28" i="4"/>
  <c r="C31" i="4" s="1"/>
  <c r="G31" i="4" s="1"/>
  <c r="L31" i="4" s="1"/>
  <c r="K27" i="4"/>
  <c r="L22" i="4"/>
  <c r="L21" i="4"/>
  <c r="M13" i="4"/>
  <c r="L13" i="4"/>
  <c r="K13" i="4"/>
  <c r="F5" i="4"/>
  <c r="E5" i="4"/>
  <c r="D5" i="4"/>
  <c r="C5" i="4"/>
  <c r="M4" i="4"/>
  <c r="M27" i="4" s="1"/>
  <c r="E52" i="4" s="1"/>
  <c r="E56" i="4" s="1"/>
  <c r="L4" i="4"/>
  <c r="L27" i="4" s="1"/>
  <c r="D52" i="4" s="1"/>
  <c r="D56" i="4" s="1"/>
  <c r="I22" i="3"/>
  <c r="E20" i="3"/>
  <c r="D20" i="3"/>
  <c r="E19" i="3"/>
  <c r="D19" i="3"/>
  <c r="E15" i="3"/>
  <c r="F15" i="3" s="1"/>
  <c r="D9" i="3"/>
  <c r="E8" i="3"/>
  <c r="E9" i="3" s="1"/>
  <c r="D8" i="3"/>
  <c r="E4" i="3"/>
  <c r="F4" i="3" s="1"/>
  <c r="E35" i="2"/>
  <c r="D35" i="2"/>
  <c r="C35" i="2"/>
  <c r="E24" i="2"/>
  <c r="E20" i="2"/>
  <c r="E16" i="2"/>
  <c r="D16" i="2"/>
  <c r="E6" i="2"/>
  <c r="E7" i="2" s="1"/>
  <c r="E9" i="2" s="1"/>
  <c r="E15" i="2" s="1"/>
  <c r="I102" i="1"/>
  <c r="H102" i="1"/>
  <c r="G102" i="1"/>
  <c r="F102" i="1"/>
  <c r="E102" i="1"/>
  <c r="D102" i="1"/>
  <c r="H98" i="1"/>
  <c r="G98" i="1"/>
  <c r="F98" i="1"/>
  <c r="I97" i="1"/>
  <c r="H97" i="1"/>
  <c r="G97" i="1"/>
  <c r="F97" i="1"/>
  <c r="E97" i="1"/>
  <c r="E98" i="1" s="1"/>
  <c r="D97" i="1"/>
  <c r="D98" i="1" s="1"/>
  <c r="I92" i="1"/>
  <c r="H92" i="1"/>
  <c r="G92" i="1"/>
  <c r="F92" i="1"/>
  <c r="E92" i="1"/>
  <c r="D92" i="1"/>
  <c r="I88" i="1"/>
  <c r="I90" i="1" s="1"/>
  <c r="I91" i="1" s="1"/>
  <c r="I93" i="1" s="1"/>
  <c r="H88" i="1"/>
  <c r="H90" i="1" s="1"/>
  <c r="G88" i="1"/>
  <c r="F88" i="1"/>
  <c r="E88" i="1"/>
  <c r="D88" i="1"/>
  <c r="I83" i="1"/>
  <c r="I89" i="1" s="1"/>
  <c r="H83" i="1"/>
  <c r="H89" i="1" s="1"/>
  <c r="H82" i="1"/>
  <c r="G82" i="1"/>
  <c r="F82" i="1"/>
  <c r="I77" i="1"/>
  <c r="H77" i="1"/>
  <c r="G77" i="1"/>
  <c r="F77" i="1"/>
  <c r="E77" i="1"/>
  <c r="D77" i="1"/>
  <c r="D75" i="1"/>
  <c r="I70" i="1"/>
  <c r="H70" i="1"/>
  <c r="G70" i="1"/>
  <c r="F70" i="1"/>
  <c r="E70" i="1"/>
  <c r="D70" i="1"/>
  <c r="I62" i="1"/>
  <c r="H62" i="1"/>
  <c r="G62" i="1"/>
  <c r="F62" i="1"/>
  <c r="E62" i="1"/>
  <c r="D62" i="1"/>
  <c r="G60" i="1"/>
  <c r="F60" i="1"/>
  <c r="I59" i="1"/>
  <c r="H59" i="1"/>
  <c r="G59" i="1"/>
  <c r="F59" i="1"/>
  <c r="E59" i="1"/>
  <c r="E82" i="1" s="1"/>
  <c r="D59" i="1"/>
  <c r="I51" i="1"/>
  <c r="H51" i="1"/>
  <c r="G51" i="1"/>
  <c r="F51" i="1"/>
  <c r="E51" i="1"/>
  <c r="D51" i="1"/>
  <c r="D46" i="1"/>
  <c r="D54" i="1" s="1"/>
  <c r="D45" i="1"/>
  <c r="D47" i="1" s="1"/>
  <c r="I44" i="1"/>
  <c r="I45" i="1" s="1"/>
  <c r="H44" i="1"/>
  <c r="H60" i="1" s="1"/>
  <c r="G44" i="1"/>
  <c r="G45" i="1" s="1"/>
  <c r="F44" i="1"/>
  <c r="F45" i="1" s="1"/>
  <c r="E44" i="1"/>
  <c r="E60" i="1" s="1"/>
  <c r="D44" i="1"/>
  <c r="D60" i="1" s="1"/>
  <c r="I31" i="1"/>
  <c r="J31" i="1" s="1"/>
  <c r="H31" i="1"/>
  <c r="G31" i="1"/>
  <c r="G83" i="1" s="1"/>
  <c r="F31" i="1"/>
  <c r="F83" i="1" s="1"/>
  <c r="E31" i="1"/>
  <c r="E83" i="1" s="1"/>
  <c r="D31" i="1"/>
  <c r="D89" i="1" s="1"/>
  <c r="D90" i="1" s="1"/>
  <c r="I30" i="1"/>
  <c r="I75" i="1" s="1"/>
  <c r="H30" i="1"/>
  <c r="H75" i="1" s="1"/>
  <c r="G30" i="1"/>
  <c r="G75" i="1" s="1"/>
  <c r="F30" i="1"/>
  <c r="F75" i="1" s="1"/>
  <c r="E30" i="1"/>
  <c r="E75" i="1" s="1"/>
  <c r="D30" i="1"/>
  <c r="J24" i="1"/>
  <c r="J22" i="1"/>
  <c r="G15" i="7" l="1"/>
  <c r="K15" i="7"/>
  <c r="K16" i="7" s="1"/>
  <c r="D21" i="8"/>
  <c r="F54" i="8"/>
  <c r="E21" i="8"/>
  <c r="D39" i="8"/>
  <c r="E51" i="8"/>
  <c r="E53" i="8"/>
  <c r="E44" i="8"/>
  <c r="E52" i="8" s="1"/>
  <c r="E23" i="8"/>
  <c r="E25" i="8" s="1"/>
  <c r="F51" i="8"/>
  <c r="F53" i="8"/>
  <c r="E40" i="8"/>
  <c r="F40" i="8"/>
  <c r="F52" i="8"/>
  <c r="D44" i="8"/>
  <c r="D23" i="8"/>
  <c r="D25" i="8" s="1"/>
  <c r="D40" i="8"/>
  <c r="F23" i="8"/>
  <c r="F25" i="8" s="1"/>
  <c r="E21" i="2"/>
  <c r="E22" i="2"/>
  <c r="E27" i="2" s="1"/>
  <c r="E31" i="2" s="1"/>
  <c r="D36" i="2"/>
  <c r="E36" i="2"/>
  <c r="C34" i="6"/>
  <c r="C38" i="6" s="1"/>
  <c r="C27" i="6"/>
  <c r="E27" i="6" s="1"/>
  <c r="S55" i="4"/>
  <c r="R55" i="4"/>
  <c r="S54" i="4"/>
  <c r="R54" i="4"/>
  <c r="J20" i="4"/>
  <c r="C29" i="4"/>
  <c r="C30" i="4"/>
  <c r="G30" i="4" s="1"/>
  <c r="D29" i="4"/>
  <c r="D30" i="4"/>
  <c r="E29" i="4"/>
  <c r="E30" i="4"/>
  <c r="F29" i="4"/>
  <c r="F8" i="3"/>
  <c r="F9" i="3" s="1"/>
  <c r="G4" i="3"/>
  <c r="G15" i="3"/>
  <c r="F19" i="3"/>
  <c r="F20" i="3" s="1"/>
  <c r="D22" i="2"/>
  <c r="D27" i="2" s="1"/>
  <c r="D31" i="2" s="1"/>
  <c r="D38" i="2" s="1"/>
  <c r="I46" i="1"/>
  <c r="I54" i="1" s="1"/>
  <c r="I47" i="1"/>
  <c r="D99" i="1"/>
  <c r="D48" i="1"/>
  <c r="D49" i="1"/>
  <c r="D52" i="1" s="1"/>
  <c r="D69" i="1"/>
  <c r="F46" i="1"/>
  <c r="F54" i="1" s="1"/>
  <c r="F61" i="1" s="1"/>
  <c r="G90" i="1"/>
  <c r="G91" i="1" s="1"/>
  <c r="G93" i="1" s="1"/>
  <c r="H91" i="1"/>
  <c r="H93" i="1" s="1"/>
  <c r="G46" i="1"/>
  <c r="G54" i="1" s="1"/>
  <c r="G61" i="1" s="1"/>
  <c r="E90" i="1"/>
  <c r="D61" i="1"/>
  <c r="F90" i="1"/>
  <c r="E45" i="1"/>
  <c r="I60" i="1"/>
  <c r="I61" i="1" s="1"/>
  <c r="I69" i="1" s="1"/>
  <c r="I71" i="1" s="1"/>
  <c r="I82" i="1"/>
  <c r="I84" i="1" s="1"/>
  <c r="I94" i="1" s="1"/>
  <c r="I98" i="1"/>
  <c r="D63" i="1"/>
  <c r="D65" i="1"/>
  <c r="D83" i="1"/>
  <c r="E89" i="1"/>
  <c r="H45" i="1"/>
  <c r="D82" i="1"/>
  <c r="F89" i="1"/>
  <c r="G89" i="1"/>
  <c r="D53" i="8" l="1"/>
  <c r="E54" i="8"/>
  <c r="E38" i="2"/>
  <c r="C35" i="6"/>
  <c r="M30" i="4"/>
  <c r="L30" i="4"/>
  <c r="K30" i="4"/>
  <c r="G29" i="4"/>
  <c r="H15" i="3"/>
  <c r="G19" i="3"/>
  <c r="G20" i="3" s="1"/>
  <c r="G8" i="3"/>
  <c r="G9" i="3" s="1"/>
  <c r="H4" i="3"/>
  <c r="H8" i="3" s="1"/>
  <c r="H9" i="3" s="1"/>
  <c r="H10" i="3" s="1"/>
  <c r="F69" i="1"/>
  <c r="F63" i="1"/>
  <c r="G63" i="1"/>
  <c r="G69" i="1"/>
  <c r="E91" i="1"/>
  <c r="F47" i="1"/>
  <c r="G47" i="1"/>
  <c r="E46" i="1"/>
  <c r="E54" i="1" s="1"/>
  <c r="E61" i="1" s="1"/>
  <c r="F91" i="1"/>
  <c r="F93" i="1" s="1"/>
  <c r="D66" i="1"/>
  <c r="D74" i="1"/>
  <c r="I63" i="1"/>
  <c r="I49" i="1"/>
  <c r="I48" i="1" s="1"/>
  <c r="I99" i="1"/>
  <c r="D64" i="1"/>
  <c r="D53" i="1"/>
  <c r="H46" i="1"/>
  <c r="H54" i="1" s="1"/>
  <c r="H61" i="1" s="1"/>
  <c r="H84" i="1"/>
  <c r="I85" i="1"/>
  <c r="C40" i="6" l="1"/>
  <c r="C39" i="6"/>
  <c r="C41" i="6" s="1"/>
  <c r="M29" i="4"/>
  <c r="M32" i="4" s="1"/>
  <c r="L29" i="4"/>
  <c r="L32" i="4" s="1"/>
  <c r="K39" i="4" s="1"/>
  <c r="M39" i="4" s="1"/>
  <c r="O39" i="4" s="1"/>
  <c r="Q39" i="4" s="1"/>
  <c r="K29" i="4"/>
  <c r="K32" i="4" s="1"/>
  <c r="K38" i="4" s="1"/>
  <c r="M38" i="4" s="1"/>
  <c r="O38" i="4" s="1"/>
  <c r="Q38" i="4" s="1"/>
  <c r="G10" i="3"/>
  <c r="F10" i="3" s="1"/>
  <c r="E10" i="3" s="1"/>
  <c r="D10" i="3" s="1"/>
  <c r="H19" i="3"/>
  <c r="H20" i="3" s="1"/>
  <c r="H21" i="3" s="1"/>
  <c r="H22" i="3" s="1"/>
  <c r="I15" i="3"/>
  <c r="I53" i="1"/>
  <c r="I64" i="1"/>
  <c r="H69" i="1"/>
  <c r="H71" i="1" s="1"/>
  <c r="G71" i="1" s="1"/>
  <c r="F71" i="1" s="1"/>
  <c r="H63" i="1"/>
  <c r="G74" i="1"/>
  <c r="G66" i="1"/>
  <c r="I74" i="1"/>
  <c r="I76" i="1" s="1"/>
  <c r="I66" i="1"/>
  <c r="H47" i="1"/>
  <c r="F74" i="1"/>
  <c r="F66" i="1"/>
  <c r="D91" i="1"/>
  <c r="D93" i="1" s="1"/>
  <c r="E93" i="1"/>
  <c r="E63" i="1"/>
  <c r="E69" i="1"/>
  <c r="E47" i="1"/>
  <c r="I65" i="1"/>
  <c r="I52" i="1"/>
  <c r="G99" i="1"/>
  <c r="G49" i="1"/>
  <c r="G84" i="1"/>
  <c r="H85" i="1"/>
  <c r="H94" i="1"/>
  <c r="F99" i="1"/>
  <c r="F49" i="1"/>
  <c r="F48" i="1" s="1"/>
  <c r="S39" i="4" l="1"/>
  <c r="R39" i="4"/>
  <c r="S38" i="4"/>
  <c r="R38" i="4"/>
  <c r="G21" i="3"/>
  <c r="F53" i="1"/>
  <c r="F64" i="1"/>
  <c r="I100" i="1"/>
  <c r="I101" i="1" s="1"/>
  <c r="I103" i="1" s="1"/>
  <c r="I104" i="1" s="1"/>
  <c r="I78" i="1"/>
  <c r="I79" i="1" s="1"/>
  <c r="H76" i="1"/>
  <c r="G52" i="1"/>
  <c r="G65" i="1"/>
  <c r="H74" i="1"/>
  <c r="H66" i="1"/>
  <c r="E74" i="1"/>
  <c r="E66" i="1"/>
  <c r="G48" i="1"/>
  <c r="G100" i="1"/>
  <c r="G101" i="1" s="1"/>
  <c r="G103" i="1" s="1"/>
  <c r="G104" i="1" s="1"/>
  <c r="E71" i="1"/>
  <c r="D71" i="1" s="1"/>
  <c r="F84" i="1"/>
  <c r="G85" i="1"/>
  <c r="G94" i="1"/>
  <c r="F52" i="1"/>
  <c r="F65" i="1"/>
  <c r="E99" i="1"/>
  <c r="E48" i="1"/>
  <c r="E49" i="1"/>
  <c r="H49" i="1"/>
  <c r="H99" i="1"/>
  <c r="H100" i="1" s="1"/>
  <c r="H101" i="1" s="1"/>
  <c r="H103" i="1" s="1"/>
  <c r="H104" i="1" s="1"/>
  <c r="G22" i="3" l="1"/>
  <c r="F21" i="3"/>
  <c r="H78" i="1"/>
  <c r="H79" i="1" s="1"/>
  <c r="G76" i="1"/>
  <c r="H52" i="1"/>
  <c r="H65" i="1"/>
  <c r="E64" i="1"/>
  <c r="E53" i="1"/>
  <c r="G53" i="1"/>
  <c r="G64" i="1"/>
  <c r="H48" i="1"/>
  <c r="F85" i="1"/>
  <c r="E84" i="1"/>
  <c r="F94" i="1"/>
  <c r="E52" i="1"/>
  <c r="E65" i="1"/>
  <c r="F100" i="1"/>
  <c r="F101" i="1" s="1"/>
  <c r="F103" i="1" s="1"/>
  <c r="F104" i="1" s="1"/>
  <c r="F22" i="3" l="1"/>
  <c r="E21" i="3"/>
  <c r="F76" i="1"/>
  <c r="G78" i="1"/>
  <c r="G79" i="1" s="1"/>
  <c r="E85" i="1"/>
  <c r="D84" i="1"/>
  <c r="E94" i="1"/>
  <c r="H64" i="1"/>
  <c r="H53" i="1"/>
  <c r="E100" i="1"/>
  <c r="E22" i="3" l="1"/>
  <c r="D21" i="3"/>
  <c r="D22" i="3" s="1"/>
  <c r="E101" i="1"/>
  <c r="E103" i="1" s="1"/>
  <c r="E104" i="1" s="1"/>
  <c r="D100" i="1"/>
  <c r="D101" i="1" s="1"/>
  <c r="D103" i="1" s="1"/>
  <c r="D104" i="1" s="1"/>
  <c r="D85" i="1"/>
  <c r="D94" i="1"/>
  <c r="E76" i="1"/>
  <c r="F78" i="1"/>
  <c r="F79" i="1" s="1"/>
  <c r="D76" i="1" l="1"/>
  <c r="D78" i="1" s="1"/>
  <c r="D79" i="1" s="1"/>
  <c r="E78" i="1"/>
  <c r="E7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Aya SLIKI</author>
  </authors>
  <commentList>
    <comment ref="F9" authorId="0" shapeId="0" xr:uid="{A3AF3BD3-B711-4E9E-BB67-00CC2D61FA8C}">
      <text>
        <r>
          <rPr>
            <b/>
            <sz val="9"/>
            <color indexed="81"/>
            <rFont val="Tahoma"/>
            <family val="2"/>
          </rPr>
          <t>Aya SLIKI:</t>
        </r>
        <r>
          <rPr>
            <sz val="9"/>
            <color indexed="81"/>
            <rFont val="Tahoma"/>
            <family val="2"/>
          </rPr>
          <t xml:space="preserve">
Discounting Future Value of E using Success Return rate</t>
        </r>
      </text>
    </comment>
    <comment ref="B10" authorId="0" shapeId="0" xr:uid="{F3717B99-7487-4A78-953E-4B36682E034B}">
      <text>
        <r>
          <rPr>
            <b/>
            <sz val="9"/>
            <color indexed="81"/>
            <rFont val="Tahoma"/>
            <family val="2"/>
          </rPr>
          <t>Aya SLIKI:</t>
        </r>
        <r>
          <rPr>
            <sz val="9"/>
            <color indexed="81"/>
            <rFont val="Tahoma"/>
            <family val="2"/>
          </rPr>
          <t xml:space="preserve">
Discounting Future Value of E using Success Return rate</t>
        </r>
      </text>
    </comment>
    <comment ref="J11" authorId="0" shapeId="0" xr:uid="{21A635BC-BEF5-43A4-8345-43752B04A01F}">
      <text>
        <r>
          <rPr>
            <b/>
            <sz val="9"/>
            <color indexed="81"/>
            <rFont val="Tahoma"/>
            <family val="2"/>
          </rPr>
          <t>Aya SLIKI:</t>
        </r>
        <r>
          <rPr>
            <sz val="9"/>
            <color indexed="81"/>
            <rFont val="Tahoma"/>
            <family val="2"/>
          </rPr>
          <t xml:space="preserve">
Stakes will stay the same because no additional capital 3 was invested</t>
        </r>
      </text>
    </comment>
    <comment ref="B15" authorId="0" shapeId="0" xr:uid="{980D87EB-370E-4076-B256-5A93F6A2022C}">
      <text>
        <r>
          <rPr>
            <b/>
            <sz val="9"/>
            <color indexed="81"/>
            <rFont val="Tahoma"/>
            <family val="2"/>
          </rPr>
          <t>Aya SLIKI:</t>
        </r>
        <r>
          <rPr>
            <sz val="9"/>
            <color indexed="81"/>
            <rFont val="Tahoma"/>
            <family val="2"/>
          </rPr>
          <t xml:space="preserve">
if we don't have it given assume %, then at the end calculate it, and use solver to get 0 in diff by changing it</t>
        </r>
      </text>
    </comment>
    <comment ref="G23" authorId="0" shapeId="0" xr:uid="{CABC85F9-2718-474F-8CE4-D755919754E6}">
      <text>
        <r>
          <rPr>
            <b/>
            <sz val="9"/>
            <color indexed="81"/>
            <rFont val="Tahoma"/>
            <family val="2"/>
          </rPr>
          <t>Aya SLIKI:</t>
        </r>
        <r>
          <rPr>
            <sz val="9"/>
            <color indexed="81"/>
            <rFont val="Tahoma"/>
            <family val="2"/>
          </rPr>
          <t xml:space="preserve">
It will be reinvested</t>
        </r>
      </text>
    </comment>
  </commentList>
</comments>
</file>

<file path=xl/sharedStrings.xml><?xml version="1.0" encoding="utf-8"?>
<sst xmlns="http://schemas.openxmlformats.org/spreadsheetml/2006/main" count="557" uniqueCount="432">
  <si>
    <t>This template is for building the three financial statements + valuation using the five methods</t>
  </si>
  <si>
    <t>Value Drivers</t>
  </si>
  <si>
    <t>NOPAT / IC</t>
  </si>
  <si>
    <t>ROIC</t>
  </si>
  <si>
    <t>dNOPAT / dIC</t>
  </si>
  <si>
    <t>RONIC</t>
  </si>
  <si>
    <t>RONIC = WACC if no added value</t>
  </si>
  <si>
    <t>dIC / NOPAT || g(t+1) / RONIC(t+1)</t>
  </si>
  <si>
    <t>K</t>
  </si>
  <si>
    <t>RONIC * K(t-1) || NOPAT / NOPAT(t-1) -1</t>
  </si>
  <si>
    <t>g</t>
  </si>
  <si>
    <t>t</t>
  </si>
  <si>
    <t>rA</t>
  </si>
  <si>
    <t>rD</t>
  </si>
  <si>
    <t>( rA - rD * D/V ) / ( 1 - D/V )</t>
  </si>
  <si>
    <t>rE</t>
  </si>
  <si>
    <t>rA - rD * D/V * t</t>
  </si>
  <si>
    <t>WACC</t>
  </si>
  <si>
    <t>D/IC</t>
  </si>
  <si>
    <t>Add missing D/V to get WACC</t>
  </si>
  <si>
    <t>D/V</t>
  </si>
  <si>
    <t>Balance Sheet ( D + E = IC)</t>
  </si>
  <si>
    <t>IC = E / (1 - D/IC)</t>
  </si>
  <si>
    <t>IC Boy</t>
  </si>
  <si>
    <t>Calculate IC for TV also</t>
  </si>
  <si>
    <t>Debt Boy</t>
  </si>
  <si>
    <t>TV: Debt = D*(1+g)</t>
  </si>
  <si>
    <t>Equity Boy</t>
  </si>
  <si>
    <t>Income Statement</t>
  </si>
  <si>
    <t>Sales</t>
  </si>
  <si>
    <t>Sales * EBIT/Sales || NOPAT/(1-t)</t>
  </si>
  <si>
    <t>EBIT</t>
  </si>
  <si>
    <t>Debt * rD</t>
  </si>
  <si>
    <t>Interest payment</t>
  </si>
  <si>
    <t>EBIT - I</t>
  </si>
  <si>
    <t>Profit before tax</t>
  </si>
  <si>
    <t>PBT * t (Only if PBT &gt; 0 )</t>
  </si>
  <si>
    <t>Corporate tax</t>
  </si>
  <si>
    <t>PBT- Tax</t>
  </si>
  <si>
    <t>Profit after tax</t>
  </si>
  <si>
    <t>PAT - RE</t>
  </si>
  <si>
    <t>Dividend</t>
  </si>
  <si>
    <t>Retained earnings</t>
  </si>
  <si>
    <t>dEquity required</t>
  </si>
  <si>
    <t>RE - dEquity required</t>
  </si>
  <si>
    <t>Issue/buyback of equity</t>
  </si>
  <si>
    <t>PAT / Dividend</t>
  </si>
  <si>
    <t>Div payoff ratio</t>
  </si>
  <si>
    <t>Tax / PBT</t>
  </si>
  <si>
    <t>effective tax rate</t>
  </si>
  <si>
    <t>Business CFs</t>
  </si>
  <si>
    <t>EBIT (1- t) || ROIC*IC || NOPAT + RONIC*dIC || NOPAT(t-1)*(1+g)</t>
  </si>
  <si>
    <t>NOPLAT</t>
  </si>
  <si>
    <t>K * NOPAT || IC(t+1) - IC(t)</t>
  </si>
  <si>
    <t>dIC</t>
  </si>
  <si>
    <t>NOPLAT - dIC</t>
  </si>
  <si>
    <t>FCFF</t>
  </si>
  <si>
    <t>I * t</t>
  </si>
  <si>
    <t>Tax shield</t>
  </si>
  <si>
    <t>dDebt</t>
  </si>
  <si>
    <t>FCFF - I + TaxShield + dDebt</t>
  </si>
  <si>
    <t>FCFE</t>
  </si>
  <si>
    <t>dequity-retained earnings</t>
  </si>
  <si>
    <t>Non-Operating Wealth</t>
  </si>
  <si>
    <t>APV Valuation</t>
  </si>
  <si>
    <t>FCFF + TS</t>
  </si>
  <si>
    <t>Take V from here to get D/V ratios that we need for WACC</t>
  </si>
  <si>
    <t>V boy</t>
  </si>
  <si>
    <t>TV: Growing perpetuity (We divide by rA-g )</t>
  </si>
  <si>
    <t>FCFE Valuation</t>
  </si>
  <si>
    <t>E boy</t>
  </si>
  <si>
    <t>D boy</t>
  </si>
  <si>
    <t>TV: Growing perpetuity (We divide by rE-g )</t>
  </si>
  <si>
    <t>Check</t>
  </si>
  <si>
    <t>FCFF Valuation</t>
  </si>
  <si>
    <t>Take V from here to get D if we have D/V</t>
  </si>
  <si>
    <t>TV: Growing perpetuity (We divide by WACC-g )</t>
  </si>
  <si>
    <t>EVA Valuation</t>
  </si>
  <si>
    <t>NOPLAT*</t>
  </si>
  <si>
    <t>Total IC x WACC</t>
  </si>
  <si>
    <t>if we don't have numbers for the next TVs</t>
  </si>
  <si>
    <t>EVA</t>
  </si>
  <si>
    <t>we might just take PV EVA = V - IC</t>
  </si>
  <si>
    <t>PV EVA</t>
  </si>
  <si>
    <t>TV: if we are selling the business, EVA = 0 (no more added value)</t>
  </si>
  <si>
    <t>Total IC</t>
  </si>
  <si>
    <t>RI Valuation</t>
  </si>
  <si>
    <t>BV Equity boy</t>
  </si>
  <si>
    <t>BV Equity * rE</t>
  </si>
  <si>
    <t>RI</t>
  </si>
  <si>
    <t>PV RI</t>
  </si>
  <si>
    <t>Tax / (PBT - Dividends Received)</t>
  </si>
  <si>
    <t>Interest on Liquidity Debt</t>
  </si>
  <si>
    <t>Adjusted EBIT</t>
  </si>
  <si>
    <t>D&amp;A</t>
  </si>
  <si>
    <t>Gross CF</t>
  </si>
  <si>
    <t>dInventory</t>
  </si>
  <si>
    <t>(t-1) - t</t>
  </si>
  <si>
    <t>dReceivables</t>
  </si>
  <si>
    <t>dPayables</t>
  </si>
  <si>
    <t>t - (t-1)</t>
  </si>
  <si>
    <t>t - (t-1)  Remove liquidity debt, keep only financing debt</t>
  </si>
  <si>
    <t>CF from operations</t>
  </si>
  <si>
    <t>dInvested Assets</t>
  </si>
  <si>
    <t>(t-1) - t  This is PP&amp;A</t>
  </si>
  <si>
    <t>Dividend Received</t>
  </si>
  <si>
    <t>Interests Received</t>
  </si>
  <si>
    <t>Tax on Interestes Received</t>
  </si>
  <si>
    <t>CF from Investments</t>
  </si>
  <si>
    <t>FCFF (Free Cash Flow to the Firm)</t>
    <phoneticPr fontId="0" type="noConversion"/>
  </si>
  <si>
    <t>Other Interests paid</t>
  </si>
  <si>
    <t>Tax Shield</t>
  </si>
  <si>
    <t>dLong Term Debt</t>
  </si>
  <si>
    <t>FCFE</t>
    <phoneticPr fontId="0" type="noConversion"/>
  </si>
  <si>
    <t>dBV E-Ret ear</t>
  </si>
  <si>
    <t>dBV Equity [ t - (t-1) ] - Retained Earnings</t>
  </si>
  <si>
    <t>dNon-op wealth</t>
  </si>
  <si>
    <t>Non-operational cash</t>
  </si>
  <si>
    <t>Marketable securities</t>
  </si>
  <si>
    <t>Non op wealth</t>
  </si>
  <si>
    <t>Bond Valuation (Debt)</t>
  </si>
  <si>
    <t>First, fill the first year face value</t>
  </si>
  <si>
    <t>Face Value boy</t>
  </si>
  <si>
    <t>In Classical Accounting, take this as debt</t>
  </si>
  <si>
    <t>Interest</t>
  </si>
  <si>
    <t>rD bond</t>
  </si>
  <si>
    <t>Then here</t>
  </si>
  <si>
    <t>Principal payment</t>
  </si>
  <si>
    <t>Bond CF</t>
  </si>
  <si>
    <t>PV bond CF boy (D)</t>
  </si>
  <si>
    <t>In fair value Accounting, take this as debt</t>
  </si>
  <si>
    <t>Bank Loan</t>
  </si>
  <si>
    <t>Total Outstanding boy</t>
  </si>
  <si>
    <t>Subsidised Interest</t>
  </si>
  <si>
    <t>rD market</t>
  </si>
  <si>
    <t>Loan CF</t>
  </si>
  <si>
    <t>PV Loan CF boy (D)</t>
  </si>
  <si>
    <t>Take this as Debt Value</t>
  </si>
  <si>
    <t>Net Loan</t>
  </si>
  <si>
    <t>In case DSRA is required, consider it as additional IC (Usually a percentage of loan CF)</t>
  </si>
  <si>
    <t xml:space="preserve">And Pay attention, in that case: </t>
  </si>
  <si>
    <t>FCFE = FCFF - I + TaxShield + dDebt + dDSRA (this year - next year)</t>
  </si>
  <si>
    <t xml:space="preserve">In case only a % of the interest could be deducted from the tax base: </t>
  </si>
  <si>
    <t>WACC = rA - rD * D/V * t * (%)</t>
  </si>
  <si>
    <t>Only for the years, where debt is financed by that loan</t>
  </si>
  <si>
    <t>Tax Shield = I * t * (%)</t>
  </si>
  <si>
    <t>Corporate Tax = ( PBT + I * (1-%) ) * t</t>
  </si>
  <si>
    <t>Comparable transactions</t>
  </si>
  <si>
    <t>Company's financials</t>
  </si>
  <si>
    <t>Transaction</t>
  </si>
  <si>
    <t>A</t>
  </si>
  <si>
    <t>B</t>
  </si>
  <si>
    <t>C</t>
  </si>
  <si>
    <t>D</t>
  </si>
  <si>
    <t>Year</t>
  </si>
  <si>
    <t>Activity</t>
  </si>
  <si>
    <t>Grocery</t>
  </si>
  <si>
    <t>Supermarket</t>
  </si>
  <si>
    <t>Toy retail</t>
  </si>
  <si>
    <t>Online toy retail</t>
  </si>
  <si>
    <t>EBITDA</t>
  </si>
  <si>
    <t>Country</t>
  </si>
  <si>
    <t>Hungary</t>
  </si>
  <si>
    <t>Germany</t>
  </si>
  <si>
    <t>Poland</t>
  </si>
  <si>
    <r>
      <t>Shop area (m</t>
    </r>
    <r>
      <rPr>
        <vertAlign val="superscript"/>
        <sz val="12"/>
        <color theme="1"/>
        <rFont val="Calibri"/>
        <family val="2"/>
        <charset val="238"/>
        <scheme val="minor"/>
      </rPr>
      <t>2</t>
    </r>
    <r>
      <rPr>
        <sz val="11"/>
        <color theme="1"/>
        <rFont val="Calibri"/>
        <family val="2"/>
        <scheme val="minor"/>
      </rPr>
      <t>)</t>
    </r>
  </si>
  <si>
    <t>PP&amp;E</t>
  </si>
  <si>
    <t>Debt</t>
  </si>
  <si>
    <t>Inventory</t>
  </si>
  <si>
    <t>Stake</t>
  </si>
  <si>
    <t>Receivables</t>
  </si>
  <si>
    <t>Price paid</t>
  </si>
  <si>
    <t>Cash</t>
  </si>
  <si>
    <t>Payables</t>
  </si>
  <si>
    <t>Equity</t>
  </si>
  <si>
    <t>Split of activity</t>
  </si>
  <si>
    <t>Shops</t>
  </si>
  <si>
    <t>Web shop</t>
  </si>
  <si>
    <t>Equity = Price / Stake</t>
  </si>
  <si>
    <t>Comparable transactions (First calculate the multiples)</t>
  </si>
  <si>
    <t>Company's EV (using the multiples calculated)</t>
  </si>
  <si>
    <t>Average</t>
  </si>
  <si>
    <t>Our peers</t>
  </si>
  <si>
    <t>EV peers (Equity + Debt)</t>
  </si>
  <si>
    <t>EV/Sales</t>
  </si>
  <si>
    <t>Our company</t>
  </si>
  <si>
    <t>EV (Sales)</t>
  </si>
  <si>
    <t>EV/EBITDA</t>
  </si>
  <si>
    <t>EV (EBITDA)</t>
  </si>
  <si>
    <t>EV/m2</t>
  </si>
  <si>
    <t>EV (sales area)</t>
  </si>
  <si>
    <t>For historical transactions forecasted values are not shared, so multiples are not likely to be based on forecasted values.</t>
  </si>
  <si>
    <t>Stake value</t>
  </si>
  <si>
    <t>EV</t>
  </si>
  <si>
    <t>Corrections</t>
  </si>
  <si>
    <t>EV*</t>
  </si>
  <si>
    <t>E</t>
  </si>
  <si>
    <t>50-50% discount</t>
  </si>
  <si>
    <t>E*</t>
  </si>
  <si>
    <t>Min</t>
  </si>
  <si>
    <t>Max</t>
  </si>
  <si>
    <t>Discounts may be needed to remove synergic, country and size effects.</t>
  </si>
  <si>
    <t>Market multiples for retail</t>
  </si>
  <si>
    <t>CEE</t>
  </si>
  <si>
    <t>West EU</t>
  </si>
  <si>
    <t>N</t>
  </si>
  <si>
    <t>EV/S</t>
  </si>
  <si>
    <t>Company's EV using the multiples (already given)</t>
  </si>
  <si>
    <t>Using</t>
  </si>
  <si>
    <t>EV = Equity + Debt</t>
  </si>
  <si>
    <t>Equity = Price paid / Stake %</t>
  </si>
  <si>
    <t>Our Stake value = (our EV - Debt) * Stake%</t>
  </si>
  <si>
    <t>Asset with expenses during lifetime</t>
  </si>
  <si>
    <t>Current EV</t>
  </si>
  <si>
    <t>Current EBITDA</t>
  </si>
  <si>
    <t>Rental fees for example</t>
  </si>
  <si>
    <t>Expenses (tax deductible)</t>
  </si>
  <si>
    <t>Growing PP end of the year = C/(r-g)*(1+r) with C = fees*(1-t)</t>
  </si>
  <si>
    <t>Expenses</t>
  </si>
  <si>
    <t>EV corrected</t>
  </si>
  <si>
    <t>New EBITDA</t>
  </si>
  <si>
    <t>Equity ( EV - Debt )</t>
  </si>
  <si>
    <t>Substract also liquid Cash</t>
  </si>
  <si>
    <t>EV (using multiple)</t>
  </si>
  <si>
    <t>NOT CORRECT</t>
  </si>
  <si>
    <t>Asset that will be sold</t>
  </si>
  <si>
    <t>Sales Price</t>
  </si>
  <si>
    <t>Income</t>
  </si>
  <si>
    <t>How much are we going to get when selling it</t>
  </si>
  <si>
    <t>BV of Asset</t>
  </si>
  <si>
    <t>How much is the asset worth in the book</t>
  </si>
  <si>
    <t>PBT (EBIT)</t>
  </si>
  <si>
    <t>PBT*t</t>
  </si>
  <si>
    <t>Tax amount</t>
  </si>
  <si>
    <t>PAT (NOPLAT)</t>
  </si>
  <si>
    <t>FCFF [ dIC is change in PP&amp;E (BV of Asset) ]</t>
  </si>
  <si>
    <t>Value</t>
  </si>
  <si>
    <t>We should get the same value</t>
  </si>
  <si>
    <t>Asset sold after construction</t>
  </si>
  <si>
    <t xml:space="preserve">CF </t>
  </si>
  <si>
    <t>Sales Price of Constructed asset</t>
  </si>
  <si>
    <t>Revenue</t>
  </si>
  <si>
    <t>Cost of Construction</t>
  </si>
  <si>
    <t>Costs</t>
  </si>
  <si>
    <t>BV of Asset before construction</t>
  </si>
  <si>
    <t>BV Current Asset</t>
  </si>
  <si>
    <t>Profit (EBIT)</t>
  </si>
  <si>
    <t>CF in years</t>
  </si>
  <si>
    <t>Profit*t</t>
  </si>
  <si>
    <t>Tax on Profit</t>
  </si>
  <si>
    <t>CF today</t>
  </si>
  <si>
    <t>Divide by (1+r)^t</t>
  </si>
  <si>
    <t>Asset generating income and subject to amortization</t>
  </si>
  <si>
    <t>Method 1</t>
  </si>
  <si>
    <t>r</t>
  </si>
  <si>
    <t>Tax lifetime (n')</t>
  </si>
  <si>
    <t>Useful life (n)</t>
  </si>
  <si>
    <t>Construction cost</t>
  </si>
  <si>
    <t>Tax deductible expense</t>
  </si>
  <si>
    <t>PV (Construction cost)</t>
  </si>
  <si>
    <t>Cost*(1-t) discounted to today</t>
  </si>
  <si>
    <t>Annual (based on tax lifetime)</t>
  </si>
  <si>
    <t>Construction Cost / tax lifetime</t>
  </si>
  <si>
    <t>Yearly Rental income</t>
  </si>
  <si>
    <t>Income*(1-tax)</t>
  </si>
  <si>
    <t>Growing Annuity WITHOUT D&amp;A</t>
  </si>
  <si>
    <t>Value generated (income)</t>
  </si>
  <si>
    <t>(C/(r-g) *  (1- (1+g)^n / (1+r) ^n))</t>
  </si>
  <si>
    <t>D&amp;A * t</t>
  </si>
  <si>
    <t>Tax shield of D&amp;A</t>
  </si>
  <si>
    <t>Non Growing annuity (tax lifetime)</t>
  </si>
  <si>
    <t>Value in years</t>
  </si>
  <si>
    <t>C/r*(1-(1/(1+r)^n'))</t>
  </si>
  <si>
    <t>Add Tax Shield to revenues</t>
  </si>
  <si>
    <t>Total Value with TS</t>
  </si>
  <si>
    <t>Substract expenses from revenues</t>
  </si>
  <si>
    <t>Construction Costs</t>
  </si>
  <si>
    <t>To get Net Income</t>
  </si>
  <si>
    <t>PV in years</t>
  </si>
  <si>
    <t>Discount to Today</t>
  </si>
  <si>
    <t>PV Today</t>
  </si>
  <si>
    <t>Method 2</t>
  </si>
  <si>
    <t>Adjusted Historical Cost = [ Gross Value * (1+Inflation) ^ age ] * Net Value / Gross Value</t>
  </si>
  <si>
    <t>Method 3</t>
  </si>
  <si>
    <t>Capitalization = Annual rental income / Cap Rate for EBITDA</t>
  </si>
  <si>
    <t>This template is to calculate the ownership to Pass in case of a takeover</t>
  </si>
  <si>
    <t>First do the valuation of both companies</t>
  </si>
  <si>
    <t>Then do the calculations Below (fill the grey cells)</t>
  </si>
  <si>
    <t>Entreprise Value</t>
  </si>
  <si>
    <t>Equity Value</t>
  </si>
  <si>
    <t>Company A (Holder)</t>
  </si>
  <si>
    <t>After M&amp;A</t>
  </si>
  <si>
    <t>Total additional IC</t>
  </si>
  <si>
    <t>Synergies</t>
  </si>
  <si>
    <t>% Additional IC financed by Equity</t>
  </si>
  <si>
    <t>dTotal Equity</t>
  </si>
  <si>
    <t>Extra Dividend</t>
  </si>
  <si>
    <t>Transaction Costs</t>
  </si>
  <si>
    <t>Negotiation Range</t>
  </si>
  <si>
    <t>Seller</t>
  </si>
  <si>
    <t>Min Price</t>
  </si>
  <si>
    <t>Buyer</t>
  </si>
  <si>
    <t>Max Price</t>
  </si>
  <si>
    <t xml:space="preserve">Takeover </t>
  </si>
  <si>
    <t>% Synergies to pass over</t>
  </si>
  <si>
    <t>Total Price</t>
  </si>
  <si>
    <t>% Cash Payment</t>
  </si>
  <si>
    <t>Cash payment</t>
  </si>
  <si>
    <t>In shares</t>
  </si>
  <si>
    <t>% Ownership to pass on</t>
  </si>
  <si>
    <t>Extra dividend</t>
  </si>
  <si>
    <t>Ownership value</t>
  </si>
  <si>
    <t>Total purchase price</t>
  </si>
  <si>
    <t>rFinancing</t>
  </si>
  <si>
    <t>Today</t>
  </si>
  <si>
    <t>In 2 years</t>
  </si>
  <si>
    <t>In 6 years</t>
  </si>
  <si>
    <t>Success (Business will continue)</t>
  </si>
  <si>
    <t>Success (Business will be sold)</t>
  </si>
  <si>
    <t>Equity - Initial</t>
  </si>
  <si>
    <t>3)</t>
  </si>
  <si>
    <t>Equity - Pre Money Value</t>
  </si>
  <si>
    <t>Value (Sales Price)</t>
  </si>
  <si>
    <t>5)</t>
  </si>
  <si>
    <t>Additional IC 2</t>
  </si>
  <si>
    <t>Additional IC 1</t>
  </si>
  <si>
    <t>2)</t>
  </si>
  <si>
    <t>Equity - Post Money Value</t>
  </si>
  <si>
    <t>1)</t>
  </si>
  <si>
    <t>4)</t>
  </si>
  <si>
    <t>PE-2 Stake</t>
  </si>
  <si>
    <t>Others Stake</t>
  </si>
  <si>
    <t>PE-1 Stake</t>
  </si>
  <si>
    <t>&gt;&gt; PE-1 Stake</t>
  </si>
  <si>
    <t>Founders Stake</t>
  </si>
  <si>
    <t>&gt;&gt; Founders Stake</t>
  </si>
  <si>
    <t>Check Total Stakes</t>
  </si>
  <si>
    <t>Founders CashInflow after Sale</t>
  </si>
  <si>
    <t>PE-1 Stake (Calculated)</t>
  </si>
  <si>
    <t>Founders Yearly Return</t>
  </si>
  <si>
    <t>10)</t>
  </si>
  <si>
    <t>Diff</t>
  </si>
  <si>
    <t>Failure (Business is liquidited)</t>
  </si>
  <si>
    <t>Failure (Money from Liquidition was reinvested)</t>
  </si>
  <si>
    <t>Investment horizon</t>
  </si>
  <si>
    <t>Liquidition Ratio</t>
  </si>
  <si>
    <t>rReinvestment</t>
  </si>
  <si>
    <t>Chance of failure</t>
  </si>
  <si>
    <t>6)</t>
  </si>
  <si>
    <t>Liquidition Value</t>
  </si>
  <si>
    <t>8)</t>
  </si>
  <si>
    <t>PE-1 CashInflow after Liquidition</t>
  </si>
  <si>
    <t>7)</t>
  </si>
  <si>
    <t>Chance of success</t>
  </si>
  <si>
    <t>Founders CashInflow</t>
  </si>
  <si>
    <t>9)</t>
  </si>
  <si>
    <t>Yearly return of success</t>
  </si>
  <si>
    <t>First check how many years we need, if more or less than what's here then add/delete columns from the middle to not mess up TV Formulas</t>
  </si>
  <si>
    <t>We should consider growing perpetuity so take FCFF / (WACC-g)</t>
  </si>
  <si>
    <t>But if the remaining lifetime is specified, use this:</t>
  </si>
  <si>
    <t>If we have data for one year only</t>
  </si>
  <si>
    <t>dShort term financing debt</t>
  </si>
  <si>
    <t>Usually Total Cash - Operational Cash</t>
  </si>
  <si>
    <t>(t-1) - t  Only operational Cash if specified</t>
  </si>
  <si>
    <t>dLiquidityDebt (Short term)</t>
  </si>
  <si>
    <t xml:space="preserve">t - (t-1)  </t>
  </si>
  <si>
    <t>Maybe should be adjusted also if we have sales of assets EBIT* = EBIT - Sales Price + Book Value</t>
  </si>
  <si>
    <t>dOperational Cash</t>
  </si>
  <si>
    <t>Only what's paid on financing debt, Exclude Liquidity Debt</t>
  </si>
  <si>
    <t>Sales of Invested assets</t>
  </si>
  <si>
    <t>Tax on sale</t>
  </si>
  <si>
    <t>Expensed Book value of Invested assets sold</t>
  </si>
  <si>
    <t>dNon-op wealth due to other factors</t>
  </si>
  <si>
    <t>Sales of invested assets and their corresponding book value under the other expenses are regarded as extraordinary items, therefore as non-operational wealth. Non-operational cash also pertains to this category.</t>
  </si>
  <si>
    <t>other income IS part of the company's operations</t>
  </si>
  <si>
    <t>Other income</t>
  </si>
  <si>
    <t>Material expenses</t>
  </si>
  <si>
    <t>Labour expenses</t>
  </si>
  <si>
    <t>financing (not part of operations ==&gt; not incl. in ROE or ROC)</t>
  </si>
  <si>
    <t>Dividend received</t>
  </si>
  <si>
    <t>Interests received</t>
  </si>
  <si>
    <t>Interests paid</t>
  </si>
  <si>
    <t>Financial profit</t>
  </si>
  <si>
    <t>only this portion of cash is inlcuded in ROC</t>
  </si>
  <si>
    <t>of which operational</t>
  </si>
  <si>
    <t>financing (not part of operations ==&gt; not incl. in ROC)</t>
  </si>
  <si>
    <t>Current assets</t>
  </si>
  <si>
    <t>All assets are operational assets</t>
  </si>
  <si>
    <t>Invested assets</t>
  </si>
  <si>
    <t>Total of assests</t>
  </si>
  <si>
    <t>Short term loans</t>
  </si>
  <si>
    <t>Short term liabilities</t>
  </si>
  <si>
    <t>Long term debt</t>
  </si>
  <si>
    <t>Total of Liabilities and Equity</t>
  </si>
  <si>
    <t>I have no idea if this impacts everything or just sales lol</t>
  </si>
  <si>
    <t>Inflation</t>
  </si>
  <si>
    <t>Effective tax rate</t>
  </si>
  <si>
    <t>decreased by inflation??</t>
  </si>
  <si>
    <t>Growth of sales</t>
  </si>
  <si>
    <t>Seminar 3</t>
  </si>
  <si>
    <t xml:space="preserve">Rec/Sales*360 </t>
  </si>
  <si>
    <t>Receivables turnover days</t>
  </si>
  <si>
    <t>Payables/Material expense (COGS) *360</t>
  </si>
  <si>
    <t>Payables turnover days</t>
  </si>
  <si>
    <t>Inventory/(Mat exp+Labour Exp)*360</t>
  </si>
  <si>
    <t>Total Debt/(Equity+ Total Debt)</t>
  </si>
  <si>
    <t>Leverage</t>
  </si>
  <si>
    <t>EBIT*(1-t)/ E</t>
  </si>
  <si>
    <t>ROE</t>
  </si>
  <si>
    <t>Total Debt / E</t>
  </si>
  <si>
    <t>D/E</t>
  </si>
  <si>
    <t>EBIT*(1-t)/ (Total IC - Payables)??</t>
  </si>
  <si>
    <t>ROC</t>
  </si>
  <si>
    <t xml:space="preserve"> </t>
  </si>
  <si>
    <t>Inventory turnover days</t>
  </si>
  <si>
    <t>It Should be EBIT / (TOTAL ASSETS - CURRENT LIABILITIES)</t>
  </si>
  <si>
    <t xml:space="preserve"> EBIT / ( Equity + Non Current Liabilities )</t>
  </si>
  <si>
    <t>Z</t>
  </si>
  <si>
    <t>X</t>
  </si>
  <si>
    <t>Y</t>
  </si>
  <si>
    <t>rF</t>
  </si>
  <si>
    <t>Market risk premium</t>
  </si>
  <si>
    <t>P</t>
  </si>
  <si>
    <t xml:space="preserve"> number of shares</t>
  </si>
  <si>
    <t>Capitalisation</t>
  </si>
  <si>
    <t>betaE</t>
  </si>
  <si>
    <t>debt risk premium</t>
  </si>
  <si>
    <t>betaD</t>
  </si>
  <si>
    <t>E/V</t>
  </si>
  <si>
    <t>Yearly return of failure for PE-1</t>
  </si>
  <si>
    <t>Two Companies Merged</t>
  </si>
  <si>
    <t>Company B (Acquired)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</si>
</sst>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_(* #,##0.00_);_(* \(#,##0.00\);_(* &quot;-&quot;??_);_(@_)"/>
  </numFmts>
  <fonts count="50" x14ac:knownFonts="1">
    <font>
      <sz val="11"/>
      <color theme="1"/>
      <name val="Calibri"/>
      <family val="2"/>
      <scheme val="minor"/>
    </font>
    <font>
      <sz val="11"/>
      <color theme="1"/>
      <name val="Calibri"/>
      <family val="2"/>
      <scheme val="minor"/>
    </font>
    <font>
      <sz val="12"/>
      <color theme="1"/>
      <name val="Times New Roman"/>
      <family val="1"/>
    </font>
    <font>
      <b/>
      <sz val="12"/>
      <color theme="1"/>
      <name val="Times New Roman"/>
      <family val="1"/>
      <charset val="238"/>
    </font>
    <font>
      <b/>
      <sz val="12"/>
      <color theme="1"/>
      <name val="Times New Roman"/>
      <family val="1"/>
    </font>
    <font>
      <b/>
      <u/>
      <sz val="12"/>
      <color theme="1"/>
      <name val="Calibri"/>
      <family val="2"/>
      <scheme val="minor"/>
    </font>
    <font>
      <b/>
      <sz val="12"/>
      <color theme="1"/>
      <name val="Calibri"/>
      <family val="2"/>
      <scheme val="minor"/>
    </font>
    <font>
      <b/>
      <u/>
      <sz val="12"/>
      <color theme="1"/>
      <name val="Times New Roman"/>
      <family val="1"/>
    </font>
    <font>
      <b/>
      <sz val="12"/>
      <color rgb="FF000000"/>
      <name val="Times New Roman"/>
      <family val="1"/>
    </font>
    <font>
      <sz val="12"/>
      <name val="Times New Roman"/>
      <family val="1"/>
    </font>
    <font>
      <b/>
      <sz val="12"/>
      <name val="Times New Roman"/>
      <family val="1"/>
    </font>
    <font>
      <b/>
      <u/>
      <sz val="12"/>
      <name val="Calibri"/>
      <family val="2"/>
      <scheme val="minor"/>
    </font>
    <font>
      <sz val="12"/>
      <name val="Calibri"/>
      <family val="2"/>
      <scheme val="minor"/>
    </font>
    <font>
      <b/>
      <sz val="12"/>
      <color theme="4"/>
      <name val="Calibri"/>
      <family val="2"/>
      <scheme val="minor"/>
    </font>
    <font>
      <b/>
      <sz val="12"/>
      <name val="Calibri"/>
      <family val="2"/>
      <scheme val="minor"/>
    </font>
    <font>
      <sz val="12"/>
      <name val="Calibri"/>
      <family val="2"/>
      <charset val="238"/>
      <scheme val="minor"/>
    </font>
    <font>
      <b/>
      <sz val="12"/>
      <color theme="9"/>
      <name val="Calibri"/>
      <family val="2"/>
      <scheme val="minor"/>
    </font>
    <font>
      <b/>
      <sz val="12"/>
      <color theme="0"/>
      <name val="Calibri"/>
      <family val="2"/>
      <scheme val="minor"/>
    </font>
    <font>
      <sz val="12"/>
      <color theme="0"/>
      <name val="Calibri"/>
      <family val="2"/>
      <charset val="238"/>
      <scheme val="minor"/>
    </font>
    <font>
      <b/>
      <sz val="12"/>
      <color theme="1"/>
      <name val="Calibri"/>
      <family val="2"/>
      <charset val="238"/>
      <scheme val="minor"/>
    </font>
    <font>
      <vertAlign val="superscript"/>
      <sz val="12"/>
      <color theme="1"/>
      <name val="Calibri"/>
      <family val="2"/>
      <charset val="238"/>
      <scheme val="minor"/>
    </font>
    <font>
      <i/>
      <sz val="10"/>
      <color theme="1"/>
      <name val="Calibri"/>
      <family val="2"/>
      <charset val="238"/>
      <scheme val="minor"/>
    </font>
    <font>
      <b/>
      <sz val="12"/>
      <color rgb="FFFF0000"/>
      <name val="Calibri"/>
      <family val="2"/>
      <scheme val="minor"/>
    </font>
    <font>
      <sz val="12"/>
      <color theme="1"/>
      <name val="Calibri"/>
      <family val="2"/>
      <scheme val="minor"/>
    </font>
    <font>
      <b/>
      <u/>
      <sz val="12"/>
      <color rgb="FF00B050"/>
      <name val="Calibri"/>
      <family val="2"/>
      <scheme val="minor"/>
    </font>
    <font>
      <b/>
      <u/>
      <sz val="12"/>
      <color rgb="FFFF0000"/>
      <name val="Calibri"/>
      <family val="2"/>
      <scheme val="minor"/>
    </font>
    <font>
      <b/>
      <sz val="9"/>
      <color indexed="81"/>
      <name val="Tahoma"/>
      <family val="2"/>
    </font>
    <font>
      <sz val="9"/>
      <color indexed="81"/>
      <name val="Tahoma"/>
      <family val="2"/>
    </font>
    <font>
      <b/>
      <sz val="11"/>
      <color theme="1"/>
      <name val="Calibri"/>
      <family val="2"/>
      <scheme val="minor"/>
    </font>
    <font>
      <sz val="12"/>
      <color rgb="FF00B050"/>
      <name val="Times New Roman"/>
      <family val="1"/>
      <charset val="238"/>
    </font>
    <font>
      <sz val="12"/>
      <color rgb="FFFF0000"/>
      <name val="Times New Roman"/>
      <family val="1"/>
      <charset val="238"/>
    </font>
    <font>
      <sz val="12"/>
      <color theme="1"/>
      <name val="Times New Roman"/>
      <family val="1"/>
      <charset val="238"/>
    </font>
    <font>
      <b/>
      <sz val="12"/>
      <color rgb="FF000000"/>
      <name val="Times New Roman"/>
      <family val="1"/>
      <charset val="238"/>
    </font>
    <font>
      <sz val="12"/>
      <color rgb="FF000000"/>
      <name val="Times New Roman"/>
      <family val="1"/>
      <charset val="238"/>
    </font>
    <font>
      <i/>
      <sz val="12"/>
      <color rgb="FF00B050"/>
      <name val="Times New Roman"/>
      <family val="1"/>
    </font>
    <font>
      <sz val="12"/>
      <color rgb="FF00B050"/>
      <name val="Times New Roman"/>
      <family val="1"/>
    </font>
    <font>
      <i/>
      <sz val="12"/>
      <color theme="9" tint="-0.249977111117893"/>
      <name val="Times New Roman"/>
      <family val="1"/>
    </font>
    <font>
      <sz val="12"/>
      <color theme="9" tint="-0.249977111117893"/>
      <name val="Times New Roman"/>
      <family val="1"/>
      <charset val="238"/>
    </font>
    <font>
      <b/>
      <sz val="12"/>
      <color theme="9" tint="-0.249977111117893"/>
      <name val="Times New Roman"/>
      <family val="1"/>
      <charset val="238"/>
    </font>
    <font>
      <sz val="10"/>
      <color theme="1"/>
      <name val="Calibri"/>
      <family val="2"/>
      <charset val="238"/>
    </font>
    <font>
      <sz val="12"/>
      <color theme="9" tint="-0.249977111117893"/>
      <name val="Times New Roman"/>
      <family val="1"/>
    </font>
    <font>
      <b/>
      <i/>
      <sz val="12"/>
      <color rgb="FF000000"/>
      <name val="Times New Roman"/>
      <family val="1"/>
      <charset val="238"/>
    </font>
    <font>
      <i/>
      <sz val="12"/>
      <color rgb="FF00B0F0"/>
      <name val="Times New Roman"/>
      <family val="1"/>
    </font>
    <font>
      <sz val="12"/>
      <color rgb="FF00B0F0"/>
      <name val="Times New Roman"/>
      <family val="2"/>
      <charset val="238"/>
    </font>
    <font>
      <i/>
      <sz val="12"/>
      <color rgb="FFFF0000"/>
      <name val="Times New Roman"/>
      <family val="1"/>
    </font>
    <font>
      <sz val="12"/>
      <color rgb="FFFF0000"/>
      <name val="Times New Roman"/>
      <family val="2"/>
      <charset val="238"/>
    </font>
    <font>
      <i/>
      <sz val="12"/>
      <color theme="1"/>
      <name val="Times New Roman"/>
      <family val="1"/>
    </font>
    <font>
      <sz val="12"/>
      <color rgb="FFFF0000"/>
      <name val="Times New Roman"/>
      <family val="1"/>
    </font>
    <font>
      <sz val="16"/>
      <color rgb="FF000000"/>
      <name val="Times New Roman"/>
      <family val="1"/>
      <charset val="238"/>
    </font>
    <font>
      <sz val="12"/>
      <color theme="1"/>
      <name val="Calibri"/>
      <family val="2"/>
      <charset val="238"/>
      <scheme val="minor"/>
    </font>
  </fonts>
  <fills count="24">
    <fill>
      <patternFill patternType="none"/>
    </fill>
    <fill>
      <patternFill patternType="gray125"/>
    </fill>
    <fill>
      <patternFill patternType="solid">
        <fgColor theme="4"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C000"/>
        <bgColor indexed="64"/>
      </patternFill>
    </fill>
    <fill>
      <patternFill patternType="solid">
        <fgColor theme="7"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3"/>
        <bgColor indexed="64"/>
      </patternFill>
    </fill>
    <fill>
      <patternFill patternType="solid">
        <fgColor rgb="FF81DEFF"/>
        <bgColor indexed="64"/>
      </patternFill>
    </fill>
    <fill>
      <patternFill patternType="solid">
        <fgColor theme="7"/>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rgb="FFFF000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FFFF"/>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0"/>
        <bgColor indexed="64"/>
      </patternFill>
    </fill>
  </fills>
  <borders count="23">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49" fillId="0" borderId="0"/>
    <xf numFmtId="0" fontId="49" fillId="0" borderId="0"/>
    <xf numFmtId="9" fontId="49" fillId="0" borderId="0" applyFont="0" applyFill="0" applyBorder="0" applyAlignment="0" applyProtection="0"/>
  </cellStyleXfs>
  <cellXfs count="259">
    <xf numFmtId="0" fontId="0" fillId="0" borderId="0" xfId="0"/>
    <xf numFmtId="0" fontId="2" fillId="0" borderId="0" xfId="0" applyFont="1" applyAlignment="1">
      <alignment horizontal="right"/>
    </xf>
    <xf numFmtId="0" fontId="2" fillId="0" borderId="0" xfId="0" applyFont="1"/>
    <xf numFmtId="0" fontId="3" fillId="0" borderId="0" xfId="0" applyFont="1" applyAlignment="1">
      <alignment horizontal="center"/>
    </xf>
    <xf numFmtId="4" fontId="0" fillId="0" borderId="0" xfId="0" applyNumberFormat="1"/>
    <xf numFmtId="10" fontId="0" fillId="0" borderId="0" xfId="2" applyNumberFormat="1" applyFont="1" applyFill="1" applyBorder="1"/>
    <xf numFmtId="10" fontId="0" fillId="0" borderId="0" xfId="0" applyNumberFormat="1"/>
    <xf numFmtId="0" fontId="4" fillId="0" borderId="0" xfId="0" applyFont="1"/>
    <xf numFmtId="49" fontId="2" fillId="0" borderId="0" xfId="0" applyNumberFormat="1" applyFont="1" applyAlignment="1">
      <alignment horizontal="right"/>
    </xf>
    <xf numFmtId="0" fontId="5" fillId="0" borderId="0" xfId="0" applyFont="1"/>
    <xf numFmtId="0" fontId="0" fillId="2" borderId="0" xfId="0" applyFill="1"/>
    <xf numFmtId="9" fontId="0" fillId="2" borderId="0" xfId="2" applyFont="1" applyFill="1"/>
    <xf numFmtId="9" fontId="0" fillId="0" borderId="0" xfId="0" applyNumberFormat="1"/>
    <xf numFmtId="9" fontId="0" fillId="0" borderId="0" xfId="2" applyFont="1"/>
    <xf numFmtId="0" fontId="6" fillId="3" borderId="0" xfId="0" applyFont="1" applyFill="1"/>
    <xf numFmtId="9" fontId="0" fillId="3" borderId="0" xfId="2" applyFont="1" applyFill="1"/>
    <xf numFmtId="0" fontId="0" fillId="4" borderId="0" xfId="0" applyFill="1"/>
    <xf numFmtId="9" fontId="0" fillId="4" borderId="0" xfId="2" applyFont="1" applyFill="1"/>
    <xf numFmtId="0" fontId="0" fillId="5" borderId="0" xfId="0" applyFill="1"/>
    <xf numFmtId="9" fontId="0" fillId="5" borderId="0" xfId="2" applyFont="1" applyFill="1"/>
    <xf numFmtId="9" fontId="0" fillId="0" borderId="0" xfId="2" applyFont="1" applyFill="1"/>
    <xf numFmtId="0" fontId="7" fillId="0" borderId="0" xfId="0" applyFont="1"/>
    <xf numFmtId="164" fontId="2" fillId="0" borderId="0" xfId="1" applyNumberFormat="1" applyFont="1"/>
    <xf numFmtId="4" fontId="2" fillId="0" borderId="0" xfId="0" applyNumberFormat="1" applyFont="1"/>
    <xf numFmtId="0" fontId="2" fillId="0" borderId="0" xfId="0" quotePrefix="1" applyFont="1"/>
    <xf numFmtId="9" fontId="2" fillId="0" borderId="0" xfId="2" applyFont="1"/>
    <xf numFmtId="9" fontId="2" fillId="0" borderId="0" xfId="2" applyFont="1" applyFill="1"/>
    <xf numFmtId="0" fontId="8" fillId="0" borderId="0" xfId="0" applyFont="1" applyAlignment="1">
      <alignment horizontal="left" vertical="center"/>
    </xf>
    <xf numFmtId="0" fontId="9" fillId="0" borderId="0" xfId="0" applyFont="1"/>
    <xf numFmtId="164" fontId="0" fillId="0" borderId="0" xfId="1" applyNumberFormat="1" applyFont="1"/>
    <xf numFmtId="0" fontId="10" fillId="0" borderId="0" xfId="0" applyFont="1"/>
    <xf numFmtId="164" fontId="9" fillId="0" borderId="0" xfId="1" applyNumberFormat="1" applyFont="1"/>
    <xf numFmtId="4" fontId="9" fillId="0" borderId="0" xfId="0" applyNumberFormat="1" applyFont="1"/>
    <xf numFmtId="0" fontId="10" fillId="6" borderId="0" xfId="0" applyFont="1" applyFill="1"/>
    <xf numFmtId="164" fontId="9" fillId="6" borderId="0" xfId="1" applyNumberFormat="1" applyFont="1" applyFill="1"/>
    <xf numFmtId="0" fontId="10" fillId="7" borderId="0" xfId="0" applyFont="1" applyFill="1"/>
    <xf numFmtId="164" fontId="9" fillId="7" borderId="0" xfId="1" applyNumberFormat="1" applyFont="1" applyFill="1"/>
    <xf numFmtId="0" fontId="10" fillId="0" borderId="1" xfId="0" applyFont="1" applyBorder="1"/>
    <xf numFmtId="164" fontId="9" fillId="0" borderId="1" xfId="1" applyNumberFormat="1" applyFont="1" applyBorder="1"/>
    <xf numFmtId="4" fontId="9" fillId="0" borderId="1" xfId="0" applyNumberFormat="1" applyFont="1" applyBorder="1"/>
    <xf numFmtId="0" fontId="11" fillId="0" borderId="0" xfId="0" applyFont="1"/>
    <xf numFmtId="164" fontId="0" fillId="0" borderId="0" xfId="0" applyNumberFormat="1"/>
    <xf numFmtId="0" fontId="12" fillId="0" borderId="0" xfId="0" applyFont="1"/>
    <xf numFmtId="0" fontId="6" fillId="8" borderId="0" xfId="0" applyFont="1" applyFill="1"/>
    <xf numFmtId="164" fontId="6" fillId="8" borderId="0" xfId="1" applyNumberFormat="1" applyFont="1" applyFill="1"/>
    <xf numFmtId="164" fontId="6" fillId="0" borderId="0" xfId="1" applyNumberFormat="1" applyFont="1" applyFill="1"/>
    <xf numFmtId="0" fontId="13" fillId="0" borderId="0" xfId="0" applyFont="1"/>
    <xf numFmtId="0" fontId="6" fillId="0" borderId="0" xfId="0" applyFont="1"/>
    <xf numFmtId="164" fontId="0" fillId="0" borderId="0" xfId="1" applyNumberFormat="1" applyFont="1" applyFill="1"/>
    <xf numFmtId="0" fontId="0" fillId="9" borderId="0" xfId="0" applyFill="1"/>
    <xf numFmtId="164" fontId="6" fillId="9" borderId="0" xfId="1" applyNumberFormat="1" applyFont="1" applyFill="1"/>
    <xf numFmtId="164" fontId="0" fillId="9" borderId="0" xfId="1" applyNumberFormat="1" applyFont="1" applyFill="1"/>
    <xf numFmtId="0" fontId="6" fillId="0" borderId="0" xfId="1" applyNumberFormat="1" applyFont="1" applyFill="1"/>
    <xf numFmtId="164" fontId="0" fillId="10" borderId="0" xfId="1" applyNumberFormat="1" applyFont="1" applyFill="1"/>
    <xf numFmtId="0" fontId="0" fillId="0" borderId="0" xfId="1" applyNumberFormat="1" applyFont="1" applyFill="1"/>
    <xf numFmtId="0" fontId="6" fillId="0" borderId="2" xfId="0" applyFont="1" applyBorder="1"/>
    <xf numFmtId="0" fontId="0" fillId="0" borderId="3" xfId="0" applyBorder="1"/>
    <xf numFmtId="10" fontId="6" fillId="0" borderId="3" xfId="2" applyNumberFormat="1" applyFont="1" applyBorder="1"/>
    <xf numFmtId="10" fontId="6" fillId="0" borderId="4" xfId="2" applyNumberFormat="1" applyFont="1" applyBorder="1"/>
    <xf numFmtId="164" fontId="12" fillId="0" borderId="5" xfId="1" applyNumberFormat="1" applyFont="1" applyBorder="1"/>
    <xf numFmtId="4" fontId="12" fillId="0" borderId="6" xfId="0" applyNumberFormat="1" applyFont="1" applyBorder="1"/>
    <xf numFmtId="4" fontId="12" fillId="0" borderId="7" xfId="0" applyNumberFormat="1" applyFont="1" applyBorder="1"/>
    <xf numFmtId="164" fontId="12" fillId="0" borderId="8" xfId="1" applyNumberFormat="1" applyFont="1" applyBorder="1"/>
    <xf numFmtId="4" fontId="12" fillId="0" borderId="0" xfId="0" applyNumberFormat="1" applyFont="1"/>
    <xf numFmtId="4" fontId="12" fillId="0" borderId="9" xfId="0" applyNumberFormat="1" applyFont="1" applyBorder="1"/>
    <xf numFmtId="43" fontId="12" fillId="0" borderId="0" xfId="1" applyFont="1" applyBorder="1"/>
    <xf numFmtId="43" fontId="12" fillId="0" borderId="9" xfId="1" applyFont="1" applyBorder="1"/>
    <xf numFmtId="164" fontId="14" fillId="3" borderId="8" xfId="1" applyNumberFormat="1" applyFont="1" applyFill="1" applyBorder="1"/>
    <xf numFmtId="43" fontId="14" fillId="3" borderId="0" xfId="1" applyFont="1" applyFill="1" applyBorder="1"/>
    <xf numFmtId="43" fontId="14" fillId="3" borderId="9" xfId="1" applyFont="1" applyFill="1" applyBorder="1"/>
    <xf numFmtId="164" fontId="14" fillId="9" borderId="8" xfId="1" applyNumberFormat="1" applyFont="1" applyFill="1" applyBorder="1"/>
    <xf numFmtId="43" fontId="14" fillId="9" borderId="0" xfId="0" applyNumberFormat="1" applyFont="1" applyFill="1"/>
    <xf numFmtId="43" fontId="14" fillId="9" borderId="9" xfId="0" applyNumberFormat="1" applyFont="1" applyFill="1" applyBorder="1"/>
    <xf numFmtId="164" fontId="12" fillId="0" borderId="8" xfId="1" applyNumberFormat="1" applyFont="1" applyFill="1" applyBorder="1"/>
    <xf numFmtId="0" fontId="12" fillId="0" borderId="9" xfId="0" applyFont="1" applyBorder="1"/>
    <xf numFmtId="164" fontId="14" fillId="6" borderId="2" xfId="1" applyNumberFormat="1" applyFont="1" applyFill="1" applyBorder="1"/>
    <xf numFmtId="43" fontId="12" fillId="6" borderId="3" xfId="0" applyNumberFormat="1" applyFont="1" applyFill="1" applyBorder="1"/>
    <xf numFmtId="43" fontId="12" fillId="6" borderId="4" xfId="0" applyNumberFormat="1" applyFont="1" applyFill="1" applyBorder="1"/>
    <xf numFmtId="164" fontId="12" fillId="0" borderId="10" xfId="1" applyNumberFormat="1" applyFont="1" applyBorder="1"/>
    <xf numFmtId="164" fontId="14" fillId="7" borderId="2" xfId="1" applyNumberFormat="1" applyFont="1" applyFill="1" applyBorder="1"/>
    <xf numFmtId="43" fontId="12" fillId="7" borderId="3" xfId="0" applyNumberFormat="1" applyFont="1" applyFill="1" applyBorder="1"/>
    <xf numFmtId="43" fontId="12" fillId="7" borderId="4" xfId="0" applyNumberFormat="1" applyFont="1" applyFill="1" applyBorder="1"/>
    <xf numFmtId="4" fontId="12" fillId="0" borderId="5" xfId="0" applyNumberFormat="1" applyFont="1" applyBorder="1"/>
    <xf numFmtId="0" fontId="12" fillId="0" borderId="8" xfId="0" applyFont="1" applyBorder="1"/>
    <xf numFmtId="0" fontId="14" fillId="4" borderId="10" xfId="0" applyFont="1" applyFill="1" applyBorder="1"/>
    <xf numFmtId="4" fontId="12" fillId="4" borderId="1" xfId="0" applyNumberFormat="1" applyFont="1" applyFill="1" applyBorder="1"/>
    <xf numFmtId="4" fontId="12" fillId="4" borderId="11" xfId="0" applyNumberFormat="1" applyFont="1" applyFill="1" applyBorder="1"/>
    <xf numFmtId="0" fontId="14" fillId="0" borderId="0" xfId="0" applyFont="1"/>
    <xf numFmtId="4" fontId="14" fillId="0" borderId="0" xfId="0" applyNumberFormat="1" applyFont="1"/>
    <xf numFmtId="0" fontId="14" fillId="4" borderId="0" xfId="0" applyFont="1" applyFill="1"/>
    <xf numFmtId="0" fontId="12" fillId="4" borderId="0" xfId="0" applyFont="1" applyFill="1"/>
    <xf numFmtId="4" fontId="14" fillId="4" borderId="0" xfId="0" applyNumberFormat="1" applyFont="1" applyFill="1"/>
    <xf numFmtId="0" fontId="5" fillId="3" borderId="0" xfId="0" applyFont="1" applyFill="1"/>
    <xf numFmtId="0" fontId="0" fillId="3" borderId="0" xfId="0" applyFill="1"/>
    <xf numFmtId="0" fontId="0" fillId="11" borderId="0" xfId="0" applyFill="1"/>
    <xf numFmtId="4" fontId="0" fillId="11" borderId="0" xfId="0" applyNumberFormat="1" applyFill="1"/>
    <xf numFmtId="0" fontId="6" fillId="2" borderId="0" xfId="0" applyFont="1" applyFill="1"/>
    <xf numFmtId="4" fontId="6" fillId="2" borderId="0" xfId="0" applyNumberFormat="1" applyFont="1" applyFill="1"/>
    <xf numFmtId="4" fontId="6" fillId="0" borderId="0" xfId="0" applyNumberFormat="1" applyFont="1"/>
    <xf numFmtId="4" fontId="15" fillId="0" borderId="0" xfId="0" applyNumberFormat="1" applyFont="1"/>
    <xf numFmtId="0" fontId="15" fillId="0" borderId="0" xfId="0" applyFont="1"/>
    <xf numFmtId="10" fontId="15" fillId="0" borderId="0" xfId="0" applyNumberFormat="1" applyFont="1"/>
    <xf numFmtId="0" fontId="15" fillId="3" borderId="0" xfId="0" applyFont="1" applyFill="1"/>
    <xf numFmtId="0" fontId="14" fillId="7" borderId="0" xfId="0" applyFont="1" applyFill="1"/>
    <xf numFmtId="4" fontId="14" fillId="7" borderId="0" xfId="0" applyNumberFormat="1" applyFont="1" applyFill="1"/>
    <xf numFmtId="0" fontId="0" fillId="7" borderId="0" xfId="0" applyFill="1"/>
    <xf numFmtId="0" fontId="16" fillId="3" borderId="0" xfId="0" applyFont="1" applyFill="1"/>
    <xf numFmtId="0" fontId="17" fillId="12" borderId="0" xfId="0" applyFont="1" applyFill="1"/>
    <xf numFmtId="0" fontId="0" fillId="12" borderId="0" xfId="0" applyFill="1"/>
    <xf numFmtId="0" fontId="18" fillId="12" borderId="0" xfId="0" applyFont="1" applyFill="1"/>
    <xf numFmtId="0" fontId="19" fillId="0" borderId="0" xfId="0" applyFont="1" applyAlignment="1">
      <alignment horizontal="center"/>
    </xf>
    <xf numFmtId="0" fontId="0" fillId="0" borderId="0" xfId="0" applyAlignment="1">
      <alignment horizontal="center"/>
    </xf>
    <xf numFmtId="3" fontId="0" fillId="0" borderId="0" xfId="0" applyNumberFormat="1"/>
    <xf numFmtId="0" fontId="6" fillId="3" borderId="0" xfId="0" applyFont="1" applyFill="1" applyAlignment="1">
      <alignment horizontal="center"/>
    </xf>
    <xf numFmtId="0" fontId="6" fillId="0" borderId="0" xfId="0" applyFont="1" applyAlignment="1">
      <alignment horizontal="center"/>
    </xf>
    <xf numFmtId="0" fontId="19" fillId="9" borderId="0" xfId="0" applyFont="1" applyFill="1"/>
    <xf numFmtId="4" fontId="19" fillId="9" borderId="0" xfId="0" applyNumberFormat="1" applyFont="1" applyFill="1"/>
    <xf numFmtId="4" fontId="19" fillId="0" borderId="0" xfId="0" applyNumberFormat="1" applyFont="1"/>
    <xf numFmtId="0" fontId="6" fillId="0" borderId="0" xfId="0" applyFont="1" applyAlignment="1">
      <alignment horizontal="centerContinuous"/>
    </xf>
    <xf numFmtId="9" fontId="6" fillId="0" borderId="0" xfId="0" applyNumberFormat="1" applyFont="1" applyAlignment="1">
      <alignment horizontal="center"/>
    </xf>
    <xf numFmtId="4" fontId="0" fillId="9" borderId="0" xfId="0" applyNumberFormat="1" applyFill="1"/>
    <xf numFmtId="10" fontId="0" fillId="4" borderId="0" xfId="2" applyNumberFormat="1" applyFont="1" applyFill="1"/>
    <xf numFmtId="10" fontId="0" fillId="4" borderId="0" xfId="0" applyNumberFormat="1" applyFill="1"/>
    <xf numFmtId="0" fontId="19" fillId="0" borderId="0" xfId="0" applyFont="1"/>
    <xf numFmtId="0" fontId="0" fillId="8" borderId="0" xfId="0" applyFill="1"/>
    <xf numFmtId="0" fontId="6" fillId="9" borderId="0" xfId="0" applyFont="1" applyFill="1" applyAlignment="1">
      <alignment horizontal="center"/>
    </xf>
    <xf numFmtId="4" fontId="6" fillId="9" borderId="0" xfId="0" applyNumberFormat="1" applyFont="1" applyFill="1"/>
    <xf numFmtId="0" fontId="6" fillId="9" borderId="0" xfId="0" applyFont="1" applyFill="1"/>
    <xf numFmtId="0" fontId="6" fillId="6" borderId="0" xfId="0" applyFont="1" applyFill="1"/>
    <xf numFmtId="0" fontId="0" fillId="13" borderId="0" xfId="0" applyFill="1"/>
    <xf numFmtId="0" fontId="21" fillId="0" borderId="0" xfId="0" applyFont="1"/>
    <xf numFmtId="0" fontId="0" fillId="0" borderId="1" xfId="0" applyBorder="1"/>
    <xf numFmtId="0" fontId="6" fillId="13" borderId="0" xfId="0" applyFont="1" applyFill="1"/>
    <xf numFmtId="0" fontId="0" fillId="0" borderId="0" xfId="0" applyAlignment="1">
      <alignment horizontal="left" indent="2"/>
    </xf>
    <xf numFmtId="0" fontId="0" fillId="0" borderId="0" xfId="0" applyAlignment="1">
      <alignment horizontal="left" indent="1"/>
    </xf>
    <xf numFmtId="0" fontId="0" fillId="0" borderId="1" xfId="0" applyBorder="1" applyAlignment="1">
      <alignment horizontal="left" indent="2"/>
    </xf>
    <xf numFmtId="0" fontId="0" fillId="0" borderId="1" xfId="0" applyBorder="1" applyAlignment="1">
      <alignment horizontal="left" indent="1"/>
    </xf>
    <xf numFmtId="0" fontId="0" fillId="0" borderId="0" xfId="0" applyAlignment="1">
      <alignment horizontal="right"/>
    </xf>
    <xf numFmtId="0" fontId="19" fillId="13" borderId="0" xfId="0" applyFont="1" applyFill="1"/>
    <xf numFmtId="0" fontId="22" fillId="0" borderId="0" xfId="0" applyFont="1"/>
    <xf numFmtId="0" fontId="0" fillId="6" borderId="0" xfId="0" applyFill="1"/>
    <xf numFmtId="9" fontId="0" fillId="6" borderId="0" xfId="0" applyNumberFormat="1" applyFill="1"/>
    <xf numFmtId="0" fontId="23" fillId="0" borderId="0" xfId="0" applyFont="1"/>
    <xf numFmtId="0" fontId="6" fillId="14" borderId="0" xfId="0" applyFont="1" applyFill="1"/>
    <xf numFmtId="0" fontId="0" fillId="0" borderId="12" xfId="0" applyBorder="1"/>
    <xf numFmtId="0" fontId="0" fillId="0" borderId="13" xfId="0" applyBorder="1"/>
    <xf numFmtId="0" fontId="0" fillId="0" borderId="14" xfId="0" applyBorder="1"/>
    <xf numFmtId="0" fontId="6" fillId="0" borderId="15" xfId="0" applyFont="1" applyBorder="1"/>
    <xf numFmtId="0" fontId="6" fillId="6" borderId="16" xfId="0" applyFont="1" applyFill="1" applyBorder="1"/>
    <xf numFmtId="0" fontId="6" fillId="0" borderId="17" xfId="0" applyFont="1" applyBorder="1"/>
    <xf numFmtId="0" fontId="6" fillId="0" borderId="18" xfId="0" applyFont="1" applyBorder="1"/>
    <xf numFmtId="0" fontId="6" fillId="3" borderId="18" xfId="0" applyFont="1" applyFill="1" applyBorder="1"/>
    <xf numFmtId="0" fontId="6" fillId="6" borderId="19" xfId="0" applyFont="1" applyFill="1" applyBorder="1"/>
    <xf numFmtId="0" fontId="6" fillId="0" borderId="12" xfId="0" applyFont="1" applyBorder="1"/>
    <xf numFmtId="0" fontId="0" fillId="0" borderId="15" xfId="0" applyBorder="1"/>
    <xf numFmtId="10" fontId="0" fillId="3" borderId="16" xfId="0" applyNumberFormat="1" applyFill="1" applyBorder="1"/>
    <xf numFmtId="4" fontId="0" fillId="0" borderId="16" xfId="0" applyNumberFormat="1" applyBorder="1"/>
    <xf numFmtId="0" fontId="19" fillId="8" borderId="17" xfId="0" applyFont="1" applyFill="1" applyBorder="1"/>
    <xf numFmtId="10" fontId="19" fillId="8" borderId="19" xfId="2" applyNumberFormat="1" applyFont="1" applyFill="1" applyBorder="1"/>
    <xf numFmtId="0" fontId="6" fillId="0" borderId="0" xfId="0" applyFont="1" applyAlignment="1">
      <alignment horizontal="right"/>
    </xf>
    <xf numFmtId="9" fontId="0" fillId="15" borderId="0" xfId="0" applyNumberFormat="1" applyFill="1"/>
    <xf numFmtId="0" fontId="19" fillId="14" borderId="0" xfId="0" applyFont="1" applyFill="1" applyAlignment="1">
      <alignment horizontal="center"/>
    </xf>
    <xf numFmtId="0" fontId="24" fillId="0" borderId="0" xfId="0" applyFont="1"/>
    <xf numFmtId="164" fontId="0" fillId="15" borderId="0" xfId="1" applyNumberFormat="1" applyFont="1" applyFill="1"/>
    <xf numFmtId="9" fontId="6" fillId="9" borderId="0" xfId="2" applyFont="1" applyFill="1"/>
    <xf numFmtId="0" fontId="6" fillId="16" borderId="0" xfId="0" applyFont="1" applyFill="1"/>
    <xf numFmtId="9" fontId="6" fillId="16" borderId="0" xfId="2" applyFont="1" applyFill="1"/>
    <xf numFmtId="0" fontId="25" fillId="0" borderId="0" xfId="0" applyFont="1"/>
    <xf numFmtId="0" fontId="6" fillId="15" borderId="0" xfId="0" applyFont="1" applyFill="1" applyAlignment="1">
      <alignment horizontal="center"/>
    </xf>
    <xf numFmtId="9" fontId="6" fillId="15" borderId="0" xfId="2" applyFont="1" applyFill="1" applyAlignment="1">
      <alignment horizontal="center"/>
    </xf>
    <xf numFmtId="0" fontId="6" fillId="17" borderId="0" xfId="0" applyFont="1" applyFill="1"/>
    <xf numFmtId="9" fontId="6" fillId="17" borderId="0" xfId="2" applyFont="1" applyFill="1" applyAlignment="1">
      <alignment horizontal="center"/>
    </xf>
    <xf numFmtId="0" fontId="6" fillId="18" borderId="0" xfId="0" applyFont="1" applyFill="1"/>
    <xf numFmtId="9" fontId="6" fillId="18" borderId="0" xfId="2" applyFont="1" applyFill="1" applyAlignment="1">
      <alignment horizontal="center"/>
    </xf>
    <xf numFmtId="164" fontId="9" fillId="3" borderId="0" xfId="1" applyNumberFormat="1" applyFont="1" applyFill="1"/>
    <xf numFmtId="164" fontId="2" fillId="3" borderId="0" xfId="1" applyNumberFormat="1" applyFont="1" applyFill="1"/>
    <xf numFmtId="0" fontId="29" fillId="0" borderId="5" xfId="0" applyFont="1" applyBorder="1" applyAlignment="1">
      <alignment horizontal="left" vertical="center" indent="1"/>
    </xf>
    <xf numFmtId="0" fontId="0" fillId="0" borderId="6" xfId="0" applyBorder="1"/>
    <xf numFmtId="2" fontId="0" fillId="0" borderId="6" xfId="0" applyNumberFormat="1" applyBorder="1" applyAlignment="1">
      <alignment horizontal="right"/>
    </xf>
    <xf numFmtId="2" fontId="0" fillId="0" borderId="7" xfId="0" applyNumberFormat="1" applyBorder="1" applyAlignment="1">
      <alignment horizontal="right"/>
    </xf>
    <xf numFmtId="0" fontId="30" fillId="0" borderId="8" xfId="0" applyFont="1" applyBorder="1" applyAlignment="1">
      <alignment horizontal="left" vertical="center" indent="2"/>
    </xf>
    <xf numFmtId="2" fontId="0" fillId="0" borderId="0" xfId="0" applyNumberFormat="1" applyAlignment="1">
      <alignment horizontal="right"/>
    </xf>
    <xf numFmtId="2" fontId="0" fillId="0" borderId="9" xfId="0" applyNumberFormat="1" applyBorder="1" applyAlignment="1">
      <alignment horizontal="right"/>
    </xf>
    <xf numFmtId="0" fontId="30" fillId="0" borderId="8" xfId="0" applyFont="1" applyBorder="1" applyAlignment="1">
      <alignment horizontal="left" vertical="center" indent="1"/>
    </xf>
    <xf numFmtId="0" fontId="29" fillId="0" borderId="8" xfId="0" applyFont="1" applyBorder="1" applyAlignment="1">
      <alignment horizontal="left" vertical="center" indent="2"/>
    </xf>
    <xf numFmtId="0" fontId="12" fillId="4" borderId="1" xfId="0" applyFont="1" applyFill="1" applyBorder="1"/>
    <xf numFmtId="4" fontId="14" fillId="4" borderId="1" xfId="0" applyNumberFormat="1" applyFont="1" applyFill="1" applyBorder="1"/>
    <xf numFmtId="4" fontId="14" fillId="4" borderId="11" xfId="0" applyNumberFormat="1" applyFont="1" applyFill="1" applyBorder="1"/>
    <xf numFmtId="0" fontId="31" fillId="0" borderId="21" xfId="0" applyFont="1" applyBorder="1" applyAlignment="1">
      <alignment horizontal="left" vertical="center"/>
    </xf>
    <xf numFmtId="0" fontId="32" fillId="20" borderId="20" xfId="0" applyFont="1" applyFill="1" applyBorder="1" applyAlignment="1">
      <alignment horizontal="center" vertical="center"/>
    </xf>
    <xf numFmtId="0" fontId="31" fillId="0" borderId="22" xfId="0" applyFont="1" applyBorder="1" applyAlignment="1">
      <alignment horizontal="left" vertical="center"/>
    </xf>
    <xf numFmtId="4" fontId="33" fillId="20" borderId="19" xfId="0" applyNumberFormat="1" applyFont="1" applyFill="1" applyBorder="1" applyAlignment="1">
      <alignment horizontal="right" vertical="center"/>
    </xf>
    <xf numFmtId="0" fontId="34" fillId="0" borderId="0" xfId="0" applyFont="1" applyAlignment="1">
      <alignment horizontal="right"/>
    </xf>
    <xf numFmtId="0" fontId="35" fillId="0" borderId="22" xfId="0" applyFont="1" applyBorder="1" applyAlignment="1">
      <alignment horizontal="left" vertical="center"/>
    </xf>
    <xf numFmtId="4" fontId="35" fillId="20" borderId="19" xfId="0" applyNumberFormat="1" applyFont="1" applyFill="1" applyBorder="1" applyAlignment="1">
      <alignment horizontal="right" vertical="center"/>
    </xf>
    <xf numFmtId="0" fontId="3" fillId="0" borderId="22" xfId="0" applyFont="1" applyBorder="1" applyAlignment="1">
      <alignment horizontal="left" vertical="center"/>
    </xf>
    <xf numFmtId="4" fontId="32" fillId="20" borderId="19" xfId="0" applyNumberFormat="1" applyFont="1" applyFill="1" applyBorder="1" applyAlignment="1">
      <alignment horizontal="right" vertical="center"/>
    </xf>
    <xf numFmtId="0" fontId="37" fillId="0" borderId="22" xfId="0" applyFont="1" applyBorder="1" applyAlignment="1">
      <alignment horizontal="left" vertical="center"/>
    </xf>
    <xf numFmtId="4" fontId="37" fillId="20" borderId="19" xfId="0" applyNumberFormat="1" applyFont="1" applyFill="1" applyBorder="1" applyAlignment="1">
      <alignment horizontal="right" vertical="center"/>
    </xf>
    <xf numFmtId="0" fontId="38" fillId="0" borderId="22" xfId="0" applyFont="1" applyBorder="1" applyAlignment="1">
      <alignment horizontal="left" vertical="center"/>
    </xf>
    <xf numFmtId="4" fontId="38" fillId="20" borderId="19" xfId="0" applyNumberFormat="1" applyFont="1" applyFill="1" applyBorder="1" applyAlignment="1">
      <alignment horizontal="right" vertical="center"/>
    </xf>
    <xf numFmtId="0" fontId="39" fillId="0" borderId="18" xfId="0" applyFont="1" applyBorder="1"/>
    <xf numFmtId="4" fontId="33" fillId="20" borderId="18" xfId="0" applyNumberFormat="1" applyFont="1" applyFill="1" applyBorder="1" applyAlignment="1">
      <alignment horizontal="left" vertical="center"/>
    </xf>
    <xf numFmtId="0" fontId="29" fillId="0" borderId="22" xfId="0" applyFont="1" applyBorder="1" applyAlignment="1">
      <alignment horizontal="left" vertical="center"/>
    </xf>
    <xf numFmtId="4" fontId="29" fillId="20" borderId="19" xfId="0" applyNumberFormat="1" applyFont="1" applyFill="1" applyBorder="1" applyAlignment="1">
      <alignment horizontal="right" vertical="center"/>
    </xf>
    <xf numFmtId="0" fontId="36" fillId="0" borderId="0" xfId="0" applyFont="1" applyAlignment="1">
      <alignment horizontal="right"/>
    </xf>
    <xf numFmtId="0" fontId="40" fillId="0" borderId="22" xfId="0" applyFont="1" applyBorder="1" applyAlignment="1">
      <alignment horizontal="left" vertical="center"/>
    </xf>
    <xf numFmtId="4" fontId="40" fillId="20" borderId="19" xfId="0" applyNumberFormat="1" applyFont="1" applyFill="1" applyBorder="1" applyAlignment="1">
      <alignment horizontal="right" vertical="center"/>
    </xf>
    <xf numFmtId="4" fontId="41" fillId="20" borderId="19" xfId="0" applyNumberFormat="1" applyFont="1" applyFill="1" applyBorder="1" applyAlignment="1">
      <alignment horizontal="right" vertical="center"/>
    </xf>
    <xf numFmtId="0" fontId="42" fillId="0" borderId="0" xfId="0" applyFont="1" applyAlignment="1">
      <alignment horizontal="right"/>
    </xf>
    <xf numFmtId="0" fontId="42" fillId="0" borderId="0" xfId="0" applyFont="1"/>
    <xf numFmtId="0" fontId="43" fillId="0" borderId="0" xfId="0" applyFont="1"/>
    <xf numFmtId="10" fontId="43" fillId="0" borderId="0" xfId="0" applyNumberFormat="1" applyFont="1"/>
    <xf numFmtId="10" fontId="0" fillId="0" borderId="0" xfId="2" applyNumberFormat="1" applyFont="1"/>
    <xf numFmtId="0" fontId="44" fillId="0" borderId="0" xfId="0" applyFont="1" applyAlignment="1">
      <alignment horizontal="right"/>
    </xf>
    <xf numFmtId="0" fontId="45" fillId="0" borderId="0" xfId="0" applyFont="1"/>
    <xf numFmtId="10" fontId="45" fillId="0" borderId="0" xfId="2" applyNumberFormat="1" applyFont="1" applyFill="1"/>
    <xf numFmtId="0" fontId="46" fillId="0" borderId="0" xfId="0" applyFont="1" applyAlignment="1">
      <alignment horizontal="right"/>
    </xf>
    <xf numFmtId="2" fontId="0" fillId="0" borderId="0" xfId="0" applyNumberFormat="1"/>
    <xf numFmtId="0" fontId="46" fillId="0" borderId="0" xfId="0" applyFont="1" applyAlignment="1">
      <alignment vertical="center"/>
    </xf>
    <xf numFmtId="0" fontId="46" fillId="0" borderId="0" xfId="0" applyFont="1"/>
    <xf numFmtId="0" fontId="44" fillId="0" borderId="0" xfId="0" applyFont="1" applyAlignment="1">
      <alignment horizontal="right" vertical="center"/>
    </xf>
    <xf numFmtId="0" fontId="47" fillId="0" borderId="0" xfId="0" applyFont="1"/>
    <xf numFmtId="2" fontId="47" fillId="0" borderId="0" xfId="0" applyNumberFormat="1" applyFont="1"/>
    <xf numFmtId="10" fontId="47" fillId="0" borderId="0" xfId="2" applyNumberFormat="1" applyFont="1"/>
    <xf numFmtId="0" fontId="46" fillId="0" borderId="0" xfId="0" applyFont="1" applyAlignment="1">
      <alignment horizontal="center"/>
    </xf>
    <xf numFmtId="2" fontId="45" fillId="0" borderId="0" xfId="2" applyNumberFormat="1" applyFont="1"/>
    <xf numFmtId="0" fontId="28" fillId="0" borderId="0" xfId="0" applyFont="1" applyAlignment="1">
      <alignment horizontal="center"/>
    </xf>
    <xf numFmtId="0" fontId="28" fillId="0" borderId="0" xfId="0" applyFont="1" applyAlignment="1">
      <alignment horizontal="right"/>
    </xf>
    <xf numFmtId="165" fontId="0" fillId="21" borderId="0" xfId="0" applyNumberFormat="1" applyFill="1"/>
    <xf numFmtId="165" fontId="0" fillId="22" borderId="0" xfId="0" applyNumberFormat="1" applyFill="1"/>
    <xf numFmtId="0" fontId="0" fillId="0" borderId="0" xfId="0" applyAlignment="1">
      <alignment horizontal="left" vertical="center" wrapText="1"/>
    </xf>
    <xf numFmtId="0" fontId="36" fillId="0" borderId="16" xfId="0" applyFont="1" applyBorder="1" applyAlignment="1">
      <alignment horizontal="center" vertical="center" wrapText="1"/>
    </xf>
    <xf numFmtId="0" fontId="46" fillId="0" borderId="0" xfId="0" applyFont="1" applyAlignment="1">
      <alignment horizontal="center" vertical="center"/>
    </xf>
    <xf numFmtId="9" fontId="0" fillId="3" borderId="0" xfId="0" applyNumberFormat="1" applyFill="1"/>
    <xf numFmtId="0" fontId="0" fillId="0" borderId="0" xfId="0"/>
    <xf numFmtId="2" fontId="0" fillId="0" borderId="0" xfId="0" applyNumberFormat="1"/>
    <xf numFmtId="4" fontId="0" fillId="0" borderId="0" xfId="0" applyNumberFormat="1"/>
    <xf numFmtId="0" fontId="0" fillId="10" borderId="0" xfId="0" applyFill="1"/>
    <xf numFmtId="0" fontId="3" fillId="0" borderId="0" xfId="0" applyFont="1" applyAlignment="1">
      <alignment horizontal="center"/>
    </xf>
    <xf numFmtId="10" fontId="0" fillId="0" borderId="0" xfId="0" applyNumberFormat="1"/>
    <xf numFmtId="4" fontId="0" fillId="21" borderId="0" xfId="0" applyNumberFormat="1" applyFill="1"/>
    <xf numFmtId="10" fontId="0" fillId="19" borderId="0" xfId="0" applyNumberFormat="1" applyFill="1"/>
    <xf numFmtId="10" fontId="0" fillId="21" borderId="0" xfId="0" applyNumberFormat="1" applyFill="1"/>
    <xf numFmtId="9" fontId="0" fillId="0" borderId="0" xfId="0" applyNumberFormat="1"/>
    <xf numFmtId="0" fontId="3" fillId="0" borderId="0" xfId="0" applyFont="1"/>
    <xf numFmtId="0" fontId="48" fillId="0" borderId="0" xfId="0" applyFont="1"/>
    <xf numFmtId="10" fontId="0" fillId="0" borderId="0" xfId="2" applyNumberFormat="1" applyFont="1" applyFill="1"/>
    <xf numFmtId="43" fontId="0" fillId="0" borderId="0" xfId="1" applyFont="1" applyAlignment="1">
      <alignment horizontal="right"/>
    </xf>
    <xf numFmtId="0" fontId="0" fillId="19" borderId="0" xfId="0" applyFill="1"/>
    <xf numFmtId="0" fontId="3" fillId="22" borderId="0" xfId="0" applyFont="1" applyFill="1" applyAlignment="1">
      <alignment horizontal="center"/>
    </xf>
    <xf numFmtId="0" fontId="0" fillId="22" borderId="0" xfId="0" applyFill="1"/>
    <xf numFmtId="10" fontId="0" fillId="22" borderId="0" xfId="0" applyNumberFormat="1" applyFill="1"/>
    <xf numFmtId="10" fontId="0" fillId="10" borderId="0" xfId="0" applyNumberFormat="1" applyFill="1"/>
    <xf numFmtId="10" fontId="3" fillId="0" borderId="0" xfId="0" applyNumberFormat="1" applyFont="1"/>
    <xf numFmtId="10" fontId="0" fillId="19" borderId="0" xfId="2" applyNumberFormat="1" applyFont="1" applyFill="1"/>
    <xf numFmtId="4" fontId="0" fillId="19" borderId="0" xfId="0" applyNumberFormat="1" applyFill="1"/>
    <xf numFmtId="43" fontId="0" fillId="19" borderId="0" xfId="1" applyFont="1" applyFill="1"/>
    <xf numFmtId="0" fontId="0" fillId="23" borderId="0" xfId="0" applyFill="1"/>
  </cellXfs>
  <cellStyles count="6">
    <cellStyle name="Comma" xfId="1" builtinId="3"/>
    <cellStyle name="Normal" xfId="0" builtinId="0"/>
    <cellStyle name="Normal 2" xfId="4" xr:uid="{D31C90AC-8821-4596-BD62-B3CFF1B883D4}"/>
    <cellStyle name="Normál 2" xfId="3" xr:uid="{A3F0FF16-1EB1-4DF4-B96F-5D908D167209}"/>
    <cellStyle name="Percent" xfId="2" builtinId="5"/>
    <cellStyle name="Percent 2" xfId="5" xr:uid="{6CCACC98-1597-4762-AB56-EF675A6F65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402404</xdr:colOff>
      <xdr:row>30</xdr:row>
      <xdr:rowOff>119865</xdr:rowOff>
    </xdr:from>
    <xdr:to>
      <xdr:col>11</xdr:col>
      <xdr:colOff>2563456</xdr:colOff>
      <xdr:row>32</xdr:row>
      <xdr:rowOff>23298</xdr:rowOff>
    </xdr:to>
    <xdr:pic>
      <xdr:nvPicPr>
        <xdr:cNvPr id="2" name="Picture 1">
          <a:extLst>
            <a:ext uri="{FF2B5EF4-FFF2-40B4-BE49-F238E27FC236}">
              <a16:creationId xmlns:a16="http://schemas.microsoft.com/office/drawing/2014/main" id="{57BA5EFD-FB73-4939-9247-71B33701D829}"/>
            </a:ext>
          </a:extLst>
        </xdr:cNvPr>
        <xdr:cNvPicPr>
          <a:picLocks noChangeAspect="1"/>
        </xdr:cNvPicPr>
      </xdr:nvPicPr>
      <xdr:blipFill>
        <a:blip xmlns:r="http://schemas.openxmlformats.org/officeDocument/2006/relationships" r:embed="rId1"/>
        <a:stretch>
          <a:fillRect/>
        </a:stretch>
      </xdr:blipFill>
      <xdr:spPr>
        <a:xfrm>
          <a:off x="12662984" y="6063465"/>
          <a:ext cx="2603012" cy="253953"/>
        </a:xfrm>
        <a:prstGeom prst="rect">
          <a:avLst/>
        </a:prstGeom>
      </xdr:spPr>
    </xdr:pic>
    <xdr:clientData/>
  </xdr:twoCellAnchor>
  <xdr:twoCellAnchor editAs="oneCell">
    <xdr:from>
      <xdr:col>10</xdr:col>
      <xdr:colOff>443593</xdr:colOff>
      <xdr:row>28</xdr:row>
      <xdr:rowOff>94525</xdr:rowOff>
    </xdr:from>
    <xdr:to>
      <xdr:col>11</xdr:col>
      <xdr:colOff>1568235</xdr:colOff>
      <xdr:row>30</xdr:row>
      <xdr:rowOff>84259</xdr:rowOff>
    </xdr:to>
    <xdr:pic>
      <xdr:nvPicPr>
        <xdr:cNvPr id="3" name="Picture 2">
          <a:extLst>
            <a:ext uri="{FF2B5EF4-FFF2-40B4-BE49-F238E27FC236}">
              <a16:creationId xmlns:a16="http://schemas.microsoft.com/office/drawing/2014/main" id="{99B7FEC9-16CC-4D47-BF5F-57EC6F8E75E1}"/>
            </a:ext>
          </a:extLst>
        </xdr:cNvPr>
        <xdr:cNvPicPr>
          <a:picLocks noChangeAspect="1"/>
        </xdr:cNvPicPr>
      </xdr:nvPicPr>
      <xdr:blipFill>
        <a:blip xmlns:r="http://schemas.openxmlformats.org/officeDocument/2006/relationships" r:embed="rId2"/>
        <a:stretch>
          <a:fillRect/>
        </a:stretch>
      </xdr:blipFill>
      <xdr:spPr>
        <a:xfrm>
          <a:off x="12704173" y="5641885"/>
          <a:ext cx="1566602" cy="355494"/>
        </a:xfrm>
        <a:prstGeom prst="rect">
          <a:avLst/>
        </a:prstGeom>
      </xdr:spPr>
    </xdr:pic>
    <xdr:clientData/>
  </xdr:twoCellAnchor>
  <xdr:twoCellAnchor editAs="oneCell">
    <xdr:from>
      <xdr:col>11</xdr:col>
      <xdr:colOff>1851</xdr:colOff>
      <xdr:row>26</xdr:row>
      <xdr:rowOff>142028</xdr:rowOff>
    </xdr:from>
    <xdr:to>
      <xdr:col>11</xdr:col>
      <xdr:colOff>1183053</xdr:colOff>
      <xdr:row>28</xdr:row>
      <xdr:rowOff>126657</xdr:rowOff>
    </xdr:to>
    <xdr:pic>
      <xdr:nvPicPr>
        <xdr:cNvPr id="4" name="Picture 3">
          <a:extLst>
            <a:ext uri="{FF2B5EF4-FFF2-40B4-BE49-F238E27FC236}">
              <a16:creationId xmlns:a16="http://schemas.microsoft.com/office/drawing/2014/main" id="{0972825C-3066-4908-956D-A85518DB9AE6}"/>
            </a:ext>
          </a:extLst>
        </xdr:cNvPr>
        <xdr:cNvPicPr>
          <a:picLocks noChangeAspect="1"/>
        </xdr:cNvPicPr>
      </xdr:nvPicPr>
      <xdr:blipFill rotWithShape="1">
        <a:blip xmlns:r="http://schemas.openxmlformats.org/officeDocument/2006/relationships" r:embed="rId3"/>
        <a:srcRect t="9238"/>
        <a:stretch/>
      </xdr:blipFill>
      <xdr:spPr>
        <a:xfrm>
          <a:off x="12704391" y="5293148"/>
          <a:ext cx="1181202" cy="350389"/>
        </a:xfrm>
        <a:prstGeom prst="rect">
          <a:avLst/>
        </a:prstGeom>
      </xdr:spPr>
    </xdr:pic>
    <xdr:clientData/>
  </xdr:twoCellAnchor>
  <xdr:twoCellAnchor editAs="oneCell">
    <xdr:from>
      <xdr:col>10</xdr:col>
      <xdr:colOff>403994</xdr:colOff>
      <xdr:row>24</xdr:row>
      <xdr:rowOff>118213</xdr:rowOff>
    </xdr:from>
    <xdr:to>
      <xdr:col>11</xdr:col>
      <xdr:colOff>1620084</xdr:colOff>
      <xdr:row>26</xdr:row>
      <xdr:rowOff>106380</xdr:rowOff>
    </xdr:to>
    <xdr:pic>
      <xdr:nvPicPr>
        <xdr:cNvPr id="5" name="Picture 4">
          <a:extLst>
            <a:ext uri="{FF2B5EF4-FFF2-40B4-BE49-F238E27FC236}">
              <a16:creationId xmlns:a16="http://schemas.microsoft.com/office/drawing/2014/main" id="{CD9CA34C-CF53-42A6-A032-D7FFEB055631}"/>
            </a:ext>
          </a:extLst>
        </xdr:cNvPr>
        <xdr:cNvPicPr>
          <a:picLocks noChangeAspect="1"/>
        </xdr:cNvPicPr>
      </xdr:nvPicPr>
      <xdr:blipFill>
        <a:blip xmlns:r="http://schemas.openxmlformats.org/officeDocument/2006/relationships" r:embed="rId4"/>
        <a:stretch>
          <a:fillRect/>
        </a:stretch>
      </xdr:blipFill>
      <xdr:spPr>
        <a:xfrm>
          <a:off x="12664574" y="4873093"/>
          <a:ext cx="1658050" cy="353927"/>
        </a:xfrm>
        <a:prstGeom prst="rect">
          <a:avLst/>
        </a:prstGeom>
      </xdr:spPr>
    </xdr:pic>
    <xdr:clientData/>
  </xdr:twoCellAnchor>
  <xdr:twoCellAnchor editAs="oneCell">
    <xdr:from>
      <xdr:col>11</xdr:col>
      <xdr:colOff>1623744</xdr:colOff>
      <xdr:row>28</xdr:row>
      <xdr:rowOff>16329</xdr:rowOff>
    </xdr:from>
    <xdr:to>
      <xdr:col>11</xdr:col>
      <xdr:colOff>2663697</xdr:colOff>
      <xdr:row>29</xdr:row>
      <xdr:rowOff>177786</xdr:rowOff>
    </xdr:to>
    <xdr:pic>
      <xdr:nvPicPr>
        <xdr:cNvPr id="6" name="Picture 5">
          <a:extLst>
            <a:ext uri="{FF2B5EF4-FFF2-40B4-BE49-F238E27FC236}">
              <a16:creationId xmlns:a16="http://schemas.microsoft.com/office/drawing/2014/main" id="{C74E31E0-6F0D-4A8C-B3E3-641FA3C33924}"/>
            </a:ext>
          </a:extLst>
        </xdr:cNvPr>
        <xdr:cNvPicPr>
          <a:picLocks noChangeAspect="1"/>
        </xdr:cNvPicPr>
      </xdr:nvPicPr>
      <xdr:blipFill>
        <a:blip xmlns:r="http://schemas.openxmlformats.org/officeDocument/2006/relationships" r:embed="rId5"/>
        <a:stretch>
          <a:fillRect/>
        </a:stretch>
      </xdr:blipFill>
      <xdr:spPr>
        <a:xfrm>
          <a:off x="14326284" y="5563689"/>
          <a:ext cx="1039953" cy="344337"/>
        </a:xfrm>
        <a:prstGeom prst="rect">
          <a:avLst/>
        </a:prstGeom>
      </xdr:spPr>
    </xdr:pic>
    <xdr:clientData/>
  </xdr:twoCellAnchor>
  <xdr:twoCellAnchor editAs="oneCell">
    <xdr:from>
      <xdr:col>11</xdr:col>
      <xdr:colOff>1300967</xdr:colOff>
      <xdr:row>26</xdr:row>
      <xdr:rowOff>114302</xdr:rowOff>
    </xdr:from>
    <xdr:to>
      <xdr:col>11</xdr:col>
      <xdr:colOff>2288909</xdr:colOff>
      <xdr:row>28</xdr:row>
      <xdr:rowOff>68684</xdr:rowOff>
    </xdr:to>
    <xdr:pic>
      <xdr:nvPicPr>
        <xdr:cNvPr id="7" name="Picture 6">
          <a:extLst>
            <a:ext uri="{FF2B5EF4-FFF2-40B4-BE49-F238E27FC236}">
              <a16:creationId xmlns:a16="http://schemas.microsoft.com/office/drawing/2014/main" id="{61406BC9-902F-4A0D-98FA-A980CE6031D3}"/>
            </a:ext>
          </a:extLst>
        </xdr:cNvPr>
        <xdr:cNvPicPr>
          <a:picLocks noChangeAspect="1"/>
        </xdr:cNvPicPr>
      </xdr:nvPicPr>
      <xdr:blipFill>
        <a:blip xmlns:r="http://schemas.openxmlformats.org/officeDocument/2006/relationships" r:embed="rId6"/>
        <a:stretch>
          <a:fillRect/>
        </a:stretch>
      </xdr:blipFill>
      <xdr:spPr>
        <a:xfrm>
          <a:off x="14003507" y="5265422"/>
          <a:ext cx="987942" cy="3201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9524</xdr:colOff>
      <xdr:row>2</xdr:row>
      <xdr:rowOff>38100</xdr:rowOff>
    </xdr:from>
    <xdr:to>
      <xdr:col>7</xdr:col>
      <xdr:colOff>285750</xdr:colOff>
      <xdr:row>7</xdr:row>
      <xdr:rowOff>114300</xdr:rowOff>
    </xdr:to>
    <xdr:sp macro="" textlink="">
      <xdr:nvSpPr>
        <xdr:cNvPr id="2" name="Szövegdoboz 1">
          <a:extLst>
            <a:ext uri="{FF2B5EF4-FFF2-40B4-BE49-F238E27FC236}">
              <a16:creationId xmlns:a16="http://schemas.microsoft.com/office/drawing/2014/main" id="{F8E74532-3943-4D78-91D0-3B36E66F4958}"/>
            </a:ext>
          </a:extLst>
        </xdr:cNvPr>
        <xdr:cNvSpPr txBox="1"/>
      </xdr:nvSpPr>
      <xdr:spPr>
        <a:xfrm>
          <a:off x="939164" y="2247900"/>
          <a:ext cx="8665846"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Calculate and</a:t>
          </a:r>
          <a:r>
            <a:rPr lang="hu-HU" sz="1400" b="0">
              <a:solidFill>
                <a:srgbClr val="FF0000"/>
              </a:solidFill>
              <a:latin typeface="Times New Roman" panose="02020603050405020304" pitchFamily="18" charset="0"/>
              <a:cs typeface="Times New Roman" panose="02020603050405020304" pitchFamily="18" charset="0"/>
            </a:rPr>
            <a:t> </a:t>
          </a:r>
          <a:r>
            <a:rPr lang="hu-HU" sz="1400" b="0">
              <a:solidFill>
                <a:sysClr val="windowText" lastClr="000000"/>
              </a:solidFill>
              <a:latin typeface="Times New Roman" panose="02020603050405020304" pitchFamily="18" charset="0"/>
              <a:cs typeface="Times New Roman" panose="02020603050405020304" pitchFamily="18" charset="0"/>
            </a:rPr>
            <a:t>interpret</a:t>
          </a:r>
          <a:r>
            <a:rPr lang="hu-HU" sz="1400" b="0">
              <a:solidFill>
                <a:srgbClr val="FF0000"/>
              </a:solidFill>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following ratios based on the data provided for a manufacturing firm. 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8</xdr:col>
      <xdr:colOff>9524</xdr:colOff>
      <xdr:row>9</xdr:row>
      <xdr:rowOff>19050</xdr:rowOff>
    </xdr:from>
    <xdr:to>
      <xdr:col>18</xdr:col>
      <xdr:colOff>523875</xdr:colOff>
      <xdr:row>27</xdr:row>
      <xdr:rowOff>47625</xdr:rowOff>
    </xdr:to>
    <xdr:sp macro="" textlink="">
      <xdr:nvSpPr>
        <xdr:cNvPr id="3" name="Szövegdoboz 2">
          <a:extLst>
            <a:ext uri="{FF2B5EF4-FFF2-40B4-BE49-F238E27FC236}">
              <a16:creationId xmlns:a16="http://schemas.microsoft.com/office/drawing/2014/main" id="{06035450-9D17-4865-AF5E-9748A0F86D00}"/>
            </a:ext>
          </a:extLst>
        </xdr:cNvPr>
        <xdr:cNvSpPr txBox="1"/>
      </xdr:nvSpPr>
      <xdr:spPr>
        <a:xfrm>
          <a:off x="9938384" y="3516630"/>
          <a:ext cx="6610351" cy="3731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List your assumptions and present your interpretation here.</a:t>
          </a:r>
          <a:endParaRPr lang="en-US" sz="1400" b="0">
            <a:latin typeface="Times New Roman" panose="02020603050405020304" pitchFamily="18" charset="0"/>
            <a:cs typeface="Times New Roman" panose="02020603050405020304" pitchFamily="18" charset="0"/>
          </a:endParaRPr>
        </a:p>
        <a:p>
          <a:endParaRPr lang="en-US" sz="1400" b="0">
            <a:latin typeface="Times New Roman" panose="02020603050405020304" pitchFamily="18" charset="0"/>
            <a:cs typeface="Times New Roman" panose="02020603050405020304" pitchFamily="18" charset="0"/>
          </a:endParaRPr>
        </a:p>
        <a:p>
          <a:r>
            <a:rPr lang="en-US" sz="1400" b="0">
              <a:latin typeface="Times New Roman" panose="02020603050405020304" pitchFamily="18" charset="0"/>
              <a:cs typeface="Times New Roman" panose="02020603050405020304" pitchFamily="18" charset="0"/>
            </a:rPr>
            <a:t>Refer to the assumptions</a:t>
          </a:r>
          <a:r>
            <a:rPr lang="en-US" sz="1400" b="0" baseline="0">
              <a:latin typeface="Times New Roman" panose="02020603050405020304" pitchFamily="18" charset="0"/>
              <a:cs typeface="Times New Roman" panose="02020603050405020304" pitchFamily="18" charset="0"/>
            </a:rPr>
            <a:t> in column B.</a:t>
          </a:r>
        </a:p>
        <a:p>
          <a:endParaRPr lang="en-US" sz="1400" b="0">
            <a:latin typeface="Times New Roman" panose="02020603050405020304" pitchFamily="18" charset="0"/>
            <a:cs typeface="Times New Roman" panose="02020603050405020304" pitchFamily="18" charset="0"/>
          </a:endParaRPr>
        </a:p>
        <a:p>
          <a:r>
            <a:rPr lang="en-US" sz="1400" b="0">
              <a:latin typeface="Times New Roman" panose="02020603050405020304" pitchFamily="18" charset="0"/>
              <a:cs typeface="Times New Roman" panose="02020603050405020304" pitchFamily="18" charset="0"/>
            </a:rPr>
            <a:t>Sales seem</a:t>
          </a:r>
          <a:r>
            <a:rPr lang="en-US" sz="1400" b="0" baseline="0">
              <a:latin typeface="Times New Roman" panose="02020603050405020304" pitchFamily="18" charset="0"/>
              <a:cs typeface="Times New Roman" panose="02020603050405020304" pitchFamily="18" charset="0"/>
            </a:rPr>
            <a:t> to have grown by 10% (nominal rate) from 2018 to 2019, but considering the effect of inflation, the real growth is limited to 8.8%.</a:t>
          </a:r>
        </a:p>
        <a:p>
          <a:endParaRPr lang="en-US" sz="1400" b="0" baseline="0">
            <a:latin typeface="Times New Roman" panose="02020603050405020304" pitchFamily="18" charset="0"/>
            <a:cs typeface="Times New Roman" panose="02020603050405020304" pitchFamily="18" charset="0"/>
          </a:endParaRPr>
        </a:p>
        <a:p>
          <a:r>
            <a:rPr lang="en-US" sz="1400" b="0">
              <a:latin typeface="Times New Roman" panose="02020603050405020304" pitchFamily="18" charset="0"/>
              <a:cs typeface="Times New Roman" panose="02020603050405020304" pitchFamily="18" charset="0"/>
            </a:rPr>
            <a:t>The company could</a:t>
          </a:r>
          <a:r>
            <a:rPr lang="en-US" sz="1400" b="0" baseline="0">
              <a:latin typeface="Times New Roman" panose="02020603050405020304" pitchFamily="18" charset="0"/>
              <a:cs typeface="Times New Roman" panose="02020603050405020304" pitchFamily="18" charset="0"/>
            </a:rPr>
            <a:t> collect its receivables within 17.28 days following the sale in 2020.</a:t>
          </a:r>
        </a:p>
        <a:p>
          <a:r>
            <a:rPr lang="en-US" sz="1400" b="0" baseline="0">
              <a:latin typeface="Times New Roman" panose="02020603050405020304" pitchFamily="18" charset="0"/>
              <a:cs typeface="Times New Roman" panose="02020603050405020304" pitchFamily="18" charset="0"/>
            </a:rPr>
            <a:t>The company had to repay its suppliers within 12.46 days following the purchase in 2020.</a:t>
          </a:r>
        </a:p>
        <a:p>
          <a:pPr marL="0" marR="0" lvl="0" indent="0" defTabSz="914400" eaLnBrk="1" fontAlgn="auto" latinLnBrk="0" hangingPunct="1">
            <a:lnSpc>
              <a:spcPct val="100000"/>
            </a:lnSpc>
            <a:spcBef>
              <a:spcPts val="0"/>
            </a:spcBef>
            <a:spcAft>
              <a:spcPts val="0"/>
            </a:spcAft>
            <a:buClrTx/>
            <a:buSzTx/>
            <a:buFontTx/>
            <a:buNone/>
            <a:tabLst/>
            <a:defRPr/>
          </a:pPr>
          <a:r>
            <a:rPr lang="en-US" sz="1400" b="0">
              <a:solidFill>
                <a:schemeClr val="dk1"/>
              </a:solidFill>
              <a:latin typeface="Times New Roman" panose="02020603050405020304" pitchFamily="18" charset="0"/>
              <a:ea typeface="+mn-ea"/>
              <a:cs typeface="Times New Roman" panose="02020603050405020304" pitchFamily="18" charset="0"/>
            </a:rPr>
            <a:t>The company could sell its inventory within 12.60 days after having stocked</a:t>
          </a:r>
          <a:r>
            <a:rPr lang="en-US" sz="1400" b="0" baseline="0">
              <a:solidFill>
                <a:schemeClr val="dk1"/>
              </a:solidFill>
              <a:latin typeface="Times New Roman" panose="02020603050405020304" pitchFamily="18" charset="0"/>
              <a:ea typeface="+mn-ea"/>
              <a:cs typeface="Times New Roman" panose="02020603050405020304" pitchFamily="18" charset="0"/>
            </a:rPr>
            <a:t> it</a:t>
          </a:r>
          <a:r>
            <a:rPr lang="en-US" sz="1400" b="0">
              <a:solidFill>
                <a:schemeClr val="dk1"/>
              </a:solidFill>
              <a:latin typeface="Times New Roman" panose="02020603050405020304" pitchFamily="18" charset="0"/>
              <a:ea typeface="+mn-ea"/>
              <a:cs typeface="Times New Roman" panose="02020603050405020304" pitchFamily="18" charset="0"/>
            </a:rPr>
            <a:t> in 2020.</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a:solidFill>
              <a:schemeClr val="dk1"/>
            </a:solidFill>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a:solidFill>
                <a:schemeClr val="dk1"/>
              </a:solidFill>
              <a:latin typeface="Times New Roman" panose="02020603050405020304" pitchFamily="18" charset="0"/>
              <a:ea typeface="+mn-ea"/>
              <a:cs typeface="Times New Roman" panose="02020603050405020304" pitchFamily="18" charset="0"/>
            </a:rPr>
            <a:t>The</a:t>
          </a:r>
          <a:r>
            <a:rPr lang="en-US" sz="1400" b="0" baseline="0">
              <a:solidFill>
                <a:schemeClr val="dk1"/>
              </a:solidFill>
              <a:latin typeface="Times New Roman" panose="02020603050405020304" pitchFamily="18" charset="0"/>
              <a:ea typeface="+mn-ea"/>
              <a:cs typeface="Times New Roman" panose="02020603050405020304" pitchFamily="18" charset="0"/>
            </a:rPr>
            <a:t> company has increased it leverage (considering both short and long term debt) over the years up to 49.44% in 2020, also shown by a higher D/E ratio.</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baseline="0">
            <a:solidFill>
              <a:schemeClr val="dk1"/>
            </a:solidFill>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baseline="0">
              <a:solidFill>
                <a:schemeClr val="dk1"/>
              </a:solidFill>
              <a:latin typeface="Times New Roman" panose="02020603050405020304" pitchFamily="18" charset="0"/>
              <a:ea typeface="+mn-ea"/>
              <a:cs typeface="Times New Roman" panose="02020603050405020304" pitchFamily="18" charset="0"/>
            </a:rPr>
            <a:t>In 2020, $1 invested in Equity and in Capital yielded $2.33 and $1.29 in net operating profit, respectively. The 2 ratios have decreased from 2018 to 2019 but rebounded slighlty in 2020. The company faced higher growth in its operating costs than the growth of its sales. The "Other income" in 2020 has obsorbed to a certain extent the increase in costs.</a:t>
          </a:r>
          <a:endParaRPr lang="en-US" sz="1400" b="0">
            <a:solidFill>
              <a:schemeClr val="dk1"/>
            </a:solidFill>
            <a:latin typeface="Times New Roman" panose="02020603050405020304" pitchFamily="18" charset="0"/>
            <a:ea typeface="+mn-ea"/>
            <a:cs typeface="Times New Roman" panose="02020603050405020304" pitchFamily="18" charset="0"/>
          </a:endParaRPr>
        </a:p>
        <a:p>
          <a:endParaRPr lang="en-US" sz="1400" b="0">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31</xdr:col>
      <xdr:colOff>327620</xdr:colOff>
      <xdr:row>4</xdr:row>
      <xdr:rowOff>79957</xdr:rowOff>
    </xdr:from>
    <xdr:to>
      <xdr:col>41</xdr:col>
      <xdr:colOff>172429</xdr:colOff>
      <xdr:row>33</xdr:row>
      <xdr:rowOff>24382</xdr:rowOff>
    </xdr:to>
    <xdr:sp macro="" textlink="">
      <xdr:nvSpPr>
        <xdr:cNvPr id="2" name="Szövegdoboz 1">
          <a:extLst>
            <a:ext uri="{FF2B5EF4-FFF2-40B4-BE49-F238E27FC236}">
              <a16:creationId xmlns:a16="http://schemas.microsoft.com/office/drawing/2014/main" id="{1323F132-D0D7-4D76-8AD2-D96E22FE1DA8}"/>
            </a:ext>
          </a:extLst>
        </xdr:cNvPr>
        <xdr:cNvSpPr txBox="1"/>
      </xdr:nvSpPr>
      <xdr:spPr>
        <a:xfrm>
          <a:off x="25770800" y="872437"/>
          <a:ext cx="6550409" cy="573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Toy Story</a:t>
          </a:r>
          <a:endParaRPr lang="hu-HU" sz="1100" b="1">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Albert teamed up with Julian some ten years ago. They opened a toy retail shop, Toy Story, that developed into a chain of 8 outlets over time, </a:t>
          </a:r>
          <a:r>
            <a:rPr lang="hu-HU" sz="1100">
              <a:solidFill>
                <a:schemeClr val="dk1"/>
              </a:solidFill>
              <a:effectLst/>
              <a:latin typeface="+mn-lt"/>
              <a:ea typeface="+mn-ea"/>
              <a:cs typeface="+mn-cs"/>
            </a:rPr>
            <a:t>contrated to be supplier of hipermarkets, </a:t>
          </a:r>
          <a:r>
            <a:rPr lang="en-GB" sz="1100">
              <a:solidFill>
                <a:schemeClr val="dk1"/>
              </a:solidFill>
              <a:effectLst/>
              <a:latin typeface="+mn-lt"/>
              <a:ea typeface="+mn-ea"/>
              <a:cs typeface="+mn-cs"/>
            </a:rPr>
            <a:t>plus they also launched a web shop five years ago. Julian provided half of the capital for the business and has so 50 percent of ownership. Still, based on the articles of association, he only receives 40 percent of the dividend, so Albert, who provided the rest of the capital and acted as a general manager, gets compensated for his additional efforts. He received the additional 10 percent of dividends next to his modest wage (40 percent below the market rates) to make him focus on shareholder value and optimise personal taxes.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The firm faced a hard time recently. Due to the COVID crisis, many lost their jobs, and the boosting energy prices also made a lot of people cut back on their spending on toys. As the firm buys most of its goods from China, the devaluing local currency and the skyrocketing transportation prices pushed down margins radically. However, the current outlook is promising as real wages started to grow during the last month, while the cost of financing is predicted to drop from the next quarter, and FX rates also improved slightly during the last half year.</a:t>
          </a:r>
          <a:endParaRPr lang="hu-HU" sz="1100">
            <a:solidFill>
              <a:schemeClr val="dk1"/>
            </a:solidFill>
            <a:effectLst/>
            <a:latin typeface="+mn-lt"/>
            <a:ea typeface="+mn-ea"/>
            <a:cs typeface="+mn-cs"/>
          </a:endParaRPr>
        </a:p>
        <a:p>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As his son, who married recently, just started to build his own house, and his daughter had her third child born last month, Julian decided to sell his stake and use the inflow to support his family members. Albert is interested in buying the stake in order to sell the 100% package later to a professional investor. The owners already received an offer five years ago, but at that time they had no intention to sell. Julian suspects Albert plans to contact the same investor now, but Albert does not discuss his plans.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Julian wants to see what the fair value of his holding could be. However, he confirms that the performance of the last two years would underestimate the company's abilities. Still, he does not have a good overview of the management practices behind the numbers</a:t>
          </a:r>
          <a:r>
            <a:rPr lang="hu-HU" sz="1100">
              <a:solidFill>
                <a:schemeClr val="dk1"/>
              </a:solidFill>
              <a:effectLst/>
              <a:latin typeface="+mn-lt"/>
              <a:ea typeface="+mn-ea"/>
              <a:cs typeface="+mn-cs"/>
            </a:rPr>
            <a:t>, but is sure that the tax burden will increase</a:t>
          </a:r>
          <a:r>
            <a:rPr lang="en-GB" sz="1100">
              <a:solidFill>
                <a:schemeClr val="dk1"/>
              </a:solidFill>
              <a:effectLst/>
              <a:latin typeface="+mn-lt"/>
              <a:ea typeface="+mn-ea"/>
              <a:cs typeface="+mn-cs"/>
            </a:rPr>
            <a:t>. He would not want to use a DCF for valuing the company as the estimate for the future performance would come from Albert, who is the buyer himself.</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You found some recent similar transactions and also collected information</a:t>
          </a:r>
          <a:r>
            <a:rPr lang="hu-HU" sz="1100" baseline="0">
              <a:solidFill>
                <a:schemeClr val="dk1"/>
              </a:solidFill>
              <a:effectLst/>
              <a:latin typeface="+mn-lt"/>
              <a:ea typeface="+mn-ea"/>
              <a:cs typeface="+mn-cs"/>
            </a:rPr>
            <a:t> from the European stock markets. </a:t>
          </a:r>
          <a:r>
            <a:rPr lang="en-GB" sz="1100">
              <a:solidFill>
                <a:schemeClr val="dk1"/>
              </a:solidFill>
              <a:effectLst/>
              <a:latin typeface="+mn-lt"/>
              <a:ea typeface="+mn-ea"/>
              <a:cs typeface="+mn-cs"/>
            </a:rPr>
            <a:t>Based on the data provided, estimate the likely market price of the Toy Story.</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What would be the value of Julian’s stake?</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What are some of the challenges of the valuation performed?</a:t>
          </a:r>
          <a:endParaRPr lang="hu-HU" sz="1100">
            <a:solidFill>
              <a:schemeClr val="dk1"/>
            </a:solidFill>
            <a:effectLst/>
            <a:latin typeface="+mn-lt"/>
            <a:ea typeface="+mn-ea"/>
            <a:cs typeface="+mn-cs"/>
          </a:endParaRPr>
        </a:p>
        <a:p>
          <a:endParaRPr lang="hu-HU"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844628</xdr:colOff>
      <xdr:row>44</xdr:row>
      <xdr:rowOff>45903</xdr:rowOff>
    </xdr:from>
    <xdr:ext cx="3906666" cy="93795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40BB45A-3664-46CA-9BD5-B93DCE91CF5A}"/>
                </a:ext>
              </a:extLst>
            </xdr:cNvPr>
            <xdr:cNvSpPr txBox="1"/>
          </xdr:nvSpPr>
          <xdr:spPr>
            <a:xfrm>
              <a:off x="9348548" y="8763183"/>
              <a:ext cx="3906666" cy="937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2800" i="1">
                            <a:latin typeface="Cambria Math" panose="02040503050406030204" pitchFamily="18" charset="0"/>
                          </a:rPr>
                        </m:ctrlPr>
                      </m:fPr>
                      <m:num>
                        <m:sSub>
                          <m:sSubPr>
                            <m:ctrlPr>
                              <a:rPr lang="en-US" sz="2800" i="1">
                                <a:latin typeface="Cambria Math" panose="02040503050406030204" pitchFamily="18" charset="0"/>
                              </a:rPr>
                            </m:ctrlPr>
                          </m:sSubPr>
                          <m:e>
                            <m:r>
                              <a:rPr lang="hu-HU" sz="2800" b="0" i="1">
                                <a:latin typeface="Cambria Math" panose="02040503050406030204" pitchFamily="18" charset="0"/>
                              </a:rPr>
                              <m:t>𝐶</m:t>
                            </m:r>
                          </m:e>
                          <m:sub>
                            <m:r>
                              <a:rPr lang="hu-HU" sz="2800" b="0" i="1">
                                <a:latin typeface="Cambria Math" panose="02040503050406030204" pitchFamily="18" charset="0"/>
                              </a:rPr>
                              <m:t>1</m:t>
                            </m:r>
                          </m:sub>
                        </m:sSub>
                      </m:num>
                      <m:den>
                        <m:r>
                          <a:rPr lang="hu-HU" sz="2800" b="0" i="1">
                            <a:latin typeface="Cambria Math" panose="02040503050406030204" pitchFamily="18" charset="0"/>
                          </a:rPr>
                          <m:t>𝑟</m:t>
                        </m:r>
                        <m:r>
                          <a:rPr lang="hu-HU" sz="2800" b="0" i="1">
                            <a:latin typeface="Cambria Math" panose="02040503050406030204" pitchFamily="18" charset="0"/>
                          </a:rPr>
                          <m:t>−</m:t>
                        </m:r>
                        <m:r>
                          <a:rPr lang="hu-HU" sz="2800" b="0" i="1">
                            <a:latin typeface="Cambria Math" panose="02040503050406030204" pitchFamily="18" charset="0"/>
                          </a:rPr>
                          <m:t>𝑔</m:t>
                        </m:r>
                      </m:den>
                    </m:f>
                    <m:r>
                      <a:rPr lang="hu-HU" sz="2800" b="0" i="1">
                        <a:latin typeface="Cambria Math" panose="02040503050406030204" pitchFamily="18" charset="0"/>
                      </a:rPr>
                      <m:t>∗(1−</m:t>
                    </m:r>
                    <m:f>
                      <m:fPr>
                        <m:ctrlPr>
                          <a:rPr lang="hu-HU" sz="2800" b="0" i="1">
                            <a:latin typeface="Cambria Math" panose="02040503050406030204" pitchFamily="18" charset="0"/>
                          </a:rPr>
                        </m:ctrlPr>
                      </m:fPr>
                      <m:num>
                        <m:sSup>
                          <m:sSupPr>
                            <m:ctrlPr>
                              <a:rPr lang="hu-HU" sz="2800" b="0" i="1">
                                <a:latin typeface="Cambria Math" panose="02040503050406030204" pitchFamily="18" charset="0"/>
                              </a:rPr>
                            </m:ctrlPr>
                          </m:sSupPr>
                          <m:e>
                            <m:r>
                              <a:rPr lang="hu-HU" sz="2800" b="0" i="1">
                                <a:latin typeface="Cambria Math" panose="02040503050406030204" pitchFamily="18" charset="0"/>
                              </a:rPr>
                              <m:t>(1+</m:t>
                            </m:r>
                            <m:r>
                              <a:rPr lang="hu-HU" sz="2800" b="0" i="1">
                                <a:latin typeface="Cambria Math" panose="02040503050406030204" pitchFamily="18" charset="0"/>
                              </a:rPr>
                              <m:t>𝑔</m:t>
                            </m:r>
                            <m:r>
                              <a:rPr lang="hu-HU" sz="2800" b="0" i="1">
                                <a:latin typeface="Cambria Math" panose="02040503050406030204" pitchFamily="18" charset="0"/>
                              </a:rPr>
                              <m:t>)</m:t>
                            </m:r>
                          </m:e>
                          <m:sup>
                            <m:r>
                              <a:rPr lang="hu-HU" sz="2800" b="0" i="1">
                                <a:latin typeface="Cambria Math" panose="02040503050406030204" pitchFamily="18" charset="0"/>
                              </a:rPr>
                              <m:t>𝑛</m:t>
                            </m:r>
                          </m:sup>
                        </m:sSup>
                      </m:num>
                      <m:den>
                        <m:sSup>
                          <m:sSupPr>
                            <m:ctrlPr>
                              <a:rPr lang="hu-HU" sz="2800" b="0" i="1">
                                <a:latin typeface="Cambria Math" panose="02040503050406030204" pitchFamily="18" charset="0"/>
                              </a:rPr>
                            </m:ctrlPr>
                          </m:sSupPr>
                          <m:e>
                            <m:r>
                              <a:rPr lang="hu-HU" sz="2800" b="0" i="1">
                                <a:latin typeface="Cambria Math" panose="02040503050406030204" pitchFamily="18" charset="0"/>
                              </a:rPr>
                              <m:t>(1+</m:t>
                            </m:r>
                            <m:r>
                              <a:rPr lang="hu-HU" sz="2800" b="0" i="1">
                                <a:latin typeface="Cambria Math" panose="02040503050406030204" pitchFamily="18" charset="0"/>
                              </a:rPr>
                              <m:t>𝑟</m:t>
                            </m:r>
                            <m:r>
                              <a:rPr lang="hu-HU" sz="2800" b="0" i="1">
                                <a:latin typeface="Cambria Math" panose="02040503050406030204" pitchFamily="18" charset="0"/>
                              </a:rPr>
                              <m:t>)</m:t>
                            </m:r>
                          </m:e>
                          <m:sup>
                            <m:r>
                              <a:rPr lang="hu-HU" sz="2800" b="0" i="1">
                                <a:latin typeface="Cambria Math" panose="02040503050406030204" pitchFamily="18" charset="0"/>
                              </a:rPr>
                              <m:t>𝑛</m:t>
                            </m:r>
                          </m:sup>
                        </m:sSup>
                      </m:den>
                    </m:f>
                  </m:oMath>
                </m:oMathPara>
              </a14:m>
              <a:endParaRPr lang="en-US" sz="2800"/>
            </a:p>
          </xdr:txBody>
        </xdr:sp>
      </mc:Choice>
      <mc:Fallback xmlns="">
        <xdr:sp macro="" textlink="">
          <xdr:nvSpPr>
            <xdr:cNvPr id="2" name="TextBox 1">
              <a:extLst>
                <a:ext uri="{FF2B5EF4-FFF2-40B4-BE49-F238E27FC236}">
                  <a16:creationId xmlns:a16="http://schemas.microsoft.com/office/drawing/2014/main" id="{340BB45A-3664-46CA-9BD5-B93DCE91CF5A}"/>
                </a:ext>
              </a:extLst>
            </xdr:cNvPr>
            <xdr:cNvSpPr txBox="1"/>
          </xdr:nvSpPr>
          <xdr:spPr>
            <a:xfrm>
              <a:off x="9348548" y="8763183"/>
              <a:ext cx="3906666" cy="937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hu-HU" sz="2800" b="0" i="0">
                  <a:latin typeface="Cambria Math" panose="02040503050406030204" pitchFamily="18" charset="0"/>
                </a:rPr>
                <a:t>𝐶</a:t>
              </a:r>
              <a:r>
                <a:rPr lang="en-US" sz="2800" b="0" i="0">
                  <a:latin typeface="Cambria Math" panose="02040503050406030204" pitchFamily="18" charset="0"/>
                </a:rPr>
                <a:t>_</a:t>
              </a:r>
              <a:r>
                <a:rPr lang="hu-HU" sz="2800" b="0" i="0">
                  <a:latin typeface="Cambria Math" panose="02040503050406030204" pitchFamily="18" charset="0"/>
                </a:rPr>
                <a:t>1</a:t>
              </a:r>
              <a:r>
                <a:rPr lang="en-US" sz="2800" b="0" i="0">
                  <a:latin typeface="Cambria Math" panose="02040503050406030204" pitchFamily="18" charset="0"/>
                </a:rPr>
                <a:t>/(</a:t>
              </a:r>
              <a:r>
                <a:rPr lang="hu-HU" sz="2800" b="0" i="0">
                  <a:latin typeface="Cambria Math" panose="02040503050406030204" pitchFamily="18" charset="0"/>
                </a:rPr>
                <a:t>𝑟−𝑔</a:t>
              </a:r>
              <a:r>
                <a:rPr lang="en-US" sz="2800" b="0" i="0">
                  <a:latin typeface="Cambria Math" panose="02040503050406030204" pitchFamily="18" charset="0"/>
                </a:rPr>
                <a:t>)</a:t>
              </a:r>
              <a:r>
                <a:rPr lang="hu-HU" sz="2800" b="0" i="0">
                  <a:latin typeface="Cambria Math" panose="02040503050406030204" pitchFamily="18" charset="0"/>
                </a:rPr>
                <a:t>∗(1−〖(1+𝑔)〗^𝑛/〖(1+𝑟)〗^𝑛 </a:t>
              </a:r>
              <a:endParaRPr lang="en-US" sz="28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5</xdr:col>
      <xdr:colOff>0</xdr:colOff>
      <xdr:row>4</xdr:row>
      <xdr:rowOff>0</xdr:rowOff>
    </xdr:from>
    <xdr:ext cx="2869406" cy="55393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A3C7115-2EFC-4E35-A797-FE840DEED75B}"/>
                </a:ext>
              </a:extLst>
            </xdr:cNvPr>
            <xdr:cNvSpPr txBox="1"/>
          </xdr:nvSpPr>
          <xdr:spPr>
            <a:xfrm>
              <a:off x="6629400" y="731520"/>
              <a:ext cx="2869406" cy="5539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hu-HU" sz="1100" b="0" i="1">
                            <a:latin typeface="Cambria Math" panose="02040503050406030204" pitchFamily="18" charset="0"/>
                          </a:rPr>
                        </m:ctrlPr>
                      </m:sSubPr>
                      <m:e>
                        <m:r>
                          <a:rPr lang="hu-HU" sz="1100" b="0" i="1">
                            <a:latin typeface="Cambria Math" panose="02040503050406030204" pitchFamily="18" charset="0"/>
                          </a:rPr>
                          <m:t>𝑃𝑉</m:t>
                        </m:r>
                      </m:e>
                      <m:sub>
                        <m:r>
                          <a:rPr lang="hu-HU" sz="1100" b="0" i="1">
                            <a:latin typeface="Cambria Math" panose="02040503050406030204" pitchFamily="18" charset="0"/>
                          </a:rPr>
                          <m:t>𝑔𝑟𝑜𝑤𝑖𝑛𝑔</m:t>
                        </m:r>
                        <m:r>
                          <a:rPr lang="hu-HU" sz="1100" b="0" i="1">
                            <a:latin typeface="Cambria Math" panose="02040503050406030204" pitchFamily="18" charset="0"/>
                          </a:rPr>
                          <m:t> </m:t>
                        </m:r>
                        <m:r>
                          <a:rPr lang="hu-HU" sz="1100" b="0" i="1">
                            <a:latin typeface="Cambria Math" panose="02040503050406030204" pitchFamily="18" charset="0"/>
                          </a:rPr>
                          <m:t>𝑎𝑛𝑛𝑢𝑖𝑡𝑦</m:t>
                        </m:r>
                        <m:r>
                          <a:rPr lang="hu-HU" sz="1100" b="0" i="1">
                            <a:latin typeface="Cambria Math" panose="02040503050406030204" pitchFamily="18" charset="0"/>
                          </a:rPr>
                          <m:t> </m:t>
                        </m:r>
                      </m:sub>
                    </m:sSub>
                    <m:r>
                      <a:rPr lang="en-US" sz="1100" i="1">
                        <a:latin typeface="Cambria Math" panose="02040503050406030204" pitchFamily="18" charset="0"/>
                      </a:rPr>
                      <m:t>=</m:t>
                    </m:r>
                    <m:f>
                      <m:fPr>
                        <m:ctrlPr>
                          <a:rPr lang="hu-HU" sz="1100" b="0" i="1">
                            <a:latin typeface="Cambria Math" panose="02040503050406030204" pitchFamily="18" charset="0"/>
                          </a:rPr>
                        </m:ctrlPr>
                      </m:fPr>
                      <m:num>
                        <m:r>
                          <a:rPr lang="hu-HU" sz="1100" b="0" i="1">
                            <a:latin typeface="Cambria Math" panose="02040503050406030204" pitchFamily="18" charset="0"/>
                          </a:rPr>
                          <m:t>𝐶</m:t>
                        </m:r>
                      </m:num>
                      <m:den>
                        <m:r>
                          <a:rPr lang="hu-HU" sz="1100" b="0" i="1">
                            <a:latin typeface="Cambria Math" panose="02040503050406030204" pitchFamily="18" charset="0"/>
                          </a:rPr>
                          <m:t>𝑟</m:t>
                        </m:r>
                        <m:r>
                          <a:rPr lang="hu-HU" sz="1100" b="0" i="1">
                            <a:latin typeface="Cambria Math" panose="02040503050406030204" pitchFamily="18" charset="0"/>
                          </a:rPr>
                          <m:t>−</m:t>
                        </m:r>
                        <m:r>
                          <a:rPr lang="hu-HU" sz="1100" b="0" i="1">
                            <a:latin typeface="Cambria Math" panose="02040503050406030204" pitchFamily="18" charset="0"/>
                          </a:rPr>
                          <m:t>𝑔</m:t>
                        </m:r>
                      </m:den>
                    </m:f>
                    <m:r>
                      <a:rPr lang="hu-HU" sz="1100" b="0" i="1">
                        <a:latin typeface="Cambria Math" panose="02040503050406030204" pitchFamily="18" charset="0"/>
                      </a:rPr>
                      <m:t> ∗</m:t>
                    </m:r>
                    <m:d>
                      <m:dPr>
                        <m:ctrlPr>
                          <a:rPr lang="hu-HU" sz="1100" b="0" i="1">
                            <a:latin typeface="Cambria Math" panose="02040503050406030204" pitchFamily="18" charset="0"/>
                          </a:rPr>
                        </m:ctrlPr>
                      </m:dPr>
                      <m:e>
                        <m:r>
                          <a:rPr lang="hu-HU" sz="1100" b="0" i="1">
                            <a:latin typeface="Cambria Math" panose="02040503050406030204" pitchFamily="18" charset="0"/>
                          </a:rPr>
                          <m:t>1−</m:t>
                        </m:r>
                        <m:f>
                          <m:fPr>
                            <m:ctrlPr>
                              <a:rPr lang="hu-HU" sz="1100" b="0" i="1">
                                <a:latin typeface="Cambria Math" panose="02040503050406030204" pitchFamily="18" charset="0"/>
                              </a:rPr>
                            </m:ctrlPr>
                          </m:fPr>
                          <m:num>
                            <m:sSup>
                              <m:sSupPr>
                                <m:ctrlPr>
                                  <a:rPr lang="hu-HU" sz="1100" b="0" i="1">
                                    <a:latin typeface="Cambria Math" panose="02040503050406030204" pitchFamily="18" charset="0"/>
                                  </a:rPr>
                                </m:ctrlPr>
                              </m:sSupPr>
                              <m:e>
                                <m:d>
                                  <m:dPr>
                                    <m:ctrlPr>
                                      <a:rPr lang="hu-HU" sz="1100" b="0" i="1">
                                        <a:latin typeface="Cambria Math" panose="02040503050406030204" pitchFamily="18" charset="0"/>
                                      </a:rPr>
                                    </m:ctrlPr>
                                  </m:dPr>
                                  <m:e>
                                    <m:r>
                                      <a:rPr lang="hu-HU" sz="1100" b="0" i="1">
                                        <a:latin typeface="Cambria Math" panose="02040503050406030204" pitchFamily="18" charset="0"/>
                                      </a:rPr>
                                      <m:t>1+</m:t>
                                    </m:r>
                                    <m:r>
                                      <a:rPr lang="hu-HU" sz="1100" b="0" i="1">
                                        <a:latin typeface="Cambria Math" panose="02040503050406030204" pitchFamily="18" charset="0"/>
                                      </a:rPr>
                                      <m:t>𝑔</m:t>
                                    </m:r>
                                  </m:e>
                                </m:d>
                              </m:e>
                              <m:sup>
                                <m:r>
                                  <a:rPr lang="hu-HU" sz="1100" b="0" i="1">
                                    <a:latin typeface="Cambria Math" panose="02040503050406030204" pitchFamily="18" charset="0"/>
                                  </a:rPr>
                                  <m:t>𝑡</m:t>
                                </m:r>
                              </m:sup>
                            </m:sSup>
                          </m:num>
                          <m:den>
                            <m:sSup>
                              <m:sSupPr>
                                <m:ctrlPr>
                                  <a:rPr lang="hu-HU" sz="1100" b="0" i="1">
                                    <a:solidFill>
                                      <a:schemeClr val="tx1"/>
                                    </a:solidFill>
                                    <a:effectLst/>
                                    <a:latin typeface="Cambria Math" panose="02040503050406030204" pitchFamily="18" charset="0"/>
                                    <a:ea typeface="+mn-ea"/>
                                    <a:cs typeface="+mn-cs"/>
                                  </a:rPr>
                                </m:ctrlPr>
                              </m:sSupPr>
                              <m:e>
                                <m:d>
                                  <m:dPr>
                                    <m:ctrlPr>
                                      <a:rPr lang="hu-HU" sz="1100" b="0" i="1">
                                        <a:solidFill>
                                          <a:schemeClr val="tx1"/>
                                        </a:solidFill>
                                        <a:effectLst/>
                                        <a:latin typeface="Cambria Math" panose="02040503050406030204" pitchFamily="18" charset="0"/>
                                        <a:ea typeface="+mn-ea"/>
                                        <a:cs typeface="+mn-cs"/>
                                      </a:rPr>
                                    </m:ctrlPr>
                                  </m:dPr>
                                  <m:e>
                                    <m:r>
                                      <a:rPr lang="hu-HU" sz="1100" b="0" i="1">
                                        <a:solidFill>
                                          <a:schemeClr val="tx1"/>
                                        </a:solidFill>
                                        <a:effectLst/>
                                        <a:latin typeface="Cambria Math" panose="02040503050406030204" pitchFamily="18" charset="0"/>
                                        <a:ea typeface="+mn-ea"/>
                                        <a:cs typeface="+mn-cs"/>
                                      </a:rPr>
                                      <m:t>1+</m:t>
                                    </m:r>
                                    <m:r>
                                      <a:rPr lang="hu-HU" sz="1100" b="0" i="1">
                                        <a:solidFill>
                                          <a:schemeClr val="tx1"/>
                                        </a:solidFill>
                                        <a:effectLst/>
                                        <a:latin typeface="Cambria Math" panose="02040503050406030204" pitchFamily="18" charset="0"/>
                                        <a:ea typeface="+mn-ea"/>
                                        <a:cs typeface="+mn-cs"/>
                                      </a:rPr>
                                      <m:t>𝑟</m:t>
                                    </m:r>
                                  </m:e>
                                </m:d>
                              </m:e>
                              <m:sup>
                                <m:r>
                                  <a:rPr lang="hu-HU" sz="1100" b="0" i="1">
                                    <a:solidFill>
                                      <a:schemeClr val="tx1"/>
                                    </a:solidFill>
                                    <a:effectLst/>
                                    <a:latin typeface="Cambria Math" panose="02040503050406030204" pitchFamily="18" charset="0"/>
                                    <a:ea typeface="+mn-ea"/>
                                    <a:cs typeface="+mn-cs"/>
                                  </a:rPr>
                                  <m:t>𝑡</m:t>
                                </m:r>
                              </m:sup>
                            </m:sSup>
                          </m:den>
                        </m:f>
                      </m:e>
                    </m:d>
                  </m:oMath>
                </m:oMathPara>
              </a14:m>
              <a:endParaRPr lang="hu-HU" sz="1100" b="0"/>
            </a:p>
            <a:p>
              <a:endParaRPr lang="en-US" sz="1100"/>
            </a:p>
          </xdr:txBody>
        </xdr:sp>
      </mc:Choice>
      <mc:Fallback xmlns="">
        <xdr:sp macro="" textlink="">
          <xdr:nvSpPr>
            <xdr:cNvPr id="2" name="TextBox 1">
              <a:extLst>
                <a:ext uri="{FF2B5EF4-FFF2-40B4-BE49-F238E27FC236}">
                  <a16:creationId xmlns:a16="http://schemas.microsoft.com/office/drawing/2014/main" id="{3A3C7115-2EFC-4E35-A797-FE840DEED75B}"/>
                </a:ext>
              </a:extLst>
            </xdr:cNvPr>
            <xdr:cNvSpPr txBox="1"/>
          </xdr:nvSpPr>
          <xdr:spPr>
            <a:xfrm>
              <a:off x="6629400" y="731520"/>
              <a:ext cx="2869406" cy="5539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hu-HU" sz="1100" b="0" i="0">
                  <a:latin typeface="Cambria Math" panose="02040503050406030204" pitchFamily="18" charset="0"/>
                </a:rPr>
                <a:t>〖𝑃𝑉〗_(𝑔𝑟𝑜𝑤𝑖𝑛𝑔 𝑎𝑛𝑛𝑢𝑖𝑡𝑦 )</a:t>
              </a:r>
              <a:r>
                <a:rPr lang="en-US" sz="1100" i="0">
                  <a:latin typeface="Cambria Math" panose="02040503050406030204" pitchFamily="18" charset="0"/>
                </a:rPr>
                <a:t>=</a:t>
              </a:r>
              <a:r>
                <a:rPr lang="hu-HU" sz="1100" b="0" i="0">
                  <a:latin typeface="Cambria Math" panose="02040503050406030204" pitchFamily="18" charset="0"/>
                </a:rPr>
                <a:t>𝐶/(𝑟−𝑔)  ∗(1−(1+𝑔)^𝑡/</a:t>
              </a:r>
              <a:r>
                <a:rPr lang="hu-HU" sz="1100" b="0" i="0">
                  <a:solidFill>
                    <a:schemeClr val="tx1"/>
                  </a:solidFill>
                  <a:effectLst/>
                  <a:latin typeface="Cambria Math" panose="02040503050406030204" pitchFamily="18" charset="0"/>
                  <a:ea typeface="+mn-ea"/>
                  <a:cs typeface="+mn-cs"/>
                </a:rPr>
                <a:t>(1+𝑟)^𝑡 )</a:t>
              </a:r>
              <a:endParaRPr lang="hu-HU" sz="1100" b="0"/>
            </a:p>
            <a:p>
              <a:endParaRPr lang="en-US"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twoCellAnchor>
    <xdr:from>
      <xdr:col>13</xdr:col>
      <xdr:colOff>7620</xdr:colOff>
      <xdr:row>1</xdr:row>
      <xdr:rowOff>175260</xdr:rowOff>
    </xdr:from>
    <xdr:to>
      <xdr:col>19</xdr:col>
      <xdr:colOff>15240</xdr:colOff>
      <xdr:row>26</xdr:row>
      <xdr:rowOff>129540</xdr:rowOff>
    </xdr:to>
    <xdr:sp macro="" textlink="">
      <xdr:nvSpPr>
        <xdr:cNvPr id="2" name="Szövegdoboz 1">
          <a:extLst>
            <a:ext uri="{FF2B5EF4-FFF2-40B4-BE49-F238E27FC236}">
              <a16:creationId xmlns:a16="http://schemas.microsoft.com/office/drawing/2014/main" id="{A7D9F7D6-0CF2-4CD3-A79F-B8F7F9D3E4E8}"/>
            </a:ext>
          </a:extLst>
        </xdr:cNvPr>
        <xdr:cNvSpPr txBox="1"/>
      </xdr:nvSpPr>
      <xdr:spPr>
        <a:xfrm>
          <a:off x="12390120" y="373380"/>
          <a:ext cx="4030980" cy="490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Based on the plans of RiskIt, the firm's total would be sold in the best case for 1500 M HUF in 6 years from now.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9524</xdr:colOff>
      <xdr:row>1</xdr:row>
      <xdr:rowOff>38100</xdr:rowOff>
    </xdr:from>
    <xdr:to>
      <xdr:col>7</xdr:col>
      <xdr:colOff>285750</xdr:colOff>
      <xdr:row>6</xdr:row>
      <xdr:rowOff>114300</xdr:rowOff>
    </xdr:to>
    <xdr:sp macro="" textlink="">
      <xdr:nvSpPr>
        <xdr:cNvPr id="2" name="Szövegdoboz 1">
          <a:extLst>
            <a:ext uri="{FF2B5EF4-FFF2-40B4-BE49-F238E27FC236}">
              <a16:creationId xmlns:a16="http://schemas.microsoft.com/office/drawing/2014/main" id="{4CBE1DD8-203B-4534-9D30-A1CA5BBA569A}"/>
            </a:ext>
          </a:extLst>
        </xdr:cNvPr>
        <xdr:cNvSpPr txBox="1"/>
      </xdr:nvSpPr>
      <xdr:spPr>
        <a:xfrm>
          <a:off x="619124" y="1958340"/>
          <a:ext cx="7667626"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Bonus Task</a:t>
          </a:r>
        </a:p>
        <a:p>
          <a:r>
            <a:rPr lang="hu-HU" sz="1400" b="0" baseline="0">
              <a:latin typeface="Times New Roman" panose="02020603050405020304" pitchFamily="18" charset="0"/>
              <a:cs typeface="Times New Roman" panose="02020603050405020304" pitchFamily="18" charset="0"/>
            </a:rPr>
            <a:t>Estimate the cost of equity for company A using data form competitors (X, Y, Z) from the same industry. </a:t>
          </a:r>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ae079e5fbc8865c9/Bureau/Corvinus%20Courses/Applied%20Business%20Valuation/All.xlsx" TargetMode="External"/><Relationship Id="rId1" Type="http://schemas.openxmlformats.org/officeDocument/2006/relationships/externalLinkPath" Target="Corvinus%20Courses/Applied%20Business%20Valuation/A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Fin Statements + Valuation"/>
      <sheetName val="BCF Template"/>
      <sheetName val="Debt (Bond or Loan)"/>
      <sheetName val="Multiples"/>
      <sheetName val="Asset Based"/>
      <sheetName val="M&amp;A"/>
      <sheetName val="PE"/>
      <sheetName val="BCF1"/>
      <sheetName val="BCF2"/>
      <sheetName val="BCF3"/>
      <sheetName val="BCF4"/>
      <sheetName val="Sheet1"/>
      <sheetName val="1"/>
      <sheetName val="2"/>
      <sheetName val="3"/>
      <sheetName val="4"/>
      <sheetName val="5"/>
      <sheetName val="6"/>
      <sheetName val="7"/>
      <sheetName val="Task2 My Solution"/>
      <sheetName val="8"/>
      <sheetName val="Task 2"/>
      <sheetName val="Task4"/>
      <sheetName val="Task 1 "/>
      <sheetName val="Task 1 my Solution"/>
      <sheetName val="Task 3 with Solution"/>
      <sheetName val="Task 3 my Solution"/>
      <sheetName val="Individual purchase"/>
      <sheetName val="Business purchase"/>
      <sheetName val="Yearly Rental fee"/>
      <sheetName val="Buy Rental + GoesOnline"/>
      <sheetName val="Task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T104"/>
  <sheetViews>
    <sheetView topLeftCell="A30" zoomScale="77" workbookViewId="0">
      <selection activeCell="B56" sqref="B56"/>
    </sheetView>
  </sheetViews>
  <sheetFormatPr defaultRowHeight="14.4" x14ac:dyDescent="0.3"/>
  <cols>
    <col min="2" max="2" width="67.77734375" customWidth="1"/>
    <col min="3" max="3" width="25.21875" bestFit="1" customWidth="1"/>
    <col min="4" max="9" width="11.21875" bestFit="1" customWidth="1"/>
    <col min="10" max="10" width="8.6640625" bestFit="1" customWidth="1"/>
    <col min="11" max="11" width="6.44140625" bestFit="1" customWidth="1"/>
    <col min="12" max="12" width="66.33203125" bestFit="1" customWidth="1"/>
  </cols>
  <sheetData>
    <row r="1" spans="2:12" ht="15.6" x14ac:dyDescent="0.3">
      <c r="K1" s="1"/>
      <c r="L1" s="2"/>
    </row>
    <row r="2" spans="2:12" ht="15.6" x14ac:dyDescent="0.3">
      <c r="B2" t="s">
        <v>0</v>
      </c>
      <c r="D2" s="3"/>
      <c r="E2" s="3"/>
      <c r="F2" s="3"/>
      <c r="G2" s="3"/>
      <c r="H2" s="3"/>
      <c r="I2" s="3"/>
      <c r="J2" s="3"/>
      <c r="K2" s="1"/>
      <c r="L2" s="2"/>
    </row>
    <row r="3" spans="2:12" ht="15.6" x14ac:dyDescent="0.3">
      <c r="D3" s="4"/>
      <c r="E3" s="3"/>
      <c r="F3" s="3"/>
      <c r="G3" s="3"/>
      <c r="H3" s="3"/>
      <c r="I3" s="3"/>
      <c r="J3" s="3"/>
      <c r="K3" s="1"/>
      <c r="L3" s="2"/>
    </row>
    <row r="4" spans="2:12" ht="15.6" x14ac:dyDescent="0.3">
      <c r="B4" t="s">
        <v>357</v>
      </c>
      <c r="D4" s="4"/>
      <c r="E4" s="5"/>
      <c r="F4" s="5"/>
      <c r="G4" s="5"/>
      <c r="H4" s="5"/>
      <c r="I4" s="5"/>
      <c r="J4" s="5"/>
      <c r="K4" s="1"/>
      <c r="L4" s="2"/>
    </row>
    <row r="5" spans="2:12" ht="15.6" x14ac:dyDescent="0.3">
      <c r="D5" s="5"/>
      <c r="E5" s="5"/>
      <c r="F5" s="5"/>
      <c r="G5" s="5"/>
      <c r="H5" s="5"/>
      <c r="I5" s="5"/>
      <c r="J5" s="5"/>
      <c r="K5" s="1"/>
      <c r="L5" s="2"/>
    </row>
    <row r="6" spans="2:12" ht="15.6" x14ac:dyDescent="0.3">
      <c r="D6" s="6"/>
      <c r="E6" s="6"/>
      <c r="F6" s="6"/>
      <c r="G6" s="6"/>
      <c r="H6" s="6"/>
      <c r="I6" s="6"/>
      <c r="J6" s="6"/>
      <c r="K6" s="1"/>
      <c r="L6" s="2"/>
    </row>
    <row r="7" spans="2:12" ht="15.6" x14ac:dyDescent="0.3">
      <c r="D7" s="6"/>
      <c r="E7" s="6"/>
      <c r="F7" s="6"/>
      <c r="G7" s="6"/>
      <c r="H7" s="6"/>
      <c r="I7" s="6"/>
      <c r="J7" s="6"/>
      <c r="K7" s="1"/>
      <c r="L7" s="2"/>
    </row>
    <row r="8" spans="2:12" ht="15.6" x14ac:dyDescent="0.3">
      <c r="D8" s="6"/>
      <c r="E8" s="6"/>
      <c r="F8" s="6"/>
      <c r="G8" s="6"/>
      <c r="H8" s="6"/>
      <c r="I8" s="6"/>
      <c r="J8" s="6"/>
      <c r="K8" s="1"/>
      <c r="L8" s="2"/>
    </row>
    <row r="9" spans="2:12" ht="15.6" x14ac:dyDescent="0.3">
      <c r="D9" s="6"/>
      <c r="E9" s="6"/>
      <c r="F9" s="6"/>
      <c r="G9" s="6"/>
      <c r="H9" s="6"/>
      <c r="I9" s="6"/>
      <c r="J9" s="6"/>
      <c r="K9" s="1"/>
      <c r="L9" s="2"/>
    </row>
    <row r="10" spans="2:12" ht="15.6" x14ac:dyDescent="0.3">
      <c r="D10" s="6"/>
      <c r="E10" s="6"/>
      <c r="F10" s="6"/>
      <c r="G10" s="6"/>
      <c r="H10" s="6"/>
      <c r="I10" s="6"/>
      <c r="J10" s="6"/>
      <c r="K10" s="1"/>
      <c r="L10" s="2"/>
    </row>
    <row r="11" spans="2:12" ht="15.6" x14ac:dyDescent="0.3">
      <c r="D11" s="6"/>
      <c r="E11" s="6"/>
      <c r="F11" s="6"/>
      <c r="G11" s="6"/>
      <c r="H11" s="6"/>
      <c r="I11" s="6"/>
      <c r="J11" s="6"/>
      <c r="K11" s="1"/>
      <c r="L11" s="7"/>
    </row>
    <row r="12" spans="2:12" ht="15.6" x14ac:dyDescent="0.3">
      <c r="D12" s="6"/>
      <c r="E12" s="6"/>
      <c r="F12" s="6"/>
      <c r="G12" s="6"/>
      <c r="H12" s="6"/>
      <c r="I12" s="6"/>
      <c r="J12" s="6"/>
      <c r="K12" s="8"/>
      <c r="L12" s="7"/>
    </row>
    <row r="13" spans="2:12" ht="15.6" x14ac:dyDescent="0.3">
      <c r="D13" s="6"/>
      <c r="E13" s="6"/>
      <c r="F13" s="6"/>
      <c r="G13" s="6"/>
      <c r="H13" s="6"/>
      <c r="I13" s="6"/>
      <c r="J13" s="6"/>
      <c r="K13" s="1"/>
      <c r="L13" s="7"/>
    </row>
    <row r="14" spans="2:12" ht="15.6" x14ac:dyDescent="0.3">
      <c r="D14" s="6"/>
      <c r="E14" s="6"/>
      <c r="F14" s="6"/>
      <c r="G14" s="6"/>
      <c r="H14" s="6"/>
      <c r="I14" s="6"/>
      <c r="J14" s="6"/>
      <c r="K14" s="1"/>
      <c r="L14" s="7"/>
    </row>
    <row r="15" spans="2:12" ht="15.6" x14ac:dyDescent="0.3">
      <c r="D15" s="6"/>
      <c r="E15" s="6"/>
      <c r="F15" s="6"/>
      <c r="G15" s="6"/>
      <c r="H15" s="6"/>
      <c r="I15" s="6"/>
      <c r="J15" s="6"/>
      <c r="K15" s="1"/>
      <c r="L15" s="7"/>
    </row>
    <row r="16" spans="2:12" ht="15.6" x14ac:dyDescent="0.3">
      <c r="D16" s="6"/>
      <c r="E16" s="6"/>
      <c r="F16" s="6"/>
      <c r="G16" s="6"/>
      <c r="H16" s="6"/>
      <c r="I16" s="6"/>
      <c r="J16" s="6"/>
      <c r="K16" s="1"/>
      <c r="L16" s="7"/>
    </row>
    <row r="17" spans="2:12" ht="15.6" x14ac:dyDescent="0.3">
      <c r="D17" s="6"/>
      <c r="E17" s="6"/>
      <c r="F17" s="6"/>
      <c r="G17" s="6"/>
      <c r="H17" s="6"/>
      <c r="I17" s="6"/>
      <c r="J17" s="6"/>
      <c r="K17" s="1"/>
      <c r="L17" s="2"/>
    </row>
    <row r="18" spans="2:12" ht="15.6" x14ac:dyDescent="0.3">
      <c r="B18" s="9"/>
    </row>
    <row r="19" spans="2:12" ht="15.6" x14ac:dyDescent="0.3">
      <c r="B19" s="2"/>
      <c r="D19" s="6"/>
      <c r="E19" s="6"/>
      <c r="F19" s="6"/>
      <c r="G19" s="6"/>
    </row>
    <row r="20" spans="2:12" ht="15.6" x14ac:dyDescent="0.3">
      <c r="B20" s="9" t="s">
        <v>1</v>
      </c>
    </row>
    <row r="21" spans="2:12" ht="15.6" x14ac:dyDescent="0.3">
      <c r="B21" s="2" t="s">
        <v>2</v>
      </c>
      <c r="C21" s="10" t="s">
        <v>3</v>
      </c>
      <c r="D21" s="11"/>
      <c r="E21" s="11"/>
      <c r="F21" s="11"/>
      <c r="G21" s="11"/>
      <c r="H21" s="11"/>
      <c r="I21" s="11"/>
    </row>
    <row r="22" spans="2:12" ht="15.6" x14ac:dyDescent="0.3">
      <c r="B22" s="2" t="s">
        <v>4</v>
      </c>
      <c r="C22" s="10" t="s">
        <v>5</v>
      </c>
      <c r="D22" s="11"/>
      <c r="E22" s="11"/>
      <c r="F22" s="11"/>
      <c r="G22" s="11"/>
      <c r="H22" s="11"/>
      <c r="I22" s="11"/>
      <c r="J22" s="12">
        <f>I22</f>
        <v>0</v>
      </c>
      <c r="L22" t="s">
        <v>6</v>
      </c>
    </row>
    <row r="23" spans="2:12" ht="15.6" x14ac:dyDescent="0.3">
      <c r="B23" s="2" t="s">
        <v>7</v>
      </c>
      <c r="C23" s="10" t="s">
        <v>8</v>
      </c>
      <c r="D23" s="11"/>
      <c r="E23" s="11"/>
      <c r="F23" s="11"/>
      <c r="G23" s="11"/>
      <c r="H23" s="11"/>
      <c r="I23" s="11"/>
      <c r="J23" s="12"/>
    </row>
    <row r="24" spans="2:12" ht="15.6" x14ac:dyDescent="0.3">
      <c r="B24" s="2" t="s">
        <v>9</v>
      </c>
      <c r="C24" s="10" t="s">
        <v>10</v>
      </c>
      <c r="D24" s="11"/>
      <c r="E24" s="11"/>
      <c r="F24" s="11"/>
      <c r="G24" s="11"/>
      <c r="H24" s="11"/>
      <c r="I24" s="11"/>
      <c r="J24" s="12">
        <f t="shared" ref="J24" si="0">I24</f>
        <v>0</v>
      </c>
    </row>
    <row r="25" spans="2:12" ht="15.6" x14ac:dyDescent="0.3">
      <c r="B25" s="2"/>
      <c r="D25" s="13"/>
      <c r="E25" s="13"/>
      <c r="F25" s="13"/>
      <c r="G25" s="13"/>
      <c r="H25" s="13"/>
      <c r="I25" s="13"/>
      <c r="J25" s="12"/>
    </row>
    <row r="26" spans="2:12" ht="15.6" x14ac:dyDescent="0.3">
      <c r="B26" s="2"/>
      <c r="C26" s="14" t="s">
        <v>11</v>
      </c>
      <c r="D26" s="15"/>
      <c r="E26" s="15"/>
      <c r="F26" s="15"/>
      <c r="G26" s="15"/>
      <c r="H26" s="15"/>
      <c r="I26" s="15"/>
      <c r="J26" s="12"/>
    </row>
    <row r="27" spans="2:12" ht="15.6" x14ac:dyDescent="0.3">
      <c r="B27" s="2"/>
      <c r="D27" s="13"/>
      <c r="E27" s="13"/>
      <c r="F27" s="13"/>
      <c r="G27" s="13"/>
      <c r="H27" s="13"/>
      <c r="I27" s="13"/>
      <c r="J27" s="12"/>
    </row>
    <row r="28" spans="2:12" ht="15.6" x14ac:dyDescent="0.3">
      <c r="B28" s="2"/>
      <c r="C28" s="16" t="s">
        <v>12</v>
      </c>
      <c r="D28" s="17"/>
      <c r="E28" s="17"/>
      <c r="F28" s="17"/>
      <c r="G28" s="17"/>
      <c r="H28" s="17"/>
      <c r="I28" s="17"/>
      <c r="J28" s="12"/>
    </row>
    <row r="29" spans="2:12" ht="15.6" x14ac:dyDescent="0.3">
      <c r="B29" s="2"/>
      <c r="C29" s="16" t="s">
        <v>13</v>
      </c>
      <c r="D29" s="17"/>
      <c r="E29" s="17"/>
      <c r="F29" s="17"/>
      <c r="G29" s="17"/>
      <c r="H29" s="17"/>
      <c r="I29" s="17"/>
      <c r="J29" s="12"/>
      <c r="K29" s="6"/>
    </row>
    <row r="30" spans="2:12" ht="15.6" x14ac:dyDescent="0.3">
      <c r="B30" s="2" t="s">
        <v>14</v>
      </c>
      <c r="C30" s="16" t="s">
        <v>15</v>
      </c>
      <c r="D30" s="17">
        <f>(D28-D29*D34)/(1-D34)</f>
        <v>0</v>
      </c>
      <c r="E30" s="17">
        <f t="shared" ref="E30:I30" si="1">(E28-E29*E34)/(1-E34)</f>
        <v>0</v>
      </c>
      <c r="F30" s="17">
        <f t="shared" si="1"/>
        <v>0</v>
      </c>
      <c r="G30" s="17">
        <f t="shared" si="1"/>
        <v>0</v>
      </c>
      <c r="H30" s="17">
        <f t="shared" si="1"/>
        <v>0</v>
      </c>
      <c r="I30" s="17">
        <f t="shared" si="1"/>
        <v>0</v>
      </c>
      <c r="J30" s="12"/>
    </row>
    <row r="31" spans="2:12" ht="15.6" x14ac:dyDescent="0.3">
      <c r="B31" s="2" t="s">
        <v>16</v>
      </c>
      <c r="C31" s="16" t="s">
        <v>17</v>
      </c>
      <c r="D31" s="17">
        <f>D28-D29*D34*D26</f>
        <v>0</v>
      </c>
      <c r="E31" s="17">
        <f t="shared" ref="E31:I31" si="2">E28-E29*E34*E26</f>
        <v>0</v>
      </c>
      <c r="F31" s="17">
        <f t="shared" si="2"/>
        <v>0</v>
      </c>
      <c r="G31" s="17">
        <f t="shared" si="2"/>
        <v>0</v>
      </c>
      <c r="H31" s="17">
        <f t="shared" si="2"/>
        <v>0</v>
      </c>
      <c r="I31" s="17">
        <f t="shared" si="2"/>
        <v>0</v>
      </c>
      <c r="J31" s="12">
        <f>I31</f>
        <v>0</v>
      </c>
    </row>
    <row r="32" spans="2:12" x14ac:dyDescent="0.3">
      <c r="D32" s="13"/>
      <c r="E32" s="13"/>
      <c r="F32" s="13"/>
      <c r="G32" s="13"/>
      <c r="H32" s="13"/>
      <c r="I32" s="13"/>
    </row>
    <row r="33" spans="2:12" x14ac:dyDescent="0.3">
      <c r="C33" s="18" t="s">
        <v>18</v>
      </c>
      <c r="D33" s="19"/>
      <c r="E33" s="19"/>
      <c r="F33" s="19"/>
      <c r="G33" s="19"/>
      <c r="H33" s="19"/>
      <c r="I33" s="19"/>
    </row>
    <row r="34" spans="2:12" x14ac:dyDescent="0.3">
      <c r="B34" t="s">
        <v>19</v>
      </c>
      <c r="C34" s="18" t="s">
        <v>20</v>
      </c>
      <c r="D34" s="19"/>
      <c r="E34" s="19"/>
      <c r="F34" s="19"/>
      <c r="G34" s="19"/>
      <c r="H34" s="19"/>
      <c r="I34" s="19"/>
    </row>
    <row r="35" spans="2:12" x14ac:dyDescent="0.3">
      <c r="D35" s="20"/>
      <c r="E35" s="20"/>
      <c r="F35" s="20"/>
      <c r="G35" s="20"/>
      <c r="H35" s="20"/>
      <c r="I35" s="20"/>
    </row>
    <row r="36" spans="2:12" ht="15.6" x14ac:dyDescent="0.3">
      <c r="B36" s="21" t="s">
        <v>21</v>
      </c>
      <c r="C36" s="2"/>
      <c r="D36" s="2"/>
      <c r="E36" s="2"/>
      <c r="F36" s="2"/>
      <c r="G36" s="2"/>
      <c r="H36" s="2"/>
      <c r="I36" s="2"/>
      <c r="J36" s="2"/>
    </row>
    <row r="37" spans="2:12" ht="15.6" x14ac:dyDescent="0.3">
      <c r="B37" t="s">
        <v>22</v>
      </c>
      <c r="C37" s="7" t="s">
        <v>23</v>
      </c>
      <c r="D37" s="175"/>
      <c r="E37" s="175"/>
      <c r="F37" s="175"/>
      <c r="G37" s="175"/>
      <c r="H37" s="175"/>
      <c r="I37" s="175"/>
      <c r="J37" s="175"/>
      <c r="L37" t="s">
        <v>24</v>
      </c>
    </row>
    <row r="38" spans="2:12" ht="15.6" x14ac:dyDescent="0.3">
      <c r="B38" s="2"/>
      <c r="C38" s="7" t="s">
        <v>25</v>
      </c>
      <c r="D38" s="175"/>
      <c r="E38" s="175"/>
      <c r="F38" s="175"/>
      <c r="G38" s="175"/>
      <c r="H38" s="175"/>
      <c r="I38" s="175"/>
      <c r="J38" s="175"/>
      <c r="L38" t="s">
        <v>26</v>
      </c>
    </row>
    <row r="39" spans="2:12" ht="15.6" x14ac:dyDescent="0.3">
      <c r="B39" s="2"/>
      <c r="C39" s="7" t="s">
        <v>27</v>
      </c>
      <c r="D39" s="175"/>
      <c r="E39" s="175"/>
      <c r="F39" s="175"/>
      <c r="G39" s="175"/>
      <c r="H39" s="175"/>
      <c r="I39" s="175"/>
      <c r="J39" s="175"/>
    </row>
    <row r="40" spans="2:12" ht="15.6" x14ac:dyDescent="0.3">
      <c r="B40" s="2"/>
      <c r="C40" s="7"/>
      <c r="D40" s="23"/>
      <c r="E40" s="23"/>
      <c r="F40" s="23"/>
      <c r="G40" s="23"/>
      <c r="H40" s="23"/>
      <c r="I40" s="23"/>
      <c r="J40" s="23"/>
    </row>
    <row r="41" spans="2:12" ht="15.6" x14ac:dyDescent="0.3">
      <c r="B41" s="21" t="s">
        <v>28</v>
      </c>
      <c r="C41" s="2"/>
      <c r="D41" s="2"/>
      <c r="E41" s="2"/>
      <c r="F41" s="2"/>
      <c r="G41" s="2"/>
      <c r="H41" s="2"/>
      <c r="I41" s="2"/>
      <c r="J41" s="2"/>
    </row>
    <row r="42" spans="2:12" ht="15.6" x14ac:dyDescent="0.3">
      <c r="B42" s="2"/>
      <c r="C42" s="7" t="s">
        <v>29</v>
      </c>
      <c r="D42" s="23"/>
      <c r="E42" s="23"/>
      <c r="F42" s="23"/>
      <c r="G42" s="23"/>
      <c r="H42" s="23"/>
      <c r="I42" s="23"/>
      <c r="J42" s="23"/>
    </row>
    <row r="43" spans="2:12" ht="15.6" x14ac:dyDescent="0.3">
      <c r="B43" s="2" t="s">
        <v>30</v>
      </c>
      <c r="C43" s="7" t="s">
        <v>31</v>
      </c>
      <c r="D43" s="175"/>
      <c r="E43" s="175"/>
      <c r="F43" s="175"/>
      <c r="G43" s="175"/>
      <c r="H43" s="175"/>
      <c r="I43" s="175"/>
      <c r="J43" s="2"/>
    </row>
    <row r="44" spans="2:12" ht="15.6" x14ac:dyDescent="0.3">
      <c r="B44" s="2" t="s">
        <v>32</v>
      </c>
      <c r="C44" s="7" t="s">
        <v>33</v>
      </c>
      <c r="D44" s="22">
        <f t="shared" ref="D44:I44" si="3">+D38*D29</f>
        <v>0</v>
      </c>
      <c r="E44" s="22">
        <f t="shared" si="3"/>
        <v>0</v>
      </c>
      <c r="F44" s="22">
        <f t="shared" si="3"/>
        <v>0</v>
      </c>
      <c r="G44" s="22">
        <f t="shared" si="3"/>
        <v>0</v>
      </c>
      <c r="H44" s="22">
        <f t="shared" si="3"/>
        <v>0</v>
      </c>
      <c r="I44" s="22">
        <f t="shared" si="3"/>
        <v>0</v>
      </c>
      <c r="J44" s="2"/>
    </row>
    <row r="45" spans="2:12" ht="15.6" x14ac:dyDescent="0.3">
      <c r="B45" s="2" t="s">
        <v>34</v>
      </c>
      <c r="C45" s="7" t="s">
        <v>35</v>
      </c>
      <c r="D45" s="22">
        <f>D43-D44</f>
        <v>0</v>
      </c>
      <c r="E45" s="22">
        <f t="shared" ref="E45:I45" si="4">E43-E44</f>
        <v>0</v>
      </c>
      <c r="F45" s="22">
        <f t="shared" si="4"/>
        <v>0</v>
      </c>
      <c r="G45" s="22">
        <f t="shared" si="4"/>
        <v>0</v>
      </c>
      <c r="H45" s="22">
        <f t="shared" si="4"/>
        <v>0</v>
      </c>
      <c r="I45" s="22">
        <f t="shared" si="4"/>
        <v>0</v>
      </c>
      <c r="J45" s="2"/>
    </row>
    <row r="46" spans="2:12" ht="15.6" x14ac:dyDescent="0.3">
      <c r="B46" s="24" t="s">
        <v>36</v>
      </c>
      <c r="C46" s="7" t="s">
        <v>37</v>
      </c>
      <c r="D46" s="22">
        <f t="shared" ref="D46:I46" si="5">+IF(D45&lt;0,0,D45*D26)</f>
        <v>0</v>
      </c>
      <c r="E46" s="22">
        <f t="shared" si="5"/>
        <v>0</v>
      </c>
      <c r="F46" s="22">
        <f t="shared" si="5"/>
        <v>0</v>
      </c>
      <c r="G46" s="22">
        <f t="shared" si="5"/>
        <v>0</v>
      </c>
      <c r="H46" s="22">
        <f t="shared" si="5"/>
        <v>0</v>
      </c>
      <c r="I46" s="22">
        <f t="shared" si="5"/>
        <v>0</v>
      </c>
      <c r="J46" s="2"/>
    </row>
    <row r="47" spans="2:12" ht="15.6" x14ac:dyDescent="0.3">
      <c r="B47" s="2" t="s">
        <v>38</v>
      </c>
      <c r="C47" s="7" t="s">
        <v>39</v>
      </c>
      <c r="D47" s="22">
        <f>D45-D46</f>
        <v>0</v>
      </c>
      <c r="E47" s="22">
        <f t="shared" ref="E47:I47" si="6">E45-E46</f>
        <v>0</v>
      </c>
      <c r="F47" s="22">
        <f t="shared" si="6"/>
        <v>0</v>
      </c>
      <c r="G47" s="22">
        <f t="shared" si="6"/>
        <v>0</v>
      </c>
      <c r="H47" s="22">
        <f t="shared" si="6"/>
        <v>0</v>
      </c>
      <c r="I47" s="22">
        <f t="shared" si="6"/>
        <v>0</v>
      </c>
      <c r="J47" s="2"/>
    </row>
    <row r="48" spans="2:12" ht="15.6" x14ac:dyDescent="0.3">
      <c r="B48" s="2" t="s">
        <v>40</v>
      </c>
      <c r="C48" s="7" t="s">
        <v>41</v>
      </c>
      <c r="D48" s="22">
        <f>+D47-D49</f>
        <v>0</v>
      </c>
      <c r="E48" s="22">
        <f t="shared" ref="E48:I48" si="7">+E47-E49</f>
        <v>0</v>
      </c>
      <c r="F48" s="22">
        <f t="shared" si="7"/>
        <v>0</v>
      </c>
      <c r="G48" s="22">
        <f t="shared" si="7"/>
        <v>0</v>
      </c>
      <c r="H48" s="22">
        <f t="shared" si="7"/>
        <v>0</v>
      </c>
      <c r="I48" s="22">
        <f t="shared" si="7"/>
        <v>0</v>
      </c>
      <c r="J48" s="2"/>
    </row>
    <row r="49" spans="2:20" ht="15.6" x14ac:dyDescent="0.3">
      <c r="B49" s="2"/>
      <c r="C49" s="7" t="s">
        <v>42</v>
      </c>
      <c r="D49" s="22">
        <f>+IF(D47&lt;0,D47,MAX(0,MIN(D47,D51)))</f>
        <v>0</v>
      </c>
      <c r="E49" s="22">
        <f t="shared" ref="E49:I49" si="8">+IF(E47&lt;0,E47,MAX(0,MIN(E47,E51)))</f>
        <v>0</v>
      </c>
      <c r="F49" s="22">
        <f t="shared" si="8"/>
        <v>0</v>
      </c>
      <c r="G49" s="22">
        <f t="shared" si="8"/>
        <v>0</v>
      </c>
      <c r="H49" s="22">
        <f t="shared" si="8"/>
        <v>0</v>
      </c>
      <c r="I49" s="22">
        <f t="shared" si="8"/>
        <v>0</v>
      </c>
      <c r="J49" s="2"/>
    </row>
    <row r="50" spans="2:20" ht="15.6" x14ac:dyDescent="0.3">
      <c r="B50" s="2"/>
      <c r="C50" s="7"/>
      <c r="D50" s="2"/>
      <c r="E50" s="2"/>
      <c r="F50" s="2"/>
      <c r="G50" s="2"/>
      <c r="H50" s="2"/>
      <c r="I50" s="2"/>
      <c r="J50" s="2"/>
    </row>
    <row r="51" spans="2:20" ht="15.6" x14ac:dyDescent="0.3">
      <c r="B51" s="2"/>
      <c r="C51" s="7" t="s">
        <v>43</v>
      </c>
      <c r="D51" s="22">
        <f t="shared" ref="D51:I51" si="9">+E39-D39</f>
        <v>0</v>
      </c>
      <c r="E51" s="22">
        <f t="shared" si="9"/>
        <v>0</v>
      </c>
      <c r="F51" s="22">
        <f t="shared" si="9"/>
        <v>0</v>
      </c>
      <c r="G51" s="22">
        <f t="shared" si="9"/>
        <v>0</v>
      </c>
      <c r="H51" s="22">
        <f t="shared" si="9"/>
        <v>0</v>
      </c>
      <c r="I51" s="22">
        <f t="shared" si="9"/>
        <v>0</v>
      </c>
      <c r="J51" s="23"/>
    </row>
    <row r="52" spans="2:20" ht="15.6" x14ac:dyDescent="0.3">
      <c r="B52" s="2" t="s">
        <v>44</v>
      </c>
      <c r="C52" s="7" t="s">
        <v>45</v>
      </c>
      <c r="D52" s="22">
        <f>+D51-D49</f>
        <v>0</v>
      </c>
      <c r="E52" s="22">
        <f t="shared" ref="E52:I52" si="10">+E51-E49</f>
        <v>0</v>
      </c>
      <c r="F52" s="22">
        <f t="shared" si="10"/>
        <v>0</v>
      </c>
      <c r="G52" s="22">
        <f t="shared" si="10"/>
        <v>0</v>
      </c>
      <c r="H52" s="22">
        <f t="shared" si="10"/>
        <v>0</v>
      </c>
      <c r="I52" s="22">
        <f t="shared" si="10"/>
        <v>0</v>
      </c>
      <c r="J52" s="23"/>
    </row>
    <row r="53" spans="2:20" ht="15.6" x14ac:dyDescent="0.3">
      <c r="B53" s="2" t="s">
        <v>46</v>
      </c>
      <c r="C53" s="7" t="s">
        <v>47</v>
      </c>
      <c r="D53" s="25" t="e">
        <f>D48/D47</f>
        <v>#DIV/0!</v>
      </c>
      <c r="E53" s="25" t="e">
        <f t="shared" ref="E53:I53" si="11">E48/E47</f>
        <v>#DIV/0!</v>
      </c>
      <c r="F53" s="25" t="e">
        <f t="shared" si="11"/>
        <v>#DIV/0!</v>
      </c>
      <c r="G53" s="25" t="e">
        <f t="shared" si="11"/>
        <v>#DIV/0!</v>
      </c>
      <c r="H53" s="25" t="e">
        <f t="shared" si="11"/>
        <v>#DIV/0!</v>
      </c>
      <c r="I53" s="25" t="e">
        <f t="shared" si="11"/>
        <v>#DIV/0!</v>
      </c>
      <c r="J53" s="26"/>
    </row>
    <row r="54" spans="2:20" ht="15.6" x14ac:dyDescent="0.3">
      <c r="B54" s="2" t="s">
        <v>48</v>
      </c>
      <c r="C54" s="27" t="s">
        <v>49</v>
      </c>
      <c r="D54" s="25" t="e">
        <f>+D46/D45</f>
        <v>#DIV/0!</v>
      </c>
      <c r="E54" s="25" t="e">
        <f t="shared" ref="E54:I54" si="12">+E46/E45</f>
        <v>#DIV/0!</v>
      </c>
      <c r="F54" s="25" t="e">
        <f t="shared" si="12"/>
        <v>#DIV/0!</v>
      </c>
      <c r="G54" s="25" t="e">
        <f t="shared" si="12"/>
        <v>#DIV/0!</v>
      </c>
      <c r="H54" s="25" t="e">
        <f t="shared" si="12"/>
        <v>#DIV/0!</v>
      </c>
      <c r="I54" s="25" t="e">
        <f t="shared" si="12"/>
        <v>#DIV/0!</v>
      </c>
      <c r="J54" s="26"/>
    </row>
    <row r="55" spans="2:20" ht="15.6" x14ac:dyDescent="0.3">
      <c r="B55" s="2"/>
      <c r="C55" s="27"/>
      <c r="D55" s="25"/>
      <c r="E55" s="25"/>
      <c r="F55" s="25"/>
      <c r="G55" s="25"/>
      <c r="H55" s="25"/>
      <c r="I55" s="25"/>
      <c r="J55" s="26"/>
    </row>
    <row r="56" spans="2:20" ht="15.6" x14ac:dyDescent="0.3">
      <c r="B56" s="21" t="s">
        <v>50</v>
      </c>
      <c r="C56" s="28"/>
      <c r="D56" s="28"/>
      <c r="E56" s="28"/>
      <c r="F56" s="28"/>
      <c r="G56" s="28"/>
      <c r="H56" s="28"/>
      <c r="I56" s="28"/>
      <c r="J56" s="28"/>
      <c r="O56" s="29"/>
      <c r="P56" s="29"/>
      <c r="Q56" s="29"/>
      <c r="R56" s="29"/>
      <c r="S56" s="29"/>
      <c r="T56" s="29"/>
    </row>
    <row r="57" spans="2:20" ht="15.6" x14ac:dyDescent="0.3">
      <c r="B57" s="2" t="s">
        <v>51</v>
      </c>
      <c r="C57" s="30" t="s">
        <v>52</v>
      </c>
      <c r="D57" s="174"/>
      <c r="E57" s="174"/>
      <c r="F57" s="174"/>
      <c r="G57" s="174"/>
      <c r="H57" s="174"/>
      <c r="I57" s="174"/>
      <c r="J57" s="28"/>
      <c r="O57" s="29"/>
      <c r="P57" s="29"/>
      <c r="Q57" s="29"/>
      <c r="R57" s="29"/>
      <c r="S57" s="29"/>
      <c r="T57" s="29"/>
    </row>
    <row r="58" spans="2:20" ht="15.6" x14ac:dyDescent="0.3">
      <c r="B58" s="2" t="s">
        <v>53</v>
      </c>
      <c r="C58" s="30" t="s">
        <v>54</v>
      </c>
      <c r="D58" s="174"/>
      <c r="E58" s="174"/>
      <c r="F58" s="174"/>
      <c r="G58" s="174"/>
      <c r="H58" s="174"/>
      <c r="I58" s="174"/>
      <c r="J58" s="32"/>
      <c r="O58" s="29"/>
      <c r="P58" s="29"/>
      <c r="Q58" s="29"/>
      <c r="R58" s="29"/>
      <c r="S58" s="29"/>
      <c r="T58" s="29"/>
    </row>
    <row r="59" spans="2:20" ht="15.6" x14ac:dyDescent="0.3">
      <c r="B59" s="2" t="s">
        <v>55</v>
      </c>
      <c r="C59" s="33" t="s">
        <v>56</v>
      </c>
      <c r="D59" s="34">
        <f>D57-D58</f>
        <v>0</v>
      </c>
      <c r="E59" s="34">
        <f t="shared" ref="E59:I59" si="13">E57-E58</f>
        <v>0</v>
      </c>
      <c r="F59" s="34">
        <f t="shared" si="13"/>
        <v>0</v>
      </c>
      <c r="G59" s="34">
        <f t="shared" si="13"/>
        <v>0</v>
      </c>
      <c r="H59" s="34">
        <f t="shared" si="13"/>
        <v>0</v>
      </c>
      <c r="I59" s="34">
        <f t="shared" si="13"/>
        <v>0</v>
      </c>
      <c r="J59" s="32"/>
      <c r="O59" s="29"/>
      <c r="P59" s="29"/>
      <c r="Q59" s="29"/>
      <c r="R59" s="29"/>
      <c r="S59" s="29"/>
      <c r="T59" s="29"/>
    </row>
    <row r="60" spans="2:20" ht="15.6" x14ac:dyDescent="0.3">
      <c r="B60" s="2"/>
      <c r="C60" s="30" t="s">
        <v>33</v>
      </c>
      <c r="D60" s="31">
        <f t="shared" ref="D60:I60" si="14">+D44</f>
        <v>0</v>
      </c>
      <c r="E60" s="31">
        <f t="shared" si="14"/>
        <v>0</v>
      </c>
      <c r="F60" s="31">
        <f t="shared" si="14"/>
        <v>0</v>
      </c>
      <c r="G60" s="31">
        <f t="shared" si="14"/>
        <v>0</v>
      </c>
      <c r="H60" s="31">
        <f t="shared" si="14"/>
        <v>0</v>
      </c>
      <c r="I60" s="31">
        <f t="shared" si="14"/>
        <v>0</v>
      </c>
      <c r="J60" s="28"/>
      <c r="O60" s="29"/>
      <c r="P60" s="29"/>
      <c r="Q60" s="29"/>
      <c r="R60" s="29"/>
      <c r="S60" s="29"/>
      <c r="T60" s="29"/>
    </row>
    <row r="61" spans="2:20" ht="15.6" x14ac:dyDescent="0.3">
      <c r="B61" s="2" t="s">
        <v>57</v>
      </c>
      <c r="C61" s="30" t="s">
        <v>58</v>
      </c>
      <c r="D61" s="31" t="e">
        <f t="shared" ref="D61:I61" si="15">D60*D54</f>
        <v>#DIV/0!</v>
      </c>
      <c r="E61" s="31" t="e">
        <f t="shared" si="15"/>
        <v>#DIV/0!</v>
      </c>
      <c r="F61" s="31" t="e">
        <f t="shared" si="15"/>
        <v>#DIV/0!</v>
      </c>
      <c r="G61" s="31" t="e">
        <f t="shared" si="15"/>
        <v>#DIV/0!</v>
      </c>
      <c r="H61" s="31" t="e">
        <f t="shared" si="15"/>
        <v>#DIV/0!</v>
      </c>
      <c r="I61" s="31" t="e">
        <f t="shared" si="15"/>
        <v>#DIV/0!</v>
      </c>
      <c r="J61" s="28"/>
      <c r="O61" s="29"/>
      <c r="P61" s="29"/>
      <c r="Q61" s="29"/>
      <c r="R61" s="29"/>
      <c r="S61" s="29"/>
      <c r="T61" s="29"/>
    </row>
    <row r="62" spans="2:20" ht="15.6" x14ac:dyDescent="0.3">
      <c r="B62" s="2"/>
      <c r="C62" s="30" t="s">
        <v>59</v>
      </c>
      <c r="D62" s="31">
        <f t="shared" ref="D62:I62" si="16">E38-D38</f>
        <v>0</v>
      </c>
      <c r="E62" s="31">
        <f t="shared" si="16"/>
        <v>0</v>
      </c>
      <c r="F62" s="31">
        <f t="shared" si="16"/>
        <v>0</v>
      </c>
      <c r="G62" s="31">
        <f t="shared" si="16"/>
        <v>0</v>
      </c>
      <c r="H62" s="31">
        <f t="shared" si="16"/>
        <v>0</v>
      </c>
      <c r="I62" s="31">
        <f t="shared" si="16"/>
        <v>0</v>
      </c>
      <c r="J62" s="32"/>
      <c r="O62" s="29"/>
      <c r="P62" s="29"/>
      <c r="Q62" s="29"/>
      <c r="R62" s="29"/>
      <c r="S62" s="29"/>
      <c r="T62" s="29"/>
    </row>
    <row r="63" spans="2:20" ht="15.6" x14ac:dyDescent="0.3">
      <c r="B63" s="2" t="s">
        <v>60</v>
      </c>
      <c r="C63" s="35" t="s">
        <v>61</v>
      </c>
      <c r="D63" s="36" t="e">
        <f>D59-D60+D61+D62</f>
        <v>#DIV/0!</v>
      </c>
      <c r="E63" s="36" t="e">
        <f t="shared" ref="E63:I63" si="17">E59-E60+E61+E62</f>
        <v>#DIV/0!</v>
      </c>
      <c r="F63" s="36" t="e">
        <f t="shared" si="17"/>
        <v>#DIV/0!</v>
      </c>
      <c r="G63" s="36" t="e">
        <f t="shared" si="17"/>
        <v>#DIV/0!</v>
      </c>
      <c r="H63" s="36" t="e">
        <f t="shared" si="17"/>
        <v>#DIV/0!</v>
      </c>
      <c r="I63" s="36" t="e">
        <f t="shared" si="17"/>
        <v>#DIV/0!</v>
      </c>
      <c r="J63" s="32"/>
      <c r="O63" s="29"/>
      <c r="P63" s="29"/>
      <c r="Q63" s="29"/>
      <c r="R63" s="29"/>
      <c r="S63" s="29"/>
      <c r="T63" s="29"/>
    </row>
    <row r="64" spans="2:20" ht="15.6" x14ac:dyDescent="0.3">
      <c r="B64" s="2"/>
      <c r="C64" s="30" t="s">
        <v>41</v>
      </c>
      <c r="D64" s="31">
        <f t="shared" ref="D64:I64" si="18">-D48</f>
        <v>0</v>
      </c>
      <c r="E64" s="31">
        <f t="shared" si="18"/>
        <v>0</v>
      </c>
      <c r="F64" s="31">
        <f t="shared" si="18"/>
        <v>0</v>
      </c>
      <c r="G64" s="31">
        <f t="shared" si="18"/>
        <v>0</v>
      </c>
      <c r="H64" s="31">
        <f t="shared" si="18"/>
        <v>0</v>
      </c>
      <c r="I64" s="31">
        <f t="shared" si="18"/>
        <v>0</v>
      </c>
      <c r="J64" s="28"/>
      <c r="O64" s="29"/>
      <c r="P64" s="29"/>
      <c r="Q64" s="29"/>
      <c r="R64" s="29"/>
      <c r="S64" s="29"/>
      <c r="T64" s="29"/>
    </row>
    <row r="65" spans="2:20" ht="15.6" x14ac:dyDescent="0.3">
      <c r="B65" s="2"/>
      <c r="C65" s="37" t="s">
        <v>62</v>
      </c>
      <c r="D65" s="38">
        <f t="shared" ref="D65:I65" si="19">D51-D49</f>
        <v>0</v>
      </c>
      <c r="E65" s="38">
        <f t="shared" si="19"/>
        <v>0</v>
      </c>
      <c r="F65" s="38">
        <f t="shared" si="19"/>
        <v>0</v>
      </c>
      <c r="G65" s="38">
        <f t="shared" si="19"/>
        <v>0</v>
      </c>
      <c r="H65" s="38">
        <f t="shared" si="19"/>
        <v>0</v>
      </c>
      <c r="I65" s="38">
        <f t="shared" si="19"/>
        <v>0</v>
      </c>
      <c r="J65" s="39"/>
      <c r="O65" s="29"/>
      <c r="P65" s="29"/>
      <c r="Q65" s="29"/>
      <c r="R65" s="29"/>
      <c r="S65" s="29"/>
      <c r="T65" s="29"/>
    </row>
    <row r="66" spans="2:20" ht="15.6" x14ac:dyDescent="0.3">
      <c r="B66" s="2"/>
      <c r="C66" s="30" t="s">
        <v>63</v>
      </c>
      <c r="D66" s="31" t="e">
        <f>SUM(D63:D65)</f>
        <v>#DIV/0!</v>
      </c>
      <c r="E66" s="31" t="e">
        <f t="shared" ref="E66:I66" si="20">SUM(E63:E65)</f>
        <v>#DIV/0!</v>
      </c>
      <c r="F66" s="31" t="e">
        <f t="shared" si="20"/>
        <v>#DIV/0!</v>
      </c>
      <c r="G66" s="31" t="e">
        <f t="shared" si="20"/>
        <v>#DIV/0!</v>
      </c>
      <c r="H66" s="31" t="e">
        <f t="shared" si="20"/>
        <v>#DIV/0!</v>
      </c>
      <c r="I66" s="31" t="e">
        <f t="shared" si="20"/>
        <v>#DIV/0!</v>
      </c>
      <c r="J66" s="32"/>
      <c r="O66" s="29"/>
      <c r="P66" s="29"/>
      <c r="Q66" s="29"/>
      <c r="R66" s="29"/>
      <c r="S66" s="29"/>
      <c r="T66" s="29"/>
    </row>
    <row r="67" spans="2:20" x14ac:dyDescent="0.3">
      <c r="O67" s="29"/>
      <c r="P67" s="29"/>
      <c r="Q67" s="29"/>
      <c r="R67" s="29"/>
      <c r="S67" s="29"/>
      <c r="T67" s="29"/>
    </row>
    <row r="68" spans="2:20" x14ac:dyDescent="0.3">
      <c r="O68" s="29"/>
      <c r="P68" s="29"/>
      <c r="Q68" s="29"/>
      <c r="R68" s="29"/>
      <c r="S68" s="29"/>
      <c r="T68" s="29"/>
    </row>
    <row r="69" spans="2:20" ht="15.6" x14ac:dyDescent="0.3">
      <c r="B69" s="40" t="s">
        <v>64</v>
      </c>
      <c r="C69" t="s">
        <v>65</v>
      </c>
      <c r="D69" s="41" t="e">
        <f t="shared" ref="D69:I69" si="21">D59+D61</f>
        <v>#DIV/0!</v>
      </c>
      <c r="E69" s="41" t="e">
        <f t="shared" si="21"/>
        <v>#DIV/0!</v>
      </c>
      <c r="F69" s="41" t="e">
        <f t="shared" si="21"/>
        <v>#DIV/0!</v>
      </c>
      <c r="G69" s="41" t="e">
        <f t="shared" si="21"/>
        <v>#DIV/0!</v>
      </c>
      <c r="H69" s="41" t="e">
        <f t="shared" si="21"/>
        <v>#DIV/0!</v>
      </c>
      <c r="I69" s="41" t="e">
        <f t="shared" si="21"/>
        <v>#DIV/0!</v>
      </c>
      <c r="J69" s="41"/>
      <c r="O69" s="29"/>
      <c r="P69" s="29"/>
      <c r="Q69" s="29"/>
      <c r="R69" s="29"/>
      <c r="S69" s="29"/>
      <c r="T69" s="29"/>
    </row>
    <row r="70" spans="2:20" ht="15.6" x14ac:dyDescent="0.3">
      <c r="B70" s="40"/>
      <c r="C70" t="s">
        <v>12</v>
      </c>
      <c r="D70" s="13">
        <f t="shared" ref="D70:I70" si="22">D28</f>
        <v>0</v>
      </c>
      <c r="E70" s="13">
        <f t="shared" si="22"/>
        <v>0</v>
      </c>
      <c r="F70" s="13">
        <f t="shared" si="22"/>
        <v>0</v>
      </c>
      <c r="G70" s="13">
        <f t="shared" si="22"/>
        <v>0</v>
      </c>
      <c r="H70" s="13">
        <f t="shared" si="22"/>
        <v>0</v>
      </c>
      <c r="I70" s="13">
        <f t="shared" si="22"/>
        <v>0</v>
      </c>
      <c r="J70" s="41"/>
      <c r="O70" s="29"/>
      <c r="P70" s="29"/>
      <c r="Q70" s="29"/>
      <c r="R70" s="29"/>
      <c r="S70" s="29"/>
      <c r="T70" s="29"/>
    </row>
    <row r="71" spans="2:20" ht="15.6" x14ac:dyDescent="0.3">
      <c r="B71" s="42" t="s">
        <v>66</v>
      </c>
      <c r="C71" s="43" t="s">
        <v>67</v>
      </c>
      <c r="D71" s="44" t="e">
        <f t="shared" ref="D71:G71" si="23">(E71+D69)/(1+D70)</f>
        <v>#DIV/0!</v>
      </c>
      <c r="E71" s="44" t="e">
        <f t="shared" si="23"/>
        <v>#DIV/0!</v>
      </c>
      <c r="F71" s="44" t="e">
        <f t="shared" si="23"/>
        <v>#DIV/0!</v>
      </c>
      <c r="G71" s="44" t="e">
        <f t="shared" si="23"/>
        <v>#DIV/0!</v>
      </c>
      <c r="H71" s="44" t="e">
        <f>(I71+H69)/(1+H70)</f>
        <v>#DIV/0!</v>
      </c>
      <c r="I71" s="44" t="e">
        <f>I69/(I70-I24)</f>
        <v>#DIV/0!</v>
      </c>
      <c r="J71" s="45"/>
      <c r="L71" t="s">
        <v>68</v>
      </c>
      <c r="O71" s="29"/>
      <c r="P71" s="29"/>
      <c r="Q71" s="29"/>
      <c r="R71" s="29"/>
      <c r="S71" s="29"/>
      <c r="T71" s="29"/>
    </row>
    <row r="72" spans="2:20" ht="15.6" x14ac:dyDescent="0.3">
      <c r="B72" s="46"/>
      <c r="C72" s="47"/>
      <c r="D72" s="45"/>
      <c r="E72" s="45"/>
      <c r="F72" s="45"/>
      <c r="G72" s="45"/>
      <c r="H72" s="45"/>
      <c r="I72" s="45"/>
      <c r="J72" s="45"/>
      <c r="O72" s="48"/>
      <c r="P72" s="48"/>
      <c r="Q72" s="48"/>
      <c r="R72" s="48"/>
      <c r="S72" s="48"/>
      <c r="T72" s="48"/>
    </row>
    <row r="73" spans="2:20" ht="15.6" x14ac:dyDescent="0.3">
      <c r="B73" s="46"/>
      <c r="D73" s="29"/>
      <c r="E73" s="29"/>
      <c r="F73" s="29"/>
      <c r="G73" s="29"/>
      <c r="H73" s="29"/>
      <c r="I73" s="29"/>
      <c r="J73" s="48"/>
    </row>
    <row r="74" spans="2:20" ht="15.6" x14ac:dyDescent="0.3">
      <c r="B74" s="40" t="s">
        <v>69</v>
      </c>
      <c r="C74" t="s">
        <v>61</v>
      </c>
      <c r="D74" s="41" t="e">
        <f t="shared" ref="D74:I74" si="24">D63</f>
        <v>#DIV/0!</v>
      </c>
      <c r="E74" s="41" t="e">
        <f t="shared" si="24"/>
        <v>#DIV/0!</v>
      </c>
      <c r="F74" s="41" t="e">
        <f t="shared" si="24"/>
        <v>#DIV/0!</v>
      </c>
      <c r="G74" s="41" t="e">
        <f t="shared" si="24"/>
        <v>#DIV/0!</v>
      </c>
      <c r="H74" s="41" t="e">
        <f t="shared" si="24"/>
        <v>#DIV/0!</v>
      </c>
      <c r="I74" s="41" t="e">
        <f t="shared" si="24"/>
        <v>#DIV/0!</v>
      </c>
      <c r="J74" s="41"/>
    </row>
    <row r="75" spans="2:20" ht="15.6" x14ac:dyDescent="0.3">
      <c r="B75" s="40"/>
      <c r="C75" t="s">
        <v>15</v>
      </c>
      <c r="D75" s="13">
        <f t="shared" ref="D75:I75" si="25">D30</f>
        <v>0</v>
      </c>
      <c r="E75" s="13">
        <f t="shared" si="25"/>
        <v>0</v>
      </c>
      <c r="F75" s="13">
        <f t="shared" si="25"/>
        <v>0</v>
      </c>
      <c r="G75" s="13">
        <f t="shared" si="25"/>
        <v>0</v>
      </c>
      <c r="H75" s="13">
        <f t="shared" si="25"/>
        <v>0</v>
      </c>
      <c r="I75" s="13">
        <f t="shared" si="25"/>
        <v>0</v>
      </c>
      <c r="J75" s="41"/>
    </row>
    <row r="76" spans="2:20" ht="15.6" x14ac:dyDescent="0.3">
      <c r="C76" s="49" t="s">
        <v>70</v>
      </c>
      <c r="D76" s="50" t="e">
        <f t="shared" ref="D76:G76" si="26">(E76+D74)/(1+D75)</f>
        <v>#DIV/0!</v>
      </c>
      <c r="E76" s="50" t="e">
        <f t="shared" si="26"/>
        <v>#DIV/0!</v>
      </c>
      <c r="F76" s="50" t="e">
        <f t="shared" si="26"/>
        <v>#DIV/0!</v>
      </c>
      <c r="G76" s="50" t="e">
        <f t="shared" si="26"/>
        <v>#DIV/0!</v>
      </c>
      <c r="H76" s="50" t="e">
        <f>(I76+H74)/(1+H75)</f>
        <v>#DIV/0!</v>
      </c>
      <c r="I76" s="51" t="e">
        <f>I74/(I75-I24)</f>
        <v>#DIV/0!</v>
      </c>
      <c r="J76" s="48"/>
    </row>
    <row r="77" spans="2:20" ht="15.6" x14ac:dyDescent="0.3">
      <c r="C77" t="s">
        <v>71</v>
      </c>
      <c r="D77" s="45">
        <f>D38</f>
        <v>0</v>
      </c>
      <c r="E77" s="45">
        <f t="shared" ref="E77:I77" si="27">E38</f>
        <v>0</v>
      </c>
      <c r="F77" s="45">
        <f t="shared" si="27"/>
        <v>0</v>
      </c>
      <c r="G77" s="45">
        <f t="shared" si="27"/>
        <v>0</v>
      </c>
      <c r="H77" s="45">
        <f t="shared" si="27"/>
        <v>0</v>
      </c>
      <c r="I77" s="45">
        <f t="shared" si="27"/>
        <v>0</v>
      </c>
      <c r="J77" s="48"/>
    </row>
    <row r="78" spans="2:20" ht="15.6" x14ac:dyDescent="0.3">
      <c r="C78" s="43" t="s">
        <v>67</v>
      </c>
      <c r="D78" s="44" t="e">
        <f>+D76+D77</f>
        <v>#DIV/0!</v>
      </c>
      <c r="E78" s="44" t="e">
        <f t="shared" ref="E78:I78" si="28">+E76+E77</f>
        <v>#DIV/0!</v>
      </c>
      <c r="F78" s="44" t="e">
        <f t="shared" si="28"/>
        <v>#DIV/0!</v>
      </c>
      <c r="G78" s="44" t="e">
        <f t="shared" si="28"/>
        <v>#DIV/0!</v>
      </c>
      <c r="H78" s="44" t="e">
        <f t="shared" si="28"/>
        <v>#DIV/0!</v>
      </c>
      <c r="I78" s="44" t="e">
        <f t="shared" si="28"/>
        <v>#DIV/0!</v>
      </c>
      <c r="J78" s="52"/>
      <c r="L78" t="s">
        <v>72</v>
      </c>
    </row>
    <row r="79" spans="2:20" x14ac:dyDescent="0.3">
      <c r="C79" t="s">
        <v>73</v>
      </c>
      <c r="D79" s="41" t="e">
        <f>+D78-D$84</f>
        <v>#DIV/0!</v>
      </c>
      <c r="E79" s="41" t="e">
        <f t="shared" ref="E79:I79" si="29">+E78-E$84</f>
        <v>#DIV/0!</v>
      </c>
      <c r="F79" s="41" t="e">
        <f t="shared" si="29"/>
        <v>#DIV/0!</v>
      </c>
      <c r="G79" s="41" t="e">
        <f t="shared" si="29"/>
        <v>#DIV/0!</v>
      </c>
      <c r="H79" s="41" t="e">
        <f t="shared" si="29"/>
        <v>#DIV/0!</v>
      </c>
      <c r="I79" s="41" t="e">
        <f t="shared" si="29"/>
        <v>#DIV/0!</v>
      </c>
      <c r="J79" s="41"/>
    </row>
    <row r="80" spans="2:20" x14ac:dyDescent="0.3">
      <c r="D80" s="41"/>
      <c r="E80" s="41"/>
      <c r="F80" s="41"/>
      <c r="G80" s="41"/>
      <c r="H80" s="41"/>
      <c r="I80" s="41"/>
      <c r="J80" s="41"/>
    </row>
    <row r="82" spans="2:12" ht="15.6" x14ac:dyDescent="0.3">
      <c r="B82" s="40" t="s">
        <v>74</v>
      </c>
      <c r="C82" t="s">
        <v>56</v>
      </c>
      <c r="D82" s="29">
        <f t="shared" ref="D82:I82" si="30">D59</f>
        <v>0</v>
      </c>
      <c r="E82" s="29">
        <f t="shared" si="30"/>
        <v>0</v>
      </c>
      <c r="F82" s="29">
        <f t="shared" si="30"/>
        <v>0</v>
      </c>
      <c r="G82" s="29">
        <f t="shared" si="30"/>
        <v>0</v>
      </c>
      <c r="H82" s="29">
        <f t="shared" si="30"/>
        <v>0</v>
      </c>
      <c r="I82" s="29">
        <f t="shared" si="30"/>
        <v>0</v>
      </c>
      <c r="J82" s="6"/>
    </row>
    <row r="83" spans="2:12" x14ac:dyDescent="0.3">
      <c r="C83" t="s">
        <v>17</v>
      </c>
      <c r="D83" s="13">
        <f t="shared" ref="D83:I83" si="31">D31</f>
        <v>0</v>
      </c>
      <c r="E83" s="13">
        <f t="shared" si="31"/>
        <v>0</v>
      </c>
      <c r="F83" s="13">
        <f t="shared" si="31"/>
        <v>0</v>
      </c>
      <c r="G83" s="13">
        <f t="shared" si="31"/>
        <v>0</v>
      </c>
      <c r="H83" s="13">
        <f t="shared" si="31"/>
        <v>0</v>
      </c>
      <c r="I83" s="13">
        <f t="shared" si="31"/>
        <v>0</v>
      </c>
      <c r="J83" s="48"/>
    </row>
    <row r="84" spans="2:12" ht="15.6" x14ac:dyDescent="0.3">
      <c r="B84" t="s">
        <v>75</v>
      </c>
      <c r="C84" s="43" t="s">
        <v>67</v>
      </c>
      <c r="D84" s="44" t="e">
        <f t="shared" ref="D84:G84" si="32">(E84+D82)/(1+D83)</f>
        <v>#DIV/0!</v>
      </c>
      <c r="E84" s="44" t="e">
        <f t="shared" si="32"/>
        <v>#DIV/0!</v>
      </c>
      <c r="F84" s="44" t="e">
        <f t="shared" si="32"/>
        <v>#DIV/0!</v>
      </c>
      <c r="G84" s="44" t="e">
        <f t="shared" si="32"/>
        <v>#DIV/0!</v>
      </c>
      <c r="H84" s="44" t="e">
        <f>(I84+H82)/(1+H83)</f>
        <v>#DIV/0!</v>
      </c>
      <c r="I84" s="44" t="e">
        <f>+I82/(I83-I24)</f>
        <v>#DIV/0!</v>
      </c>
      <c r="J84" s="45"/>
      <c r="L84" t="s">
        <v>76</v>
      </c>
    </row>
    <row r="85" spans="2:12" x14ac:dyDescent="0.3">
      <c r="C85" t="s">
        <v>73</v>
      </c>
      <c r="D85" s="41" t="e">
        <f>+D84-D$84</f>
        <v>#DIV/0!</v>
      </c>
      <c r="E85" s="41" t="e">
        <f t="shared" ref="E85:I85" si="33">+E84-E$84</f>
        <v>#DIV/0!</v>
      </c>
      <c r="F85" s="41" t="e">
        <f t="shared" si="33"/>
        <v>#DIV/0!</v>
      </c>
      <c r="G85" s="41" t="e">
        <f t="shared" si="33"/>
        <v>#DIV/0!</v>
      </c>
      <c r="H85" s="41" t="e">
        <f t="shared" si="33"/>
        <v>#DIV/0!</v>
      </c>
      <c r="I85" s="41" t="e">
        <f t="shared" si="33"/>
        <v>#DIV/0!</v>
      </c>
      <c r="J85" s="41"/>
    </row>
    <row r="86" spans="2:12" x14ac:dyDescent="0.3">
      <c r="D86" s="41"/>
      <c r="E86" s="41"/>
      <c r="F86" s="41"/>
      <c r="G86" s="41"/>
      <c r="H86" s="41"/>
      <c r="I86" s="41"/>
      <c r="J86" s="41"/>
    </row>
    <row r="87" spans="2:12" x14ac:dyDescent="0.3">
      <c r="J87" s="48"/>
    </row>
    <row r="88" spans="2:12" ht="15.6" x14ac:dyDescent="0.3">
      <c r="B88" s="40" t="s">
        <v>77</v>
      </c>
      <c r="C88" t="s">
        <v>78</v>
      </c>
      <c r="D88" s="29">
        <f t="shared" ref="D88:I88" si="34">D57</f>
        <v>0</v>
      </c>
      <c r="E88" s="29">
        <f t="shared" si="34"/>
        <v>0</v>
      </c>
      <c r="F88" s="29">
        <f t="shared" si="34"/>
        <v>0</v>
      </c>
      <c r="G88" s="29">
        <f t="shared" si="34"/>
        <v>0</v>
      </c>
      <c r="H88" s="29">
        <f t="shared" si="34"/>
        <v>0</v>
      </c>
      <c r="I88" s="29">
        <f t="shared" si="34"/>
        <v>0</v>
      </c>
      <c r="J88" s="48"/>
    </row>
    <row r="89" spans="2:12" x14ac:dyDescent="0.3">
      <c r="C89" t="s">
        <v>79</v>
      </c>
      <c r="D89" s="29">
        <f>D92*D31</f>
        <v>0</v>
      </c>
      <c r="E89" s="29">
        <f t="shared" ref="E89:I89" si="35">E92*E83</f>
        <v>0</v>
      </c>
      <c r="F89" s="29">
        <f t="shared" si="35"/>
        <v>0</v>
      </c>
      <c r="G89" s="29">
        <f t="shared" si="35"/>
        <v>0</v>
      </c>
      <c r="H89" s="29">
        <f t="shared" si="35"/>
        <v>0</v>
      </c>
      <c r="I89" s="29">
        <f t="shared" si="35"/>
        <v>0</v>
      </c>
      <c r="J89" s="48"/>
    </row>
    <row r="90" spans="2:12" x14ac:dyDescent="0.3">
      <c r="B90" t="s">
        <v>80</v>
      </c>
      <c r="C90" t="s">
        <v>81</v>
      </c>
      <c r="D90" s="29">
        <f>+D88-D89</f>
        <v>0</v>
      </c>
      <c r="E90" s="29">
        <f t="shared" ref="E90:I90" si="36">+E88-E89</f>
        <v>0</v>
      </c>
      <c r="F90" s="29">
        <f t="shared" si="36"/>
        <v>0</v>
      </c>
      <c r="G90" s="29">
        <f t="shared" si="36"/>
        <v>0</v>
      </c>
      <c r="H90" s="29">
        <f t="shared" si="36"/>
        <v>0</v>
      </c>
      <c r="I90" s="29">
        <f t="shared" si="36"/>
        <v>0</v>
      </c>
      <c r="J90" s="48"/>
    </row>
    <row r="91" spans="2:12" x14ac:dyDescent="0.3">
      <c r="B91" t="s">
        <v>82</v>
      </c>
      <c r="C91" s="49" t="s">
        <v>83</v>
      </c>
      <c r="D91" s="51" t="e">
        <f>+(D90+E91)/(1+D31)</f>
        <v>#DIV/0!</v>
      </c>
      <c r="E91" s="51" t="e">
        <f>+(E90+F91)/(1+E31)</f>
        <v>#DIV/0!</v>
      </c>
      <c r="F91" s="51" t="e">
        <f>+(F90+G91)/(1+F31)</f>
        <v>#DIV/0!</v>
      </c>
      <c r="G91" s="51" t="e">
        <f>+(G90+H91)/(1+G31)</f>
        <v>#DIV/0!</v>
      </c>
      <c r="H91" s="51" t="e">
        <f>+(H90+I91)/(1+H31)</f>
        <v>#DIV/0!</v>
      </c>
      <c r="I91" s="53" t="e">
        <f>+I90/I31+I58*(J22-J31)/(J31*(J31-J24))</f>
        <v>#DIV/0!</v>
      </c>
      <c r="J91" s="48"/>
      <c r="L91" t="s">
        <v>84</v>
      </c>
    </row>
    <row r="92" spans="2:12" x14ac:dyDescent="0.3">
      <c r="C92" t="s">
        <v>85</v>
      </c>
      <c r="D92" s="29">
        <f t="shared" ref="D92:I92" si="37">D37</f>
        <v>0</v>
      </c>
      <c r="E92" s="29">
        <f t="shared" si="37"/>
        <v>0</v>
      </c>
      <c r="F92" s="29">
        <f t="shared" si="37"/>
        <v>0</v>
      </c>
      <c r="G92" s="29">
        <f t="shared" si="37"/>
        <v>0</v>
      </c>
      <c r="H92" s="29">
        <f t="shared" si="37"/>
        <v>0</v>
      </c>
      <c r="I92" s="29">
        <f t="shared" si="37"/>
        <v>0</v>
      </c>
      <c r="J92" s="48"/>
    </row>
    <row r="93" spans="2:12" ht="15.6" x14ac:dyDescent="0.3">
      <c r="C93" s="43" t="s">
        <v>67</v>
      </c>
      <c r="D93" s="44" t="e">
        <f>D92+D91</f>
        <v>#DIV/0!</v>
      </c>
      <c r="E93" s="44" t="e">
        <f t="shared" ref="E93:H93" si="38">E92+E91</f>
        <v>#DIV/0!</v>
      </c>
      <c r="F93" s="44" t="e">
        <f t="shared" si="38"/>
        <v>#DIV/0!</v>
      </c>
      <c r="G93" s="44" t="e">
        <f t="shared" si="38"/>
        <v>#DIV/0!</v>
      </c>
      <c r="H93" s="44" t="e">
        <f t="shared" si="38"/>
        <v>#DIV/0!</v>
      </c>
      <c r="I93" s="44" t="e">
        <f>I92+I91</f>
        <v>#DIV/0!</v>
      </c>
      <c r="J93" s="45"/>
    </row>
    <row r="94" spans="2:12" x14ac:dyDescent="0.3">
      <c r="C94" t="s">
        <v>73</v>
      </c>
      <c r="D94" s="41" t="e">
        <f>+D93-D$84</f>
        <v>#DIV/0!</v>
      </c>
      <c r="E94" s="41" t="e">
        <f t="shared" ref="E94:I94" si="39">+E93-E$84</f>
        <v>#DIV/0!</v>
      </c>
      <c r="F94" s="41" t="e">
        <f t="shared" si="39"/>
        <v>#DIV/0!</v>
      </c>
      <c r="G94" s="41" t="e">
        <f t="shared" si="39"/>
        <v>#DIV/0!</v>
      </c>
      <c r="H94" s="41" t="e">
        <f t="shared" si="39"/>
        <v>#DIV/0!</v>
      </c>
      <c r="I94" s="41" t="e">
        <f t="shared" si="39"/>
        <v>#DIV/0!</v>
      </c>
      <c r="J94" s="41"/>
    </row>
    <row r="95" spans="2:12" x14ac:dyDescent="0.3">
      <c r="D95" s="41"/>
      <c r="E95" s="41"/>
      <c r="F95" s="41"/>
      <c r="G95" s="41"/>
      <c r="H95" s="41"/>
      <c r="I95" s="41"/>
      <c r="J95" s="41"/>
    </row>
    <row r="96" spans="2:12" ht="15.6" x14ac:dyDescent="0.3">
      <c r="B96" s="40" t="s">
        <v>86</v>
      </c>
      <c r="D96" s="29"/>
      <c r="E96" s="29"/>
      <c r="F96" s="29"/>
      <c r="G96" s="29"/>
      <c r="H96" s="29"/>
      <c r="I96" s="29"/>
      <c r="J96" s="41"/>
    </row>
    <row r="97" spans="3:10" x14ac:dyDescent="0.3">
      <c r="C97" t="s">
        <v>87</v>
      </c>
      <c r="D97" s="29">
        <f t="shared" ref="D97:I97" si="40">D39</f>
        <v>0</v>
      </c>
      <c r="E97" s="29">
        <f t="shared" si="40"/>
        <v>0</v>
      </c>
      <c r="F97" s="29">
        <f t="shared" si="40"/>
        <v>0</v>
      </c>
      <c r="G97" s="29">
        <f t="shared" si="40"/>
        <v>0</v>
      </c>
      <c r="H97" s="29">
        <f t="shared" si="40"/>
        <v>0</v>
      </c>
      <c r="I97" s="29">
        <f t="shared" si="40"/>
        <v>0</v>
      </c>
      <c r="J97" s="41"/>
    </row>
    <row r="98" spans="3:10" x14ac:dyDescent="0.3">
      <c r="C98" t="s">
        <v>88</v>
      </c>
      <c r="D98" s="29">
        <f t="shared" ref="D98:I98" si="41">+D97*D30</f>
        <v>0</v>
      </c>
      <c r="E98" s="29">
        <f t="shared" si="41"/>
        <v>0</v>
      </c>
      <c r="F98" s="29">
        <f t="shared" si="41"/>
        <v>0</v>
      </c>
      <c r="G98" s="29">
        <f t="shared" si="41"/>
        <v>0</v>
      </c>
      <c r="H98" s="29">
        <f t="shared" si="41"/>
        <v>0</v>
      </c>
      <c r="I98" s="29">
        <f t="shared" si="41"/>
        <v>0</v>
      </c>
      <c r="J98" s="41"/>
    </row>
    <row r="99" spans="3:10" x14ac:dyDescent="0.3">
      <c r="C99" t="s">
        <v>89</v>
      </c>
      <c r="D99" s="29">
        <f t="shared" ref="D99:I99" si="42">+D47-D98</f>
        <v>0</v>
      </c>
      <c r="E99" s="29">
        <f t="shared" si="42"/>
        <v>0</v>
      </c>
      <c r="F99" s="29">
        <f t="shared" si="42"/>
        <v>0</v>
      </c>
      <c r="G99" s="29">
        <f t="shared" si="42"/>
        <v>0</v>
      </c>
      <c r="H99" s="29">
        <f t="shared" si="42"/>
        <v>0</v>
      </c>
      <c r="I99" s="29">
        <f t="shared" si="42"/>
        <v>0</v>
      </c>
      <c r="J99" s="41"/>
    </row>
    <row r="100" spans="3:10" x14ac:dyDescent="0.3">
      <c r="C100" s="49" t="s">
        <v>90</v>
      </c>
      <c r="D100" s="51" t="e">
        <f>(D99+E100)/(1+D30)</f>
        <v>#DIV/0!</v>
      </c>
      <c r="E100" s="51" t="e">
        <f>(E99+F100)/(1+E30)</f>
        <v>#DIV/0!</v>
      </c>
      <c r="F100" s="51" t="e">
        <f>(F99+G100)/(1+F30)</f>
        <v>#DIV/0!</v>
      </c>
      <c r="G100" s="51" t="e">
        <f>(G99+H100)/(1+G30)</f>
        <v>#DIV/0!</v>
      </c>
      <c r="H100" s="51" t="e">
        <f>(H99+I100)/(1+H30)</f>
        <v>#DIV/0!</v>
      </c>
      <c r="I100" s="53" t="e">
        <f>I76-I39</f>
        <v>#DIV/0!</v>
      </c>
      <c r="J100" s="54"/>
    </row>
    <row r="101" spans="3:10" x14ac:dyDescent="0.3">
      <c r="C101" t="s">
        <v>70</v>
      </c>
      <c r="D101" s="29" t="e">
        <f>D97+D100</f>
        <v>#DIV/0!</v>
      </c>
      <c r="E101" s="29" t="e">
        <f t="shared" ref="E101:I101" si="43">E97+E100</f>
        <v>#DIV/0!</v>
      </c>
      <c r="F101" s="29" t="e">
        <f t="shared" si="43"/>
        <v>#DIV/0!</v>
      </c>
      <c r="G101" s="29" t="e">
        <f t="shared" si="43"/>
        <v>#DIV/0!</v>
      </c>
      <c r="H101" s="29" t="e">
        <f t="shared" si="43"/>
        <v>#DIV/0!</v>
      </c>
      <c r="I101" s="29" t="e">
        <f t="shared" si="43"/>
        <v>#DIV/0!</v>
      </c>
      <c r="J101" s="41"/>
    </row>
    <row r="102" spans="3:10" x14ac:dyDescent="0.3">
      <c r="C102" t="s">
        <v>71</v>
      </c>
      <c r="D102" s="29">
        <f t="shared" ref="D102:I102" si="44">+D38</f>
        <v>0</v>
      </c>
      <c r="E102" s="29">
        <f t="shared" si="44"/>
        <v>0</v>
      </c>
      <c r="F102" s="29">
        <f t="shared" si="44"/>
        <v>0</v>
      </c>
      <c r="G102" s="29">
        <f t="shared" si="44"/>
        <v>0</v>
      </c>
      <c r="H102" s="29">
        <f t="shared" si="44"/>
        <v>0</v>
      </c>
      <c r="I102" s="29">
        <f t="shared" si="44"/>
        <v>0</v>
      </c>
      <c r="J102" s="41"/>
    </row>
    <row r="103" spans="3:10" ht="15.6" x14ac:dyDescent="0.3">
      <c r="C103" s="43" t="s">
        <v>67</v>
      </c>
      <c r="D103" s="44" t="e">
        <f>+D101+D102</f>
        <v>#DIV/0!</v>
      </c>
      <c r="E103" s="44" t="e">
        <f t="shared" ref="E103:I103" si="45">+E101+E102</f>
        <v>#DIV/0!</v>
      </c>
      <c r="F103" s="44" t="e">
        <f t="shared" si="45"/>
        <v>#DIV/0!</v>
      </c>
      <c r="G103" s="44" t="e">
        <f t="shared" si="45"/>
        <v>#DIV/0!</v>
      </c>
      <c r="H103" s="44" t="e">
        <f t="shared" si="45"/>
        <v>#DIV/0!</v>
      </c>
      <c r="I103" s="44" t="e">
        <f t="shared" si="45"/>
        <v>#DIV/0!</v>
      </c>
      <c r="J103" s="45"/>
    </row>
    <row r="104" spans="3:10" x14ac:dyDescent="0.3">
      <c r="C104" t="s">
        <v>73</v>
      </c>
      <c r="D104" s="29" t="e">
        <f>+D103-D$84</f>
        <v>#DIV/0!</v>
      </c>
      <c r="E104" s="29" t="e">
        <f t="shared" ref="E104:I104" si="46">+E103-E$84</f>
        <v>#DIV/0!</v>
      </c>
      <c r="F104" s="29" t="e">
        <f t="shared" si="46"/>
        <v>#DIV/0!</v>
      </c>
      <c r="G104" s="29" t="e">
        <f t="shared" si="46"/>
        <v>#DIV/0!</v>
      </c>
      <c r="H104" s="29" t="e">
        <f t="shared" si="46"/>
        <v>#DIV/0!</v>
      </c>
      <c r="I104" s="29" t="e">
        <f t="shared" si="46"/>
        <v>#DIV/0!</v>
      </c>
      <c r="J104" s="4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AF81E-2590-42DA-8951-BA15E824D8D5}">
  <dimension ref="B2:L45"/>
  <sheetViews>
    <sheetView workbookViewId="0">
      <selection activeCell="G19" sqref="G19"/>
    </sheetView>
  </sheetViews>
  <sheetFormatPr defaultRowHeight="14.4" x14ac:dyDescent="0.3"/>
  <cols>
    <col min="1" max="1" width="4.6640625" customWidth="1"/>
    <col min="2" max="2" width="44.77734375" bestFit="1" customWidth="1"/>
    <col min="3" max="5" width="6.21875" bestFit="1" customWidth="1"/>
    <col min="6" max="6" width="39.77734375" bestFit="1" customWidth="1"/>
  </cols>
  <sheetData>
    <row r="2" spans="2:6" ht="15.6" x14ac:dyDescent="0.3">
      <c r="B2" s="55" t="s">
        <v>11</v>
      </c>
      <c r="C2" s="56"/>
      <c r="D2" s="57"/>
      <c r="E2" s="58"/>
      <c r="F2" t="s">
        <v>91</v>
      </c>
    </row>
    <row r="4" spans="2:6" ht="15.6" x14ac:dyDescent="0.3">
      <c r="B4" s="59" t="s">
        <v>31</v>
      </c>
      <c r="C4" s="59"/>
      <c r="D4" s="60"/>
      <c r="E4" s="61"/>
    </row>
    <row r="5" spans="2:6" ht="15.6" x14ac:dyDescent="0.3">
      <c r="B5" s="62" t="s">
        <v>92</v>
      </c>
      <c r="C5" s="62"/>
      <c r="D5" s="63"/>
      <c r="E5" s="64"/>
    </row>
    <row r="6" spans="2:6" ht="15.6" x14ac:dyDescent="0.3">
      <c r="B6" s="62" t="s">
        <v>93</v>
      </c>
      <c r="C6" s="62"/>
      <c r="D6" s="65">
        <f>+D4-D5</f>
        <v>0</v>
      </c>
      <c r="E6" s="66">
        <f>+E4-E5</f>
        <v>0</v>
      </c>
      <c r="F6" t="s">
        <v>366</v>
      </c>
    </row>
    <row r="7" spans="2:6" ht="15.6" x14ac:dyDescent="0.3">
      <c r="B7" s="62" t="s">
        <v>52</v>
      </c>
      <c r="C7" s="62"/>
      <c r="D7" s="65">
        <f>D6*(1-D2)</f>
        <v>0</v>
      </c>
      <c r="E7" s="66">
        <f>E6*(1-E2)</f>
        <v>0</v>
      </c>
    </row>
    <row r="8" spans="2:6" ht="15.6" x14ac:dyDescent="0.3">
      <c r="B8" s="62" t="s">
        <v>94</v>
      </c>
      <c r="C8" s="62"/>
      <c r="D8" s="65"/>
      <c r="E8" s="66"/>
    </row>
    <row r="9" spans="2:6" ht="15.6" x14ac:dyDescent="0.3">
      <c r="B9" s="67" t="s">
        <v>95</v>
      </c>
      <c r="C9" s="67"/>
      <c r="D9" s="68">
        <f>D7+D8</f>
        <v>0</v>
      </c>
      <c r="E9" s="69">
        <f>E7+E8</f>
        <v>0</v>
      </c>
    </row>
    <row r="10" spans="2:6" ht="15.6" x14ac:dyDescent="0.3">
      <c r="B10" s="62" t="s">
        <v>96</v>
      </c>
      <c r="C10" s="62"/>
      <c r="D10" s="65"/>
      <c r="E10" s="66"/>
      <c r="F10" t="s">
        <v>97</v>
      </c>
    </row>
    <row r="11" spans="2:6" ht="15.6" x14ac:dyDescent="0.3">
      <c r="B11" s="62" t="s">
        <v>98</v>
      </c>
      <c r="C11" s="62"/>
      <c r="D11" s="65"/>
      <c r="E11" s="66"/>
      <c r="F11" t="s">
        <v>97</v>
      </c>
    </row>
    <row r="12" spans="2:6" ht="15.6" x14ac:dyDescent="0.3">
      <c r="B12" s="62" t="s">
        <v>367</v>
      </c>
      <c r="C12" s="62"/>
      <c r="D12" s="65"/>
      <c r="E12" s="66"/>
      <c r="F12" t="s">
        <v>363</v>
      </c>
    </row>
    <row r="13" spans="2:6" ht="15.6" x14ac:dyDescent="0.3">
      <c r="B13" s="62" t="s">
        <v>99</v>
      </c>
      <c r="C13" s="62"/>
      <c r="D13" s="65"/>
      <c r="E13" s="66"/>
      <c r="F13" t="s">
        <v>100</v>
      </c>
    </row>
    <row r="14" spans="2:6" ht="15.6" x14ac:dyDescent="0.3">
      <c r="B14" s="62" t="s">
        <v>364</v>
      </c>
      <c r="C14" s="62"/>
      <c r="D14" s="65"/>
      <c r="E14" s="66"/>
      <c r="F14" t="s">
        <v>365</v>
      </c>
    </row>
    <row r="15" spans="2:6" ht="15.6" x14ac:dyDescent="0.3">
      <c r="B15" s="70" t="s">
        <v>102</v>
      </c>
      <c r="C15" s="70"/>
      <c r="D15" s="71">
        <f>+D9+SUM(D10:D14)</f>
        <v>0</v>
      </c>
      <c r="E15" s="72">
        <f>+E9+SUM(E10:E14)</f>
        <v>0</v>
      </c>
    </row>
    <row r="16" spans="2:6" ht="15.6" x14ac:dyDescent="0.3">
      <c r="B16" s="62" t="s">
        <v>94</v>
      </c>
      <c r="C16" s="62"/>
      <c r="D16" s="63">
        <f>-D8</f>
        <v>0</v>
      </c>
      <c r="E16" s="64">
        <f>-E8</f>
        <v>0</v>
      </c>
    </row>
    <row r="17" spans="2:6" ht="15.6" x14ac:dyDescent="0.3">
      <c r="B17" s="73" t="s">
        <v>103</v>
      </c>
      <c r="C17" s="73"/>
      <c r="D17" s="63"/>
      <c r="E17" s="64"/>
      <c r="F17" t="s">
        <v>104</v>
      </c>
    </row>
    <row r="18" spans="2:6" ht="15.6" x14ac:dyDescent="0.3">
      <c r="B18" s="73" t="s">
        <v>105</v>
      </c>
      <c r="C18" s="73"/>
      <c r="D18" s="63"/>
      <c r="E18" s="64"/>
    </row>
    <row r="19" spans="2:6" ht="15.6" x14ac:dyDescent="0.3">
      <c r="B19" s="73" t="s">
        <v>106</v>
      </c>
      <c r="C19" s="73"/>
      <c r="D19" s="63"/>
      <c r="E19" s="64"/>
    </row>
    <row r="20" spans="2:6" ht="15.6" x14ac:dyDescent="0.3">
      <c r="B20" s="73" t="s">
        <v>107</v>
      </c>
      <c r="C20" s="73"/>
      <c r="D20" s="42">
        <f>D19*D2</f>
        <v>0</v>
      </c>
      <c r="E20" s="74">
        <f>E19*E2</f>
        <v>0</v>
      </c>
    </row>
    <row r="21" spans="2:6" ht="15.6" x14ac:dyDescent="0.3">
      <c r="B21" s="70" t="s">
        <v>108</v>
      </c>
      <c r="C21" s="70"/>
      <c r="D21" s="71">
        <f>SUM(D16:D19)-D20</f>
        <v>0</v>
      </c>
      <c r="E21" s="72">
        <f>SUM(E16:E19)-E20</f>
        <v>0</v>
      </c>
    </row>
    <row r="22" spans="2:6" ht="15.6" x14ac:dyDescent="0.3">
      <c r="B22" s="75" t="s">
        <v>109</v>
      </c>
      <c r="C22" s="75"/>
      <c r="D22" s="76">
        <f>D15+D21</f>
        <v>0</v>
      </c>
      <c r="E22" s="77">
        <f>E15+E21</f>
        <v>0</v>
      </c>
    </row>
    <row r="23" spans="2:6" ht="15.6" x14ac:dyDescent="0.3">
      <c r="B23" s="62" t="s">
        <v>110</v>
      </c>
      <c r="C23" s="62"/>
      <c r="D23" s="63"/>
      <c r="E23" s="64"/>
      <c r="F23" t="s">
        <v>368</v>
      </c>
    </row>
    <row r="24" spans="2:6" ht="15.6" x14ac:dyDescent="0.3">
      <c r="B24" s="62" t="s">
        <v>111</v>
      </c>
      <c r="C24" s="62"/>
      <c r="D24" s="42">
        <f>D23*D2</f>
        <v>0</v>
      </c>
      <c r="E24" s="74">
        <f>E23*E2</f>
        <v>0</v>
      </c>
    </row>
    <row r="25" spans="2:6" ht="15.6" x14ac:dyDescent="0.3">
      <c r="B25" s="62" t="s">
        <v>361</v>
      </c>
      <c r="C25" s="62"/>
      <c r="D25" s="42"/>
      <c r="E25" s="74"/>
      <c r="F25" t="s">
        <v>101</v>
      </c>
    </row>
    <row r="26" spans="2:6" ht="15.6" x14ac:dyDescent="0.3">
      <c r="B26" s="78" t="s">
        <v>112</v>
      </c>
      <c r="C26" s="78"/>
      <c r="D26" s="63"/>
      <c r="E26" s="64"/>
      <c r="F26" t="s">
        <v>100</v>
      </c>
    </row>
    <row r="27" spans="2:6" ht="15.6" x14ac:dyDescent="0.3">
      <c r="B27" s="79" t="s">
        <v>113</v>
      </c>
      <c r="C27" s="79"/>
      <c r="D27" s="80">
        <f>D22-D23+D24+D26</f>
        <v>0</v>
      </c>
      <c r="E27" s="81">
        <f>E22-E23+E24+E26</f>
        <v>0</v>
      </c>
    </row>
    <row r="28" spans="2:6" ht="15.6" x14ac:dyDescent="0.3">
      <c r="B28" s="42"/>
      <c r="C28" s="42"/>
      <c r="D28" s="42"/>
      <c r="E28" s="42"/>
    </row>
    <row r="29" spans="2:6" ht="15.6" x14ac:dyDescent="0.3">
      <c r="B29" s="82" t="s">
        <v>41</v>
      </c>
      <c r="C29" s="60"/>
      <c r="D29" s="60"/>
      <c r="E29" s="61"/>
    </row>
    <row r="30" spans="2:6" ht="15.6" x14ac:dyDescent="0.3">
      <c r="B30" s="83" t="s">
        <v>114</v>
      </c>
      <c r="C30" s="63"/>
      <c r="D30" s="63"/>
      <c r="E30" s="64"/>
      <c r="F30" t="s">
        <v>115</v>
      </c>
    </row>
    <row r="31" spans="2:6" ht="15.6" x14ac:dyDescent="0.3">
      <c r="B31" s="84" t="s">
        <v>116</v>
      </c>
      <c r="C31" s="85"/>
      <c r="D31" s="85">
        <f>+D27-D29+D30</f>
        <v>0</v>
      </c>
      <c r="E31" s="86">
        <f>+E27-E29+E30</f>
        <v>0</v>
      </c>
    </row>
    <row r="32" spans="2:6" ht="15.6" x14ac:dyDescent="0.3">
      <c r="B32" s="87"/>
      <c r="C32" s="42"/>
      <c r="D32" s="88"/>
      <c r="E32" s="88"/>
    </row>
    <row r="33" spans="2:12" ht="15.6" x14ac:dyDescent="0.3">
      <c r="B33" s="63" t="s">
        <v>117</v>
      </c>
      <c r="C33" s="63"/>
      <c r="D33" s="63"/>
      <c r="E33" s="63"/>
      <c r="F33" t="s">
        <v>362</v>
      </c>
    </row>
    <row r="34" spans="2:12" ht="15.6" x14ac:dyDescent="0.3">
      <c r="B34" s="63" t="s">
        <v>118</v>
      </c>
      <c r="C34" s="63"/>
      <c r="D34" s="63"/>
      <c r="E34" s="63"/>
    </row>
    <row r="35" spans="2:12" ht="15.6" x14ac:dyDescent="0.3">
      <c r="B35" s="42" t="s">
        <v>119</v>
      </c>
      <c r="C35" s="63">
        <f>+SUM(C33:C34)</f>
        <v>0</v>
      </c>
      <c r="D35" s="63">
        <f>+SUM(D33:D34)</f>
        <v>0</v>
      </c>
      <c r="E35" s="63">
        <f>+SUM(E33:E34)</f>
        <v>0</v>
      </c>
    </row>
    <row r="36" spans="2:12" ht="15.6" x14ac:dyDescent="0.3">
      <c r="B36" s="89" t="s">
        <v>116</v>
      </c>
      <c r="C36" s="90"/>
      <c r="D36" s="91">
        <f>+D35-C35</f>
        <v>0</v>
      </c>
      <c r="E36" s="91">
        <f>+E35-D35</f>
        <v>0</v>
      </c>
    </row>
    <row r="38" spans="2:12" x14ac:dyDescent="0.3">
      <c r="B38" t="s">
        <v>73</v>
      </c>
      <c r="D38" s="4">
        <f>D31-D36</f>
        <v>0</v>
      </c>
      <c r="E38" s="4">
        <f>E31-E36</f>
        <v>0</v>
      </c>
    </row>
    <row r="39" spans="2:12" x14ac:dyDescent="0.3">
      <c r="D39" s="4"/>
      <c r="E39" s="4"/>
    </row>
    <row r="41" spans="2:12" ht="15.6" x14ac:dyDescent="0.3">
      <c r="B41" s="176" t="s">
        <v>369</v>
      </c>
      <c r="C41" s="177"/>
      <c r="D41" s="178"/>
      <c r="E41" s="179"/>
      <c r="G41" s="231" t="s">
        <v>373</v>
      </c>
      <c r="H41" s="231"/>
      <c r="I41" s="231"/>
      <c r="J41" s="231"/>
      <c r="K41" s="231"/>
      <c r="L41" s="231"/>
    </row>
    <row r="42" spans="2:12" ht="15.6" x14ac:dyDescent="0.3">
      <c r="B42" s="180" t="s">
        <v>370</v>
      </c>
      <c r="D42" s="181"/>
      <c r="E42" s="182"/>
      <c r="G42" s="231"/>
      <c r="H42" s="231"/>
      <c r="I42" s="231"/>
      <c r="J42" s="231"/>
      <c r="K42" s="231"/>
      <c r="L42" s="231"/>
    </row>
    <row r="43" spans="2:12" ht="15.6" x14ac:dyDescent="0.3">
      <c r="B43" s="183" t="s">
        <v>371</v>
      </c>
      <c r="D43" s="181"/>
      <c r="E43" s="182"/>
      <c r="G43" s="231"/>
      <c r="H43" s="231"/>
      <c r="I43" s="231"/>
      <c r="J43" s="231"/>
      <c r="K43" s="231"/>
      <c r="L43" s="231"/>
    </row>
    <row r="44" spans="2:12" ht="15.6" x14ac:dyDescent="0.3">
      <c r="B44" s="184" t="s">
        <v>58</v>
      </c>
      <c r="D44" s="181"/>
      <c r="E44" s="182"/>
      <c r="G44" s="231"/>
      <c r="H44" s="231"/>
      <c r="I44" s="231"/>
      <c r="J44" s="231"/>
      <c r="K44" s="231"/>
      <c r="L44" s="231"/>
    </row>
    <row r="45" spans="2:12" ht="15.6" x14ac:dyDescent="0.3">
      <c r="B45" s="84" t="s">
        <v>372</v>
      </c>
      <c r="C45" s="185"/>
      <c r="D45" s="186">
        <f>SUM(D41:D44)</f>
        <v>0</v>
      </c>
      <c r="E45" s="187">
        <f>SUM(E41:E44)</f>
        <v>0</v>
      </c>
      <c r="G45" s="231"/>
      <c r="H45" s="231"/>
      <c r="I45" s="231"/>
      <c r="J45" s="231"/>
      <c r="K45" s="231"/>
      <c r="L45" s="231"/>
    </row>
  </sheetData>
  <mergeCells count="1">
    <mergeCell ref="G41:L4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BBD2D-1ED4-4510-8C1E-F78644FE3DF0}">
  <dimension ref="A9:F56"/>
  <sheetViews>
    <sheetView topLeftCell="A45" workbookViewId="0">
      <selection activeCell="C53" sqref="C53"/>
    </sheetView>
  </sheetViews>
  <sheetFormatPr defaultRowHeight="14.4" x14ac:dyDescent="0.3"/>
  <cols>
    <col min="1" max="1" width="13.5546875" bestFit="1" customWidth="1"/>
    <col min="2" max="2" width="60.77734375" style="137" bestFit="1" customWidth="1"/>
    <col min="3" max="3" width="30.33203125" bestFit="1" customWidth="1"/>
    <col min="4" max="6" width="13.6640625" customWidth="1"/>
  </cols>
  <sheetData>
    <row r="9" spans="2:6" ht="15" thickBot="1" x14ac:dyDescent="0.35"/>
    <row r="10" spans="2:6" ht="16.2" thickBot="1" x14ac:dyDescent="0.35">
      <c r="C10" s="188"/>
      <c r="D10" s="189">
        <f ca="1">+E10-1</f>
        <v>2020</v>
      </c>
      <c r="E10" s="189">
        <f ca="1">+F10-1</f>
        <v>2021</v>
      </c>
      <c r="F10" s="189">
        <f ca="1">+YEAR(TODAY())-1</f>
        <v>2022</v>
      </c>
    </row>
    <row r="11" spans="2:6" ht="16.2" thickBot="1" x14ac:dyDescent="0.35">
      <c r="C11" s="190" t="s">
        <v>29</v>
      </c>
      <c r="D11" s="191">
        <v>20000</v>
      </c>
      <c r="E11" s="191">
        <v>22000</v>
      </c>
      <c r="F11" s="191">
        <v>25000</v>
      </c>
    </row>
    <row r="12" spans="2:6" ht="16.2" thickBot="1" x14ac:dyDescent="0.35">
      <c r="B12" s="192" t="s">
        <v>374</v>
      </c>
      <c r="C12" s="193" t="s">
        <v>375</v>
      </c>
      <c r="D12" s="194">
        <v>0</v>
      </c>
      <c r="E12" s="194">
        <v>500</v>
      </c>
      <c r="F12" s="194">
        <v>1000</v>
      </c>
    </row>
    <row r="13" spans="2:6" ht="16.2" thickBot="1" x14ac:dyDescent="0.35">
      <c r="C13" s="190" t="s">
        <v>376</v>
      </c>
      <c r="D13" s="191">
        <v>10000</v>
      </c>
      <c r="E13" s="191">
        <v>12000</v>
      </c>
      <c r="F13" s="191">
        <v>13000</v>
      </c>
    </row>
    <row r="14" spans="2:6" ht="16.2" thickBot="1" x14ac:dyDescent="0.35">
      <c r="C14" s="190" t="s">
        <v>377</v>
      </c>
      <c r="D14" s="191">
        <v>5000</v>
      </c>
      <c r="E14" s="191">
        <v>6000</v>
      </c>
      <c r="F14" s="191">
        <v>7000</v>
      </c>
    </row>
    <row r="15" spans="2:6" ht="16.2" thickBot="1" x14ac:dyDescent="0.35">
      <c r="C15" s="190" t="s">
        <v>94</v>
      </c>
      <c r="D15" s="191">
        <v>250</v>
      </c>
      <c r="E15" s="191">
        <v>150</v>
      </c>
      <c r="F15" s="191">
        <v>180</v>
      </c>
    </row>
    <row r="16" spans="2:6" ht="16.2" thickBot="1" x14ac:dyDescent="0.35">
      <c r="C16" s="195" t="s">
        <v>31</v>
      </c>
      <c r="D16" s="196">
        <f>+D11+D12-D13-D14-D15</f>
        <v>4750</v>
      </c>
      <c r="E16" s="196">
        <f>+E11+E12-E13-E14-E15</f>
        <v>4350</v>
      </c>
      <c r="F16" s="196">
        <f>+F11+F12-F13-F14-F15</f>
        <v>5820</v>
      </c>
    </row>
    <row r="17" spans="2:6" ht="16.2" thickBot="1" x14ac:dyDescent="0.35">
      <c r="B17" s="232" t="s">
        <v>378</v>
      </c>
      <c r="C17" s="197" t="s">
        <v>379</v>
      </c>
      <c r="D17" s="198">
        <v>100</v>
      </c>
      <c r="E17" s="198">
        <v>0</v>
      </c>
      <c r="F17" s="198">
        <v>120</v>
      </c>
    </row>
    <row r="18" spans="2:6" ht="16.2" thickBot="1" x14ac:dyDescent="0.35">
      <c r="B18" s="232"/>
      <c r="C18" s="197" t="s">
        <v>380</v>
      </c>
      <c r="D18" s="198">
        <v>0</v>
      </c>
      <c r="E18" s="198">
        <v>10</v>
      </c>
      <c r="F18" s="198">
        <v>50</v>
      </c>
    </row>
    <row r="19" spans="2:6" ht="16.2" thickBot="1" x14ac:dyDescent="0.35">
      <c r="B19" s="232"/>
      <c r="C19" s="197" t="s">
        <v>381</v>
      </c>
      <c r="D19" s="198">
        <v>80</v>
      </c>
      <c r="E19" s="198">
        <v>85</v>
      </c>
      <c r="F19" s="198">
        <v>40</v>
      </c>
    </row>
    <row r="20" spans="2:6" ht="16.2" thickBot="1" x14ac:dyDescent="0.35">
      <c r="B20" s="232"/>
      <c r="C20" s="199" t="s">
        <v>382</v>
      </c>
      <c r="D20" s="200">
        <f>+D17+D18-D19</f>
        <v>20</v>
      </c>
      <c r="E20" s="200">
        <f t="shared" ref="E20:F20" si="0">+E17+E18-E19</f>
        <v>-75</v>
      </c>
      <c r="F20" s="200">
        <f t="shared" si="0"/>
        <v>130</v>
      </c>
    </row>
    <row r="21" spans="2:6" ht="16.2" thickBot="1" x14ac:dyDescent="0.35">
      <c r="C21" s="190" t="s">
        <v>35</v>
      </c>
      <c r="D21" s="191">
        <f>+D20+D16</f>
        <v>4770</v>
      </c>
      <c r="E21" s="191">
        <f t="shared" ref="E21:F21" si="1">+E20+E16</f>
        <v>4275</v>
      </c>
      <c r="F21" s="191">
        <f t="shared" si="1"/>
        <v>5950</v>
      </c>
    </row>
    <row r="22" spans="2:6" ht="16.2" thickBot="1" x14ac:dyDescent="0.35">
      <c r="C22" s="190" t="s">
        <v>37</v>
      </c>
      <c r="D22" s="191">
        <v>500</v>
      </c>
      <c r="E22" s="191">
        <v>400</v>
      </c>
      <c r="F22" s="191">
        <v>600</v>
      </c>
    </row>
    <row r="23" spans="2:6" ht="16.2" thickBot="1" x14ac:dyDescent="0.35">
      <c r="C23" s="195" t="s">
        <v>39</v>
      </c>
      <c r="D23" s="196">
        <f>+D21-D22</f>
        <v>4270</v>
      </c>
      <c r="E23" s="196">
        <f t="shared" ref="E23:F23" si="2">+E21-E22</f>
        <v>3875</v>
      </c>
      <c r="F23" s="196">
        <f t="shared" si="2"/>
        <v>5350</v>
      </c>
    </row>
    <row r="24" spans="2:6" ht="16.2" thickBot="1" x14ac:dyDescent="0.35">
      <c r="C24" s="190" t="s">
        <v>41</v>
      </c>
      <c r="D24" s="191">
        <v>2800</v>
      </c>
      <c r="E24" s="191">
        <v>2900</v>
      </c>
      <c r="F24" s="191">
        <v>3400</v>
      </c>
    </row>
    <row r="25" spans="2:6" ht="16.2" thickBot="1" x14ac:dyDescent="0.35">
      <c r="C25" s="190" t="s">
        <v>42</v>
      </c>
      <c r="D25" s="191">
        <f>+D23-D24</f>
        <v>1470</v>
      </c>
      <c r="E25" s="191">
        <f t="shared" ref="E25:F25" si="3">+E23-E24</f>
        <v>975</v>
      </c>
      <c r="F25" s="191">
        <f t="shared" si="3"/>
        <v>1950</v>
      </c>
    </row>
    <row r="26" spans="2:6" ht="16.2" thickBot="1" x14ac:dyDescent="0.35">
      <c r="C26" s="201"/>
      <c r="D26" s="202"/>
      <c r="E26" s="202"/>
      <c r="F26" s="202"/>
    </row>
    <row r="27" spans="2:6" ht="16.2" thickBot="1" x14ac:dyDescent="0.35">
      <c r="C27" s="190" t="s">
        <v>172</v>
      </c>
      <c r="D27" s="191">
        <v>500</v>
      </c>
      <c r="E27" s="191">
        <v>600</v>
      </c>
      <c r="F27" s="191">
        <v>400</v>
      </c>
    </row>
    <row r="28" spans="2:6" ht="16.2" thickBot="1" x14ac:dyDescent="0.35">
      <c r="B28" s="192" t="s">
        <v>383</v>
      </c>
      <c r="C28" s="203" t="s">
        <v>384</v>
      </c>
      <c r="D28" s="204">
        <v>500</v>
      </c>
      <c r="E28" s="204">
        <v>550</v>
      </c>
      <c r="F28" s="204">
        <v>400</v>
      </c>
    </row>
    <row r="29" spans="2:6" ht="16.2" thickBot="1" x14ac:dyDescent="0.35">
      <c r="B29" s="205" t="s">
        <v>385</v>
      </c>
      <c r="C29" s="206" t="s">
        <v>118</v>
      </c>
      <c r="D29" s="207">
        <v>0</v>
      </c>
      <c r="E29" s="207">
        <v>50</v>
      </c>
      <c r="F29" s="207">
        <v>0</v>
      </c>
    </row>
    <row r="30" spans="2:6" ht="16.2" thickBot="1" x14ac:dyDescent="0.35">
      <c r="C30" s="190" t="s">
        <v>170</v>
      </c>
      <c r="D30" s="191">
        <v>300</v>
      </c>
      <c r="E30" s="191">
        <v>800</v>
      </c>
      <c r="F30" s="191">
        <v>1200</v>
      </c>
    </row>
    <row r="31" spans="2:6" ht="16.2" thickBot="1" x14ac:dyDescent="0.35">
      <c r="C31" s="190" t="s">
        <v>168</v>
      </c>
      <c r="D31" s="191">
        <v>400</v>
      </c>
      <c r="E31" s="191">
        <v>500</v>
      </c>
      <c r="F31" s="191">
        <v>700</v>
      </c>
    </row>
    <row r="32" spans="2:6" ht="16.8" thickBot="1" x14ac:dyDescent="0.35">
      <c r="C32" s="195" t="s">
        <v>386</v>
      </c>
      <c r="D32" s="208">
        <f>SUM(D27:D31)</f>
        <v>1700</v>
      </c>
      <c r="E32" s="208">
        <f t="shared" ref="E32:F32" si="4">SUM(E27:E31)</f>
        <v>2500</v>
      </c>
      <c r="F32" s="208">
        <f t="shared" si="4"/>
        <v>2700</v>
      </c>
    </row>
    <row r="33" spans="1:6" ht="16.2" thickBot="1" x14ac:dyDescent="0.35">
      <c r="B33" s="192" t="s">
        <v>387</v>
      </c>
      <c r="C33" s="203" t="s">
        <v>388</v>
      </c>
      <c r="D33" s="204">
        <v>1500</v>
      </c>
      <c r="E33" s="204">
        <v>1800</v>
      </c>
      <c r="F33" s="204">
        <v>2200</v>
      </c>
    </row>
    <row r="34" spans="1:6" ht="16.2" thickBot="1" x14ac:dyDescent="0.35">
      <c r="C34" s="195" t="s">
        <v>389</v>
      </c>
      <c r="D34" s="196">
        <f>+D33+D32</f>
        <v>3200</v>
      </c>
      <c r="E34" s="196">
        <f t="shared" ref="E34:F34" si="5">+E33+E32</f>
        <v>4300</v>
      </c>
      <c r="F34" s="196">
        <f t="shared" si="5"/>
        <v>4900</v>
      </c>
    </row>
    <row r="35" spans="1:6" ht="16.2" thickBot="1" x14ac:dyDescent="0.35">
      <c r="B35" s="205" t="s">
        <v>385</v>
      </c>
      <c r="C35" s="197" t="s">
        <v>390</v>
      </c>
      <c r="D35" s="198">
        <v>300</v>
      </c>
      <c r="E35" s="198">
        <v>250</v>
      </c>
      <c r="F35" s="198">
        <v>100</v>
      </c>
    </row>
    <row r="36" spans="1:6" ht="16.2" thickBot="1" x14ac:dyDescent="0.35">
      <c r="C36" s="190" t="s">
        <v>173</v>
      </c>
      <c r="D36" s="191">
        <v>300</v>
      </c>
      <c r="E36" s="191">
        <v>240</v>
      </c>
      <c r="F36" s="191">
        <v>450</v>
      </c>
    </row>
    <row r="37" spans="1:6" ht="16.2" thickBot="1" x14ac:dyDescent="0.35">
      <c r="C37" s="195" t="s">
        <v>391</v>
      </c>
      <c r="D37" s="196">
        <f>+D35+D36</f>
        <v>600</v>
      </c>
      <c r="E37" s="196">
        <f>+E35+E36</f>
        <v>490</v>
      </c>
      <c r="F37" s="196">
        <f>+F35+F36</f>
        <v>550</v>
      </c>
    </row>
    <row r="38" spans="1:6" ht="16.2" thickBot="1" x14ac:dyDescent="0.35">
      <c r="C38" s="190" t="s">
        <v>392</v>
      </c>
      <c r="D38" s="191">
        <v>1000</v>
      </c>
      <c r="E38" s="191">
        <v>1600</v>
      </c>
      <c r="F38" s="191">
        <v>2100</v>
      </c>
    </row>
    <row r="39" spans="1:6" ht="16.2" thickBot="1" x14ac:dyDescent="0.35">
      <c r="C39" s="190" t="s">
        <v>174</v>
      </c>
      <c r="D39" s="191">
        <f>+D34-D37-D38</f>
        <v>1600</v>
      </c>
      <c r="E39" s="191">
        <f t="shared" ref="E39:F39" si="6">+E34-E37-E38</f>
        <v>2210</v>
      </c>
      <c r="F39" s="191">
        <f t="shared" si="6"/>
        <v>2250</v>
      </c>
    </row>
    <row r="40" spans="1:6" ht="16.2" thickBot="1" x14ac:dyDescent="0.35">
      <c r="C40" s="195" t="s">
        <v>393</v>
      </c>
      <c r="D40" s="196">
        <f>+D37+D38+D39</f>
        <v>3200</v>
      </c>
      <c r="E40" s="196">
        <f t="shared" ref="E40:F40" si="7">+E37+E38+E39</f>
        <v>4300</v>
      </c>
      <c r="F40" s="196">
        <f t="shared" si="7"/>
        <v>4900</v>
      </c>
    </row>
    <row r="42" spans="1:6" ht="15.6" x14ac:dyDescent="0.3">
      <c r="B42" s="209" t="s">
        <v>394</v>
      </c>
      <c r="C42" s="210" t="s">
        <v>395</v>
      </c>
      <c r="D42" s="211"/>
      <c r="E42" s="212">
        <v>0.12</v>
      </c>
      <c r="F42" s="212">
        <v>0.06</v>
      </c>
    </row>
    <row r="43" spans="1:6" x14ac:dyDescent="0.3">
      <c r="E43" s="6"/>
      <c r="F43" s="6"/>
    </row>
    <row r="44" spans="1:6" x14ac:dyDescent="0.3">
      <c r="C44" t="s">
        <v>396</v>
      </c>
      <c r="D44" s="213">
        <f>D22/D21</f>
        <v>0.10482180293501048</v>
      </c>
      <c r="E44" s="213">
        <f>E22/E21</f>
        <v>9.3567251461988299E-2</v>
      </c>
      <c r="F44" s="213">
        <f>F22/F21</f>
        <v>0.10084033613445378</v>
      </c>
    </row>
    <row r="46" spans="1:6" ht="15.6" x14ac:dyDescent="0.3">
      <c r="B46" s="214" t="s">
        <v>397</v>
      </c>
      <c r="C46" s="215" t="s">
        <v>398</v>
      </c>
      <c r="E46" s="216">
        <f>(E11/D11-1)*(1-E42)</f>
        <v>8.8000000000000078E-2</v>
      </c>
      <c r="F46" s="216">
        <f>(F11/E11-1)*(1-F42)</f>
        <v>0.12818181818181826</v>
      </c>
    </row>
    <row r="47" spans="1:6" ht="15.6" x14ac:dyDescent="0.3">
      <c r="A47" s="233" t="s">
        <v>399</v>
      </c>
      <c r="B47" s="217" t="s">
        <v>400</v>
      </c>
      <c r="C47" t="s">
        <v>401</v>
      </c>
      <c r="D47" s="218">
        <f>D30/D11*360</f>
        <v>5.3999999999999995</v>
      </c>
      <c r="E47" s="218">
        <f>E30/E11*360</f>
        <v>13.09090909090909</v>
      </c>
      <c r="F47" s="218">
        <f>F30/F11*360</f>
        <v>17.28</v>
      </c>
    </row>
    <row r="48" spans="1:6" ht="15.6" x14ac:dyDescent="0.3">
      <c r="A48" s="233"/>
      <c r="B48" s="217" t="s">
        <v>402</v>
      </c>
      <c r="C48" t="s">
        <v>403</v>
      </c>
      <c r="D48" s="218">
        <f>D36/D13*360</f>
        <v>10.799999999999999</v>
      </c>
      <c r="E48" s="218">
        <f>E36/E13*360</f>
        <v>7.2</v>
      </c>
      <c r="F48" s="218">
        <f>F36/F13*360</f>
        <v>12.461538461538462</v>
      </c>
    </row>
    <row r="49" spans="1:6" ht="15.6" x14ac:dyDescent="0.3">
      <c r="A49" s="233"/>
      <c r="B49" s="217" t="s">
        <v>404</v>
      </c>
      <c r="C49" t="s">
        <v>414</v>
      </c>
      <c r="D49" s="218">
        <f>D31/(D13+D14)*360</f>
        <v>9.6000000000000014</v>
      </c>
      <c r="E49" s="218">
        <f>E31/(E13+E14)*360</f>
        <v>10</v>
      </c>
      <c r="F49" s="218">
        <f>F31/(F13+F14)*360</f>
        <v>12.600000000000001</v>
      </c>
    </row>
    <row r="50" spans="1:6" ht="15.6" x14ac:dyDescent="0.3">
      <c r="A50" s="219"/>
    </row>
    <row r="51" spans="1:6" ht="15.6" x14ac:dyDescent="0.3">
      <c r="A51" s="220"/>
      <c r="B51" s="221" t="s">
        <v>405</v>
      </c>
      <c r="C51" s="215" t="s">
        <v>406</v>
      </c>
      <c r="D51" s="216">
        <f>(D38+D35)/(D39+D38+D35)</f>
        <v>0.44827586206896552</v>
      </c>
      <c r="E51" s="216">
        <f>(E38+E35)/(E39+E38+E35)</f>
        <v>0.45566502463054187</v>
      </c>
      <c r="F51" s="216">
        <f>(F38+F35)/(F39+F38+F35)</f>
        <v>0.4943820224719101</v>
      </c>
    </row>
    <row r="52" spans="1:6" ht="15.6" x14ac:dyDescent="0.3">
      <c r="B52" s="214" t="s">
        <v>407</v>
      </c>
      <c r="C52" s="222" t="s">
        <v>408</v>
      </c>
      <c r="D52" s="223">
        <f>D16*(1-D44)/D39</f>
        <v>2.6575602725366876</v>
      </c>
      <c r="E52" s="223">
        <f>E16*(1-E44)/E39</f>
        <v>1.7841549575295705</v>
      </c>
      <c r="F52" s="223">
        <f>F16*(1-F44)/F39</f>
        <v>2.3258263305322133</v>
      </c>
    </row>
    <row r="53" spans="1:6" ht="15.6" x14ac:dyDescent="0.3">
      <c r="B53" s="214" t="s">
        <v>409</v>
      </c>
      <c r="C53" s="222" t="s">
        <v>410</v>
      </c>
      <c r="D53" s="224">
        <f>(D38)/D39</f>
        <v>0.625</v>
      </c>
      <c r="E53" s="224">
        <f t="shared" ref="E53" si="8">(E38)/E39</f>
        <v>0.72398190045248867</v>
      </c>
      <c r="F53" s="224">
        <f>(F38+F35)/F39</f>
        <v>0.97777777777777775</v>
      </c>
    </row>
    <row r="54" spans="1:6" ht="15.6" x14ac:dyDescent="0.3">
      <c r="A54" s="225"/>
      <c r="B54" s="214" t="s">
        <v>411</v>
      </c>
      <c r="C54" s="215" t="s">
        <v>412</v>
      </c>
      <c r="D54" s="226">
        <f>D16*(1-D44)/((D28+D30+D31+D33)-D36)</f>
        <v>1.7717068483577918</v>
      </c>
      <c r="E54" s="226">
        <f t="shared" ref="E54:F54" si="9">E16*(1-E44)/((E28+E30+E31+E33)-E36)</f>
        <v>1.1562998405103668</v>
      </c>
      <c r="F54" s="226">
        <f t="shared" si="9"/>
        <v>1.2921257391845629</v>
      </c>
    </row>
    <row r="55" spans="1:6" x14ac:dyDescent="0.3">
      <c r="A55" t="s">
        <v>413</v>
      </c>
      <c r="B55" s="227" t="s">
        <v>415</v>
      </c>
    </row>
    <row r="56" spans="1:6" x14ac:dyDescent="0.3">
      <c r="B56" s="228" t="s">
        <v>416</v>
      </c>
    </row>
  </sheetData>
  <mergeCells count="2">
    <mergeCell ref="B17:B20"/>
    <mergeCell ref="A47:A4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F5064-D9E0-473D-9DFF-4187AD5BF743}">
  <dimension ref="B2:J32"/>
  <sheetViews>
    <sheetView workbookViewId="0">
      <selection activeCell="E17" sqref="E17"/>
    </sheetView>
  </sheetViews>
  <sheetFormatPr defaultRowHeight="14.4" x14ac:dyDescent="0.3"/>
  <cols>
    <col min="2" max="2" width="40.109375" bestFit="1" customWidth="1"/>
    <col min="3" max="3" width="23.21875" customWidth="1"/>
    <col min="4" max="9" width="4.88671875" bestFit="1" customWidth="1"/>
    <col min="10" max="10" width="40.109375" bestFit="1" customWidth="1"/>
  </cols>
  <sheetData>
    <row r="2" spans="2:10" ht="15.6" x14ac:dyDescent="0.3">
      <c r="B2" s="92" t="s">
        <v>120</v>
      </c>
    </row>
    <row r="3" spans="2:10" x14ac:dyDescent="0.3">
      <c r="B3" s="93"/>
    </row>
    <row r="4" spans="2:10" x14ac:dyDescent="0.3">
      <c r="B4" s="93" t="s">
        <v>121</v>
      </c>
      <c r="C4" s="94" t="s">
        <v>122</v>
      </c>
      <c r="D4" s="95"/>
      <c r="E4" s="95">
        <f>D4-D7</f>
        <v>0</v>
      </c>
      <c r="F4" s="95">
        <f>E4-E7</f>
        <v>0</v>
      </c>
      <c r="G4" s="95">
        <f t="shared" ref="G4:H4" si="0">F4-F7</f>
        <v>0</v>
      </c>
      <c r="H4" s="95">
        <f t="shared" si="0"/>
        <v>0</v>
      </c>
      <c r="I4" s="94"/>
      <c r="J4" s="94" t="s">
        <v>123</v>
      </c>
    </row>
    <row r="5" spans="2:10" x14ac:dyDescent="0.3">
      <c r="B5" s="93"/>
      <c r="C5" t="s">
        <v>124</v>
      </c>
      <c r="D5" s="6"/>
      <c r="E5" s="6"/>
      <c r="F5" s="6"/>
      <c r="G5" s="6"/>
      <c r="H5" s="6"/>
    </row>
    <row r="6" spans="2:10" x14ac:dyDescent="0.3">
      <c r="B6" s="93"/>
      <c r="C6" t="s">
        <v>125</v>
      </c>
      <c r="D6" s="6"/>
      <c r="E6" s="6"/>
      <c r="F6" s="6"/>
      <c r="G6" s="6"/>
      <c r="H6" s="6"/>
    </row>
    <row r="7" spans="2:10" x14ac:dyDescent="0.3">
      <c r="B7" s="93" t="s">
        <v>126</v>
      </c>
      <c r="C7" t="s">
        <v>127</v>
      </c>
      <c r="E7" s="4"/>
      <c r="F7" s="4"/>
      <c r="G7" s="4"/>
      <c r="H7" s="4"/>
    </row>
    <row r="8" spans="2:10" x14ac:dyDescent="0.3">
      <c r="B8" s="93"/>
      <c r="C8" t="s">
        <v>33</v>
      </c>
      <c r="D8" s="4">
        <f>+D4*D5</f>
        <v>0</v>
      </c>
      <c r="E8" s="4">
        <f>+E4*E5</f>
        <v>0</v>
      </c>
      <c r="F8" s="4">
        <f>+F4*F5</f>
        <v>0</v>
      </c>
      <c r="G8" s="4">
        <f>+G4*G5</f>
        <v>0</v>
      </c>
      <c r="H8" s="4">
        <f>+H4*H5</f>
        <v>0</v>
      </c>
    </row>
    <row r="9" spans="2:10" x14ac:dyDescent="0.3">
      <c r="B9" s="93"/>
      <c r="C9" t="s">
        <v>128</v>
      </c>
      <c r="D9" s="4">
        <f>+D7+D8</f>
        <v>0</v>
      </c>
      <c r="E9" s="4">
        <f t="shared" ref="E9:G9" si="1">+E7+E8</f>
        <v>0</v>
      </c>
      <c r="F9" s="4">
        <f t="shared" si="1"/>
        <v>0</v>
      </c>
      <c r="G9" s="4">
        <f t="shared" si="1"/>
        <v>0</v>
      </c>
      <c r="H9" s="4">
        <f>+H7+H8</f>
        <v>0</v>
      </c>
    </row>
    <row r="10" spans="2:10" ht="15.6" x14ac:dyDescent="0.3">
      <c r="B10" s="93"/>
      <c r="C10" s="96" t="s">
        <v>129</v>
      </c>
      <c r="D10" s="97">
        <f>+(D9+E10)/(1+D6)</f>
        <v>0</v>
      </c>
      <c r="E10" s="97">
        <f t="shared" ref="E10:F10" si="2">+(E9+F10)/(1+E6)</f>
        <v>0</v>
      </c>
      <c r="F10" s="97">
        <f t="shared" si="2"/>
        <v>0</v>
      </c>
      <c r="G10" s="97">
        <f>+(G9+H10)/(1+G6)</f>
        <v>0</v>
      </c>
      <c r="H10" s="97">
        <f>+(H9+I10)/(1+H6)</f>
        <v>0</v>
      </c>
      <c r="I10" s="97">
        <v>0</v>
      </c>
      <c r="J10" s="10" t="s">
        <v>130</v>
      </c>
    </row>
    <row r="11" spans="2:10" ht="15.6" x14ac:dyDescent="0.3">
      <c r="C11" s="47"/>
      <c r="D11" s="98"/>
      <c r="E11" s="98"/>
      <c r="F11" s="98"/>
      <c r="G11" s="98"/>
      <c r="H11" s="98"/>
      <c r="I11" s="98"/>
    </row>
    <row r="13" spans="2:10" ht="15.6" x14ac:dyDescent="0.3">
      <c r="B13" s="92" t="s">
        <v>131</v>
      </c>
    </row>
    <row r="14" spans="2:10" x14ac:dyDescent="0.3">
      <c r="B14" s="93"/>
    </row>
    <row r="15" spans="2:10" ht="15.6" x14ac:dyDescent="0.3">
      <c r="B15" s="93" t="s">
        <v>121</v>
      </c>
      <c r="C15" s="42" t="s">
        <v>132</v>
      </c>
      <c r="D15" s="99"/>
      <c r="E15" s="99">
        <f>+D15-D18</f>
        <v>0</v>
      </c>
      <c r="F15" s="99">
        <f t="shared" ref="F15:I15" si="3">+E15-E18</f>
        <v>0</v>
      </c>
      <c r="G15" s="99">
        <f t="shared" si="3"/>
        <v>0</v>
      </c>
      <c r="H15" s="99">
        <f t="shared" si="3"/>
        <v>0</v>
      </c>
      <c r="I15" s="99">
        <f t="shared" si="3"/>
        <v>0</v>
      </c>
    </row>
    <row r="16" spans="2:10" ht="15.6" x14ac:dyDescent="0.3">
      <c r="B16" s="93"/>
      <c r="C16" s="100" t="s">
        <v>133</v>
      </c>
      <c r="D16" s="101"/>
      <c r="E16" s="101"/>
      <c r="F16" s="101"/>
      <c r="G16" s="101"/>
      <c r="H16" s="101"/>
      <c r="I16" s="100"/>
    </row>
    <row r="17" spans="2:10" ht="15.6" x14ac:dyDescent="0.3">
      <c r="B17" s="93"/>
      <c r="C17" s="100" t="s">
        <v>134</v>
      </c>
      <c r="D17" s="101"/>
      <c r="E17" s="101"/>
      <c r="F17" s="101"/>
      <c r="G17" s="101"/>
      <c r="H17" s="101"/>
      <c r="I17" s="100"/>
    </row>
    <row r="18" spans="2:10" ht="15.6" x14ac:dyDescent="0.3">
      <c r="B18" s="93" t="s">
        <v>126</v>
      </c>
      <c r="C18" s="100" t="s">
        <v>127</v>
      </c>
      <c r="D18" s="100"/>
      <c r="E18" s="100"/>
      <c r="F18" s="100"/>
      <c r="G18" s="99"/>
      <c r="H18" s="99"/>
      <c r="I18" s="100"/>
    </row>
    <row r="19" spans="2:10" ht="15.6" x14ac:dyDescent="0.3">
      <c r="B19" s="93"/>
      <c r="C19" s="100" t="s">
        <v>33</v>
      </c>
      <c r="D19" s="99">
        <f>+D15*D16</f>
        <v>0</v>
      </c>
      <c r="E19" s="99">
        <f t="shared" ref="E19:H19" si="4">+E15*E16</f>
        <v>0</v>
      </c>
      <c r="F19" s="99">
        <f t="shared" si="4"/>
        <v>0</v>
      </c>
      <c r="G19" s="99">
        <f t="shared" si="4"/>
        <v>0</v>
      </c>
      <c r="H19" s="99">
        <f t="shared" si="4"/>
        <v>0</v>
      </c>
      <c r="I19" s="100"/>
    </row>
    <row r="20" spans="2:10" ht="15.6" x14ac:dyDescent="0.3">
      <c r="B20" s="93"/>
      <c r="C20" s="100" t="s">
        <v>135</v>
      </c>
      <c r="D20" s="99">
        <f>+D18+D19</f>
        <v>0</v>
      </c>
      <c r="E20" s="99">
        <f t="shared" ref="E20:H20" si="5">+E18+E19</f>
        <v>0</v>
      </c>
      <c r="F20" s="99">
        <f t="shared" si="5"/>
        <v>0</v>
      </c>
      <c r="G20" s="99">
        <f t="shared" si="5"/>
        <v>0</v>
      </c>
      <c r="H20" s="99">
        <f t="shared" si="5"/>
        <v>0</v>
      </c>
      <c r="I20" s="100"/>
    </row>
    <row r="21" spans="2:10" ht="15.6" x14ac:dyDescent="0.3">
      <c r="B21" s="93"/>
      <c r="C21" s="100" t="s">
        <v>136</v>
      </c>
      <c r="D21" s="99">
        <f>+(D20+E21)/(1+D17)</f>
        <v>0</v>
      </c>
      <c r="E21" s="99">
        <f t="shared" ref="E21:G21" si="6">+(E20+F21)/(1+E17)</f>
        <v>0</v>
      </c>
      <c r="F21" s="99">
        <f t="shared" si="6"/>
        <v>0</v>
      </c>
      <c r="G21" s="99">
        <f t="shared" si="6"/>
        <v>0</v>
      </c>
      <c r="H21" s="99">
        <f>+(H20+I21)/(1+H17)</f>
        <v>0</v>
      </c>
      <c r="I21" s="99">
        <v>0</v>
      </c>
    </row>
    <row r="22" spans="2:10" ht="15.6" x14ac:dyDescent="0.3">
      <c r="B22" s="102" t="s">
        <v>137</v>
      </c>
      <c r="C22" s="103" t="s">
        <v>138</v>
      </c>
      <c r="D22" s="104">
        <f>+D21-D26</f>
        <v>0</v>
      </c>
      <c r="E22" s="104">
        <f t="shared" ref="E22:H22" si="7">+E21-E26</f>
        <v>0</v>
      </c>
      <c r="F22" s="104">
        <f t="shared" si="7"/>
        <v>0</v>
      </c>
      <c r="G22" s="104">
        <f t="shared" si="7"/>
        <v>0</v>
      </c>
      <c r="H22" s="104">
        <f t="shared" si="7"/>
        <v>0</v>
      </c>
      <c r="I22" s="104">
        <f>+I21-I26</f>
        <v>0</v>
      </c>
      <c r="J22" s="105"/>
    </row>
    <row r="24" spans="2:10" ht="15.6" x14ac:dyDescent="0.3">
      <c r="B24" s="106" t="s">
        <v>139</v>
      </c>
      <c r="C24" s="106"/>
      <c r="D24" s="106"/>
      <c r="E24" s="106"/>
      <c r="F24" s="106"/>
      <c r="G24" s="106"/>
      <c r="H24" s="106"/>
      <c r="I24" s="106"/>
      <c r="J24" s="106"/>
    </row>
    <row r="25" spans="2:10" ht="15.6" x14ac:dyDescent="0.3">
      <c r="B25" s="106" t="s">
        <v>140</v>
      </c>
      <c r="C25" s="106" t="s">
        <v>141</v>
      </c>
      <c r="D25" s="106"/>
      <c r="E25" s="106"/>
      <c r="F25" s="106"/>
      <c r="G25" s="106"/>
      <c r="H25" s="106"/>
      <c r="I25" s="106"/>
      <c r="J25" s="106"/>
    </row>
    <row r="28" spans="2:10" ht="15.6" x14ac:dyDescent="0.3">
      <c r="B28" s="107" t="s">
        <v>142</v>
      </c>
      <c r="C28" s="108"/>
      <c r="D28" s="108"/>
      <c r="E28" s="108"/>
      <c r="F28" s="108"/>
      <c r="G28" s="108"/>
      <c r="H28" s="108"/>
      <c r="I28" s="108"/>
      <c r="J28" s="108"/>
    </row>
    <row r="29" spans="2:10" ht="15.6" x14ac:dyDescent="0.3">
      <c r="B29" s="109"/>
      <c r="C29" s="109"/>
      <c r="D29" s="109"/>
      <c r="E29" s="109"/>
      <c r="F29" s="109"/>
      <c r="G29" s="109"/>
      <c r="H29" s="109"/>
      <c r="I29" s="109"/>
      <c r="J29" s="109"/>
    </row>
    <row r="30" spans="2:10" ht="15.6" x14ac:dyDescent="0.3">
      <c r="B30" s="109"/>
      <c r="C30" s="109" t="s">
        <v>143</v>
      </c>
      <c r="D30" s="109"/>
      <c r="E30" s="109"/>
      <c r="F30" s="109"/>
      <c r="G30" s="109" t="s">
        <v>144</v>
      </c>
      <c r="H30" s="109"/>
      <c r="I30" s="109"/>
      <c r="J30" s="109"/>
    </row>
    <row r="31" spans="2:10" ht="15.6" x14ac:dyDescent="0.3">
      <c r="B31" s="109"/>
      <c r="C31" s="109" t="s">
        <v>145</v>
      </c>
      <c r="D31" s="109"/>
      <c r="E31" s="109"/>
      <c r="F31" s="109"/>
      <c r="G31" s="109"/>
      <c r="H31" s="109"/>
      <c r="I31" s="109"/>
      <c r="J31" s="109"/>
    </row>
    <row r="32" spans="2:10" ht="15.6" x14ac:dyDescent="0.3">
      <c r="B32" s="109"/>
      <c r="C32" s="109" t="s">
        <v>146</v>
      </c>
      <c r="D32" s="109"/>
      <c r="E32" s="109"/>
      <c r="F32" s="109"/>
      <c r="G32" s="109"/>
      <c r="H32" s="109"/>
      <c r="I32" s="109"/>
      <c r="J32" s="10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20A99-5430-43E2-88B7-329A91A536B8}">
  <dimension ref="A3:S78"/>
  <sheetViews>
    <sheetView workbookViewId="0">
      <selection activeCell="F10" sqref="F10"/>
    </sheetView>
  </sheetViews>
  <sheetFormatPr defaultRowHeight="14.4" x14ac:dyDescent="0.3"/>
  <cols>
    <col min="1" max="1" width="13.44140625" bestFit="1" customWidth="1"/>
    <col min="2" max="2" width="23.5546875" bestFit="1" customWidth="1"/>
    <col min="3" max="3" width="10.44140625" bestFit="1" customWidth="1"/>
    <col min="4" max="4" width="12.88671875" bestFit="1" customWidth="1"/>
    <col min="5" max="5" width="11.6640625" bestFit="1" customWidth="1"/>
    <col min="6" max="6" width="16.21875" bestFit="1" customWidth="1"/>
    <col min="9" max="9" width="13.44140625" bestFit="1" customWidth="1"/>
    <col min="10" max="10" width="24.6640625" bestFit="1" customWidth="1"/>
    <col min="11" max="11" width="10.109375" bestFit="1" customWidth="1"/>
    <col min="12" max="12" width="11.21875" bestFit="1" customWidth="1"/>
    <col min="13" max="13" width="11.6640625" bestFit="1" customWidth="1"/>
    <col min="14" max="14" width="10.109375" bestFit="1" customWidth="1"/>
    <col min="15" max="15" width="10" customWidth="1"/>
    <col min="16" max="16" width="17.109375" bestFit="1" customWidth="1"/>
    <col min="17" max="17" width="16.33203125" bestFit="1" customWidth="1"/>
    <col min="18" max="18" width="10.109375" bestFit="1" customWidth="1"/>
    <col min="19" max="19" width="11.6640625" bestFit="1" customWidth="1"/>
    <col min="20" max="20" width="9.21875" bestFit="1" customWidth="1"/>
  </cols>
  <sheetData>
    <row r="3" spans="2:13" ht="15.6" x14ac:dyDescent="0.3">
      <c r="B3" s="47" t="s">
        <v>147</v>
      </c>
      <c r="J3" s="47" t="s">
        <v>148</v>
      </c>
    </row>
    <row r="4" spans="2:13" ht="15.6" x14ac:dyDescent="0.3">
      <c r="B4" t="s">
        <v>149</v>
      </c>
      <c r="C4" s="110" t="s">
        <v>150</v>
      </c>
      <c r="D4" s="110" t="s">
        <v>151</v>
      </c>
      <c r="E4" s="110" t="s">
        <v>152</v>
      </c>
      <c r="F4" s="110" t="s">
        <v>153</v>
      </c>
      <c r="K4" s="111">
        <v>2022</v>
      </c>
      <c r="L4" s="111" t="str">
        <f>+K4+1&amp;"e"</f>
        <v>2023e</v>
      </c>
      <c r="M4" s="111" t="str">
        <f>+K4+2&amp;"f"</f>
        <v>2024f</v>
      </c>
    </row>
    <row r="5" spans="2:13" x14ac:dyDescent="0.3">
      <c r="B5" t="s">
        <v>154</v>
      </c>
      <c r="C5" s="111">
        <f>+K4-4</f>
        <v>2018</v>
      </c>
      <c r="D5" s="111">
        <f>+K4-3</f>
        <v>2019</v>
      </c>
      <c r="E5" s="111">
        <f>+K4-1</f>
        <v>2021</v>
      </c>
      <c r="F5" s="111">
        <f>+K4-1</f>
        <v>2021</v>
      </c>
      <c r="J5" t="s">
        <v>29</v>
      </c>
      <c r="K5" s="4">
        <v>10000</v>
      </c>
      <c r="L5" s="4">
        <v>11000</v>
      </c>
      <c r="M5" s="4">
        <v>13000</v>
      </c>
    </row>
    <row r="6" spans="2:13" x14ac:dyDescent="0.3">
      <c r="B6" t="s">
        <v>155</v>
      </c>
      <c r="C6" t="s">
        <v>156</v>
      </c>
      <c r="D6" t="s">
        <v>157</v>
      </c>
      <c r="E6" t="s">
        <v>158</v>
      </c>
      <c r="F6" t="s">
        <v>159</v>
      </c>
      <c r="J6" t="s">
        <v>160</v>
      </c>
      <c r="K6" s="4">
        <v>1600</v>
      </c>
      <c r="L6" s="4">
        <v>1900</v>
      </c>
      <c r="M6" s="4">
        <v>2400</v>
      </c>
    </row>
    <row r="7" spans="2:13" x14ac:dyDescent="0.3">
      <c r="B7" t="s">
        <v>161</v>
      </c>
      <c r="C7" t="s">
        <v>162</v>
      </c>
      <c r="D7" t="s">
        <v>162</v>
      </c>
      <c r="E7" t="s">
        <v>163</v>
      </c>
      <c r="F7" t="s">
        <v>164</v>
      </c>
      <c r="J7" t="s">
        <v>35</v>
      </c>
      <c r="K7" s="4">
        <v>1300</v>
      </c>
      <c r="L7" s="4">
        <v>1400</v>
      </c>
      <c r="M7" s="4">
        <v>2100</v>
      </c>
    </row>
    <row r="8" spans="2:13" ht="17.399999999999999" x14ac:dyDescent="0.3">
      <c r="B8" t="s">
        <v>165</v>
      </c>
      <c r="C8" s="112">
        <v>700</v>
      </c>
      <c r="D8" s="112">
        <v>3600</v>
      </c>
      <c r="E8" s="112">
        <v>8000</v>
      </c>
      <c r="F8" s="112">
        <v>0</v>
      </c>
      <c r="J8" t="s">
        <v>39</v>
      </c>
      <c r="K8" s="4">
        <v>1200</v>
      </c>
      <c r="L8" s="4">
        <v>1250</v>
      </c>
      <c r="M8" s="4">
        <v>1800</v>
      </c>
    </row>
    <row r="9" spans="2:13" x14ac:dyDescent="0.3">
      <c r="B9" t="s">
        <v>29</v>
      </c>
      <c r="C9" s="112">
        <v>10000</v>
      </c>
      <c r="D9" s="112">
        <v>40000</v>
      </c>
      <c r="E9" s="112">
        <v>120000</v>
      </c>
      <c r="F9" s="112">
        <v>60000</v>
      </c>
      <c r="K9" s="4"/>
      <c r="L9" s="4"/>
      <c r="M9" s="4"/>
    </row>
    <row r="10" spans="2:13" x14ac:dyDescent="0.3">
      <c r="B10" t="s">
        <v>160</v>
      </c>
      <c r="C10" s="112">
        <v>2000</v>
      </c>
      <c r="D10" s="112">
        <v>6000</v>
      </c>
      <c r="E10" s="112">
        <v>28000</v>
      </c>
      <c r="F10" s="112">
        <v>8000</v>
      </c>
      <c r="J10" t="s">
        <v>166</v>
      </c>
      <c r="K10" s="4">
        <v>5000</v>
      </c>
      <c r="L10" s="4">
        <v>5200</v>
      </c>
      <c r="M10" s="4">
        <v>5400</v>
      </c>
    </row>
    <row r="11" spans="2:13" x14ac:dyDescent="0.3">
      <c r="B11" t="s">
        <v>167</v>
      </c>
      <c r="C11" s="112">
        <v>0</v>
      </c>
      <c r="D11" s="112">
        <v>10000</v>
      </c>
      <c r="E11" s="112">
        <v>50000</v>
      </c>
      <c r="F11" s="112">
        <v>20000</v>
      </c>
      <c r="J11" t="s">
        <v>168</v>
      </c>
      <c r="K11" s="4">
        <v>500</v>
      </c>
      <c r="L11" s="4">
        <v>700</v>
      </c>
      <c r="M11" s="4">
        <v>900</v>
      </c>
    </row>
    <row r="12" spans="2:13" x14ac:dyDescent="0.3">
      <c r="B12" t="s">
        <v>169</v>
      </c>
      <c r="C12" s="13">
        <v>0.6</v>
      </c>
      <c r="D12" s="13">
        <v>0.8</v>
      </c>
      <c r="E12" s="13">
        <v>1</v>
      </c>
      <c r="F12" s="13">
        <v>0.4</v>
      </c>
      <c r="J12" t="s">
        <v>170</v>
      </c>
      <c r="K12" s="4">
        <v>2000</v>
      </c>
      <c r="L12" s="4">
        <v>2400</v>
      </c>
      <c r="M12" s="4">
        <v>2600</v>
      </c>
    </row>
    <row r="13" spans="2:13" x14ac:dyDescent="0.3">
      <c r="B13" t="s">
        <v>171</v>
      </c>
      <c r="C13" s="112">
        <v>7000</v>
      </c>
      <c r="D13" s="112">
        <v>39000</v>
      </c>
      <c r="E13" s="112">
        <v>60000</v>
      </c>
      <c r="F13" s="112">
        <v>15000</v>
      </c>
      <c r="J13" t="s">
        <v>172</v>
      </c>
      <c r="K13" s="4">
        <f>+K15+K16+K17-K10-K11-K12</f>
        <v>200</v>
      </c>
      <c r="L13" s="4">
        <f t="shared" ref="L13:M13" si="0">+L15+L16+L17-L10-L11-L12</f>
        <v>400</v>
      </c>
      <c r="M13" s="4">
        <f t="shared" si="0"/>
        <v>500</v>
      </c>
    </row>
    <row r="14" spans="2:13" x14ac:dyDescent="0.3">
      <c r="C14" s="4"/>
      <c r="K14" s="4"/>
      <c r="L14" s="4"/>
      <c r="M14" s="4"/>
    </row>
    <row r="15" spans="2:13" x14ac:dyDescent="0.3">
      <c r="J15" t="s">
        <v>173</v>
      </c>
      <c r="K15" s="4">
        <v>2000</v>
      </c>
      <c r="L15" s="4">
        <v>2700</v>
      </c>
      <c r="M15" s="4">
        <v>3400</v>
      </c>
    </row>
    <row r="16" spans="2:13" x14ac:dyDescent="0.3">
      <c r="J16" t="s">
        <v>167</v>
      </c>
      <c r="K16" s="4">
        <v>2700</v>
      </c>
      <c r="L16" s="4">
        <v>2800</v>
      </c>
      <c r="M16" s="4">
        <v>3000</v>
      </c>
    </row>
    <row r="17" spans="1:13" x14ac:dyDescent="0.3">
      <c r="J17" t="s">
        <v>174</v>
      </c>
      <c r="K17" s="4">
        <v>3000</v>
      </c>
      <c r="L17" s="4">
        <v>3200</v>
      </c>
      <c r="M17" s="4">
        <v>3000</v>
      </c>
    </row>
    <row r="19" spans="1:13" x14ac:dyDescent="0.3">
      <c r="J19" t="s">
        <v>175</v>
      </c>
    </row>
    <row r="20" spans="1:13" x14ac:dyDescent="0.3">
      <c r="J20" t="str">
        <f>+L4</f>
        <v>2023e</v>
      </c>
      <c r="K20" t="s">
        <v>176</v>
      </c>
      <c r="L20" t="s">
        <v>177</v>
      </c>
    </row>
    <row r="21" spans="1:13" x14ac:dyDescent="0.3">
      <c r="J21" t="s">
        <v>29</v>
      </c>
      <c r="K21" s="12">
        <v>0.5</v>
      </c>
      <c r="L21" s="12">
        <f>1-K21</f>
        <v>0.5</v>
      </c>
    </row>
    <row r="22" spans="1:13" x14ac:dyDescent="0.3">
      <c r="J22" t="s">
        <v>31</v>
      </c>
      <c r="K22" s="12">
        <v>0.6</v>
      </c>
      <c r="L22" s="12">
        <f t="shared" ref="L22" si="1">1-K22</f>
        <v>0.4</v>
      </c>
    </row>
    <row r="23" spans="1:13" ht="17.399999999999999" x14ac:dyDescent="0.3">
      <c r="B23" t="s">
        <v>178</v>
      </c>
      <c r="J23" t="s">
        <v>165</v>
      </c>
      <c r="K23" s="4">
        <v>850</v>
      </c>
      <c r="L23" s="4">
        <v>0</v>
      </c>
    </row>
    <row r="24" spans="1:13" x14ac:dyDescent="0.3">
      <c r="K24" s="4"/>
      <c r="L24" s="4"/>
    </row>
    <row r="26" spans="1:13" s="47" customFormat="1" ht="15.6" x14ac:dyDescent="0.3">
      <c r="B26" s="43" t="s">
        <v>179</v>
      </c>
      <c r="C26" s="43"/>
      <c r="D26" s="43"/>
      <c r="E26" s="43"/>
      <c r="F26" s="43"/>
      <c r="G26" s="43"/>
      <c r="J26" s="43" t="s">
        <v>180</v>
      </c>
      <c r="K26" s="43"/>
      <c r="L26" s="43"/>
      <c r="M26" s="43"/>
    </row>
    <row r="27" spans="1:13" ht="15.6" x14ac:dyDescent="0.3">
      <c r="C27" s="110" t="s">
        <v>150</v>
      </c>
      <c r="D27" s="110" t="s">
        <v>151</v>
      </c>
      <c r="E27" s="110" t="s">
        <v>152</v>
      </c>
      <c r="F27" s="110" t="s">
        <v>153</v>
      </c>
      <c r="G27" s="47" t="s">
        <v>181</v>
      </c>
      <c r="H27" s="47"/>
      <c r="K27" s="113">
        <f>+K4</f>
        <v>2022</v>
      </c>
      <c r="L27" s="113" t="str">
        <f>+L4</f>
        <v>2023e</v>
      </c>
      <c r="M27" s="114" t="str">
        <f>+M4</f>
        <v>2024f</v>
      </c>
    </row>
    <row r="28" spans="1:13" x14ac:dyDescent="0.3">
      <c r="A28" t="s">
        <v>182</v>
      </c>
      <c r="B28" t="s">
        <v>183</v>
      </c>
      <c r="C28" s="4">
        <f>+C13/C12+C11</f>
        <v>11666.666666666668</v>
      </c>
      <c r="D28" s="4">
        <f>+D13/D12+D11</f>
        <v>58750</v>
      </c>
      <c r="E28" s="4">
        <f>+E13/E12+E11</f>
        <v>110000</v>
      </c>
      <c r="F28" s="4">
        <f>+F13/F12+F11</f>
        <v>57500</v>
      </c>
    </row>
    <row r="29" spans="1:13" x14ac:dyDescent="0.3">
      <c r="A29" t="s">
        <v>182</v>
      </c>
      <c r="B29" t="s">
        <v>184</v>
      </c>
      <c r="C29" s="4">
        <f>+C28/C9</f>
        <v>1.1666666666666667</v>
      </c>
      <c r="D29" s="4">
        <f>+D28/D9</f>
        <v>1.46875</v>
      </c>
      <c r="E29" s="4">
        <f>+E28/E9</f>
        <v>0.91666666666666663</v>
      </c>
      <c r="F29" s="4">
        <f>+F28/F9</f>
        <v>0.95833333333333337</v>
      </c>
      <c r="G29" s="4">
        <f>AVERAGE(C29:F29)</f>
        <v>1.1276041666666667</v>
      </c>
      <c r="H29" s="4"/>
      <c r="I29" t="s">
        <v>185</v>
      </c>
      <c r="J29" t="s">
        <v>186</v>
      </c>
      <c r="K29" s="4">
        <f>+K5*$G$29</f>
        <v>11276.041666666668</v>
      </c>
      <c r="L29" s="4">
        <f>+L5*$G$29</f>
        <v>12403.645833333334</v>
      </c>
      <c r="M29" s="4">
        <f>+M5*$G$29</f>
        <v>14658.854166666668</v>
      </c>
    </row>
    <row r="30" spans="1:13" x14ac:dyDescent="0.3">
      <c r="A30" t="s">
        <v>182</v>
      </c>
      <c r="B30" t="s">
        <v>187</v>
      </c>
      <c r="C30" s="4">
        <f>+C28/C10</f>
        <v>5.8333333333333339</v>
      </c>
      <c r="D30" s="4">
        <f>+D28/D10</f>
        <v>9.7916666666666661</v>
      </c>
      <c r="E30" s="4">
        <f>+E28/E10</f>
        <v>3.9285714285714284</v>
      </c>
      <c r="F30" s="4">
        <f>+F28/F10</f>
        <v>7.1875</v>
      </c>
      <c r="G30" s="4">
        <f>AVERAGE(C30:F30)</f>
        <v>6.6852678571428568</v>
      </c>
      <c r="H30" s="4"/>
      <c r="I30" t="s">
        <v>185</v>
      </c>
      <c r="J30" t="s">
        <v>188</v>
      </c>
      <c r="K30" s="4">
        <f>+$G$30*K6</f>
        <v>10696.428571428571</v>
      </c>
      <c r="L30" s="4">
        <f>+$G$30*L6</f>
        <v>12702.008928571428</v>
      </c>
      <c r="M30" s="4">
        <f>+$G$30*M6</f>
        <v>16044.642857142857</v>
      </c>
    </row>
    <row r="31" spans="1:13" x14ac:dyDescent="0.3">
      <c r="A31" t="s">
        <v>182</v>
      </c>
      <c r="B31" t="s">
        <v>189</v>
      </c>
      <c r="C31" s="4">
        <f>+C28/C8</f>
        <v>16.666666666666668</v>
      </c>
      <c r="D31" s="4">
        <f>+D28/D8</f>
        <v>16.319444444444443</v>
      </c>
      <c r="E31" s="4">
        <f>+E28/E8</f>
        <v>13.75</v>
      </c>
      <c r="F31" s="4"/>
      <c r="G31" s="4">
        <f>AVERAGE(C31:E31)</f>
        <v>15.578703703703704</v>
      </c>
      <c r="H31" s="4"/>
      <c r="I31" t="s">
        <v>185</v>
      </c>
      <c r="J31" t="s">
        <v>190</v>
      </c>
      <c r="L31" s="4">
        <f>+G31*K23</f>
        <v>13241.898148148148</v>
      </c>
    </row>
    <row r="32" spans="1:13" ht="15.6" x14ac:dyDescent="0.3">
      <c r="J32" s="115" t="s">
        <v>181</v>
      </c>
      <c r="K32" s="116">
        <f>AVERAGE(K29:K31)</f>
        <v>10986.235119047618</v>
      </c>
      <c r="L32" s="116">
        <f>AVERAGE(L29:L31)</f>
        <v>12782.517636684302</v>
      </c>
      <c r="M32" s="117">
        <f>AVERAGE(M29:M31)</f>
        <v>15351.748511904763</v>
      </c>
    </row>
    <row r="34" spans="2:19" x14ac:dyDescent="0.3">
      <c r="J34" t="s">
        <v>191</v>
      </c>
    </row>
    <row r="35" spans="2:19" x14ac:dyDescent="0.3">
      <c r="G35" s="112"/>
      <c r="H35" s="112"/>
    </row>
    <row r="36" spans="2:19" s="47" customFormat="1" ht="15.6" x14ac:dyDescent="0.3">
      <c r="R36" s="118" t="s">
        <v>192</v>
      </c>
      <c r="S36" s="118"/>
    </row>
    <row r="37" spans="2:19" s="47" customFormat="1" ht="15.6" x14ac:dyDescent="0.3">
      <c r="K37" s="114" t="s">
        <v>193</v>
      </c>
      <c r="L37" s="114" t="s">
        <v>194</v>
      </c>
      <c r="M37" s="114" t="s">
        <v>195</v>
      </c>
      <c r="N37" s="114" t="s">
        <v>153</v>
      </c>
      <c r="O37" s="114" t="s">
        <v>196</v>
      </c>
      <c r="P37" s="114" t="s">
        <v>197</v>
      </c>
      <c r="Q37" s="114" t="s">
        <v>198</v>
      </c>
      <c r="R37" s="119">
        <v>0.4</v>
      </c>
      <c r="S37" s="119">
        <v>0.5</v>
      </c>
    </row>
    <row r="38" spans="2:19" ht="15.6" x14ac:dyDescent="0.3">
      <c r="J38" s="47" t="s">
        <v>199</v>
      </c>
      <c r="K38" s="120">
        <f>+K32</f>
        <v>10986.235119047618</v>
      </c>
      <c r="L38" s="121">
        <v>-0.15</v>
      </c>
      <c r="M38" s="4">
        <f>+K38*(1+L38)</f>
        <v>9338.2998511904752</v>
      </c>
      <c r="N38" s="4">
        <f>+$L$16</f>
        <v>2800</v>
      </c>
      <c r="O38" s="4">
        <f>+M38-N38</f>
        <v>6538.2998511904752</v>
      </c>
      <c r="P38" s="122">
        <v>-0.1</v>
      </c>
      <c r="Q38" s="4">
        <f>+O38*(1+P38)</f>
        <v>5884.4698660714275</v>
      </c>
      <c r="R38" s="4">
        <f>+Q38*40%</f>
        <v>2353.7879464285711</v>
      </c>
      <c r="S38" s="4">
        <f>+Q38*50%</f>
        <v>2942.2349330357138</v>
      </c>
    </row>
    <row r="39" spans="2:19" ht="15.6" x14ac:dyDescent="0.3">
      <c r="J39" s="47" t="s">
        <v>200</v>
      </c>
      <c r="K39" s="120">
        <f>+L32</f>
        <v>12782.517636684302</v>
      </c>
      <c r="L39" s="121">
        <v>-0.15</v>
      </c>
      <c r="M39" s="4">
        <f>+K39*(1+L39)</f>
        <v>10865.139991181657</v>
      </c>
      <c r="N39" s="4">
        <f>+$L$16</f>
        <v>2800</v>
      </c>
      <c r="O39" s="4">
        <f>+M39-N39</f>
        <v>8065.139991181657</v>
      </c>
      <c r="P39" s="122">
        <v>-0.1</v>
      </c>
      <c r="Q39" s="4">
        <f>+O39*(1+P39)</f>
        <v>7258.6259920634911</v>
      </c>
      <c r="R39" s="4">
        <f>+Q39*40%</f>
        <v>2903.4503968253966</v>
      </c>
      <c r="S39" s="4">
        <f>+Q39*50%</f>
        <v>3629.3129960317456</v>
      </c>
    </row>
    <row r="41" spans="2:19" x14ac:dyDescent="0.3">
      <c r="J41" t="s">
        <v>201</v>
      </c>
    </row>
    <row r="44" spans="2:19" ht="15.6" x14ac:dyDescent="0.3">
      <c r="B44" s="123" t="s">
        <v>202</v>
      </c>
    </row>
    <row r="45" spans="2:19" x14ac:dyDescent="0.3">
      <c r="C45" t="s">
        <v>203</v>
      </c>
      <c r="D45" t="s">
        <v>204</v>
      </c>
    </row>
    <row r="46" spans="2:19" x14ac:dyDescent="0.3">
      <c r="B46" t="s">
        <v>205</v>
      </c>
      <c r="C46">
        <v>6</v>
      </c>
      <c r="D46">
        <v>38</v>
      </c>
    </row>
    <row r="47" spans="2:19" x14ac:dyDescent="0.3">
      <c r="B47" t="s">
        <v>206</v>
      </c>
      <c r="C47" s="4">
        <v>0.87</v>
      </c>
      <c r="D47" s="4">
        <v>1.1000000000000001</v>
      </c>
    </row>
    <row r="48" spans="2:19" x14ac:dyDescent="0.3">
      <c r="B48" t="s">
        <v>187</v>
      </c>
      <c r="C48" s="4">
        <v>4.8</v>
      </c>
      <c r="D48" s="4">
        <v>5.2</v>
      </c>
    </row>
    <row r="51" spans="1:19" ht="15.6" x14ac:dyDescent="0.3">
      <c r="B51" s="43" t="s">
        <v>207</v>
      </c>
      <c r="C51" s="124"/>
      <c r="D51" s="124"/>
      <c r="E51" s="124"/>
      <c r="F51" s="124"/>
    </row>
    <row r="52" spans="1:19" ht="15.6" x14ac:dyDescent="0.3">
      <c r="A52" t="s">
        <v>208</v>
      </c>
      <c r="B52" t="str">
        <f>+C45</f>
        <v>CEE</v>
      </c>
      <c r="C52" s="111">
        <f>+K27</f>
        <v>2022</v>
      </c>
      <c r="D52" s="111" t="str">
        <f>+L27</f>
        <v>2023e</v>
      </c>
      <c r="E52" s="111" t="str">
        <f>+M27</f>
        <v>2024f</v>
      </c>
      <c r="F52" s="125" t="s">
        <v>181</v>
      </c>
      <c r="J52" s="47"/>
      <c r="K52" s="47"/>
      <c r="L52" s="47"/>
      <c r="M52" s="47"/>
      <c r="N52" s="47"/>
      <c r="O52" s="47"/>
      <c r="P52" s="47"/>
      <c r="Q52" s="47"/>
      <c r="R52" s="118" t="s">
        <v>192</v>
      </c>
      <c r="S52" s="118"/>
    </row>
    <row r="53" spans="1:19" ht="15.6" x14ac:dyDescent="0.3">
      <c r="A53" t="s">
        <v>185</v>
      </c>
      <c r="B53" t="s">
        <v>186</v>
      </c>
      <c r="C53" s="4">
        <f>+$C$47*K5</f>
        <v>8700</v>
      </c>
      <c r="D53" s="4">
        <f>+$C$47*L5</f>
        <v>9570</v>
      </c>
      <c r="E53" s="4">
        <f>+$C$47*M5</f>
        <v>11310</v>
      </c>
      <c r="F53" s="126">
        <f>AVERAGE(C53:E53)</f>
        <v>9860</v>
      </c>
      <c r="J53" s="47"/>
      <c r="K53" s="114" t="s">
        <v>193</v>
      </c>
      <c r="L53" s="114" t="s">
        <v>194</v>
      </c>
      <c r="M53" s="114" t="s">
        <v>195</v>
      </c>
      <c r="N53" s="114" t="s">
        <v>153</v>
      </c>
      <c r="O53" s="114" t="s">
        <v>196</v>
      </c>
      <c r="P53" s="114" t="s">
        <v>197</v>
      </c>
      <c r="Q53" s="114" t="s">
        <v>198</v>
      </c>
      <c r="R53" s="119">
        <v>0.4</v>
      </c>
      <c r="S53" s="119">
        <v>0.5</v>
      </c>
    </row>
    <row r="54" spans="1:19" ht="15.6" x14ac:dyDescent="0.3">
      <c r="A54" t="s">
        <v>185</v>
      </c>
      <c r="B54" t="s">
        <v>188</v>
      </c>
      <c r="C54" s="4">
        <f>+$C$48*K6</f>
        <v>7680</v>
      </c>
      <c r="D54" s="4">
        <f>+$C$48*L6</f>
        <v>9120</v>
      </c>
      <c r="E54" s="4">
        <f>+$C$48*M6</f>
        <v>11520</v>
      </c>
      <c r="F54" s="126">
        <f>AVERAGE(C54:E54)</f>
        <v>9440</v>
      </c>
      <c r="J54" s="47" t="s">
        <v>199</v>
      </c>
      <c r="K54" s="120">
        <f>+F54</f>
        <v>9440</v>
      </c>
      <c r="L54" s="121">
        <v>-0.2</v>
      </c>
      <c r="M54" s="4">
        <f>+K54*(1+L54)</f>
        <v>7552</v>
      </c>
      <c r="N54" s="4">
        <f>+$L$16</f>
        <v>2800</v>
      </c>
      <c r="O54" s="4">
        <f>+M54-N54</f>
        <v>4752</v>
      </c>
      <c r="P54" s="122">
        <v>-0.1</v>
      </c>
      <c r="Q54" s="4">
        <f>+O54*(1+P54)</f>
        <v>4276.8</v>
      </c>
      <c r="R54" s="4">
        <f>+Q54*40%</f>
        <v>1710.7200000000003</v>
      </c>
      <c r="S54" s="4">
        <f>+Q54*50%</f>
        <v>2138.4</v>
      </c>
    </row>
    <row r="55" spans="1:19" ht="15.6" x14ac:dyDescent="0.3">
      <c r="F55" s="127"/>
      <c r="J55" s="47" t="s">
        <v>200</v>
      </c>
      <c r="K55" s="120">
        <f>+F57</f>
        <v>12466.666666666666</v>
      </c>
      <c r="L55" s="121">
        <v>-0.2</v>
      </c>
      <c r="M55" s="4">
        <f>+K55*(1+L55)</f>
        <v>9973.3333333333339</v>
      </c>
      <c r="N55" s="4">
        <f>+$L$16</f>
        <v>2800</v>
      </c>
      <c r="O55" s="4">
        <f>+M55-N55</f>
        <v>7173.3333333333339</v>
      </c>
      <c r="P55" s="122">
        <v>-0.1</v>
      </c>
      <c r="Q55" s="4">
        <f>+O55*(1+P55)</f>
        <v>6456.0000000000009</v>
      </c>
      <c r="R55" s="4">
        <f>+Q55*40%</f>
        <v>2582.4000000000005</v>
      </c>
      <c r="S55" s="4">
        <f>+Q55*50%</f>
        <v>3228.0000000000005</v>
      </c>
    </row>
    <row r="56" spans="1:19" ht="15.6" x14ac:dyDescent="0.3">
      <c r="A56" t="s">
        <v>208</v>
      </c>
      <c r="B56" t="str">
        <f>+D45</f>
        <v>West EU</v>
      </c>
      <c r="C56" s="111">
        <f>+C52</f>
        <v>2022</v>
      </c>
      <c r="D56" s="111" t="str">
        <f t="shared" ref="D56:E56" si="2">+D52</f>
        <v>2023e</v>
      </c>
      <c r="E56" s="111" t="str">
        <f t="shared" si="2"/>
        <v>2024f</v>
      </c>
      <c r="F56" s="127"/>
    </row>
    <row r="57" spans="1:19" ht="15.6" x14ac:dyDescent="0.3">
      <c r="A57" t="s">
        <v>185</v>
      </c>
      <c r="B57" t="s">
        <v>186</v>
      </c>
      <c r="C57" s="4">
        <f>+$D$47*K5</f>
        <v>11000</v>
      </c>
      <c r="D57" s="4">
        <f>+$D$47*L5</f>
        <v>12100.000000000002</v>
      </c>
      <c r="E57" s="4">
        <f>+$D$47*M5</f>
        <v>14300.000000000002</v>
      </c>
      <c r="F57" s="126">
        <f>AVERAGE(C57:E57)</f>
        <v>12466.666666666666</v>
      </c>
    </row>
    <row r="58" spans="1:19" ht="15.6" x14ac:dyDescent="0.3">
      <c r="A58" t="s">
        <v>185</v>
      </c>
      <c r="B58" t="s">
        <v>188</v>
      </c>
      <c r="C58" s="4">
        <f>+$D$48*K6</f>
        <v>8320</v>
      </c>
      <c r="D58" s="4">
        <f>+$D$48*L6</f>
        <v>9880</v>
      </c>
      <c r="E58" s="4">
        <f>+$D$48*M6</f>
        <v>12480</v>
      </c>
      <c r="F58" s="126">
        <f>AVERAGE(C58:E58)</f>
        <v>10226.666666666666</v>
      </c>
    </row>
    <row r="74" spans="2:8" s="128" customFormat="1" ht="15.6" x14ac:dyDescent="0.3">
      <c r="B74" s="128" t="s">
        <v>209</v>
      </c>
      <c r="H74" s="47"/>
    </row>
    <row r="75" spans="2:8" s="128" customFormat="1" ht="15.6" x14ac:dyDescent="0.3">
      <c r="H75" s="47"/>
    </row>
    <row r="76" spans="2:8" s="128" customFormat="1" ht="15.6" x14ac:dyDescent="0.3">
      <c r="B76" s="128" t="s">
        <v>210</v>
      </c>
      <c r="H76" s="47"/>
    </row>
    <row r="77" spans="2:8" s="128" customFormat="1" ht="15.6" x14ac:dyDescent="0.3">
      <c r="H77" s="47"/>
    </row>
    <row r="78" spans="2:8" s="128" customFormat="1" ht="15.6" x14ac:dyDescent="0.3">
      <c r="B78" s="128" t="s">
        <v>211</v>
      </c>
      <c r="H78" s="4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3F90-3647-4725-8DD9-6DCCFDFCA6A4}">
  <dimension ref="B2:L62"/>
  <sheetViews>
    <sheetView workbookViewId="0">
      <selection activeCell="B15" sqref="B15"/>
    </sheetView>
  </sheetViews>
  <sheetFormatPr defaultRowHeight="14.4" x14ac:dyDescent="0.3"/>
  <cols>
    <col min="2" max="2" width="51.5546875" bestFit="1" customWidth="1"/>
    <col min="3" max="3" width="35.44140625" bestFit="1" customWidth="1"/>
    <col min="4" max="4" width="10.33203125" customWidth="1"/>
    <col min="5" max="5" width="16.88671875" bestFit="1" customWidth="1"/>
    <col min="6" max="6" width="14.6640625" bestFit="1" customWidth="1"/>
    <col min="7" max="7" width="18.5546875" bestFit="1" customWidth="1"/>
    <col min="10" max="10" width="18.5546875" bestFit="1" customWidth="1"/>
    <col min="11" max="11" width="10.21875" customWidth="1"/>
  </cols>
  <sheetData>
    <row r="2" spans="2:12" ht="15.6" x14ac:dyDescent="0.3">
      <c r="B2" s="14" t="s">
        <v>212</v>
      </c>
      <c r="C2" s="14"/>
      <c r="D2" s="14"/>
    </row>
    <row r="4" spans="2:12" x14ac:dyDescent="0.3">
      <c r="C4" t="s">
        <v>213</v>
      </c>
      <c r="J4" t="s">
        <v>214</v>
      </c>
    </row>
    <row r="5" spans="2:12" x14ac:dyDescent="0.3">
      <c r="B5" t="s">
        <v>215</v>
      </c>
      <c r="C5" t="s">
        <v>216</v>
      </c>
      <c r="E5" t="s">
        <v>217</v>
      </c>
      <c r="J5" t="s">
        <v>218</v>
      </c>
    </row>
    <row r="6" spans="2:12" x14ac:dyDescent="0.3">
      <c r="C6" t="s">
        <v>219</v>
      </c>
      <c r="D6">
        <f>+D4-D5</f>
        <v>0</v>
      </c>
      <c r="J6" t="s">
        <v>220</v>
      </c>
      <c r="K6" s="112">
        <f>K4-K5</f>
        <v>0</v>
      </c>
    </row>
    <row r="7" spans="2:12" x14ac:dyDescent="0.3">
      <c r="C7" s="129" t="s">
        <v>221</v>
      </c>
      <c r="D7" s="129"/>
      <c r="E7" t="s">
        <v>222</v>
      </c>
      <c r="J7" t="s">
        <v>223</v>
      </c>
    </row>
    <row r="8" spans="2:12" ht="15.6" x14ac:dyDescent="0.3">
      <c r="J8" s="129" t="s">
        <v>221</v>
      </c>
      <c r="K8" s="129">
        <f>+K7-D11</f>
        <v>0</v>
      </c>
      <c r="L8" s="47" t="s">
        <v>224</v>
      </c>
    </row>
    <row r="10" spans="2:12" ht="15.6" x14ac:dyDescent="0.3">
      <c r="B10" s="14" t="s">
        <v>225</v>
      </c>
      <c r="C10" s="14"/>
      <c r="D10" s="14"/>
    </row>
    <row r="12" spans="2:12" x14ac:dyDescent="0.3">
      <c r="B12" t="s">
        <v>226</v>
      </c>
      <c r="C12" t="s">
        <v>227</v>
      </c>
      <c r="E12" s="130" t="s">
        <v>228</v>
      </c>
    </row>
    <row r="13" spans="2:12" x14ac:dyDescent="0.3">
      <c r="B13" t="s">
        <v>229</v>
      </c>
      <c r="C13" s="131" t="s">
        <v>218</v>
      </c>
      <c r="D13" s="131"/>
      <c r="E13" s="130" t="s">
        <v>230</v>
      </c>
    </row>
    <row r="14" spans="2:12" x14ac:dyDescent="0.3">
      <c r="C14" t="s">
        <v>231</v>
      </c>
      <c r="D14">
        <f>+D12-D13</f>
        <v>0</v>
      </c>
    </row>
    <row r="15" spans="2:12" x14ac:dyDescent="0.3">
      <c r="B15" t="s">
        <v>232</v>
      </c>
      <c r="C15" t="s">
        <v>233</v>
      </c>
    </row>
    <row r="16" spans="2:12" ht="15.6" x14ac:dyDescent="0.3">
      <c r="C16" s="123" t="s">
        <v>234</v>
      </c>
      <c r="D16" s="123">
        <f>+D14-D15</f>
        <v>0</v>
      </c>
    </row>
    <row r="18" spans="2:9" ht="15.6" x14ac:dyDescent="0.3">
      <c r="B18" t="s">
        <v>235</v>
      </c>
      <c r="C18" s="132" t="s">
        <v>236</v>
      </c>
      <c r="D18" s="132">
        <f>+'[1]Asset Based'!D12-'[1]Asset Based'!D15</f>
        <v>0</v>
      </c>
      <c r="E18">
        <f>D13+D16</f>
        <v>0</v>
      </c>
      <c r="F18" t="s">
        <v>237</v>
      </c>
    </row>
    <row r="22" spans="2:9" ht="15.6" x14ac:dyDescent="0.3">
      <c r="B22" s="14" t="s">
        <v>238</v>
      </c>
      <c r="C22" s="14"/>
      <c r="D22" s="14"/>
    </row>
    <row r="24" spans="2:9" ht="15.6" x14ac:dyDescent="0.3">
      <c r="C24" s="123" t="s">
        <v>28</v>
      </c>
      <c r="F24" s="123" t="s">
        <v>239</v>
      </c>
    </row>
    <row r="25" spans="2:9" x14ac:dyDescent="0.3">
      <c r="B25" t="s">
        <v>240</v>
      </c>
      <c r="C25" s="133" t="s">
        <v>241</v>
      </c>
      <c r="F25" s="134" t="str">
        <f>+C25</f>
        <v>Revenue</v>
      </c>
      <c r="G25">
        <f>+D25</f>
        <v>0</v>
      </c>
    </row>
    <row r="26" spans="2:9" x14ac:dyDescent="0.3">
      <c r="B26" t="s">
        <v>242</v>
      </c>
      <c r="C26" s="133" t="s">
        <v>243</v>
      </c>
      <c r="F26" s="134" t="str">
        <f>+C26</f>
        <v>Costs</v>
      </c>
      <c r="G26">
        <f>+D26</f>
        <v>0</v>
      </c>
    </row>
    <row r="27" spans="2:9" x14ac:dyDescent="0.3">
      <c r="B27" t="s">
        <v>244</v>
      </c>
      <c r="C27" s="135" t="s">
        <v>245</v>
      </c>
      <c r="D27" s="131"/>
      <c r="F27" s="136" t="str">
        <f>+C29</f>
        <v>Tax on Profit</v>
      </c>
      <c r="G27" s="131">
        <f>+D29</f>
        <v>0</v>
      </c>
    </row>
    <row r="28" spans="2:9" ht="15.6" x14ac:dyDescent="0.3">
      <c r="C28" s="133" t="s">
        <v>246</v>
      </c>
      <c r="D28">
        <f>+D25-D26-D27</f>
        <v>0</v>
      </c>
      <c r="F28" s="123" t="s">
        <v>247</v>
      </c>
      <c r="G28">
        <f>+G25-G26-G27</f>
        <v>0</v>
      </c>
      <c r="H28">
        <f>+D30+D27</f>
        <v>0</v>
      </c>
      <c r="I28" t="s">
        <v>237</v>
      </c>
    </row>
    <row r="29" spans="2:9" ht="15.6" x14ac:dyDescent="0.3">
      <c r="B29" t="s">
        <v>248</v>
      </c>
      <c r="C29" s="133" t="s">
        <v>249</v>
      </c>
      <c r="D29" s="137"/>
      <c r="F29" s="138" t="s">
        <v>250</v>
      </c>
      <c r="G29" s="129"/>
      <c r="H29" t="s">
        <v>251</v>
      </c>
    </row>
    <row r="30" spans="2:9" x14ac:dyDescent="0.3">
      <c r="C30" s="133" t="s">
        <v>52</v>
      </c>
      <c r="D30">
        <f>+D28-D29</f>
        <v>0</v>
      </c>
    </row>
    <row r="32" spans="2:9" ht="15.6" x14ac:dyDescent="0.3">
      <c r="B32" s="14" t="s">
        <v>252</v>
      </c>
      <c r="C32" s="14"/>
      <c r="D32" s="14"/>
    </row>
    <row r="33" spans="2:5" ht="15.6" x14ac:dyDescent="0.3">
      <c r="B33" s="47"/>
      <c r="C33" s="47"/>
      <c r="D33" s="47"/>
    </row>
    <row r="34" spans="2:5" ht="15.6" x14ac:dyDescent="0.3">
      <c r="B34" s="139" t="s">
        <v>253</v>
      </c>
    </row>
    <row r="35" spans="2:5" x14ac:dyDescent="0.3">
      <c r="C35" s="49" t="s">
        <v>254</v>
      </c>
      <c r="D35" s="49"/>
    </row>
    <row r="36" spans="2:5" x14ac:dyDescent="0.3">
      <c r="C36" s="16" t="s">
        <v>255</v>
      </c>
      <c r="D36" s="16"/>
    </row>
    <row r="37" spans="2:5" x14ac:dyDescent="0.3">
      <c r="C37" s="16" t="s">
        <v>256</v>
      </c>
      <c r="D37" s="16"/>
    </row>
    <row r="38" spans="2:5" x14ac:dyDescent="0.3">
      <c r="C38" s="140" t="s">
        <v>10</v>
      </c>
      <c r="D38" s="141"/>
    </row>
    <row r="40" spans="2:5" x14ac:dyDescent="0.3">
      <c r="C40" t="s">
        <v>257</v>
      </c>
    </row>
    <row r="41" spans="2:5" x14ac:dyDescent="0.3">
      <c r="B41" t="s">
        <v>258</v>
      </c>
      <c r="C41" t="s">
        <v>259</v>
      </c>
      <c r="E41" t="s">
        <v>260</v>
      </c>
    </row>
    <row r="42" spans="2:5" x14ac:dyDescent="0.3">
      <c r="B42" t="s">
        <v>261</v>
      </c>
      <c r="C42" t="s">
        <v>94</v>
      </c>
      <c r="E42" t="s">
        <v>262</v>
      </c>
    </row>
    <row r="44" spans="2:5" x14ac:dyDescent="0.3">
      <c r="B44" t="s">
        <v>263</v>
      </c>
      <c r="C44" t="s">
        <v>227</v>
      </c>
    </row>
    <row r="45" spans="2:5" x14ac:dyDescent="0.3">
      <c r="C45" t="s">
        <v>264</v>
      </c>
    </row>
    <row r="47" spans="2:5" ht="15.6" x14ac:dyDescent="0.3">
      <c r="B47" t="s">
        <v>265</v>
      </c>
      <c r="C47" s="123" t="s">
        <v>266</v>
      </c>
      <c r="D47" t="e">
        <f>((D45/(D35-D38)*(1-(1+D38)^D37/(1+D35)^D37)))</f>
        <v>#DIV/0!</v>
      </c>
      <c r="E47" t="s">
        <v>267</v>
      </c>
    </row>
    <row r="48" spans="2:5" ht="15.6" x14ac:dyDescent="0.3">
      <c r="C48" s="123"/>
    </row>
    <row r="50" spans="2:5" x14ac:dyDescent="0.3">
      <c r="B50" t="s">
        <v>268</v>
      </c>
      <c r="C50" t="s">
        <v>269</v>
      </c>
    </row>
    <row r="51" spans="2:5" x14ac:dyDescent="0.3">
      <c r="B51" t="s">
        <v>270</v>
      </c>
      <c r="C51" t="s">
        <v>271</v>
      </c>
      <c r="D51" t="e">
        <f>D50/D35*(1-(1/(1+D35)^D36))</f>
        <v>#DIV/0!</v>
      </c>
      <c r="E51" t="s">
        <v>272</v>
      </c>
    </row>
    <row r="53" spans="2:5" x14ac:dyDescent="0.3">
      <c r="B53" t="s">
        <v>273</v>
      </c>
      <c r="C53" t="s">
        <v>274</v>
      </c>
      <c r="D53" t="e">
        <f>+D47+D51</f>
        <v>#DIV/0!</v>
      </c>
    </row>
    <row r="54" spans="2:5" x14ac:dyDescent="0.3">
      <c r="B54" t="s">
        <v>275</v>
      </c>
      <c r="C54" t="s">
        <v>276</v>
      </c>
      <c r="D54">
        <f>D40</f>
        <v>0</v>
      </c>
    </row>
    <row r="55" spans="2:5" x14ac:dyDescent="0.3">
      <c r="B55" t="s">
        <v>277</v>
      </c>
      <c r="C55" t="s">
        <v>278</v>
      </c>
      <c r="D55" t="e">
        <f>D53-D54</f>
        <v>#DIV/0!</v>
      </c>
    </row>
    <row r="56" spans="2:5" x14ac:dyDescent="0.3">
      <c r="B56" t="s">
        <v>279</v>
      </c>
      <c r="C56" t="s">
        <v>280</v>
      </c>
    </row>
    <row r="60" spans="2:5" ht="15.6" x14ac:dyDescent="0.3">
      <c r="B60" s="139" t="s">
        <v>281</v>
      </c>
      <c r="C60" s="142" t="s">
        <v>282</v>
      </c>
    </row>
    <row r="61" spans="2:5" ht="15.6" x14ac:dyDescent="0.3">
      <c r="D61" s="47"/>
      <c r="E61" s="47"/>
    </row>
    <row r="62" spans="2:5" ht="15.6" x14ac:dyDescent="0.3">
      <c r="B62" s="139" t="s">
        <v>283</v>
      </c>
      <c r="C62" s="142" t="s">
        <v>284</v>
      </c>
      <c r="D62" s="47"/>
      <c r="E62" s="47"/>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F18AB-F1EB-4E8C-B109-91A46A86A770}">
  <dimension ref="A1:F41"/>
  <sheetViews>
    <sheetView topLeftCell="A18" zoomScale="95" workbookViewId="0">
      <selection activeCell="E39" sqref="E39"/>
    </sheetView>
  </sheetViews>
  <sheetFormatPr defaultRowHeight="14.4" x14ac:dyDescent="0.3"/>
  <cols>
    <col min="1" max="1" width="13.5546875" customWidth="1"/>
    <col min="2" max="2" width="34.6640625" customWidth="1"/>
    <col min="3" max="3" width="12.5546875" customWidth="1"/>
    <col min="4" max="4" width="17.5546875" bestFit="1" customWidth="1"/>
    <col min="5" max="5" width="18.33203125" bestFit="1" customWidth="1"/>
  </cols>
  <sheetData>
    <row r="1" spans="2:6" x14ac:dyDescent="0.3">
      <c r="B1" t="s">
        <v>285</v>
      </c>
    </row>
    <row r="2" spans="2:6" x14ac:dyDescent="0.3">
      <c r="F2" t="s">
        <v>360</v>
      </c>
    </row>
    <row r="3" spans="2:6" x14ac:dyDescent="0.3">
      <c r="B3" t="s">
        <v>286</v>
      </c>
      <c r="F3" t="s">
        <v>358</v>
      </c>
    </row>
    <row r="4" spans="2:6" x14ac:dyDescent="0.3">
      <c r="B4" t="s">
        <v>287</v>
      </c>
      <c r="F4" t="s">
        <v>359</v>
      </c>
    </row>
    <row r="7" spans="2:6" ht="15.6" x14ac:dyDescent="0.3">
      <c r="B7" s="143" t="s">
        <v>430</v>
      </c>
    </row>
    <row r="8" spans="2:6" x14ac:dyDescent="0.3">
      <c r="B8" s="137" t="s">
        <v>288</v>
      </c>
      <c r="C8" s="93"/>
    </row>
    <row r="9" spans="2:6" x14ac:dyDescent="0.3">
      <c r="B9" s="137" t="s">
        <v>289</v>
      </c>
      <c r="C9" s="93"/>
    </row>
    <row r="10" spans="2:6" ht="15.6" x14ac:dyDescent="0.3">
      <c r="B10" s="127" t="s">
        <v>290</v>
      </c>
    </row>
    <row r="11" spans="2:6" x14ac:dyDescent="0.3">
      <c r="B11" s="137" t="s">
        <v>288</v>
      </c>
      <c r="C11" s="93"/>
    </row>
    <row r="12" spans="2:6" x14ac:dyDescent="0.3">
      <c r="B12" s="137" t="s">
        <v>289</v>
      </c>
      <c r="C12" s="93"/>
    </row>
    <row r="13" spans="2:6" ht="15.6" x14ac:dyDescent="0.3">
      <c r="B13" s="127" t="s">
        <v>431</v>
      </c>
    </row>
    <row r="14" spans="2:6" x14ac:dyDescent="0.3">
      <c r="B14" s="137" t="s">
        <v>288</v>
      </c>
      <c r="C14" s="93"/>
    </row>
    <row r="15" spans="2:6" x14ac:dyDescent="0.3">
      <c r="B15" s="137" t="s">
        <v>289</v>
      </c>
      <c r="C15" s="93"/>
    </row>
    <row r="17" spans="1:5" ht="15.6" x14ac:dyDescent="0.3">
      <c r="A17" t="s">
        <v>291</v>
      </c>
      <c r="B17" s="47" t="s">
        <v>292</v>
      </c>
      <c r="C17" s="93"/>
    </row>
    <row r="18" spans="1:5" ht="15.6" x14ac:dyDescent="0.3">
      <c r="B18" s="47" t="s">
        <v>293</v>
      </c>
      <c r="C18">
        <f>C8-C11-C14-C17</f>
        <v>0</v>
      </c>
    </row>
    <row r="19" spans="1:5" ht="15.6" x14ac:dyDescent="0.3">
      <c r="B19" s="47"/>
    </row>
    <row r="20" spans="1:5" ht="15.6" x14ac:dyDescent="0.3">
      <c r="B20" s="47" t="s">
        <v>294</v>
      </c>
      <c r="C20" s="234">
        <v>0.5</v>
      </c>
    </row>
    <row r="21" spans="1:5" ht="15.6" x14ac:dyDescent="0.3">
      <c r="B21" s="47" t="s">
        <v>295</v>
      </c>
      <c r="C21">
        <f>C9-C12-C15-C17*C20</f>
        <v>0</v>
      </c>
    </row>
    <row r="22" spans="1:5" ht="15.6" x14ac:dyDescent="0.3">
      <c r="B22" s="47" t="s">
        <v>296</v>
      </c>
      <c r="C22">
        <f>C18-C21</f>
        <v>0</v>
      </c>
    </row>
    <row r="23" spans="1:5" ht="15.6" x14ac:dyDescent="0.3">
      <c r="B23" s="47"/>
    </row>
    <row r="24" spans="1:5" ht="15" thickBot="1" x14ac:dyDescent="0.35"/>
    <row r="25" spans="1:5" x14ac:dyDescent="0.3">
      <c r="B25" s="144"/>
      <c r="C25" s="145"/>
      <c r="D25" s="145" t="s">
        <v>297</v>
      </c>
      <c r="E25" s="146" t="s">
        <v>298</v>
      </c>
    </row>
    <row r="26" spans="1:5" ht="15.6" x14ac:dyDescent="0.3">
      <c r="A26" t="s">
        <v>299</v>
      </c>
      <c r="B26" s="147" t="s">
        <v>300</v>
      </c>
      <c r="C26" s="47">
        <f>C14</f>
        <v>0</v>
      </c>
      <c r="D26" s="14"/>
      <c r="E26" s="148">
        <f>C26+D26</f>
        <v>0</v>
      </c>
    </row>
    <row r="27" spans="1:5" ht="16.2" thickBot="1" x14ac:dyDescent="0.35">
      <c r="A27" t="s">
        <v>301</v>
      </c>
      <c r="B27" s="149" t="s">
        <v>302</v>
      </c>
      <c r="C27" s="150">
        <f>C14+C18</f>
        <v>0</v>
      </c>
      <c r="D27" s="151"/>
      <c r="E27" s="152">
        <f>C27-D27</f>
        <v>0</v>
      </c>
    </row>
    <row r="29" spans="1:5" ht="15" thickBot="1" x14ac:dyDescent="0.35"/>
    <row r="30" spans="1:5" ht="15.6" x14ac:dyDescent="0.3">
      <c r="B30" s="153" t="s">
        <v>303</v>
      </c>
      <c r="C30" s="146"/>
    </row>
    <row r="31" spans="1:5" x14ac:dyDescent="0.3">
      <c r="B31" s="154" t="s">
        <v>304</v>
      </c>
      <c r="C31" s="155"/>
    </row>
    <row r="32" spans="1:5" x14ac:dyDescent="0.3">
      <c r="B32" s="154" t="s">
        <v>305</v>
      </c>
      <c r="C32" s="156">
        <f>C26+C18*C31</f>
        <v>0</v>
      </c>
    </row>
    <row r="33" spans="2:3" x14ac:dyDescent="0.3">
      <c r="B33" s="154" t="s">
        <v>306</v>
      </c>
      <c r="C33" s="155"/>
    </row>
    <row r="34" spans="2:3" x14ac:dyDescent="0.3">
      <c r="B34" s="154" t="s">
        <v>307</v>
      </c>
      <c r="C34" s="156">
        <f>+C32*C33</f>
        <v>0</v>
      </c>
    </row>
    <row r="35" spans="2:3" x14ac:dyDescent="0.3">
      <c r="B35" s="154" t="s">
        <v>308</v>
      </c>
      <c r="C35" s="156">
        <f>+C32-C34</f>
        <v>0</v>
      </c>
    </row>
    <row r="36" spans="2:3" ht="16.2" thickBot="1" x14ac:dyDescent="0.35">
      <c r="B36" s="157" t="s">
        <v>309</v>
      </c>
      <c r="C36" s="158" t="e">
        <f>C35/(C9+C22)</f>
        <v>#DIV/0!</v>
      </c>
    </row>
    <row r="38" spans="2:3" x14ac:dyDescent="0.3">
      <c r="B38" t="s">
        <v>307</v>
      </c>
      <c r="C38" s="4">
        <f>C34</f>
        <v>0</v>
      </c>
    </row>
    <row r="39" spans="2:3" x14ac:dyDescent="0.3">
      <c r="B39" t="s">
        <v>310</v>
      </c>
      <c r="C39" s="4" t="e">
        <f>C36*C22</f>
        <v>#DIV/0!</v>
      </c>
    </row>
    <row r="40" spans="2:3" x14ac:dyDescent="0.3">
      <c r="B40" t="s">
        <v>311</v>
      </c>
      <c r="C40" s="4" t="e">
        <f>C36*C9</f>
        <v>#DIV/0!</v>
      </c>
    </row>
    <row r="41" spans="2:3" ht="15.6" x14ac:dyDescent="0.3">
      <c r="B41" s="123" t="s">
        <v>312</v>
      </c>
      <c r="C41" s="117" t="e">
        <f>SUM(C38:C40)</f>
        <v>#DIV/0!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6A38C-6B8B-40C4-8F2A-85E6A719C1B0}">
  <dimension ref="A1:K25"/>
  <sheetViews>
    <sheetView tabSelected="1" workbookViewId="0">
      <selection activeCell="E9" sqref="E9"/>
    </sheetView>
  </sheetViews>
  <sheetFormatPr defaultRowHeight="15.6" x14ac:dyDescent="0.3"/>
  <cols>
    <col min="1" max="1" width="4.88671875" style="159" customWidth="1"/>
    <col min="2" max="2" width="30.5546875" bestFit="1" customWidth="1"/>
    <col min="3" max="3" width="9.44140625" bestFit="1" customWidth="1"/>
    <col min="4" max="4" width="16.109375" bestFit="1" customWidth="1"/>
    <col min="5" max="5" width="4.88671875" style="159" customWidth="1"/>
    <col min="6" max="6" width="31" bestFit="1" customWidth="1"/>
    <col min="7" max="7" width="10.109375" bestFit="1" customWidth="1"/>
    <col min="8" max="8" width="19" bestFit="1" customWidth="1"/>
    <col min="9" max="9" width="4.6640625" style="159" customWidth="1"/>
    <col min="10" max="10" width="30.21875" bestFit="1" customWidth="1"/>
    <col min="11" max="11" width="10.109375" bestFit="1" customWidth="1"/>
  </cols>
  <sheetData>
    <row r="1" spans="1:11" x14ac:dyDescent="0.3">
      <c r="B1" t="s">
        <v>313</v>
      </c>
      <c r="C1" s="160">
        <v>0.2</v>
      </c>
    </row>
    <row r="3" spans="1:11" x14ac:dyDescent="0.3">
      <c r="B3" s="161" t="s">
        <v>314</v>
      </c>
      <c r="C3" s="161"/>
      <c r="F3" s="161" t="s">
        <v>315</v>
      </c>
      <c r="G3" s="161"/>
      <c r="J3" s="161" t="s">
        <v>316</v>
      </c>
      <c r="K3" s="161"/>
    </row>
    <row r="4" spans="1:11" x14ac:dyDescent="0.3">
      <c r="B4" t="s">
        <v>85</v>
      </c>
      <c r="C4" s="29">
        <f>C6+C9</f>
        <v>100</v>
      </c>
      <c r="G4" s="110"/>
      <c r="K4" s="110"/>
    </row>
    <row r="5" spans="1:11" x14ac:dyDescent="0.3">
      <c r="C5" s="29"/>
      <c r="F5" s="162" t="s">
        <v>317</v>
      </c>
      <c r="J5" s="162" t="s">
        <v>318</v>
      </c>
    </row>
    <row r="6" spans="1:11" x14ac:dyDescent="0.3">
      <c r="B6" t="s">
        <v>319</v>
      </c>
      <c r="C6" s="163">
        <v>30</v>
      </c>
    </row>
    <row r="7" spans="1:11" x14ac:dyDescent="0.3">
      <c r="C7" s="29"/>
      <c r="E7" s="159" t="s">
        <v>320</v>
      </c>
      <c r="F7" t="s">
        <v>321</v>
      </c>
      <c r="G7" s="29">
        <f>G9-G8</f>
        <v>255.49517641814828</v>
      </c>
      <c r="J7" t="s">
        <v>322</v>
      </c>
      <c r="K7" s="163">
        <v>1500</v>
      </c>
    </row>
    <row r="8" spans="1:11" x14ac:dyDescent="0.3">
      <c r="A8" s="159" t="s">
        <v>323</v>
      </c>
      <c r="B8" t="s">
        <v>321</v>
      </c>
      <c r="C8" s="29">
        <f>C10-C9</f>
        <v>58.746533257739031</v>
      </c>
      <c r="F8" t="s">
        <v>324</v>
      </c>
      <c r="G8" s="163">
        <v>100</v>
      </c>
      <c r="J8" t="s">
        <v>167</v>
      </c>
      <c r="K8" s="163">
        <v>100</v>
      </c>
    </row>
    <row r="9" spans="1:11" x14ac:dyDescent="0.3">
      <c r="B9" t="s">
        <v>325</v>
      </c>
      <c r="C9" s="163">
        <v>70</v>
      </c>
      <c r="E9" s="159" t="s">
        <v>326</v>
      </c>
      <c r="F9" t="s">
        <v>327</v>
      </c>
      <c r="G9" s="29">
        <f>K9/(1+C25)^4</f>
        <v>355.49517641814828</v>
      </c>
      <c r="I9" s="159" t="s">
        <v>328</v>
      </c>
      <c r="J9" t="s">
        <v>174</v>
      </c>
      <c r="K9" s="29">
        <f>K7-K8</f>
        <v>1400</v>
      </c>
    </row>
    <row r="10" spans="1:11" x14ac:dyDescent="0.3">
      <c r="A10" s="159" t="s">
        <v>329</v>
      </c>
      <c r="B10" t="s">
        <v>327</v>
      </c>
      <c r="C10" s="29">
        <f>G7/(1+C25)^2</f>
        <v>128.74653325773903</v>
      </c>
    </row>
    <row r="11" spans="1:11" x14ac:dyDescent="0.3">
      <c r="C11" s="29"/>
      <c r="F11" t="s">
        <v>330</v>
      </c>
      <c r="G11" s="13">
        <f>G8/G9</f>
        <v>0.28129776895306119</v>
      </c>
      <c r="J11" t="s">
        <v>330</v>
      </c>
      <c r="K11" s="13">
        <f>G11</f>
        <v>0.28129776895306119</v>
      </c>
    </row>
    <row r="12" spans="1:11" x14ac:dyDescent="0.3">
      <c r="F12" t="s">
        <v>331</v>
      </c>
      <c r="G12" s="13">
        <f>1-G11</f>
        <v>0.71870223104693887</v>
      </c>
      <c r="J12" t="s">
        <v>332</v>
      </c>
      <c r="K12" s="13">
        <f>G13</f>
        <v>0.39076126200160127</v>
      </c>
    </row>
    <row r="13" spans="1:11" x14ac:dyDescent="0.3">
      <c r="F13" t="s">
        <v>333</v>
      </c>
      <c r="G13" s="13">
        <f>C15*G12</f>
        <v>0.39076126200160127</v>
      </c>
      <c r="J13" t="s">
        <v>334</v>
      </c>
      <c r="K13" s="13">
        <f>G14</f>
        <v>0.32794096904533759</v>
      </c>
    </row>
    <row r="14" spans="1:11" x14ac:dyDescent="0.3">
      <c r="B14" t="s">
        <v>334</v>
      </c>
      <c r="C14" s="13">
        <f>1-C15</f>
        <v>0.45629602202239383</v>
      </c>
      <c r="F14" t="s">
        <v>335</v>
      </c>
      <c r="G14" s="13">
        <f>C14*G12</f>
        <v>0.32794096904533759</v>
      </c>
    </row>
    <row r="15" spans="1:11" x14ac:dyDescent="0.3">
      <c r="B15" s="127" t="s">
        <v>332</v>
      </c>
      <c r="C15" s="164">
        <v>0.54370397797760617</v>
      </c>
      <c r="F15" t="s">
        <v>336</v>
      </c>
      <c r="G15" s="12">
        <f>G11+G13+G14</f>
        <v>1</v>
      </c>
      <c r="J15" t="s">
        <v>337</v>
      </c>
      <c r="K15" s="29">
        <f>+K9*K13</f>
        <v>459.11735666347261</v>
      </c>
    </row>
    <row r="16" spans="1:11" x14ac:dyDescent="0.3">
      <c r="B16" t="s">
        <v>338</v>
      </c>
      <c r="C16" s="13">
        <f>C9/C10</f>
        <v>0.54370396024463252</v>
      </c>
      <c r="J16" s="165" t="s">
        <v>339</v>
      </c>
      <c r="K16" s="166">
        <f>+(K15/C8)^(1/6)-1</f>
        <v>0.4087164240765897</v>
      </c>
    </row>
    <row r="17" spans="1:11" x14ac:dyDescent="0.3">
      <c r="A17" s="159" t="s">
        <v>340</v>
      </c>
      <c r="B17" t="s">
        <v>341</v>
      </c>
      <c r="C17" s="13">
        <f>C15-C16</f>
        <v>1.7732973645046002E-8</v>
      </c>
    </row>
    <row r="18" spans="1:11" x14ac:dyDescent="0.3">
      <c r="C18" s="13"/>
    </row>
    <row r="19" spans="1:11" x14ac:dyDescent="0.3">
      <c r="F19" s="167" t="s">
        <v>342</v>
      </c>
      <c r="J19" s="167" t="s">
        <v>343</v>
      </c>
    </row>
    <row r="21" spans="1:11" x14ac:dyDescent="0.3">
      <c r="B21" s="47" t="s">
        <v>344</v>
      </c>
      <c r="C21" s="168">
        <v>6</v>
      </c>
      <c r="F21" t="s">
        <v>345</v>
      </c>
      <c r="G21" s="160">
        <v>0.9</v>
      </c>
      <c r="J21" t="s">
        <v>346</v>
      </c>
      <c r="K21" s="160">
        <v>7.0000000000000007E-2</v>
      </c>
    </row>
    <row r="22" spans="1:11" x14ac:dyDescent="0.3">
      <c r="B22" s="47" t="s">
        <v>347</v>
      </c>
      <c r="C22" s="169">
        <v>0.7</v>
      </c>
      <c r="E22" s="159" t="s">
        <v>348</v>
      </c>
      <c r="F22" t="s">
        <v>349</v>
      </c>
      <c r="G22" s="29">
        <f>C4*G21</f>
        <v>90</v>
      </c>
      <c r="J22" t="s">
        <v>349</v>
      </c>
      <c r="K22" s="29">
        <f>G22*(1+K21)^4</f>
        <v>117.9716409</v>
      </c>
    </row>
    <row r="23" spans="1:11" x14ac:dyDescent="0.3">
      <c r="A23" s="159" t="s">
        <v>350</v>
      </c>
      <c r="B23" s="170" t="s">
        <v>429</v>
      </c>
      <c r="C23" s="171">
        <f>+(K23/C9)^(1/6)-1</f>
        <v>-1.4461302244275553E-2</v>
      </c>
      <c r="F23" t="s">
        <v>351</v>
      </c>
      <c r="G23" s="29">
        <f>+G22*C15</f>
        <v>48.933358017984553</v>
      </c>
      <c r="I23" s="159" t="s">
        <v>352</v>
      </c>
      <c r="J23" t="s">
        <v>351</v>
      </c>
      <c r="K23" s="29">
        <f>+K22*C15</f>
        <v>64.141650445875655</v>
      </c>
    </row>
    <row r="24" spans="1:11" x14ac:dyDescent="0.3">
      <c r="B24" s="47" t="s">
        <v>353</v>
      </c>
      <c r="C24" s="169">
        <f>1-C22</f>
        <v>0.30000000000000004</v>
      </c>
      <c r="F24" t="s">
        <v>354</v>
      </c>
      <c r="G24" s="29">
        <f>+G22*C14</f>
        <v>41.066641982015447</v>
      </c>
      <c r="J24" t="s">
        <v>354</v>
      </c>
      <c r="K24" s="29">
        <f>+K22*C14</f>
        <v>53.829990454124335</v>
      </c>
    </row>
    <row r="25" spans="1:11" x14ac:dyDescent="0.3">
      <c r="A25" s="159" t="s">
        <v>355</v>
      </c>
      <c r="B25" s="172" t="s">
        <v>356</v>
      </c>
      <c r="C25" s="173">
        <f>+(((1+C1)^C21-C22*(1+C23)^C21)/C24)^(1/6)-1</f>
        <v>0.40871643320105044</v>
      </c>
    </row>
  </sheetData>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E6839-C692-4E5C-978E-D66303A08D88}">
  <dimension ref="B10:P34"/>
  <sheetViews>
    <sheetView topLeftCell="A12" zoomScale="92" workbookViewId="0">
      <selection activeCell="D29" sqref="D29"/>
    </sheetView>
  </sheetViews>
  <sheetFormatPr defaultRowHeight="14.4" x14ac:dyDescent="0.3"/>
  <cols>
    <col min="2" max="2" width="20.77734375" bestFit="1" customWidth="1"/>
    <col min="3" max="3" width="27.109375" bestFit="1" customWidth="1"/>
    <col min="4" max="4" width="18.5546875" bestFit="1" customWidth="1"/>
    <col min="5" max="5" width="14.88671875" bestFit="1" customWidth="1"/>
    <col min="6" max="6" width="16" customWidth="1"/>
    <col min="7" max="7" width="10.77734375" customWidth="1"/>
    <col min="8" max="8" width="15.5546875" bestFit="1" customWidth="1"/>
    <col min="9" max="9" width="19.109375" bestFit="1" customWidth="1"/>
    <col min="10" max="10" width="14.44140625" bestFit="1" customWidth="1"/>
    <col min="11" max="11" width="7.33203125" bestFit="1" customWidth="1"/>
    <col min="12" max="12" width="8.5546875" bestFit="1" customWidth="1"/>
    <col min="13" max="14" width="8.44140625" customWidth="1"/>
    <col min="15" max="15" width="13.44140625" bestFit="1" customWidth="1"/>
    <col min="16" max="16" width="15" bestFit="1" customWidth="1"/>
  </cols>
  <sheetData>
    <row r="10" spans="2:11" s="235" customFormat="1" x14ac:dyDescent="0.3">
      <c r="C10" s="244"/>
    </row>
    <row r="11" spans="2:11" s="235" customFormat="1" x14ac:dyDescent="0.3">
      <c r="C11" s="244"/>
    </row>
    <row r="12" spans="2:11" s="235" customFormat="1" x14ac:dyDescent="0.3"/>
    <row r="13" spans="2:11" s="235" customFormat="1" ht="15.6" x14ac:dyDescent="0.3">
      <c r="B13" s="239"/>
    </row>
    <row r="14" spans="2:11" s="235" customFormat="1" x14ac:dyDescent="0.3">
      <c r="C14" s="240"/>
    </row>
    <row r="15" spans="2:11" s="235" customFormat="1" x14ac:dyDescent="0.3">
      <c r="C15" s="240"/>
    </row>
    <row r="16" spans="2:11" s="235" customFormat="1" ht="21" x14ac:dyDescent="0.4">
      <c r="K16" s="246"/>
    </row>
    <row r="17" spans="2:16" s="235" customFormat="1" x14ac:dyDescent="0.3"/>
    <row r="18" spans="2:16" s="235" customFormat="1" x14ac:dyDescent="0.3">
      <c r="B18" s="235" t="s">
        <v>420</v>
      </c>
      <c r="C18" s="244">
        <v>0.03</v>
      </c>
    </row>
    <row r="19" spans="2:16" s="235" customFormat="1" x14ac:dyDescent="0.3">
      <c r="B19" s="235" t="s">
        <v>421</v>
      </c>
      <c r="C19" s="244">
        <v>0.06</v>
      </c>
    </row>
    <row r="20" spans="2:16" s="235" customFormat="1" x14ac:dyDescent="0.3"/>
    <row r="21" spans="2:16" s="235" customFormat="1" ht="15.6" x14ac:dyDescent="0.3">
      <c r="B21" s="239" t="s">
        <v>150</v>
      </c>
    </row>
    <row r="22" spans="2:16" s="235" customFormat="1" x14ac:dyDescent="0.3">
      <c r="B22" s="235" t="s">
        <v>20</v>
      </c>
      <c r="C22" s="240">
        <v>0.5</v>
      </c>
    </row>
    <row r="23" spans="2:16" s="235" customFormat="1" x14ac:dyDescent="0.3">
      <c r="B23" s="235" t="s">
        <v>13</v>
      </c>
      <c r="C23" s="240">
        <v>0.05</v>
      </c>
    </row>
    <row r="24" spans="2:16" s="235" customFormat="1" ht="21" x14ac:dyDescent="0.4">
      <c r="K24" s="246"/>
    </row>
    <row r="25" spans="2:16" s="235" customFormat="1" x14ac:dyDescent="0.3"/>
    <row r="26" spans="2:16" s="235" customFormat="1" ht="15.6" x14ac:dyDescent="0.3">
      <c r="B26" s="245"/>
      <c r="C26" s="254"/>
    </row>
    <row r="27" spans="2:16" s="235" customFormat="1" x14ac:dyDescent="0.3"/>
    <row r="28" spans="2:16" s="235" customFormat="1" x14ac:dyDescent="0.3"/>
    <row r="29" spans="2:16" s="235" customFormat="1" x14ac:dyDescent="0.3"/>
    <row r="30" spans="2:16" s="235" customFormat="1" ht="15.6" x14ac:dyDescent="0.3">
      <c r="C30" s="239" t="s">
        <v>422</v>
      </c>
      <c r="D30" s="239" t="s">
        <v>423</v>
      </c>
      <c r="E30" s="239" t="s">
        <v>424</v>
      </c>
      <c r="F30" s="239" t="s">
        <v>425</v>
      </c>
      <c r="G30" s="239" t="s">
        <v>15</v>
      </c>
      <c r="H30" s="239" t="s">
        <v>167</v>
      </c>
      <c r="I30" s="239" t="s">
        <v>426</v>
      </c>
      <c r="J30" s="239" t="s">
        <v>427</v>
      </c>
      <c r="K30" s="239" t="s">
        <v>13</v>
      </c>
      <c r="L30" s="239" t="s">
        <v>20</v>
      </c>
      <c r="M30" s="239" t="s">
        <v>410</v>
      </c>
      <c r="N30" s="239" t="s">
        <v>428</v>
      </c>
      <c r="O30" s="239" t="s">
        <v>196</v>
      </c>
      <c r="P30" s="239" t="s">
        <v>12</v>
      </c>
    </row>
    <row r="31" spans="2:16" s="235" customFormat="1" ht="15.6" x14ac:dyDescent="0.3">
      <c r="B31" s="239" t="s">
        <v>418</v>
      </c>
      <c r="C31" s="237">
        <v>10</v>
      </c>
      <c r="D31" s="237">
        <v>1000000</v>
      </c>
      <c r="E31" s="241">
        <f>C31*D31</f>
        <v>10000000</v>
      </c>
      <c r="F31" s="229">
        <f>(G31-C18)/C19</f>
        <v>1.3333333333333335</v>
      </c>
      <c r="G31" s="240">
        <v>0.11</v>
      </c>
      <c r="H31" s="237">
        <v>5000000</v>
      </c>
      <c r="I31" s="242">
        <f>K31-C18</f>
        <v>1.1999999999999997E-2</v>
      </c>
      <c r="J31" s="236">
        <v>0.2</v>
      </c>
      <c r="K31" s="243">
        <f>C18+J31*C19</f>
        <v>4.1999999999999996E-2</v>
      </c>
      <c r="L31" s="247">
        <f>H31/(E31+H31)</f>
        <v>0.33333333333333331</v>
      </c>
      <c r="M31" s="255">
        <f>L31/(1-L31)</f>
        <v>0.49999999999999989</v>
      </c>
      <c r="N31" s="255">
        <f>1-L31</f>
        <v>0.66666666666666674</v>
      </c>
      <c r="O31" s="256">
        <f>H31+E31</f>
        <v>15000000</v>
      </c>
      <c r="P31" s="242">
        <f>N31*G31+L31*K31</f>
        <v>8.7333333333333346E-2</v>
      </c>
    </row>
    <row r="32" spans="2:16" s="235" customFormat="1" ht="15.6" x14ac:dyDescent="0.3">
      <c r="B32" s="239" t="s">
        <v>419</v>
      </c>
      <c r="E32" s="237">
        <v>5000000</v>
      </c>
      <c r="F32" s="236">
        <v>1.4</v>
      </c>
      <c r="G32" s="242">
        <f>$C$18+F32*$C$19</f>
        <v>0.11399999999999999</v>
      </c>
      <c r="H32" s="248">
        <f>L32*E32</f>
        <v>2000000</v>
      </c>
      <c r="I32" s="240">
        <v>2.8000000000000001E-2</v>
      </c>
      <c r="J32" s="257">
        <f>I32/(K32-C18)</f>
        <v>1.0000000000000002</v>
      </c>
      <c r="K32" s="242">
        <f>I32+C18</f>
        <v>5.7999999999999996E-2</v>
      </c>
      <c r="L32" s="240">
        <v>0.4</v>
      </c>
      <c r="M32" s="255">
        <f>L32/(1-L32)</f>
        <v>0.66666666666666674</v>
      </c>
      <c r="N32" s="255">
        <f>1-L32</f>
        <v>0.6</v>
      </c>
      <c r="O32" s="256">
        <f>H32+E32</f>
        <v>7000000</v>
      </c>
      <c r="P32" s="242">
        <f>N32*G32+L32*K32</f>
        <v>9.1599999999999987E-2</v>
      </c>
    </row>
    <row r="33" spans="2:16" s="235" customFormat="1" ht="15.6" x14ac:dyDescent="0.3">
      <c r="B33" s="239" t="s">
        <v>417</v>
      </c>
      <c r="F33" s="236">
        <v>1.2</v>
      </c>
      <c r="G33" s="242">
        <f>$C$18+F33*$C$19</f>
        <v>0.10199999999999999</v>
      </c>
      <c r="I33" s="255">
        <f>J33*C18</f>
        <v>4.4999999999999997E-3</v>
      </c>
      <c r="J33" s="258">
        <v>0.15</v>
      </c>
      <c r="K33" s="243">
        <f>C18+J33*C19</f>
        <v>3.9E-2</v>
      </c>
      <c r="L33" s="240">
        <v>0.2</v>
      </c>
      <c r="M33" s="255">
        <f t="shared" ref="M33" si="0">L33/(1-L33)</f>
        <v>0.25</v>
      </c>
      <c r="N33" s="255">
        <f>1-L33</f>
        <v>0.8</v>
      </c>
      <c r="O33" s="249"/>
      <c r="P33" s="242">
        <f>N33*G33+L33*K33</f>
        <v>8.9400000000000007E-2</v>
      </c>
    </row>
    <row r="34" spans="2:16" s="235" customFormat="1" ht="15.6" x14ac:dyDescent="0.3">
      <c r="B34" s="250" t="s">
        <v>150</v>
      </c>
      <c r="C34" s="251"/>
      <c r="D34" s="251"/>
      <c r="E34" s="251" t="s">
        <v>181</v>
      </c>
      <c r="F34" s="230">
        <f>AVERAGE(F31:F33)</f>
        <v>1.3111111111111111</v>
      </c>
      <c r="G34" s="253">
        <f>(P34-C22*K34)/N34</f>
        <v>0.12888888888888889</v>
      </c>
      <c r="H34" s="251"/>
      <c r="I34" s="252"/>
      <c r="J34" s="251"/>
      <c r="K34" s="252">
        <f>C23</f>
        <v>0.05</v>
      </c>
      <c r="L34" s="252">
        <f>C22</f>
        <v>0.5</v>
      </c>
      <c r="M34" s="251"/>
      <c r="N34" s="251">
        <f>1-L34</f>
        <v>0.5</v>
      </c>
      <c r="O34" s="238" t="s">
        <v>181</v>
      </c>
      <c r="P34" s="253">
        <f>AVERAGE(P31:P33)</f>
        <v>8.9444444444444438E-2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Fin Statements + Valuation</vt:lpstr>
      <vt:lpstr>BCF</vt:lpstr>
      <vt:lpstr>Ratios from BCF </vt:lpstr>
      <vt:lpstr>Debt (Bond or Loan)</vt:lpstr>
      <vt:lpstr>Multiples</vt:lpstr>
      <vt:lpstr>AssetBased</vt:lpstr>
      <vt:lpstr>M&amp;A</vt:lpstr>
      <vt:lpstr>PE</vt:lpstr>
      <vt:lpstr>Cost of Capital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 SLIKI</dc:creator>
  <cp:lastModifiedBy>Aya SLIKI</cp:lastModifiedBy>
  <dcterms:created xsi:type="dcterms:W3CDTF">2015-06-05T18:17:20Z</dcterms:created>
  <dcterms:modified xsi:type="dcterms:W3CDTF">2023-12-19T21:37:57Z</dcterms:modified>
</cp:coreProperties>
</file>