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7.xml" ContentType="application/vnd.openxmlformats-officedocument.drawing+xml"/>
  <Override PartName="/xl/drawings/drawing8.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129"/>
  <workbookPr defaultThemeVersion="124226"/>
  <mc:AlternateContent xmlns:mc="http://schemas.openxmlformats.org/markup-compatibility/2006">
    <mc:Choice Requires="x15">
      <x15ac:absPath xmlns:x15ac="http://schemas.microsoft.com/office/spreadsheetml/2010/11/ac" url="C:\Users\ASUS VIVOBOOK\Desktop\Exam Papers\Copied\"/>
    </mc:Choice>
  </mc:AlternateContent>
  <xr:revisionPtr revIDLastSave="0" documentId="13_ncr:1_{BA0581F9-A82C-4AFF-BA0F-204690D1C7D1}" xr6:coauthVersionLast="47" xr6:coauthVersionMax="47" xr10:uidLastSave="{00000000-0000-0000-0000-000000000000}"/>
  <bookViews>
    <workbookView xWindow="-108" yWindow="-108" windowWidth="23256" windowHeight="13896" firstSheet="1" activeTab="5" xr2:uid="{00000000-000D-0000-FFFF-FFFF00000000}"/>
  </bookViews>
  <sheets>
    <sheet name="OpeningPage" sheetId="5" r:id="rId1"/>
    <sheet name="Admin" sheetId="6" r:id="rId2"/>
    <sheet name="M&amp;A" sheetId="10" r:id="rId3"/>
    <sheet name="DCF" sheetId="11" r:id="rId4"/>
    <sheet name="PE" sheetId="12" r:id="rId5"/>
    <sheet name="PE Sol" sheetId="14" r:id="rId6"/>
    <sheet name="Theory" sheetId="13" r:id="rId7"/>
    <sheet name="Theory 2" sheetId="9" r:id="rId8"/>
  </sheets>
  <externalReferences>
    <externalReference r:id="rId9"/>
    <externalReference r:id="rId10"/>
  </externalReferences>
  <definedNames>
    <definedName name="lista">OFFSET([1]DinamicValidation!$B$4,0,0,COUNTA([1]DinamicValidation!$B$4:$B$1048576),1)</definedName>
    <definedName name="solver_adj" localSheetId="5" hidden="1">'PE Sol'!$C$29</definedName>
    <definedName name="solver_cvg" localSheetId="5" hidden="1">0.0001</definedName>
    <definedName name="solver_drv" localSheetId="5" hidden="1">2</definedName>
    <definedName name="solver_eng" localSheetId="5" hidden="1">1</definedName>
    <definedName name="solver_est" localSheetId="5" hidden="1">1</definedName>
    <definedName name="solver_itr" localSheetId="5" hidden="1">2147483647</definedName>
    <definedName name="solver_lin" localSheetId="5" hidden="1">2</definedName>
    <definedName name="solver_mip" localSheetId="5" hidden="1">2147483647</definedName>
    <definedName name="solver_mni" localSheetId="5" hidden="1">30</definedName>
    <definedName name="solver_mrt" localSheetId="5" hidden="1">0.075</definedName>
    <definedName name="solver_msl" localSheetId="5" hidden="1">2</definedName>
    <definedName name="solver_neg" localSheetId="5" hidden="1">1</definedName>
    <definedName name="solver_nod" localSheetId="5" hidden="1">2147483647</definedName>
    <definedName name="solver_num" localSheetId="5" hidden="1">0</definedName>
    <definedName name="solver_nwt" localSheetId="5" hidden="1">1</definedName>
    <definedName name="solver_opt" localSheetId="5" hidden="1">'PE Sol'!$C$30</definedName>
    <definedName name="solver_pre" localSheetId="5" hidden="1">0.000001</definedName>
    <definedName name="solver_rbv" localSheetId="5" hidden="1">2</definedName>
    <definedName name="solver_rlx" localSheetId="5" hidden="1">2</definedName>
    <definedName name="solver_rsd" localSheetId="5" hidden="1">0</definedName>
    <definedName name="solver_scl" localSheetId="5" hidden="1">2</definedName>
    <definedName name="solver_sho" localSheetId="5" hidden="1">2</definedName>
    <definedName name="solver_ssz" localSheetId="5" hidden="1">100</definedName>
    <definedName name="solver_tim" localSheetId="5" hidden="1">2147483647</definedName>
    <definedName name="solver_tol" localSheetId="5" hidden="1">0.01</definedName>
    <definedName name="solver_typ" localSheetId="5" hidden="1">3</definedName>
    <definedName name="solver_val" localSheetId="5" hidden="1">0</definedName>
    <definedName name="solver_ver" localSheetId="5" hidden="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43" i="11" l="1"/>
  <c r="I48" i="11"/>
  <c r="I39" i="11"/>
  <c r="D39" i="11"/>
  <c r="D29" i="11"/>
  <c r="H43" i="11"/>
  <c r="G44" i="11"/>
  <c r="G43" i="11"/>
  <c r="F44" i="11"/>
  <c r="E43" i="11"/>
  <c r="D44" i="11"/>
  <c r="E38" i="11"/>
  <c r="D38" i="11"/>
  <c r="I37" i="11"/>
  <c r="I32" i="11"/>
  <c r="C34" i="14"/>
  <c r="G31" i="14"/>
  <c r="G51" i="14"/>
  <c r="L50" i="14" s="1"/>
  <c r="C51" i="14"/>
  <c r="C45" i="14"/>
  <c r="L44" i="14"/>
  <c r="L42" i="14"/>
  <c r="L30" i="14"/>
  <c r="G32" i="14"/>
  <c r="G33" i="14" s="1"/>
  <c r="C31" i="14"/>
  <c r="C25" i="14"/>
  <c r="L22" i="14"/>
  <c r="L24" i="14" s="1"/>
  <c r="C53" i="10"/>
  <c r="C55" i="10"/>
  <c r="C56" i="10"/>
  <c r="C57" i="10" s="1"/>
  <c r="C60" i="10" s="1"/>
  <c r="C62" i="10" s="1"/>
  <c r="C64" i="10" s="1"/>
  <c r="C68" i="10" s="1"/>
  <c r="C59" i="10"/>
  <c r="F42" i="10"/>
  <c r="D42" i="10"/>
  <c r="E42" i="10"/>
  <c r="E43" i="10"/>
  <c r="E41" i="10"/>
  <c r="E37" i="10"/>
  <c r="F37" i="10"/>
  <c r="D37" i="10"/>
  <c r="F41" i="10"/>
  <c r="D41" i="10"/>
  <c r="E39" i="10"/>
  <c r="F39" i="10"/>
  <c r="D39" i="10"/>
  <c r="E35" i="10"/>
  <c r="E46" i="11"/>
  <c r="F46" i="11"/>
  <c r="G46" i="11"/>
  <c r="H46" i="11"/>
  <c r="D46" i="11"/>
  <c r="D65" i="11"/>
  <c r="I63" i="11"/>
  <c r="D45" i="11"/>
  <c r="E58" i="11"/>
  <c r="F58" i="11"/>
  <c r="G58" i="11"/>
  <c r="H58" i="11"/>
  <c r="I58" i="11"/>
  <c r="D58" i="11"/>
  <c r="D43" i="11"/>
  <c r="I33" i="11"/>
  <c r="I53" i="11"/>
  <c r="G52" i="14" l="1"/>
  <c r="L51" i="14" s="1"/>
  <c r="C54" i="14" s="1"/>
  <c r="G40" i="14" s="1"/>
  <c r="L31" i="14"/>
  <c r="D43" i="10"/>
  <c r="H43" i="10" s="1"/>
  <c r="D46" i="10"/>
  <c r="F43" i="10"/>
  <c r="D47" i="11"/>
  <c r="D57" i="11" s="1"/>
  <c r="E44" i="11"/>
  <c r="F38" i="11" s="1"/>
  <c r="E39" i="11"/>
  <c r="D52" i="11"/>
  <c r="D40" i="11"/>
  <c r="C36" i="14" l="1"/>
  <c r="G20" i="14" s="1"/>
  <c r="G43" i="14"/>
  <c r="C46" i="14" s="1"/>
  <c r="G45" i="14"/>
  <c r="G53" i="14"/>
  <c r="F46" i="10"/>
  <c r="H42" i="10"/>
  <c r="H41" i="10"/>
  <c r="I41" i="10" s="1"/>
  <c r="F39" i="11"/>
  <c r="F40" i="11" s="1"/>
  <c r="G38" i="11"/>
  <c r="E45" i="11"/>
  <c r="E52" i="11" s="1"/>
  <c r="E47" i="11"/>
  <c r="D48" i="11"/>
  <c r="D49" i="11" s="1"/>
  <c r="D62" i="11" s="1"/>
  <c r="E65" i="11"/>
  <c r="F65" i="11"/>
  <c r="E40" i="11"/>
  <c r="G25" i="14" l="1"/>
  <c r="L26" i="14" s="1"/>
  <c r="G23" i="14"/>
  <c r="C26" i="14" s="1"/>
  <c r="C23" i="14" s="1"/>
  <c r="G34" i="14" s="1"/>
  <c r="G46" i="14"/>
  <c r="L46" i="14"/>
  <c r="C43" i="14"/>
  <c r="G54" i="14" s="1"/>
  <c r="C49" i="14"/>
  <c r="C50" i="14" s="1"/>
  <c r="C30" i="14"/>
  <c r="G26" i="14"/>
  <c r="G28" i="14" s="1"/>
  <c r="L28" i="14" s="1"/>
  <c r="L33" i="14" s="1"/>
  <c r="D47" i="10"/>
  <c r="F47" i="10" s="1"/>
  <c r="G39" i="11"/>
  <c r="G47" i="11" s="1"/>
  <c r="F47" i="11"/>
  <c r="E48" i="11"/>
  <c r="F45" i="11"/>
  <c r="F52" i="11" s="1"/>
  <c r="H38" i="11"/>
  <c r="E57" i="11"/>
  <c r="L34" i="14" l="1"/>
  <c r="G47" i="14"/>
  <c r="L47" i="14" s="1"/>
  <c r="L45" i="14" s="1"/>
  <c r="G48" i="14"/>
  <c r="L48" i="14" s="1"/>
  <c r="L53" i="14" s="1"/>
  <c r="L54" i="14" s="1"/>
  <c r="G27" i="14"/>
  <c r="L27" i="14" s="1"/>
  <c r="L25" i="14" s="1"/>
  <c r="C65" i="10"/>
  <c r="C66" i="10"/>
  <c r="H39" i="11"/>
  <c r="H47" i="11" s="1"/>
  <c r="F57" i="11"/>
  <c r="G45" i="11"/>
  <c r="G52" i="11" s="1"/>
  <c r="H44" i="11"/>
  <c r="I38" i="11" s="1"/>
  <c r="E49" i="11"/>
  <c r="E62" i="11" s="1"/>
  <c r="I43" i="11" l="1"/>
  <c r="I44" i="11" s="1"/>
  <c r="H45" i="11"/>
  <c r="H52" i="11" s="1"/>
  <c r="I45" i="11" l="1"/>
  <c r="I52" i="11" s="1"/>
  <c r="I54" i="11" s="1"/>
  <c r="I46" i="11" s="1"/>
  <c r="H57" i="11" l="1"/>
  <c r="H40" i="11"/>
  <c r="H65" i="11"/>
  <c r="G48" i="11"/>
  <c r="F48" i="11" l="1"/>
  <c r="F49" i="11" s="1"/>
  <c r="F62" i="11" s="1"/>
  <c r="G65" i="11"/>
  <c r="G57" i="11"/>
  <c r="G40" i="11"/>
  <c r="G49" i="11" l="1"/>
  <c r="G62" i="11" s="1"/>
  <c r="D20" i="6" l="1"/>
  <c r="C7" i="13"/>
  <c r="C6" i="13"/>
  <c r="C4" i="13"/>
  <c r="C3" i="13"/>
  <c r="C2" i="13"/>
  <c r="B7" i="13"/>
  <c r="B6" i="13"/>
  <c r="B4" i="13"/>
  <c r="B3" i="13"/>
  <c r="B2" i="13"/>
  <c r="C7" i="12" l="1"/>
  <c r="C6" i="12"/>
  <c r="C4" i="12"/>
  <c r="C3" i="12"/>
  <c r="C2" i="12"/>
  <c r="E24" i="11" l="1"/>
  <c r="F24" i="11" s="1"/>
  <c r="G24" i="11" s="1"/>
  <c r="H24" i="11" s="1"/>
  <c r="B7" i="11" l="1"/>
  <c r="C6" i="11"/>
  <c r="B6" i="11"/>
  <c r="C4" i="11"/>
  <c r="B4" i="11"/>
  <c r="C3" i="11"/>
  <c r="B3" i="11"/>
  <c r="C2" i="11"/>
  <c r="B2" i="11"/>
  <c r="B7" i="10"/>
  <c r="C6" i="10"/>
  <c r="B6" i="10"/>
  <c r="C4" i="10"/>
  <c r="B4" i="10"/>
  <c r="C3" i="10"/>
  <c r="B3" i="10"/>
  <c r="C2" i="10"/>
  <c r="B2" i="10"/>
  <c r="B7" i="9" l="1"/>
  <c r="C6" i="9"/>
  <c r="B6" i="9"/>
  <c r="C4" i="9"/>
  <c r="B4" i="9"/>
  <c r="C3" i="9"/>
  <c r="B3" i="9"/>
  <c r="C2" i="9"/>
  <c r="B2" i="9"/>
  <c r="C7" i="10" l="1"/>
  <c r="C7" i="11"/>
  <c r="C7" i="9"/>
  <c r="H48" i="11" l="1"/>
  <c r="H49" i="11" s="1"/>
  <c r="H62" i="11" s="1"/>
  <c r="J39" i="11"/>
  <c r="I65" i="11"/>
  <c r="I47" i="11"/>
  <c r="I57" i="11" s="1"/>
  <c r="I59" i="11" s="1"/>
  <c r="I40" i="11"/>
  <c r="I60" i="11" l="1"/>
  <c r="H59" i="11"/>
  <c r="I49" i="11"/>
  <c r="I62" i="11" s="1"/>
  <c r="I64" i="11" l="1"/>
  <c r="H29" i="11"/>
  <c r="G59" i="11"/>
  <c r="H37" i="11" l="1"/>
  <c r="H53" i="11" s="1"/>
  <c r="H54" i="11" s="1"/>
  <c r="H60" i="11" s="1"/>
  <c r="H63" i="11"/>
  <c r="H64" i="11" s="1"/>
  <c r="I66" i="11"/>
  <c r="I67" i="11" s="1"/>
  <c r="F59" i="11"/>
  <c r="G29" i="11"/>
  <c r="H66" i="11" l="1"/>
  <c r="H67" i="11" s="1"/>
  <c r="G37" i="11"/>
  <c r="G53" i="11" s="1"/>
  <c r="G54" i="11" s="1"/>
  <c r="G60" i="11" s="1"/>
  <c r="G63" i="11"/>
  <c r="G64" i="11" s="1"/>
  <c r="F29" i="11"/>
  <c r="E59" i="11"/>
  <c r="G66" i="11" l="1"/>
  <c r="G67" i="11" s="1"/>
  <c r="F37" i="11"/>
  <c r="F53" i="11" s="1"/>
  <c r="F54" i="11" s="1"/>
  <c r="F60" i="11" s="1"/>
  <c r="F63" i="11"/>
  <c r="F64" i="11" s="1"/>
  <c r="D59" i="11"/>
  <c r="E29" i="11"/>
  <c r="F66" i="11" l="1"/>
  <c r="F67" i="11" s="1"/>
  <c r="E37" i="11"/>
  <c r="E53" i="11" s="1"/>
  <c r="E54" i="11" s="1"/>
  <c r="E60" i="11" s="1"/>
  <c r="E63" i="11"/>
  <c r="E64" i="11" s="1"/>
  <c r="E66" i="11" s="1"/>
  <c r="E67" i="11" s="1"/>
  <c r="D63" i="11" l="1"/>
  <c r="D64" i="11" s="1"/>
  <c r="D66" i="11" s="1"/>
  <c r="D67" i="11" s="1"/>
  <c r="D37" i="11"/>
  <c r="D53" i="11" s="1"/>
  <c r="D54" i="11" s="1"/>
  <c r="D60" i="1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tc={42FD5D6F-5640-4DC8-9BF6-875ED8C2536D}</author>
    <author>Ádám</author>
    <author>tc={64172D1A-E913-4A6F-919E-97BF00030288}</author>
    <author>tc={B41A5B59-C68E-450E-9337-96A06C937FEF}</author>
    <author>tc={23C54853-24F0-497E-A9E1-C4154B657013}</author>
    <author>tc={28822F28-3C64-4994-A083-AA3335A353C6}</author>
    <author>tc={78F47DD0-39A4-4506-B601-4BBE8922873D}</author>
    <author>tc={E5260F9D-E8B7-4EB4-9A42-59D31BC36824}</author>
    <author>tc={305E04B3-537E-4FBB-9269-76D2EF39C7A0}</author>
    <author>tc={C5C56327-BAAE-4FCA-A6C3-495A09412F1A}</author>
    <author>tc={8B342CC9-AEB1-4E73-B6E7-9EE47CA3CD15}</author>
    <author>tc={9650E0F3-5C3A-4028-926B-8C0E81CE7BA6}</author>
    <author>tc={C2465AED-32C8-417D-B0AA-B289BBC1D5F9}</author>
  </authors>
  <commentList>
    <comment ref="G25" authorId="0" shapeId="0" xr:uid="{42FD5D6F-5640-4DC8-9BF6-875ED8C2536D}">
      <text>
        <t>[Threaded comment]
Your version of Excel allows you to read this threaded comment; however, any edits to it will get removed if the file is opened in a newer version of Excel. Learn more: https://go.microsoft.com/fwlink/?linkid=870924
Comment:
    % gain in ownership only from year 2 investment</t>
      </text>
    </comment>
    <comment ref="E26" authorId="1" shapeId="0" xr:uid="{D678FAC2-E7EB-4063-A3A5-90323ADA838E}">
      <text>
        <r>
          <rPr>
            <b/>
            <sz val="9"/>
            <color indexed="81"/>
            <rFont val="Tahoma"/>
            <family val="2"/>
            <charset val="238"/>
          </rPr>
          <t>Ádám:</t>
        </r>
        <r>
          <rPr>
            <sz val="9"/>
            <color indexed="81"/>
            <rFont val="Tahoma"/>
            <family val="2"/>
            <charset val="238"/>
          </rPr>
          <t xml:space="preserve">
Probability of success
</t>
        </r>
      </text>
    </comment>
    <comment ref="G27" authorId="2" shapeId="0" xr:uid="{64172D1A-E913-4A6F-919E-97BF00030288}">
      <text>
        <t>[Threaded comment]
Your version of Excel allows you to read this threaded comment; however, any edits to it will get removed if the file is opened in a newer version of Excel. Learn more: https://go.microsoft.com/fwlink/?linkid=870924
Comment:
    Share of the ownership from the year 1 investor, it this and the G25 investor is the same person then he has 56% ownership</t>
      </text>
    </comment>
    <comment ref="C28" authorId="3" shapeId="0" xr:uid="{B41A5B59-C68E-450E-9337-96A06C937FEF}">
      <text>
        <t xml:space="preserve">[Threaded comment]
Your version of Excel allows you to read this threaded comment; however, any edits to it will get removed if the file is opened in a newer version of Excel. Learn more: https://go.microsoft.com/fwlink/?linkid=870924
Comment:
    Solverezett érték
</t>
      </text>
    </comment>
    <comment ref="E30" authorId="4" shapeId="0" xr:uid="{23C54853-24F0-497E-A9E1-C4154B657013}">
      <text>
        <t>[Threaded comment]
Your version of Excel allows you to read this threaded comment; however, any edits to it will get removed if the file is opened in a newer version of Excel. Learn more: https://go.microsoft.com/fwlink/?linkid=870924
Comment:
    Probability of failure</t>
      </text>
    </comment>
    <comment ref="B36" authorId="5" shapeId="0" xr:uid="{28822F28-3C64-4994-A083-AA3335A353C6}">
      <text>
        <t>[Threaded comment]
Your version of Excel allows you to read this threaded comment; however, any edits to it will get removed if the file is opened in a newer version of Excel. Learn more: https://go.microsoft.com/fwlink/?linkid=870924
Comment:
    O4-ben levő formula átrendezve</t>
      </text>
    </comment>
    <comment ref="C36" authorId="6" shapeId="0" xr:uid="{78F47DD0-39A4-4506-B601-4BBE8922873D}">
      <text>
        <t>[Threaded comment]
Your version of Excel allows you to read this threaded comment; however, any edits to it will get removed if the file is opened in a newer version of Excel. Learn more: https://go.microsoft.com/fwlink/?linkid=870924
Comment:
    1) point answer</t>
      </text>
    </comment>
    <comment ref="G45" authorId="7" shapeId="0" xr:uid="{E5260F9D-E8B7-4EB4-9A42-59D31BC36824}">
      <text>
        <t>[Threaded comment]
Your version of Excel allows you to read this threaded comment; however, any edits to it will get removed if the file is opened in a newer version of Excel. Learn more: https://go.microsoft.com/fwlink/?linkid=870924
Comment:
    % gain in ownership only from year 2 investment</t>
      </text>
    </comment>
    <comment ref="E46" authorId="1" shapeId="0" xr:uid="{92A85602-EF75-4A58-88F8-76AE1A1850CC}">
      <text>
        <r>
          <rPr>
            <b/>
            <sz val="9"/>
            <color indexed="81"/>
            <rFont val="Tahoma"/>
            <family val="2"/>
            <charset val="238"/>
          </rPr>
          <t>Ádám:</t>
        </r>
        <r>
          <rPr>
            <sz val="9"/>
            <color indexed="81"/>
            <rFont val="Tahoma"/>
            <family val="2"/>
            <charset val="238"/>
          </rPr>
          <t xml:space="preserve">
Probability of success
</t>
        </r>
      </text>
    </comment>
    <comment ref="G47" authorId="8" shapeId="0" xr:uid="{305E04B3-537E-4FBB-9269-76D2EF39C7A0}">
      <text>
        <t>[Threaded comment]
Your version of Excel allows you to read this threaded comment; however, any edits to it will get removed if the file is opened in a newer version of Excel. Learn more: https://go.microsoft.com/fwlink/?linkid=870924
Comment:
    Share of the ownership from the year 1 investor, it this and the G25 investor is the same person then he has 56% ownership</t>
      </text>
    </comment>
    <comment ref="C48" authorId="9" shapeId="0" xr:uid="{C5C56327-BAAE-4FCA-A6C3-495A09412F1A}">
      <text>
        <t xml:space="preserve">[Threaded comment]
Your version of Excel allows you to read this threaded comment; however, any edits to it will get removed if the file is opened in a newer version of Excel. Learn more: https://go.microsoft.com/fwlink/?linkid=870924
Comment:
    Solverezett érték
</t>
      </text>
    </comment>
    <comment ref="E50" authorId="10" shapeId="0" xr:uid="{8B342CC9-AEB1-4E73-B6E7-9EE47CA3CD15}">
      <text>
        <t>[Threaded comment]
Your version of Excel allows you to read this threaded comment; however, any edits to it will get removed if the file is opened in a newer version of Excel. Learn more: https://go.microsoft.com/fwlink/?linkid=870924
Comment:
    Probability of failure</t>
      </text>
    </comment>
    <comment ref="B56" authorId="11" shapeId="0" xr:uid="{9650E0F3-5C3A-4028-926B-8C0E81CE7BA6}">
      <text>
        <t>[Threaded comment]
Your version of Excel allows you to read this threaded comment; however, any edits to it will get removed if the file is opened in a newer version of Excel. Learn more: https://go.microsoft.com/fwlink/?linkid=870924
Comment:
    O4-ben levő formula átrendezve</t>
      </text>
    </comment>
    <comment ref="C56" authorId="12" shapeId="0" xr:uid="{C2465AED-32C8-417D-B0AA-B289BBC1D5F9}">
      <text>
        <t>[Threaded comment]
Your version of Excel allows you to read this threaded comment; however, any edits to it will get removed if the file is opened in a newer version of Excel. Learn more: https://go.microsoft.com/fwlink/?linkid=870924
Comment:
    1) point answer</t>
      </text>
    </comment>
  </commentList>
</comments>
</file>

<file path=xl/sharedStrings.xml><?xml version="1.0" encoding="utf-8"?>
<sst xmlns="http://schemas.openxmlformats.org/spreadsheetml/2006/main" count="213" uniqueCount="129">
  <si>
    <t>g</t>
  </si>
  <si>
    <t>TV</t>
  </si>
  <si>
    <t>RONIC</t>
  </si>
  <si>
    <t>K</t>
  </si>
  <si>
    <r>
      <t>r</t>
    </r>
    <r>
      <rPr>
        <vertAlign val="subscript"/>
        <sz val="12"/>
        <color rgb="FF000000"/>
        <rFont val="Times New Roman"/>
        <family val="1"/>
        <charset val="238"/>
      </rPr>
      <t>A</t>
    </r>
  </si>
  <si>
    <r>
      <t>r</t>
    </r>
    <r>
      <rPr>
        <vertAlign val="subscript"/>
        <sz val="12"/>
        <color rgb="FF000000"/>
        <rFont val="Times New Roman"/>
        <family val="1"/>
        <charset val="238"/>
      </rPr>
      <t>D</t>
    </r>
  </si>
  <si>
    <t>t</t>
  </si>
  <si>
    <t>rD</t>
  </si>
  <si>
    <t>ROIC</t>
  </si>
  <si>
    <t>Master in Finance</t>
  </si>
  <si>
    <t>Master in Accounting</t>
  </si>
  <si>
    <t>Instructor</t>
  </si>
  <si>
    <t>Péter Juhász, PhD, CFA</t>
  </si>
  <si>
    <t>Date</t>
  </si>
  <si>
    <t>Total points achieved</t>
  </si>
  <si>
    <t>Neptun code</t>
  </si>
  <si>
    <t>Student name</t>
  </si>
  <si>
    <t>Study program</t>
  </si>
  <si>
    <t>Points achived:</t>
  </si>
  <si>
    <t>g TV period</t>
  </si>
  <si>
    <t>D/IC boy</t>
  </si>
  <si>
    <t>D/V boy</t>
  </si>
  <si>
    <t>Together</t>
  </si>
  <si>
    <t>Firm A</t>
  </si>
  <si>
    <t>Firm B</t>
  </si>
  <si>
    <t>D/V</t>
  </si>
  <si>
    <t>rA</t>
  </si>
  <si>
    <t>Applied Business Valuation</t>
  </si>
  <si>
    <t>Today</t>
  </si>
  <si>
    <t>number of shares</t>
  </si>
  <si>
    <t>dIC</t>
  </si>
  <si>
    <t>FCFF (M HUF)</t>
  </si>
  <si>
    <t>FCFE (M HUF)</t>
  </si>
  <si>
    <t>in 8 years time</t>
  </si>
  <si>
    <t>Expected Sales multiple</t>
  </si>
  <si>
    <t>Expected Debt (M)</t>
  </si>
  <si>
    <t>Expected Sales (M)</t>
  </si>
  <si>
    <t>Book value of equity (M)</t>
  </si>
  <si>
    <t>Book value of debt (M)</t>
  </si>
  <si>
    <t>Venture capital contribution (M)</t>
  </si>
  <si>
    <t>in 3 years time</t>
  </si>
  <si>
    <t>IC boy</t>
  </si>
  <si>
    <t>Wacc</t>
  </si>
  <si>
    <t>Debt boy</t>
  </si>
  <si>
    <t>BV Equity boy</t>
  </si>
  <si>
    <t>Noplat</t>
  </si>
  <si>
    <t>FCFF</t>
  </si>
  <si>
    <t>Interest</t>
  </si>
  <si>
    <t>Tax shield</t>
  </si>
  <si>
    <t>d Debt</t>
  </si>
  <si>
    <t>FCFE</t>
  </si>
  <si>
    <t>WACC</t>
  </si>
  <si>
    <t>V boy</t>
  </si>
  <si>
    <t>FCFF+TS</t>
  </si>
  <si>
    <t>check</t>
  </si>
  <si>
    <t>rE</t>
  </si>
  <si>
    <t>E boy</t>
  </si>
  <si>
    <t>D boy</t>
  </si>
  <si>
    <t>E/V</t>
  </si>
  <si>
    <t>(rA-rD*D/V)/(1-D/V)</t>
  </si>
  <si>
    <t>rA-D/V*rD*t</t>
  </si>
  <si>
    <t>Without synergy</t>
  </si>
  <si>
    <t>Synergy</t>
  </si>
  <si>
    <t>FCFF/(wacc-g) OR E/(E/V)</t>
  </si>
  <si>
    <t>V</t>
  </si>
  <si>
    <t>D</t>
  </si>
  <si>
    <t>E</t>
  </si>
  <si>
    <t>base</t>
  </si>
  <si>
    <t>Bargaining range</t>
  </si>
  <si>
    <t>Min</t>
  </si>
  <si>
    <t>Max</t>
  </si>
  <si>
    <t>Max price</t>
  </si>
  <si>
    <t>Non-operational cash available to A</t>
  </si>
  <si>
    <t>Ownership passed over to B</t>
  </si>
  <si>
    <t>Ownership stake for B (in % of merged firm E)</t>
  </si>
  <si>
    <t>Number of initial shares (A + B)</t>
  </si>
  <si>
    <t>== Equivalent to ownership of A (in % of the merged firm E)</t>
  </si>
  <si>
    <t>Number of new shares to be issued for B</t>
  </si>
  <si>
    <t>Total Number of shares (post-merger)</t>
  </si>
  <si>
    <t>A stake</t>
  </si>
  <si>
    <t>B stake</t>
  </si>
  <si>
    <t>Exchange rate</t>
  </si>
  <si>
    <t>transaction cost (M HUF)</t>
  </si>
  <si>
    <t>(1+rFIN)^t=Prob.fail*(1+rFAIL)^t+Prob.success*(1+rSUCCESS)^t</t>
  </si>
  <si>
    <t>rFinancing</t>
  </si>
  <si>
    <t>rReinvestment</t>
  </si>
  <si>
    <t>Post money value of E</t>
  </si>
  <si>
    <t>Equity</t>
  </si>
  <si>
    <t>Capital increase 2</t>
  </si>
  <si>
    <t>Sales price (V)</t>
  </si>
  <si>
    <t>Pre money value</t>
  </si>
  <si>
    <t>Capital increase 1</t>
  </si>
  <si>
    <t>Bank loan</t>
  </si>
  <si>
    <t>Total investment (IC)</t>
  </si>
  <si>
    <t>% of owner who invested in year 2</t>
  </si>
  <si>
    <t>Post money value</t>
  </si>
  <si>
    <t>1-PE</t>
  </si>
  <si>
    <t>% of owner who invested in year 1</t>
  </si>
  <si>
    <t>PE (private equity firm) stake (we guess with a random number and then use solver)</t>
  </si>
  <si>
    <t>Founders stake</t>
  </si>
  <si>
    <t>% of founders</t>
  </si>
  <si>
    <t>PE stake guess - market base</t>
  </si>
  <si>
    <t>diff</t>
  </si>
  <si>
    <t>Liquidation ratio</t>
  </si>
  <si>
    <t xml:space="preserve">Liquidation </t>
  </si>
  <si>
    <t>PE value out of total</t>
  </si>
  <si>
    <t>Investment horizon</t>
  </si>
  <si>
    <t>years</t>
  </si>
  <si>
    <t>Inflow for PE</t>
  </si>
  <si>
    <t>Chance of failure</t>
  </si>
  <si>
    <t>Inflow for founders</t>
  </si>
  <si>
    <t>Founders cash inflow</t>
  </si>
  <si>
    <t>Yearly return of failure</t>
  </si>
  <si>
    <t>founders yearly return</t>
  </si>
  <si>
    <t>Founders yearly return</t>
  </si>
  <si>
    <t>Chance of success</t>
  </si>
  <si>
    <t>Yearly return of success</t>
  </si>
  <si>
    <t>In 8 years</t>
  </si>
  <si>
    <t>In 3 years</t>
  </si>
  <si>
    <t>PE stake (year 3)</t>
  </si>
  <si>
    <t>PE stake (taking year 1 into consideration)</t>
  </si>
  <si>
    <t>Total value with reinvestment in case of failure</t>
  </si>
  <si>
    <t>PE stake altogether</t>
  </si>
  <si>
    <t>PE stake altogether if we assume req. Rate of return is 35% for success case</t>
  </si>
  <si>
    <t>Solution is on next worksheet</t>
  </si>
  <si>
    <t>dcf</t>
  </si>
  <si>
    <t>mm</t>
  </si>
  <si>
    <t>Ct</t>
  </si>
  <si>
    <t>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</si>
</sst>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_-* #,##0.00_-;\-* #,##0.00_-;_-* &quot;-&quot;??_-;_-@_-"/>
    <numFmt numFmtId="165" formatCode=";;;@"/>
    <numFmt numFmtId="166" formatCode="_-* #,##0.00\ _F_t_-;\-* #,##0.00\ _F_t_-;_-* &quot;-&quot;??\ _F_t_-;_-@"/>
    <numFmt numFmtId="167" formatCode="0.0000"/>
    <numFmt numFmtId="168" formatCode="0.0%"/>
  </numFmts>
  <fonts count="25" x14ac:knownFonts="1">
    <font>
      <sz val="12"/>
      <color theme="1"/>
      <name val="Times New Roman"/>
      <family val="2"/>
      <charset val="238"/>
    </font>
    <font>
      <b/>
      <sz val="12"/>
      <color rgb="FF000000"/>
      <name val="Times New Roman"/>
      <family val="1"/>
      <charset val="238"/>
    </font>
    <font>
      <sz val="12"/>
      <color rgb="FF000000"/>
      <name val="Times New Roman"/>
      <family val="1"/>
      <charset val="238"/>
    </font>
    <font>
      <b/>
      <sz val="12"/>
      <color theme="1"/>
      <name val="Times New Roman"/>
      <family val="1"/>
      <charset val="238"/>
    </font>
    <font>
      <vertAlign val="subscript"/>
      <sz val="12"/>
      <color rgb="FF000000"/>
      <name val="Times New Roman"/>
      <family val="1"/>
      <charset val="238"/>
    </font>
    <font>
      <sz val="18"/>
      <color theme="1"/>
      <name val="Times New Roman"/>
      <family val="2"/>
      <charset val="238"/>
    </font>
    <font>
      <b/>
      <sz val="18"/>
      <color theme="1"/>
      <name val="Times New Roman"/>
      <family val="1"/>
      <charset val="238"/>
    </font>
    <font>
      <sz val="8"/>
      <name val="Times New Roman"/>
      <family val="2"/>
      <charset val="238"/>
    </font>
    <font>
      <b/>
      <sz val="28"/>
      <color theme="1"/>
      <name val="Times New Roman"/>
      <family val="1"/>
      <charset val="238"/>
    </font>
    <font>
      <sz val="14"/>
      <color theme="1"/>
      <name val="Times New Roman"/>
      <family val="2"/>
      <charset val="238"/>
    </font>
    <font>
      <b/>
      <sz val="14"/>
      <color theme="1"/>
      <name val="Times New Roman"/>
      <family val="1"/>
      <charset val="238"/>
    </font>
    <font>
      <b/>
      <sz val="16"/>
      <color theme="1"/>
      <name val="Times New Roman"/>
      <family val="1"/>
      <charset val="238"/>
    </font>
    <font>
      <sz val="12"/>
      <color theme="1"/>
      <name val="Times New Roman"/>
      <family val="1"/>
      <charset val="238"/>
    </font>
    <font>
      <sz val="12"/>
      <color theme="0"/>
      <name val="Times New Roman"/>
      <family val="2"/>
      <charset val="238"/>
    </font>
    <font>
      <sz val="16"/>
      <color rgb="FF000000"/>
      <name val="Times New Roman"/>
      <family val="1"/>
      <charset val="238"/>
    </font>
    <font>
      <sz val="12"/>
      <color theme="1"/>
      <name val="Times New Roman"/>
      <family val="2"/>
      <charset val="238"/>
    </font>
    <font>
      <b/>
      <sz val="12"/>
      <name val="Times New Roman"/>
      <family val="1"/>
      <charset val="238"/>
    </font>
    <font>
      <sz val="11"/>
      <name val="Calibri"/>
      <family val="2"/>
      <charset val="238"/>
    </font>
    <font>
      <b/>
      <sz val="12"/>
      <color rgb="FF0070C0"/>
      <name val="Times New Roman"/>
      <family val="1"/>
      <charset val="238"/>
    </font>
    <font>
      <sz val="12"/>
      <color rgb="FFFF0000"/>
      <name val="Calibri"/>
      <family val="2"/>
      <charset val="238"/>
    </font>
    <font>
      <b/>
      <sz val="9"/>
      <color indexed="81"/>
      <name val="Tahoma"/>
      <family val="2"/>
      <charset val="238"/>
    </font>
    <font>
      <sz val="9"/>
      <color indexed="81"/>
      <name val="Tahoma"/>
      <family val="2"/>
      <charset val="238"/>
    </font>
    <font>
      <b/>
      <sz val="11"/>
      <name val="Calibri"/>
      <family val="2"/>
      <charset val="238"/>
    </font>
    <font>
      <b/>
      <sz val="12"/>
      <color rgb="FFFF0000"/>
      <name val="Times New Roman"/>
      <family val="1"/>
      <charset val="238"/>
    </font>
    <font>
      <sz val="12"/>
      <color rgb="FFFF0000"/>
      <name val="Times New Roman"/>
      <family val="2"/>
      <charset val="238"/>
    </font>
  </fonts>
  <fills count="14">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0" tint="-0.14999847407452621"/>
        <bgColor indexed="64"/>
      </patternFill>
    </fill>
    <fill>
      <patternFill patternType="solid">
        <fgColor rgb="FFFFFF00"/>
        <bgColor rgb="FFFFFF00"/>
      </patternFill>
    </fill>
    <fill>
      <patternFill patternType="solid">
        <fgColor rgb="FFFFFFCC"/>
        <bgColor rgb="FFFFFFCC"/>
      </patternFill>
    </fill>
    <fill>
      <patternFill patternType="solid">
        <fgColor theme="5" tint="0.59999389629810485"/>
        <bgColor indexed="64"/>
      </patternFill>
    </fill>
    <fill>
      <patternFill patternType="solid">
        <fgColor rgb="FFFFAFFF"/>
        <bgColor indexed="64"/>
      </patternFill>
    </fill>
    <fill>
      <patternFill patternType="solid">
        <fgColor rgb="FFC684FC"/>
        <bgColor indexed="64"/>
      </patternFill>
    </fill>
    <fill>
      <patternFill patternType="solid">
        <fgColor theme="4" tint="0.59999389629810485"/>
        <bgColor indexed="64"/>
      </patternFill>
    </fill>
    <fill>
      <patternFill patternType="solid">
        <fgColor theme="6"/>
        <bgColor indexed="64"/>
      </patternFill>
    </fill>
    <fill>
      <patternFill patternType="solid">
        <fgColor theme="6"/>
        <bgColor rgb="FFA8D08D"/>
      </patternFill>
    </fill>
    <fill>
      <patternFill patternType="solid">
        <fgColor rgb="FFFF0000"/>
        <bgColor indexed="64"/>
      </patternFill>
    </fill>
  </fills>
  <borders count="10">
    <border>
      <left/>
      <right/>
      <top/>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s>
  <cellStyleXfs count="4">
    <xf numFmtId="0" fontId="0" fillId="0" borderId="0"/>
    <xf numFmtId="164" fontId="15" fillId="0" borderId="0" applyFont="0" applyFill="0" applyBorder="0" applyAlignment="0" applyProtection="0"/>
    <xf numFmtId="9" fontId="15" fillId="0" borderId="0" applyFont="0" applyFill="0" applyBorder="0" applyAlignment="0" applyProtection="0"/>
    <xf numFmtId="164" fontId="15" fillId="0" borderId="0" applyFont="0" applyFill="0" applyBorder="0" applyAlignment="0" applyProtection="0"/>
  </cellStyleXfs>
  <cellXfs count="79">
    <xf numFmtId="0" fontId="0" fillId="0" borderId="0" xfId="0"/>
    <xf numFmtId="0" fontId="1" fillId="0" borderId="0" xfId="0" applyFont="1" applyAlignment="1">
      <alignment horizontal="center" vertical="center"/>
    </xf>
    <xf numFmtId="0" fontId="2" fillId="0" borderId="0" xfId="0" applyFont="1" applyAlignment="1">
      <alignment horizontal="left" vertical="center"/>
    </xf>
    <xf numFmtId="10" fontId="2" fillId="0" borderId="0" xfId="0" applyNumberFormat="1" applyFont="1" applyAlignment="1">
      <alignment horizontal="right" vertical="center"/>
    </xf>
    <xf numFmtId="0" fontId="5" fillId="0" borderId="0" xfId="0" applyFont="1"/>
    <xf numFmtId="0" fontId="0" fillId="0" borderId="0" xfId="0" applyAlignment="1">
      <alignment horizontal="center"/>
    </xf>
    <xf numFmtId="0" fontId="6" fillId="0" borderId="0" xfId="0" applyFont="1"/>
    <xf numFmtId="0" fontId="6" fillId="0" borderId="0" xfId="0" applyFont="1" applyProtection="1">
      <protection hidden="1"/>
    </xf>
    <xf numFmtId="0" fontId="6" fillId="2" borderId="3" xfId="0" applyFont="1" applyFill="1" applyBorder="1" applyProtection="1">
      <protection hidden="1"/>
    </xf>
    <xf numFmtId="0" fontId="9" fillId="4" borderId="4" xfId="0" applyFont="1" applyFill="1" applyBorder="1"/>
    <xf numFmtId="0" fontId="9" fillId="4" borderId="6" xfId="0" applyFont="1" applyFill="1" applyBorder="1"/>
    <xf numFmtId="165" fontId="10" fillId="4" borderId="7" xfId="0" applyNumberFormat="1" applyFont="1" applyFill="1" applyBorder="1" applyAlignment="1">
      <alignment horizontal="center"/>
    </xf>
    <xf numFmtId="0" fontId="9" fillId="4" borderId="7" xfId="0" applyFont="1" applyFill="1" applyBorder="1"/>
    <xf numFmtId="0" fontId="9" fillId="4" borderId="8" xfId="0" applyFont="1" applyFill="1" applyBorder="1"/>
    <xf numFmtId="0" fontId="9" fillId="4" borderId="2" xfId="0" applyFont="1" applyFill="1" applyBorder="1"/>
    <xf numFmtId="0" fontId="11" fillId="2" borderId="9" xfId="0" applyFont="1" applyFill="1" applyBorder="1" applyAlignment="1">
      <alignment horizontal="center"/>
    </xf>
    <xf numFmtId="0" fontId="11" fillId="2" borderId="1" xfId="0" applyFont="1" applyFill="1" applyBorder="1" applyAlignment="1">
      <alignment horizontal="center"/>
    </xf>
    <xf numFmtId="0" fontId="6" fillId="3" borderId="3" xfId="0" applyFont="1" applyFill="1" applyBorder="1" applyAlignment="1" applyProtection="1">
      <alignment horizontal="center"/>
      <protection locked="0"/>
    </xf>
    <xf numFmtId="0" fontId="12" fillId="0" borderId="0" xfId="0" applyFont="1"/>
    <xf numFmtId="0" fontId="3" fillId="0" borderId="0" xfId="0" applyFont="1" applyAlignment="1">
      <alignment horizontal="center"/>
    </xf>
    <xf numFmtId="10" fontId="0" fillId="0" borderId="0" xfId="0" applyNumberFormat="1"/>
    <xf numFmtId="0" fontId="13" fillId="0" borderId="0" xfId="0" applyFont="1"/>
    <xf numFmtId="0" fontId="14" fillId="0" borderId="0" xfId="0" applyFont="1"/>
    <xf numFmtId="0" fontId="6" fillId="0" borderId="0" xfId="0" applyFont="1" applyAlignment="1" applyProtection="1">
      <alignment horizontal="center"/>
      <protection hidden="1"/>
    </xf>
    <xf numFmtId="0" fontId="3" fillId="2" borderId="0" xfId="0" applyFont="1" applyFill="1" applyAlignment="1">
      <alignment horizontal="center"/>
    </xf>
    <xf numFmtId="14" fontId="10" fillId="4" borderId="5" xfId="0" applyNumberFormat="1" applyFont="1" applyFill="1" applyBorder="1" applyAlignment="1">
      <alignment horizontal="center"/>
    </xf>
    <xf numFmtId="14" fontId="6" fillId="0" borderId="0" xfId="0" applyNumberFormat="1" applyFont="1" applyAlignment="1">
      <alignment horizontal="center"/>
    </xf>
    <xf numFmtId="2" fontId="0" fillId="0" borderId="0" xfId="0" applyNumberFormat="1"/>
    <xf numFmtId="4" fontId="0" fillId="0" borderId="0" xfId="0" applyNumberFormat="1"/>
    <xf numFmtId="3" fontId="0" fillId="0" borderId="0" xfId="0" applyNumberFormat="1"/>
    <xf numFmtId="4" fontId="2" fillId="0" borderId="0" xfId="0" applyNumberFormat="1" applyFont="1" applyAlignment="1">
      <alignment horizontal="right" vertical="center"/>
    </xf>
    <xf numFmtId="164" fontId="2" fillId="0" borderId="0" xfId="1" applyFont="1" applyAlignment="1">
      <alignment horizontal="right" vertical="center"/>
    </xf>
    <xf numFmtId="164" fontId="24" fillId="0" borderId="0" xfId="1" applyFont="1"/>
    <xf numFmtId="9" fontId="0" fillId="0" borderId="0" xfId="0" applyNumberFormat="1"/>
    <xf numFmtId="10" fontId="0" fillId="0" borderId="0" xfId="2" applyNumberFormat="1" applyFont="1"/>
    <xf numFmtId="10" fontId="17" fillId="0" borderId="0" xfId="0" applyNumberFormat="1" applyFont="1"/>
    <xf numFmtId="4" fontId="17" fillId="0" borderId="0" xfId="0" applyNumberFormat="1" applyFont="1"/>
    <xf numFmtId="166" fontId="17" fillId="0" borderId="0" xfId="0" applyNumberFormat="1" applyFont="1"/>
    <xf numFmtId="166" fontId="16" fillId="0" borderId="0" xfId="0" applyNumberFormat="1" applyFont="1"/>
    <xf numFmtId="2" fontId="3" fillId="0" borderId="0" xfId="0" applyNumberFormat="1" applyFont="1"/>
    <xf numFmtId="0" fontId="16" fillId="5" borderId="0" xfId="0" applyFont="1" applyFill="1"/>
    <xf numFmtId="0" fontId="17" fillId="0" borderId="0" xfId="0" applyFont="1" applyAlignment="1">
      <alignment horizontal="right"/>
    </xf>
    <xf numFmtId="0" fontId="17" fillId="6" borderId="0" xfId="0" applyFont="1" applyFill="1"/>
    <xf numFmtId="0" fontId="17" fillId="6" borderId="0" xfId="0" quotePrefix="1" applyFont="1" applyFill="1" applyAlignment="1">
      <alignment horizontal="left"/>
    </xf>
    <xf numFmtId="0" fontId="17" fillId="0" borderId="0" xfId="0" applyFont="1" applyAlignment="1">
      <alignment horizontal="left"/>
    </xf>
    <xf numFmtId="10" fontId="17" fillId="0" borderId="0" xfId="0" applyNumberFormat="1" applyFont="1" applyAlignment="1">
      <alignment horizontal="right"/>
    </xf>
    <xf numFmtId="3" fontId="16" fillId="5" borderId="0" xfId="0" applyNumberFormat="1" applyFont="1" applyFill="1" applyAlignment="1">
      <alignment horizontal="right"/>
    </xf>
    <xf numFmtId="3" fontId="17" fillId="0" borderId="0" xfId="0" applyNumberFormat="1" applyFont="1" applyAlignment="1">
      <alignment horizontal="right"/>
    </xf>
    <xf numFmtId="1" fontId="17" fillId="0" borderId="0" xfId="0" applyNumberFormat="1" applyFont="1" applyAlignment="1">
      <alignment horizontal="right" wrapText="1"/>
    </xf>
    <xf numFmtId="0" fontId="19" fillId="0" borderId="0" xfId="0" applyFont="1"/>
    <xf numFmtId="0" fontId="0" fillId="2" borderId="0" xfId="0" applyFill="1"/>
    <xf numFmtId="0" fontId="0" fillId="0" borderId="0" xfId="0" quotePrefix="1"/>
    <xf numFmtId="0" fontId="0" fillId="7" borderId="0" xfId="0" applyFill="1"/>
    <xf numFmtId="0" fontId="0" fillId="8" borderId="0" xfId="0" applyFill="1"/>
    <xf numFmtId="0" fontId="0" fillId="9" borderId="0" xfId="0" applyFill="1"/>
    <xf numFmtId="0" fontId="0" fillId="10" borderId="0" xfId="0" applyFill="1"/>
    <xf numFmtId="9" fontId="0" fillId="10" borderId="0" xfId="2" applyFont="1" applyFill="1"/>
    <xf numFmtId="9" fontId="0" fillId="7" borderId="0" xfId="0" applyNumberFormat="1" applyFill="1"/>
    <xf numFmtId="10" fontId="0" fillId="10" borderId="0" xfId="0" applyNumberFormat="1" applyFill="1"/>
    <xf numFmtId="10" fontId="0" fillId="2" borderId="0" xfId="0" applyNumberFormat="1" applyFill="1"/>
    <xf numFmtId="166" fontId="22" fillId="0" borderId="0" xfId="0" applyNumberFormat="1" applyFont="1"/>
    <xf numFmtId="0" fontId="23" fillId="5" borderId="0" xfId="0" applyFont="1" applyFill="1"/>
    <xf numFmtId="167" fontId="23" fillId="5" borderId="0" xfId="0" applyNumberFormat="1" applyFont="1" applyFill="1" applyAlignment="1">
      <alignment horizontal="right"/>
    </xf>
    <xf numFmtId="10" fontId="2" fillId="2" borderId="0" xfId="0" applyNumberFormat="1" applyFont="1" applyFill="1" applyAlignment="1">
      <alignment horizontal="right" vertical="center"/>
    </xf>
    <xf numFmtId="168" fontId="16" fillId="5" borderId="0" xfId="2" applyNumberFormat="1" applyFont="1" applyFill="1" applyAlignment="1">
      <alignment horizontal="right"/>
    </xf>
    <xf numFmtId="168" fontId="17" fillId="6" borderId="0" xfId="2" applyNumberFormat="1" applyFont="1" applyFill="1" applyAlignment="1">
      <alignment horizontal="right"/>
    </xf>
    <xf numFmtId="164" fontId="0" fillId="0" borderId="0" xfId="1" applyFont="1"/>
    <xf numFmtId="43" fontId="17" fillId="0" borderId="0" xfId="0" applyNumberFormat="1" applyFont="1"/>
    <xf numFmtId="43" fontId="18" fillId="5" borderId="0" xfId="0" applyNumberFormat="1" applyFont="1" applyFill="1" applyAlignment="1">
      <alignment horizontal="right"/>
    </xf>
    <xf numFmtId="43" fontId="17" fillId="0" borderId="0" xfId="0" applyNumberFormat="1" applyFont="1" applyAlignment="1">
      <alignment horizontal="right"/>
    </xf>
    <xf numFmtId="43" fontId="17" fillId="6" borderId="0" xfId="0" applyNumberFormat="1" applyFont="1" applyFill="1" applyAlignment="1">
      <alignment horizontal="right"/>
    </xf>
    <xf numFmtId="9" fontId="12" fillId="0" borderId="0" xfId="2" applyFont="1"/>
    <xf numFmtId="0" fontId="3" fillId="11" borderId="0" xfId="0" applyFont="1" applyFill="1"/>
    <xf numFmtId="0" fontId="16" fillId="12" borderId="0" xfId="0" applyFont="1" applyFill="1"/>
    <xf numFmtId="168" fontId="0" fillId="2" borderId="0" xfId="0" applyNumberFormat="1" applyFill="1"/>
    <xf numFmtId="168" fontId="0" fillId="10" borderId="0" xfId="2" applyNumberFormat="1" applyFont="1" applyFill="1"/>
    <xf numFmtId="10" fontId="3" fillId="13" borderId="0" xfId="0" applyNumberFormat="1" applyFont="1" applyFill="1"/>
    <xf numFmtId="0" fontId="23" fillId="0" borderId="0" xfId="0" applyFont="1"/>
    <xf numFmtId="0" fontId="8" fillId="0" borderId="0" xfId="0" applyFont="1" applyAlignment="1">
      <alignment horizontal="center"/>
    </xf>
  </cellXfs>
  <cellStyles count="4">
    <cellStyle name="Comma" xfId="1" builtinId="3"/>
    <cellStyle name="Comma 2" xfId="3" xr:uid="{CFBC887A-D3BA-4CC9-8457-F7A74CA2E906}"/>
    <cellStyle name="Normal" xfId="0" builtinId="0"/>
    <cellStyle name="Percent 2" xfId="2" xr:uid="{B3E1E5FD-BC2D-423C-A31D-9ED66A60CBB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17/10/relationships/person" Target="persons/person.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18</xdr:col>
      <xdr:colOff>542924</xdr:colOff>
      <xdr:row>28</xdr:row>
      <xdr:rowOff>9525</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0" y="0"/>
          <a:ext cx="12887324" cy="56102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US" sz="1000"/>
        </a:p>
        <a:p>
          <a:pPr algn="ctr"/>
          <a:endParaRPr lang="hu-HU" sz="1000"/>
        </a:p>
        <a:p>
          <a:pPr algn="ctr"/>
          <a:endParaRPr lang="hu-HU" sz="1000"/>
        </a:p>
        <a:p>
          <a:pPr algn="ctr"/>
          <a:endParaRPr lang="hu-HU" sz="1000"/>
        </a:p>
        <a:p>
          <a:pPr algn="ctr"/>
          <a:endParaRPr lang="hu-HU" sz="1000"/>
        </a:p>
        <a:p>
          <a:pPr algn="ctr"/>
          <a:endParaRPr lang="hu-HU" sz="1000"/>
        </a:p>
        <a:p>
          <a:pPr algn="ctr"/>
          <a:endParaRPr lang="hu-HU" sz="1000"/>
        </a:p>
        <a:p>
          <a:pPr algn="ctr"/>
          <a:endParaRPr lang="hu-HU" sz="1000"/>
        </a:p>
        <a:p>
          <a:pPr algn="ctr"/>
          <a:endParaRPr lang="en-US" sz="1000"/>
        </a:p>
        <a:p>
          <a:pPr algn="ctr"/>
          <a:r>
            <a:rPr lang="hu-HU" sz="8000" b="1">
              <a:solidFill>
                <a:srgbClr val="7030A0"/>
              </a:solidFill>
            </a:rPr>
            <a:t>Applied Business Valuation</a:t>
          </a:r>
        </a:p>
        <a:p>
          <a:pPr algn="ctr"/>
          <a:endParaRPr lang="hu-HU" sz="5000"/>
        </a:p>
        <a:p>
          <a:pPr algn="ctr"/>
          <a:r>
            <a:rPr lang="hu-HU" sz="5000" baseline="0">
              <a:solidFill>
                <a:schemeClr val="dk1"/>
              </a:solidFill>
              <a:latin typeface="+mn-lt"/>
              <a:ea typeface="+mn-ea"/>
              <a:cs typeface="+mn-cs"/>
            </a:rPr>
            <a:t>Péter Juhász, PhD</a:t>
          </a:r>
          <a:r>
            <a:rPr lang="hu-HU" sz="5000" baseline="0"/>
            <a:t>, CFA</a:t>
          </a:r>
        </a:p>
        <a:p>
          <a:pPr algn="ctr"/>
          <a:r>
            <a:rPr lang="hu-HU" sz="3000" baseline="0"/>
            <a:t>peter.juhasz@uni-corvinus.hu</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304800</xdr:colOff>
      <xdr:row>0</xdr:row>
      <xdr:rowOff>76200</xdr:rowOff>
    </xdr:from>
    <xdr:to>
      <xdr:col>4</xdr:col>
      <xdr:colOff>666750</xdr:colOff>
      <xdr:row>8</xdr:row>
      <xdr:rowOff>57150</xdr:rowOff>
    </xdr:to>
    <xdr:sp macro="" textlink="">
      <xdr:nvSpPr>
        <xdr:cNvPr id="2" name="Szövegdoboz 1">
          <a:extLst>
            <a:ext uri="{FF2B5EF4-FFF2-40B4-BE49-F238E27FC236}">
              <a16:creationId xmlns:a16="http://schemas.microsoft.com/office/drawing/2014/main" id="{6355EBA2-DB27-4EF1-AFED-D11B8547EEFD}"/>
            </a:ext>
          </a:extLst>
        </xdr:cNvPr>
        <xdr:cNvSpPr txBox="1"/>
      </xdr:nvSpPr>
      <xdr:spPr>
        <a:xfrm>
          <a:off x="990600" y="76200"/>
          <a:ext cx="5629275" cy="15811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hu-HU" sz="1600" b="1">
              <a:solidFill>
                <a:srgbClr val="FF0000"/>
              </a:solidFill>
              <a:latin typeface="Times New Roman" panose="02020603050405020304" pitchFamily="18" charset="0"/>
              <a:cs typeface="Times New Roman" panose="02020603050405020304" pitchFamily="18" charset="0"/>
            </a:rPr>
            <a:t>Kindly</a:t>
          </a:r>
          <a:r>
            <a:rPr lang="hu-HU" sz="1600" b="1" baseline="0">
              <a:solidFill>
                <a:srgbClr val="FF0000"/>
              </a:solidFill>
              <a:latin typeface="Times New Roman" panose="02020603050405020304" pitchFamily="18" charset="0"/>
              <a:cs typeface="Times New Roman" panose="02020603050405020304" pitchFamily="18" charset="0"/>
            </a:rPr>
            <a:t> save this file renaming it following the pattern below.  Please hand in the file only after named properly. </a:t>
          </a:r>
          <a:endParaRPr lang="hu-HU" sz="1600" b="1" baseline="0">
            <a:solidFill>
              <a:srgbClr val="FF0000"/>
            </a:solidFill>
            <a:latin typeface="Times New Roman" panose="02020603050405020304" pitchFamily="18" charset="0"/>
            <a:ea typeface="+mn-ea"/>
            <a:cs typeface="Times New Roman" panose="02020603050405020304" pitchFamily="18" charset="0"/>
          </a:endParaRPr>
        </a:p>
        <a:p>
          <a:pPr algn="ctr"/>
          <a:endParaRPr lang="hu-HU" sz="1600" b="1" baseline="0">
            <a:solidFill>
              <a:srgbClr val="FF0000"/>
            </a:solidFill>
            <a:latin typeface="Times New Roman" panose="02020603050405020304" pitchFamily="18" charset="0"/>
            <a:cs typeface="Times New Roman" panose="02020603050405020304" pitchFamily="18" charset="0"/>
          </a:endParaRPr>
        </a:p>
        <a:p>
          <a:pPr algn="ctr"/>
          <a:r>
            <a:rPr lang="hu-HU" sz="1600" b="1" baseline="0">
              <a:solidFill>
                <a:srgbClr val="7030A0"/>
              </a:solidFill>
              <a:latin typeface="Times New Roman" panose="02020603050405020304" pitchFamily="18" charset="0"/>
              <a:cs typeface="Times New Roman" panose="02020603050405020304" pitchFamily="18" charset="0"/>
            </a:rPr>
            <a:t>ABVExamC_FamilyName_GivenName.xlsx</a:t>
          </a:r>
          <a:endParaRPr lang="hu-HU" sz="1600" b="1">
            <a:solidFill>
              <a:srgbClr val="7030A0"/>
            </a:solidFill>
            <a:latin typeface="Times New Roman" panose="02020603050405020304" pitchFamily="18" charset="0"/>
            <a:cs typeface="Times New Roman" panose="02020603050405020304" pitchFamily="18"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9523</xdr:colOff>
      <xdr:row>15</xdr:row>
      <xdr:rowOff>38100</xdr:rowOff>
    </xdr:from>
    <xdr:to>
      <xdr:col>8</xdr:col>
      <xdr:colOff>38099</xdr:colOff>
      <xdr:row>24</xdr:row>
      <xdr:rowOff>97972</xdr:rowOff>
    </xdr:to>
    <xdr:sp macro="" textlink="">
      <xdr:nvSpPr>
        <xdr:cNvPr id="2" name="Szövegdoboz 1">
          <a:extLst>
            <a:ext uri="{FF2B5EF4-FFF2-40B4-BE49-F238E27FC236}">
              <a16:creationId xmlns:a16="http://schemas.microsoft.com/office/drawing/2014/main" id="{00000000-0008-0000-0200-000002000000}"/>
            </a:ext>
          </a:extLst>
        </xdr:cNvPr>
        <xdr:cNvSpPr txBox="1"/>
      </xdr:nvSpPr>
      <xdr:spPr>
        <a:xfrm>
          <a:off x="706209" y="3249386"/>
          <a:ext cx="6184447" cy="182335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hu-HU" sz="1400" b="1">
              <a:latin typeface="Times New Roman" panose="02020603050405020304" pitchFamily="18" charset="0"/>
              <a:cs typeface="Times New Roman" panose="02020603050405020304" pitchFamily="18" charset="0"/>
            </a:rPr>
            <a:t>Task 1</a:t>
          </a:r>
        </a:p>
        <a:p>
          <a:pPr algn="l"/>
          <a:r>
            <a:rPr lang="hu-HU" sz="1400" b="0">
              <a:latin typeface="Times New Roman" panose="02020603050405020304" pitchFamily="18" charset="0"/>
              <a:cs typeface="Times New Roman" panose="02020603050405020304" pitchFamily="18" charset="0"/>
            </a:rPr>
            <a:t>Firm A plans</a:t>
          </a:r>
          <a:r>
            <a:rPr lang="hu-HU" sz="1400" b="0" baseline="0">
              <a:latin typeface="Times New Roman" panose="02020603050405020304" pitchFamily="18" charset="0"/>
              <a:cs typeface="Times New Roman" panose="02020603050405020304" pitchFamily="18" charset="0"/>
            </a:rPr>
            <a:t> to take over and merge with Firm B. (Both companies show a perpetuity like operation.) Their plans for reorganisations are shown below. Owners of Firm B expect to pay a transaction fee of 4 M HUF, while Firm will pay 8 M HUF for consultatnts and integration. What is the realistic bargaining range firm taking over firm B? What is the trade-in ratio of the shares B if we wish to pay a premium of 25% over the minimum price (transaction costs not considered) and 30% of the price will be paid from non-operational cash available? </a:t>
          </a:r>
          <a:r>
            <a:rPr lang="hu-HU" sz="1400" b="0">
              <a:latin typeface="Times New Roman" panose="02020603050405020304" pitchFamily="18" charset="0"/>
              <a:cs typeface="Times New Roman" panose="02020603050405020304" pitchFamily="18" charset="0"/>
            </a:rPr>
            <a:t>(10 points)</a:t>
          </a:r>
        </a:p>
      </xdr:txBody>
    </xdr:sp>
    <xdr:clientData/>
  </xdr:twoCellAnchor>
  <xdr:twoCellAnchor>
    <xdr:from>
      <xdr:col>1</xdr:col>
      <xdr:colOff>1</xdr:colOff>
      <xdr:row>10</xdr:row>
      <xdr:rowOff>9525</xdr:rowOff>
    </xdr:from>
    <xdr:to>
      <xdr:col>7</xdr:col>
      <xdr:colOff>142876</xdr:colOff>
      <xdr:row>14</xdr:row>
      <xdr:rowOff>152400</xdr:rowOff>
    </xdr:to>
    <xdr:sp macro="" textlink="">
      <xdr:nvSpPr>
        <xdr:cNvPr id="3" name="Szövegdoboz 2">
          <a:extLst>
            <a:ext uri="{FF2B5EF4-FFF2-40B4-BE49-F238E27FC236}">
              <a16:creationId xmlns:a16="http://schemas.microsoft.com/office/drawing/2014/main" id="{00000000-0008-0000-0200-000003000000}"/>
            </a:ext>
          </a:extLst>
        </xdr:cNvPr>
        <xdr:cNvSpPr txBox="1"/>
      </xdr:nvSpPr>
      <xdr:spPr>
        <a:xfrm>
          <a:off x="685801" y="2333625"/>
          <a:ext cx="7239000" cy="9429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hu-HU" sz="1600">
              <a:latin typeface="Times New Roman" panose="02020603050405020304" pitchFamily="18" charset="0"/>
              <a:cs typeface="Times New Roman" panose="02020603050405020304" pitchFamily="18" charset="0"/>
            </a:rPr>
            <a:t>Notes of</a:t>
          </a:r>
          <a:r>
            <a:rPr lang="hu-HU" sz="1600" baseline="0">
              <a:latin typeface="Times New Roman" panose="02020603050405020304" pitchFamily="18" charset="0"/>
              <a:cs typeface="Times New Roman" panose="02020603050405020304" pitchFamily="18" charset="0"/>
            </a:rPr>
            <a:t> the reviewer.</a:t>
          </a:r>
          <a:endParaRPr lang="hu-HU" sz="1600">
            <a:latin typeface="Times New Roman" panose="02020603050405020304" pitchFamily="18" charset="0"/>
            <a:cs typeface="Times New Roman" panose="02020603050405020304" pitchFamily="18"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9524</xdr:colOff>
      <xdr:row>15</xdr:row>
      <xdr:rowOff>38100</xdr:rowOff>
    </xdr:from>
    <xdr:to>
      <xdr:col>9</xdr:col>
      <xdr:colOff>304800</xdr:colOff>
      <xdr:row>22</xdr:row>
      <xdr:rowOff>47625</xdr:rowOff>
    </xdr:to>
    <xdr:sp macro="" textlink="">
      <xdr:nvSpPr>
        <xdr:cNvPr id="2" name="Szövegdoboz 1">
          <a:extLst>
            <a:ext uri="{FF2B5EF4-FFF2-40B4-BE49-F238E27FC236}">
              <a16:creationId xmlns:a16="http://schemas.microsoft.com/office/drawing/2014/main" id="{00000000-0008-0000-0300-000002000000}"/>
            </a:ext>
          </a:extLst>
        </xdr:cNvPr>
        <xdr:cNvSpPr txBox="1"/>
      </xdr:nvSpPr>
      <xdr:spPr>
        <a:xfrm>
          <a:off x="695324" y="3362325"/>
          <a:ext cx="7229476" cy="1409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r>
            <a:rPr lang="hu-HU" sz="1400" b="1">
              <a:latin typeface="Times New Roman" panose="02020603050405020304" pitchFamily="18" charset="0"/>
              <a:cs typeface="Times New Roman" panose="02020603050405020304" pitchFamily="18" charset="0"/>
            </a:rPr>
            <a:t>Taks 2</a:t>
          </a:r>
        </a:p>
        <a:p>
          <a:pPr algn="just"/>
          <a:r>
            <a:rPr lang="hu-HU" sz="1400" b="0">
              <a:latin typeface="Times New Roman" panose="02020603050405020304" pitchFamily="18" charset="0"/>
              <a:cs typeface="Times New Roman" panose="02020603050405020304" pitchFamily="18" charset="0"/>
            </a:rPr>
            <a:t>You can find the key quantities of a financial plan requiring a startup capital of 10000 below. Determine the value of the firm using at least three different DCF methods for the start of 2024 assuming that no project will not</a:t>
          </a:r>
          <a:r>
            <a:rPr lang="hu-HU" sz="1400" b="0" baseline="0">
              <a:latin typeface="Times New Roman" panose="02020603050405020304" pitchFamily="18" charset="0"/>
              <a:cs typeface="Times New Roman" panose="02020603050405020304" pitchFamily="18" charset="0"/>
            </a:rPr>
            <a:t> create any added value during the terminal value period.</a:t>
          </a:r>
        </a:p>
        <a:p>
          <a:pPr algn="just"/>
          <a:r>
            <a:rPr lang="hu-HU" sz="1400" b="0">
              <a:latin typeface="Times New Roman" panose="02020603050405020304" pitchFamily="18" charset="0"/>
              <a:cs typeface="Times New Roman" panose="02020603050405020304" pitchFamily="18" charset="0"/>
            </a:rPr>
            <a:t>(10 points)</a:t>
          </a:r>
        </a:p>
      </xdr:txBody>
    </xdr:sp>
    <xdr:clientData/>
  </xdr:twoCellAnchor>
  <xdr:twoCellAnchor>
    <xdr:from>
      <xdr:col>1</xdr:col>
      <xdr:colOff>0</xdr:colOff>
      <xdr:row>10</xdr:row>
      <xdr:rowOff>0</xdr:rowOff>
    </xdr:from>
    <xdr:to>
      <xdr:col>9</xdr:col>
      <xdr:colOff>304800</xdr:colOff>
      <xdr:row>14</xdr:row>
      <xdr:rowOff>142875</xdr:rowOff>
    </xdr:to>
    <xdr:sp macro="" textlink="">
      <xdr:nvSpPr>
        <xdr:cNvPr id="3" name="Szövegdoboz 2">
          <a:extLst>
            <a:ext uri="{FF2B5EF4-FFF2-40B4-BE49-F238E27FC236}">
              <a16:creationId xmlns:a16="http://schemas.microsoft.com/office/drawing/2014/main" id="{00000000-0008-0000-0300-000003000000}"/>
            </a:ext>
          </a:extLst>
        </xdr:cNvPr>
        <xdr:cNvSpPr txBox="1"/>
      </xdr:nvSpPr>
      <xdr:spPr>
        <a:xfrm>
          <a:off x="685800" y="2324100"/>
          <a:ext cx="7239000" cy="9429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hu-HU" sz="1400" b="0" baseline="0">
              <a:solidFill>
                <a:schemeClr val="dk1"/>
              </a:solidFill>
              <a:latin typeface="Times New Roman" panose="02020603050405020304" pitchFamily="18" charset="0"/>
              <a:ea typeface="+mn-ea"/>
              <a:cs typeface="Times New Roman" panose="02020603050405020304" pitchFamily="18" charset="0"/>
            </a:rPr>
            <a:t>Notes of the reviewer.</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9524</xdr:colOff>
      <xdr:row>9</xdr:row>
      <xdr:rowOff>114300</xdr:rowOff>
    </xdr:from>
    <xdr:to>
      <xdr:col>9</xdr:col>
      <xdr:colOff>190500</xdr:colOff>
      <xdr:row>17</xdr:row>
      <xdr:rowOff>114299</xdr:rowOff>
    </xdr:to>
    <xdr:sp macro="" textlink="">
      <xdr:nvSpPr>
        <xdr:cNvPr id="2" name="Szövegdoboz 1">
          <a:extLst>
            <a:ext uri="{FF2B5EF4-FFF2-40B4-BE49-F238E27FC236}">
              <a16:creationId xmlns:a16="http://schemas.microsoft.com/office/drawing/2014/main" id="{1C2C32B3-3994-44EE-B4DB-C1B21C2C3FB9}"/>
            </a:ext>
          </a:extLst>
        </xdr:cNvPr>
        <xdr:cNvSpPr txBox="1"/>
      </xdr:nvSpPr>
      <xdr:spPr>
        <a:xfrm>
          <a:off x="695324" y="2238375"/>
          <a:ext cx="8172451" cy="16001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r>
            <a:rPr lang="hu-HU" sz="1400" b="1">
              <a:latin typeface="Times New Roman" panose="02020603050405020304" pitchFamily="18" charset="0"/>
              <a:cs typeface="Times New Roman" panose="02020603050405020304" pitchFamily="18" charset="0"/>
            </a:rPr>
            <a:t>Task 4</a:t>
          </a:r>
        </a:p>
        <a:p>
          <a:pPr algn="just"/>
          <a:r>
            <a:rPr lang="hu-HU" sz="1400" b="0">
              <a:latin typeface="Times New Roman" panose="02020603050405020304" pitchFamily="18" charset="0"/>
              <a:cs typeface="Times New Roman" panose="02020603050405020304" pitchFamily="18" charset="0"/>
            </a:rPr>
            <a:t>Assume a venture</a:t>
          </a:r>
          <a:r>
            <a:rPr lang="hu-HU" sz="1400" b="0" baseline="0">
              <a:latin typeface="Times New Roman" panose="02020603050405020304" pitchFamily="18" charset="0"/>
              <a:cs typeface="Times New Roman" panose="02020603050405020304" pitchFamily="18" charset="0"/>
            </a:rPr>
            <a:t> capital fund with a yearly cost of financing of 20%. Their usual investment horizon is 8 years, probability of project success is 25% and the return collected in case of failure is 9%</a:t>
          </a:r>
          <a:r>
            <a:rPr lang="hu-HU" sz="1400" b="0" baseline="0">
              <a:solidFill>
                <a:schemeClr val="dk1"/>
              </a:solidFill>
              <a:latin typeface="Times New Roman" panose="02020603050405020304" pitchFamily="18" charset="0"/>
              <a:ea typeface="+mn-ea"/>
              <a:cs typeface="Times New Roman" panose="02020603050405020304" pitchFamily="18" charset="0"/>
            </a:rPr>
            <a:t> yearly </a:t>
          </a:r>
          <a:r>
            <a:rPr lang="hu-HU" sz="1400" b="0" baseline="0">
              <a:latin typeface="Times New Roman" panose="02020603050405020304" pitchFamily="18" charset="0"/>
              <a:cs typeface="Times New Roman" panose="02020603050405020304" pitchFamily="18" charset="0"/>
            </a:rPr>
            <a:t>for the total investment horizon. What should be the required rate of return for success cases?</a:t>
          </a:r>
        </a:p>
        <a:p>
          <a:pPr algn="just"/>
          <a:r>
            <a:rPr lang="hu-HU" sz="1400" b="0" baseline="0">
              <a:latin typeface="Times New Roman" panose="02020603050405020304" pitchFamily="18" charset="0"/>
              <a:cs typeface="Times New Roman" panose="02020603050405020304" pitchFamily="18" charset="0"/>
            </a:rPr>
            <a:t>Assume the required return is 35% for the success cases. What ownership stake should the venture capital fund have in 8 years time? Are the founders likely to agree?  </a:t>
          </a:r>
          <a:r>
            <a:rPr lang="hu-HU" sz="1400" b="0">
              <a:latin typeface="Times New Roman" panose="02020603050405020304" pitchFamily="18" charset="0"/>
              <a:cs typeface="Times New Roman" panose="02020603050405020304" pitchFamily="18" charset="0"/>
            </a:rPr>
            <a:t>(10 points)</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3</xdr:col>
      <xdr:colOff>403860</xdr:colOff>
      <xdr:row>24</xdr:row>
      <xdr:rowOff>60960</xdr:rowOff>
    </xdr:from>
    <xdr:to>
      <xdr:col>4</xdr:col>
      <xdr:colOff>548640</xdr:colOff>
      <xdr:row>27</xdr:row>
      <xdr:rowOff>83820</xdr:rowOff>
    </xdr:to>
    <xdr:cxnSp macro="">
      <xdr:nvCxnSpPr>
        <xdr:cNvPr id="2" name="Straight Arrow Connector 1">
          <a:extLst>
            <a:ext uri="{FF2B5EF4-FFF2-40B4-BE49-F238E27FC236}">
              <a16:creationId xmlns:a16="http://schemas.microsoft.com/office/drawing/2014/main" id="{AD8C7D1D-6702-4E2F-BEA2-0BF32E6C56EA}"/>
            </a:ext>
          </a:extLst>
        </xdr:cNvPr>
        <xdr:cNvCxnSpPr/>
      </xdr:nvCxnSpPr>
      <xdr:spPr>
        <a:xfrm flipV="1">
          <a:off x="4274820" y="4823460"/>
          <a:ext cx="815340" cy="617220"/>
        </a:xfrm>
        <a:prstGeom prst="straightConnector1">
          <a:avLst/>
        </a:prstGeom>
        <a:ln>
          <a:solidFill>
            <a:schemeClr val="accent6"/>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472440</xdr:colOff>
      <xdr:row>28</xdr:row>
      <xdr:rowOff>7620</xdr:rowOff>
    </xdr:from>
    <xdr:to>
      <xdr:col>4</xdr:col>
      <xdr:colOff>525780</xdr:colOff>
      <xdr:row>28</xdr:row>
      <xdr:rowOff>137160</xdr:rowOff>
    </xdr:to>
    <xdr:cxnSp macro="">
      <xdr:nvCxnSpPr>
        <xdr:cNvPr id="3" name="Straight Arrow Connector 2">
          <a:extLst>
            <a:ext uri="{FF2B5EF4-FFF2-40B4-BE49-F238E27FC236}">
              <a16:creationId xmlns:a16="http://schemas.microsoft.com/office/drawing/2014/main" id="{E5DCEA6C-679F-4E11-84B4-F2D3502DD975}"/>
            </a:ext>
          </a:extLst>
        </xdr:cNvPr>
        <xdr:cNvCxnSpPr/>
      </xdr:nvCxnSpPr>
      <xdr:spPr>
        <a:xfrm>
          <a:off x="4343400" y="5562600"/>
          <a:ext cx="723900" cy="12954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91440</xdr:colOff>
      <xdr:row>29</xdr:row>
      <xdr:rowOff>91440</xdr:rowOff>
    </xdr:from>
    <xdr:to>
      <xdr:col>9</xdr:col>
      <xdr:colOff>632460</xdr:colOff>
      <xdr:row>29</xdr:row>
      <xdr:rowOff>99060</xdr:rowOff>
    </xdr:to>
    <xdr:cxnSp macro="">
      <xdr:nvCxnSpPr>
        <xdr:cNvPr id="4" name="Straight Arrow Connector 3">
          <a:extLst>
            <a:ext uri="{FF2B5EF4-FFF2-40B4-BE49-F238E27FC236}">
              <a16:creationId xmlns:a16="http://schemas.microsoft.com/office/drawing/2014/main" id="{C9C0494B-D4A9-49EE-904E-6BA187B7A3EC}"/>
            </a:ext>
          </a:extLst>
        </xdr:cNvPr>
        <xdr:cNvCxnSpPr/>
      </xdr:nvCxnSpPr>
      <xdr:spPr>
        <a:xfrm flipV="1">
          <a:off x="7399020" y="5844540"/>
          <a:ext cx="1882140" cy="762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141515</xdr:colOff>
      <xdr:row>2</xdr:row>
      <xdr:rowOff>119743</xdr:rowOff>
    </xdr:from>
    <xdr:to>
      <xdr:col>13</xdr:col>
      <xdr:colOff>28577</xdr:colOff>
      <xdr:row>10</xdr:row>
      <xdr:rowOff>119742</xdr:rowOff>
    </xdr:to>
    <xdr:sp macro="" textlink="">
      <xdr:nvSpPr>
        <xdr:cNvPr id="6" name="Szövegdoboz 1">
          <a:extLst>
            <a:ext uri="{FF2B5EF4-FFF2-40B4-BE49-F238E27FC236}">
              <a16:creationId xmlns:a16="http://schemas.microsoft.com/office/drawing/2014/main" id="{97189D37-0D6F-43B4-B25C-7AF42979C97A}"/>
            </a:ext>
          </a:extLst>
        </xdr:cNvPr>
        <xdr:cNvSpPr txBox="1"/>
      </xdr:nvSpPr>
      <xdr:spPr>
        <a:xfrm>
          <a:off x="4702629" y="511629"/>
          <a:ext cx="8606519" cy="15675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r>
            <a:rPr lang="hu-HU" sz="1400" b="1">
              <a:latin typeface="Times New Roman" panose="02020603050405020304" pitchFamily="18" charset="0"/>
              <a:cs typeface="Times New Roman" panose="02020603050405020304" pitchFamily="18" charset="0"/>
            </a:rPr>
            <a:t>Task 4</a:t>
          </a:r>
        </a:p>
        <a:p>
          <a:pPr algn="just"/>
          <a:r>
            <a:rPr lang="hu-HU" sz="1400" b="0">
              <a:latin typeface="Times New Roman" panose="02020603050405020304" pitchFamily="18" charset="0"/>
              <a:cs typeface="Times New Roman" panose="02020603050405020304" pitchFamily="18" charset="0"/>
            </a:rPr>
            <a:t>Assume a venture</a:t>
          </a:r>
          <a:r>
            <a:rPr lang="hu-HU" sz="1400" b="0" baseline="0">
              <a:latin typeface="Times New Roman" panose="02020603050405020304" pitchFamily="18" charset="0"/>
              <a:cs typeface="Times New Roman" panose="02020603050405020304" pitchFamily="18" charset="0"/>
            </a:rPr>
            <a:t> capital fund with a yearly cost of financing of 20%. Their usual investment horizon is 8 years, probability of project success is 25% and the return collected in case of failure is 9%</a:t>
          </a:r>
          <a:r>
            <a:rPr lang="hu-HU" sz="1400" b="0" baseline="0">
              <a:solidFill>
                <a:schemeClr val="dk1"/>
              </a:solidFill>
              <a:latin typeface="Times New Roman" panose="02020603050405020304" pitchFamily="18" charset="0"/>
              <a:ea typeface="+mn-ea"/>
              <a:cs typeface="Times New Roman" panose="02020603050405020304" pitchFamily="18" charset="0"/>
            </a:rPr>
            <a:t> yearly </a:t>
          </a:r>
          <a:r>
            <a:rPr lang="hu-HU" sz="1400" b="0" baseline="0">
              <a:latin typeface="Times New Roman" panose="02020603050405020304" pitchFamily="18" charset="0"/>
              <a:cs typeface="Times New Roman" panose="02020603050405020304" pitchFamily="18" charset="0"/>
            </a:rPr>
            <a:t>for the total investment horizon. What should be the required rate of return for success cases?</a:t>
          </a:r>
        </a:p>
        <a:p>
          <a:pPr algn="just"/>
          <a:r>
            <a:rPr lang="hu-HU" sz="1400" b="0" baseline="0">
              <a:latin typeface="Times New Roman" panose="02020603050405020304" pitchFamily="18" charset="0"/>
              <a:cs typeface="Times New Roman" panose="02020603050405020304" pitchFamily="18" charset="0"/>
            </a:rPr>
            <a:t>Assume the required return is 35% for the success cases. What ownership stake should the venture capital fund have in 8 years time? Are the founders likely to agree?  </a:t>
          </a:r>
          <a:r>
            <a:rPr lang="hu-HU" sz="1400" b="0">
              <a:latin typeface="Times New Roman" panose="02020603050405020304" pitchFamily="18" charset="0"/>
              <a:cs typeface="Times New Roman" panose="02020603050405020304" pitchFamily="18" charset="0"/>
            </a:rPr>
            <a:t>(10 points) </a:t>
          </a:r>
          <a:r>
            <a:rPr lang="hu-HU" sz="1400" b="1">
              <a:solidFill>
                <a:srgbClr val="FF0000"/>
              </a:solidFill>
              <a:latin typeface="Times New Roman" panose="02020603050405020304" pitchFamily="18" charset="0"/>
              <a:cs typeface="Times New Roman" panose="02020603050405020304" pitchFamily="18" charset="0"/>
            </a:rPr>
            <a:t>--&gt; The founders are likely to agree in both cases,</a:t>
          </a:r>
          <a:r>
            <a:rPr lang="hu-HU" sz="1400" b="1" baseline="0">
              <a:solidFill>
                <a:srgbClr val="FF0000"/>
              </a:solidFill>
              <a:latin typeface="Times New Roman" panose="02020603050405020304" pitchFamily="18" charset="0"/>
              <a:cs typeface="Times New Roman" panose="02020603050405020304" pitchFamily="18" charset="0"/>
            </a:rPr>
            <a:t> since the yearly returns in success case are above 30% in both cases, which is higher then both the market reinvestment rate and the financing cost and aslo the returns in case of failure are hihgher then financing and reinvestment rates expect in the first case, where it is around 15%, so agreeing is dependent on risk tolerance.</a:t>
          </a:r>
        </a:p>
        <a:p>
          <a:pPr algn="just"/>
          <a:endParaRPr lang="hu-HU" sz="1400" b="0">
            <a:latin typeface="Times New Roman" panose="02020603050405020304" pitchFamily="18" charset="0"/>
            <a:cs typeface="Times New Roman" panose="02020603050405020304" pitchFamily="18" charset="0"/>
          </a:endParaRPr>
        </a:p>
      </xdr:txBody>
    </xdr:sp>
    <xdr:clientData/>
  </xdr:twoCellAnchor>
  <xdr:twoCellAnchor>
    <xdr:from>
      <xdr:col>3</xdr:col>
      <xdr:colOff>403860</xdr:colOff>
      <xdr:row>44</xdr:row>
      <xdr:rowOff>60960</xdr:rowOff>
    </xdr:from>
    <xdr:to>
      <xdr:col>4</xdr:col>
      <xdr:colOff>548640</xdr:colOff>
      <xdr:row>47</xdr:row>
      <xdr:rowOff>83820</xdr:rowOff>
    </xdr:to>
    <xdr:cxnSp macro="">
      <xdr:nvCxnSpPr>
        <xdr:cNvPr id="7" name="Straight Arrow Connector 6">
          <a:extLst>
            <a:ext uri="{FF2B5EF4-FFF2-40B4-BE49-F238E27FC236}">
              <a16:creationId xmlns:a16="http://schemas.microsoft.com/office/drawing/2014/main" id="{A5A56D87-4156-495E-AD41-EF6D08CE689E}"/>
            </a:ext>
          </a:extLst>
        </xdr:cNvPr>
        <xdr:cNvCxnSpPr/>
      </xdr:nvCxnSpPr>
      <xdr:spPr>
        <a:xfrm flipV="1">
          <a:off x="4279174" y="4774474"/>
          <a:ext cx="819695" cy="610689"/>
        </a:xfrm>
        <a:prstGeom prst="straightConnector1">
          <a:avLst/>
        </a:prstGeom>
        <a:ln>
          <a:solidFill>
            <a:schemeClr val="accent6"/>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472440</xdr:colOff>
      <xdr:row>48</xdr:row>
      <xdr:rowOff>7620</xdr:rowOff>
    </xdr:from>
    <xdr:to>
      <xdr:col>4</xdr:col>
      <xdr:colOff>525780</xdr:colOff>
      <xdr:row>48</xdr:row>
      <xdr:rowOff>137160</xdr:rowOff>
    </xdr:to>
    <xdr:cxnSp macro="">
      <xdr:nvCxnSpPr>
        <xdr:cNvPr id="8" name="Straight Arrow Connector 7">
          <a:extLst>
            <a:ext uri="{FF2B5EF4-FFF2-40B4-BE49-F238E27FC236}">
              <a16:creationId xmlns:a16="http://schemas.microsoft.com/office/drawing/2014/main" id="{DD11D561-050F-490E-A3F8-CD86A3D698AF}"/>
            </a:ext>
          </a:extLst>
        </xdr:cNvPr>
        <xdr:cNvCxnSpPr/>
      </xdr:nvCxnSpPr>
      <xdr:spPr>
        <a:xfrm>
          <a:off x="4347754" y="5504906"/>
          <a:ext cx="728255" cy="12954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91440</xdr:colOff>
      <xdr:row>49</xdr:row>
      <xdr:rowOff>91440</xdr:rowOff>
    </xdr:from>
    <xdr:to>
      <xdr:col>9</xdr:col>
      <xdr:colOff>632460</xdr:colOff>
      <xdr:row>49</xdr:row>
      <xdr:rowOff>99060</xdr:rowOff>
    </xdr:to>
    <xdr:cxnSp macro="">
      <xdr:nvCxnSpPr>
        <xdr:cNvPr id="9" name="Straight Arrow Connector 8">
          <a:extLst>
            <a:ext uri="{FF2B5EF4-FFF2-40B4-BE49-F238E27FC236}">
              <a16:creationId xmlns:a16="http://schemas.microsoft.com/office/drawing/2014/main" id="{C2C42799-3DBC-49BB-84BF-C3AF7ED5158F}"/>
            </a:ext>
          </a:extLst>
        </xdr:cNvPr>
        <xdr:cNvCxnSpPr/>
      </xdr:nvCxnSpPr>
      <xdr:spPr>
        <a:xfrm flipV="1">
          <a:off x="7417526" y="5784669"/>
          <a:ext cx="1890848" cy="762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9524</xdr:colOff>
      <xdr:row>15</xdr:row>
      <xdr:rowOff>38100</xdr:rowOff>
    </xdr:from>
    <xdr:to>
      <xdr:col>7</xdr:col>
      <xdr:colOff>114300</xdr:colOff>
      <xdr:row>23</xdr:row>
      <xdr:rowOff>136071</xdr:rowOff>
    </xdr:to>
    <xdr:sp macro="" textlink="">
      <xdr:nvSpPr>
        <xdr:cNvPr id="2" name="Szövegdoboz 1">
          <a:extLst>
            <a:ext uri="{FF2B5EF4-FFF2-40B4-BE49-F238E27FC236}">
              <a16:creationId xmlns:a16="http://schemas.microsoft.com/office/drawing/2014/main" id="{3771C233-BA50-487F-9882-1BC4F659683D}"/>
            </a:ext>
          </a:extLst>
        </xdr:cNvPr>
        <xdr:cNvSpPr txBox="1"/>
      </xdr:nvSpPr>
      <xdr:spPr>
        <a:xfrm>
          <a:off x="706210" y="3249386"/>
          <a:ext cx="7240361" cy="166551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hu-HU" sz="1400" b="1">
              <a:latin typeface="Times New Roman" panose="02020603050405020304" pitchFamily="18" charset="0"/>
              <a:cs typeface="Times New Roman" panose="02020603050405020304" pitchFamily="18" charset="0"/>
            </a:rPr>
            <a:t>Task 3</a:t>
          </a:r>
        </a:p>
        <a:p>
          <a:pPr algn="l"/>
          <a:r>
            <a:rPr lang="hu-HU" sz="1400" b="0">
              <a:latin typeface="Times New Roman" panose="02020603050405020304" pitchFamily="18" charset="0"/>
              <a:cs typeface="Times New Roman" panose="02020603050405020304" pitchFamily="18" charset="0"/>
            </a:rPr>
            <a:t>Four teams have completed their</a:t>
          </a:r>
          <a:r>
            <a:rPr lang="hu-HU" sz="1400" b="0" baseline="0">
              <a:latin typeface="Times New Roman" panose="02020603050405020304" pitchFamily="18" charset="0"/>
              <a:cs typeface="Times New Roman" panose="02020603050405020304" pitchFamily="18" charset="0"/>
            </a:rPr>
            <a:t> valuation task on the same firm for the same investor and date. They made no numerical or theoretical mistakes. What is your final conclusion on the value of the firm if the four methods used concluded with the following the ranges: DCF 1200-1400, Market multiples: 900-1100, Comparable transactions: 1000-1200, Asset based method: 600-800. What may you conclude from contrasting the ranges? What would be your final value range for valuation? </a:t>
          </a:r>
          <a:r>
            <a:rPr lang="hu-HU" sz="1400" b="0">
              <a:latin typeface="Times New Roman" panose="02020603050405020304" pitchFamily="18" charset="0"/>
              <a:cs typeface="Times New Roman" panose="02020603050405020304" pitchFamily="18" charset="0"/>
            </a:rPr>
            <a:t>(10 points)</a:t>
          </a:r>
        </a:p>
      </xdr:txBody>
    </xdr:sp>
    <xdr:clientData/>
  </xdr:twoCellAnchor>
  <xdr:twoCellAnchor>
    <xdr:from>
      <xdr:col>1</xdr:col>
      <xdr:colOff>1</xdr:colOff>
      <xdr:row>10</xdr:row>
      <xdr:rowOff>9525</xdr:rowOff>
    </xdr:from>
    <xdr:to>
      <xdr:col>7</xdr:col>
      <xdr:colOff>142876</xdr:colOff>
      <xdr:row>14</xdr:row>
      <xdr:rowOff>152400</xdr:rowOff>
    </xdr:to>
    <xdr:sp macro="" textlink="">
      <xdr:nvSpPr>
        <xdr:cNvPr id="3" name="Szövegdoboz 2">
          <a:extLst>
            <a:ext uri="{FF2B5EF4-FFF2-40B4-BE49-F238E27FC236}">
              <a16:creationId xmlns:a16="http://schemas.microsoft.com/office/drawing/2014/main" id="{A5853059-186B-4600-A4AA-8DE3CEDF8B8F}"/>
            </a:ext>
          </a:extLst>
        </xdr:cNvPr>
        <xdr:cNvSpPr txBox="1"/>
      </xdr:nvSpPr>
      <xdr:spPr>
        <a:xfrm>
          <a:off x="696687" y="2241096"/>
          <a:ext cx="7278460" cy="9266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hu-HU" sz="1600">
              <a:latin typeface="Times New Roman" panose="02020603050405020304" pitchFamily="18" charset="0"/>
              <a:cs typeface="Times New Roman" panose="02020603050405020304" pitchFamily="18" charset="0"/>
            </a:rPr>
            <a:t>Notes of</a:t>
          </a:r>
          <a:r>
            <a:rPr lang="hu-HU" sz="1600" baseline="0">
              <a:latin typeface="Times New Roman" panose="02020603050405020304" pitchFamily="18" charset="0"/>
              <a:cs typeface="Times New Roman" panose="02020603050405020304" pitchFamily="18" charset="0"/>
            </a:rPr>
            <a:t> the reviewer.</a:t>
          </a:r>
          <a:endParaRPr lang="hu-HU" sz="1600">
            <a:latin typeface="Times New Roman" panose="02020603050405020304" pitchFamily="18" charset="0"/>
            <a:cs typeface="Times New Roman" panose="02020603050405020304" pitchFamily="18" charset="0"/>
          </a:endParaRPr>
        </a:p>
      </xdr:txBody>
    </xdr:sp>
    <xdr:clientData/>
  </xdr:twoCellAnchor>
  <xdr:twoCellAnchor>
    <xdr:from>
      <xdr:col>0</xdr:col>
      <xdr:colOff>670560</xdr:colOff>
      <xdr:row>24</xdr:row>
      <xdr:rowOff>59872</xdr:rowOff>
    </xdr:from>
    <xdr:to>
      <xdr:col>7</xdr:col>
      <xdr:colOff>114300</xdr:colOff>
      <xdr:row>48</xdr:row>
      <xdr:rowOff>65314</xdr:rowOff>
    </xdr:to>
    <xdr:sp macro="" textlink="">
      <xdr:nvSpPr>
        <xdr:cNvPr id="4" name="Szövegdoboz 3">
          <a:extLst>
            <a:ext uri="{FF2B5EF4-FFF2-40B4-BE49-F238E27FC236}">
              <a16:creationId xmlns:a16="http://schemas.microsoft.com/office/drawing/2014/main" id="{E244662C-78EE-45B1-A547-31591A5C9D8C}"/>
            </a:ext>
          </a:extLst>
        </xdr:cNvPr>
        <xdr:cNvSpPr txBox="1"/>
      </xdr:nvSpPr>
      <xdr:spPr>
        <a:xfrm>
          <a:off x="670560" y="5067301"/>
          <a:ext cx="7161711" cy="47080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hu-HU" sz="1400" b="0">
              <a:latin typeface="Times New Roman" panose="02020603050405020304" pitchFamily="18" charset="0"/>
              <a:cs typeface="Times New Roman" panose="02020603050405020304" pitchFamily="18" charset="0"/>
            </a:rPr>
            <a:t>Type your answer here.</a:t>
          </a:r>
        </a:p>
        <a:p>
          <a:endParaRPr lang="hu-HU" sz="1400" b="0">
            <a:latin typeface="Times New Roman" panose="02020603050405020304" pitchFamily="18" charset="0"/>
            <a:cs typeface="Times New Roman" panose="02020603050405020304" pitchFamily="18" charset="0"/>
          </a:endParaRPr>
        </a:p>
        <a:p>
          <a:r>
            <a:rPr lang="hu-HU" sz="1400" b="0">
              <a:latin typeface="Times New Roman" panose="02020603050405020304" pitchFamily="18" charset="0"/>
              <a:cs typeface="Times New Roman" panose="02020603050405020304" pitchFamily="18" charset="0"/>
            </a:rPr>
            <a:t>Asset based method aims to find liquidation value, depends on asset prices, list of valuables. The disadvantage is that it takes into account quassi assets too.</a:t>
          </a:r>
        </a:p>
        <a:p>
          <a:r>
            <a:rPr lang="hu-HU" sz="1400" b="0">
              <a:latin typeface="Times New Roman" panose="02020603050405020304" pitchFamily="18" charset="0"/>
              <a:cs typeface="Times New Roman" panose="02020603050405020304" pitchFamily="18" charset="0"/>
            </a:rPr>
            <a:t>In this case the value of</a:t>
          </a:r>
          <a:r>
            <a:rPr lang="hu-HU" sz="1400" b="0" baseline="0">
              <a:latin typeface="Times New Roman" panose="02020603050405020304" pitchFamily="18" charset="0"/>
              <a:cs typeface="Times New Roman" panose="02020603050405020304" pitchFamily="18" charset="0"/>
            </a:rPr>
            <a:t> the asset based method gives significantly lower value than the other methods, so there is a good chance that the comnpany operates in not an asset heavy industry, like IT or consulting etc. Hence this method can give false result and it is worth to compare it to the result of the comparable transactions method's reuslt, which can serve as a good benchmark. However it can also have biases, beacuse it is hard to find totally comparable transactions on the market, but if done right (as the tasks says so) then it can give us a good estimation of the current market value of the firm. Also is a good sign that the market multiples give us a pretty similar result comapred to comparable transactions, because this is also a benchmark based method. Market multiples aims to find market price. it tends to underestimate the value. Also it depends on multiples used for valuation. And finally the DCF method aims to find intrinsic value, it highly depends on cash flows, cost of capital and planning. However, it is important to find discount rates correctly, but it also gives us a similar, although a bit higher value range. </a:t>
          </a:r>
        </a:p>
        <a:p>
          <a:endParaRPr lang="hu-HU" sz="1400" b="0" baseline="0">
            <a:latin typeface="Times New Roman" panose="02020603050405020304" pitchFamily="18" charset="0"/>
            <a:cs typeface="Times New Roman" panose="02020603050405020304" pitchFamily="18" charset="0"/>
          </a:endParaRPr>
        </a:p>
        <a:p>
          <a:r>
            <a:rPr lang="hu-HU" sz="1400" b="0" baseline="0">
              <a:latin typeface="Times New Roman" panose="02020603050405020304" pitchFamily="18" charset="0"/>
              <a:cs typeface="Times New Roman" panose="02020603050405020304" pitchFamily="18" charset="0"/>
            </a:rPr>
            <a:t>All in all I would say that the final price range is very likely to be between 900 and 1400.</a:t>
          </a:r>
          <a:endParaRPr lang="hu-HU" sz="1400" b="0">
            <a:latin typeface="Times New Roman" panose="02020603050405020304" pitchFamily="18" charset="0"/>
            <a:cs typeface="Times New Roman" panose="02020603050405020304" pitchFamily="18"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9524</xdr:colOff>
      <xdr:row>10</xdr:row>
      <xdr:rowOff>38100</xdr:rowOff>
    </xdr:from>
    <xdr:to>
      <xdr:col>7</xdr:col>
      <xdr:colOff>285750</xdr:colOff>
      <xdr:row>15</xdr:row>
      <xdr:rowOff>114300</xdr:rowOff>
    </xdr:to>
    <xdr:sp macro="" textlink="">
      <xdr:nvSpPr>
        <xdr:cNvPr id="2" name="Szövegdoboz 1">
          <a:extLst>
            <a:ext uri="{FF2B5EF4-FFF2-40B4-BE49-F238E27FC236}">
              <a16:creationId xmlns:a16="http://schemas.microsoft.com/office/drawing/2014/main" id="{00000000-0008-0000-0700-000002000000}"/>
            </a:ext>
          </a:extLst>
        </xdr:cNvPr>
        <xdr:cNvSpPr txBox="1"/>
      </xdr:nvSpPr>
      <xdr:spPr>
        <a:xfrm>
          <a:off x="695324" y="2362200"/>
          <a:ext cx="7372351" cy="1076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hu-HU" sz="1400" b="1">
              <a:latin typeface="Times New Roman" panose="02020603050405020304" pitchFamily="18" charset="0"/>
              <a:cs typeface="Times New Roman" panose="02020603050405020304" pitchFamily="18" charset="0"/>
            </a:rPr>
            <a:t>Task</a:t>
          </a:r>
          <a:r>
            <a:rPr lang="hu-HU" sz="1400" b="1" baseline="0">
              <a:latin typeface="Times New Roman" panose="02020603050405020304" pitchFamily="18" charset="0"/>
              <a:cs typeface="Times New Roman" panose="02020603050405020304" pitchFamily="18" charset="0"/>
            </a:rPr>
            <a:t> 5</a:t>
          </a:r>
          <a:endParaRPr lang="hu-HU" sz="1400" b="1">
            <a:latin typeface="Times New Roman" panose="02020603050405020304" pitchFamily="18" charset="0"/>
            <a:cs typeface="Times New Roman" panose="02020603050405020304" pitchFamily="18" charset="0"/>
          </a:endParaRPr>
        </a:p>
        <a:p>
          <a:r>
            <a:rPr lang="hu-HU" sz="1400" b="0" baseline="0">
              <a:latin typeface="Times New Roman" panose="02020603050405020304" pitchFamily="18" charset="0"/>
              <a:cs typeface="Times New Roman" panose="02020603050405020304" pitchFamily="18" charset="0"/>
            </a:rPr>
            <a:t>Contrast the financial planning process of traditional companies and commertial banks. </a:t>
          </a:r>
          <a:r>
            <a:rPr lang="hu-HU" sz="1400" b="0">
              <a:latin typeface="Times New Roman" panose="02020603050405020304" pitchFamily="18" charset="0"/>
              <a:cs typeface="Times New Roman" panose="02020603050405020304" pitchFamily="18" charset="0"/>
            </a:rPr>
            <a:t>(10 points)</a:t>
          </a:r>
        </a:p>
      </xdr:txBody>
    </xdr:sp>
    <xdr:clientData/>
  </xdr:twoCellAnchor>
  <xdr:twoCellAnchor>
    <xdr:from>
      <xdr:col>1</xdr:col>
      <xdr:colOff>9525</xdr:colOff>
      <xdr:row>16</xdr:row>
      <xdr:rowOff>9524</xdr:rowOff>
    </xdr:from>
    <xdr:to>
      <xdr:col>7</xdr:col>
      <xdr:colOff>285751</xdr:colOff>
      <xdr:row>33</xdr:row>
      <xdr:rowOff>85724</xdr:rowOff>
    </xdr:to>
    <xdr:sp macro="" textlink="">
      <xdr:nvSpPr>
        <xdr:cNvPr id="4" name="Szövegdoboz 3">
          <a:extLst>
            <a:ext uri="{FF2B5EF4-FFF2-40B4-BE49-F238E27FC236}">
              <a16:creationId xmlns:a16="http://schemas.microsoft.com/office/drawing/2014/main" id="{B2457B3A-23F9-459B-B509-8C0E2E7D7599}"/>
            </a:ext>
          </a:extLst>
        </xdr:cNvPr>
        <xdr:cNvSpPr txBox="1"/>
      </xdr:nvSpPr>
      <xdr:spPr>
        <a:xfrm>
          <a:off x="695325" y="3533774"/>
          <a:ext cx="7372351" cy="35337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hu-HU" sz="1400" b="0">
              <a:latin typeface="Times New Roman" panose="02020603050405020304" pitchFamily="18" charset="0"/>
              <a:cs typeface="Times New Roman" panose="02020603050405020304" pitchFamily="18" charset="0"/>
            </a:rPr>
            <a:t>Valuing commercial banks is a more</a:t>
          </a:r>
          <a:r>
            <a:rPr lang="hu-HU" sz="1400" b="0" baseline="0">
              <a:latin typeface="Times New Roman" panose="02020603050405020304" pitchFamily="18" charset="0"/>
              <a:cs typeface="Times New Roman" panose="02020603050405020304" pitchFamily="18" charset="0"/>
            </a:rPr>
            <a:t> complicated task compared to normal companies, since they have a specific financing and investment structure, since their primary income is from these activities. Also it is a very highly regulated insutry and risk management is specific compared to normal firms which also makes valuation harder. Banks have mostly interest income in contrast to normal firms which may have interest income as other comprehesice income, but they have different main field of operation. Valuing banks can be done mostly by valuing the equity of the bank with the FCFE DCF method. </a:t>
          </a:r>
          <a:endParaRPr lang="hu-HU" sz="1400" b="0">
            <a:latin typeface="Times New Roman" panose="02020603050405020304" pitchFamily="18" charset="0"/>
            <a:cs typeface="Times New Roman" panose="02020603050405020304" pitchFamily="18" charset="0"/>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Munka/!!ExcelTr&#233;ningLegfrissebb/MasterExcelTasks2019Nov.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Munka\!BME\2023&#337;sz\Week15Retake\2ndMidtermExam2023Sol.xlsx" TargetMode="External"/><Relationship Id="rId1" Type="http://schemas.openxmlformats.org/officeDocument/2006/relationships/externalLinkPath" Target="/Munka/!BME/2023&#337;sz/Week15Retake/2ndMidtermExam2023So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ening"/>
      <sheetName val="MovingAround"/>
      <sheetName val="SelectingRanges"/>
      <sheetName val="InsertCells"/>
      <sheetName val="FormattingCells1"/>
      <sheetName val="FormattingCells2"/>
      <sheetName val="PasteSpecial"/>
      <sheetName val="ConditionalFormatting"/>
      <sheetName val="DataValidation"/>
      <sheetName val="FindSpecialCells"/>
      <sheetName val="FastInput"/>
      <sheetName val="Protecting&amp;Hiding sheets"/>
      <sheetName val="PricingShares"/>
      <sheetName val="Financial Planning"/>
      <sheetName val="Optimizing1FindingIRR"/>
      <sheetName val="Optimizing2GoalSeek"/>
      <sheetName val="Optimizing3Solver"/>
      <sheetName val="SensitivityAnalysis"/>
      <sheetName val="Sparklines"/>
      <sheetName val="VisualisingStatistics"/>
      <sheetName val="Charts1Tornado"/>
      <sheetName val="Charts2Waterfall"/>
      <sheetName val="Charts3Combined"/>
      <sheetName val="Charts4Pictures"/>
      <sheetName val="Charts5FillingPicture"/>
      <sheetName val="Charts6PeopleChart"/>
      <sheetName val="Charts8ProportionalAppearance"/>
      <sheetName val="Charts7RadialBar"/>
      <sheetName val="Charts8Dashboard"/>
      <sheetName val="Shapes"/>
      <sheetName val="LinksAmongCells"/>
      <sheetName val="UsingNames"/>
      <sheetName val="DependentLists"/>
      <sheetName val="Trends"/>
      <sheetName val="Moving Average"/>
      <sheetName val="Seasonality"/>
      <sheetName val="DataAnalysis"/>
      <sheetName val="SubTotals&amp;Groups"/>
      <sheetName val="FunctionsDifferently"/>
      <sheetName val="Sorting"/>
      <sheetName val="AutoFilter"/>
      <sheetName val="AdvancedFiler"/>
      <sheetName val="DatabaseFunctions"/>
      <sheetName val="Tables"/>
      <sheetName val="DinamicValidation"/>
      <sheetName val="PivotTable"/>
      <sheetName val="PowerQuery"/>
      <sheetName val="ReferenceFunctions"/>
      <sheetName val="RandomSample"/>
      <sheetName val="MonteCarlo"/>
      <sheetName val="Objects1"/>
      <sheetName val="ScenarioswithObjects"/>
      <sheetName val="ChartwithObject"/>
      <sheetName val="IntroToMacros"/>
      <sheetName val="Protecting&amp;Hiding_sheets1"/>
      <sheetName val="Financial_Planning1"/>
      <sheetName val="Moving_Average1"/>
      <sheetName val="Protecting&amp;Hiding_sheets"/>
      <sheetName val="Financial_Planning"/>
      <sheetName val="Moving_Average"/>
      <sheetName val="Protecting&amp;Hiding_sheets2"/>
      <sheetName val="Financial_Planning2"/>
      <sheetName val="Moving_Average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row r="4">
          <cell r="B4" t="str">
            <v>KSA</v>
          </cell>
        </row>
        <row r="5">
          <cell r="B5" t="str">
            <v>Kuvait</v>
          </cell>
        </row>
        <row r="6">
          <cell r="B6" t="str">
            <v>Bahrain</v>
          </cell>
        </row>
        <row r="7">
          <cell r="B7" t="str">
            <v>Qatar</v>
          </cell>
        </row>
        <row r="8">
          <cell r="B8" t="str">
            <v>UAE</v>
          </cell>
        </row>
      </sheetData>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Page"/>
      <sheetName val="Admin"/>
      <sheetName val="Task 1"/>
      <sheetName val="Task 2"/>
      <sheetName val="Task 3"/>
      <sheetName val="Task 4"/>
      <sheetName val="Task 5"/>
      <sheetName val="BonusTask6"/>
      <sheetName val="BonusTask7"/>
    </sheetNames>
    <sheetDataSet>
      <sheetData sheetId="0"/>
      <sheetData sheetId="1">
        <row r="12">
          <cell r="C12" t="str">
            <v>Date</v>
          </cell>
        </row>
        <row r="13">
          <cell r="C13" t="str">
            <v>Student name</v>
          </cell>
        </row>
        <row r="14">
          <cell r="C14" t="str">
            <v>Neptun code</v>
          </cell>
        </row>
        <row r="16">
          <cell r="C16" t="str">
            <v>Study program</v>
          </cell>
        </row>
        <row r="17">
          <cell r="C17" t="str">
            <v>Instructor</v>
          </cell>
        </row>
      </sheetData>
      <sheetData sheetId="2"/>
      <sheetData sheetId="3"/>
      <sheetData sheetId="4"/>
      <sheetData sheetId="5"/>
      <sheetData sheetId="6"/>
      <sheetData sheetId="7"/>
      <sheetData sheetId="8"/>
    </sheetDataSet>
  </externalBook>
</externalLink>
</file>

<file path=xl/persons/person.xml><?xml version="1.0" encoding="utf-8"?>
<personList xmlns="http://schemas.microsoft.com/office/spreadsheetml/2018/threadedcomments" xmlns:x="http://schemas.openxmlformats.org/spreadsheetml/2006/main">
  <person displayName="Adam Balassa" id="{6A20DA47-4C7F-4160-9525-397EBD16593E}" userId="d57ff8ca614d3e32" providerId="Windows Live"/>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G25" dT="2023-12-12T15:37:50.28" personId="{6A20DA47-4C7F-4160-9525-397EBD16593E}" id="{42FD5D6F-5640-4DC8-9BF6-875ED8C2536D}">
    <text>% gain in ownership only from year 2 investment</text>
  </threadedComment>
  <threadedComment ref="G27" dT="2023-12-12T15:39:04.89" personId="{6A20DA47-4C7F-4160-9525-397EBD16593E}" id="{64172D1A-E913-4A6F-919E-97BF00030288}">
    <text>Share of the ownership from the year 1 investor, it this and the G25 investor is the same person then he has 56% ownership</text>
  </threadedComment>
  <threadedComment ref="C28" dT="2023-12-30T15:02:50.04" personId="{6A20DA47-4C7F-4160-9525-397EBD16593E}" id="{B41A5B59-C68E-450E-9337-96A06C937FEF}">
    <text xml:space="preserve">Solverezett érték
</text>
  </threadedComment>
  <threadedComment ref="E30" dT="2023-12-12T14:56:43.28" personId="{6A20DA47-4C7F-4160-9525-397EBD16593E}" id="{23C54853-24F0-497E-A9E1-C4154B657013}">
    <text>Probability of failure</text>
  </threadedComment>
  <threadedComment ref="B36" dT="2023-12-12T15:17:48.69" personId="{6A20DA47-4C7F-4160-9525-397EBD16593E}" id="{28822F28-3C64-4994-A083-AA3335A353C6}">
    <text>O4-ben levő formula átrendezve</text>
  </threadedComment>
  <threadedComment ref="C36" dT="2023-12-12T15:35:36.64" personId="{6A20DA47-4C7F-4160-9525-397EBD16593E}" id="{78F47DD0-39A4-4506-B601-4BBE8922873D}">
    <text>1) point answer</text>
  </threadedComment>
  <threadedComment ref="G45" dT="2023-12-12T15:37:50.28" personId="{6A20DA47-4C7F-4160-9525-397EBD16593E}" id="{E5260F9D-E8B7-4EB4-9A42-59D31BC36824}">
    <text>% gain in ownership only from year 2 investment</text>
  </threadedComment>
  <threadedComment ref="G47" dT="2023-12-12T15:39:04.89" personId="{6A20DA47-4C7F-4160-9525-397EBD16593E}" id="{305E04B3-537E-4FBB-9269-76D2EF39C7A0}">
    <text>Share of the ownership from the year 1 investor, it this and the G25 investor is the same person then he has 56% ownership</text>
  </threadedComment>
  <threadedComment ref="C48" dT="2023-12-30T15:02:50.04" personId="{6A20DA47-4C7F-4160-9525-397EBD16593E}" id="{C5C56327-BAAE-4FCA-A6C3-495A09412F1A}">
    <text xml:space="preserve">Solverezett érték
</text>
  </threadedComment>
  <threadedComment ref="E50" dT="2023-12-12T14:56:43.28" personId="{6A20DA47-4C7F-4160-9525-397EBD16593E}" id="{8B342CC9-AEB1-4E73-B6E7-9EE47CA3CD15}">
    <text>Probability of failure</text>
  </threadedComment>
  <threadedComment ref="B56" dT="2023-12-12T15:17:48.69" personId="{6A20DA47-4C7F-4160-9525-397EBD16593E}" id="{9650E0F3-5C3A-4028-926B-8C0E81CE7BA6}">
    <text>O4-ben levő formula átrendezve</text>
  </threadedComment>
  <threadedComment ref="C56" dT="2023-12-12T15:35:36.64" personId="{6A20DA47-4C7F-4160-9525-397EBD16593E}" id="{C2465AED-32C8-417D-B0AA-B289BBC1D5F9}">
    <text>1) point answer</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6.xml"/><Relationship Id="rId4" Type="http://schemas.microsoft.com/office/2017/10/relationships/threadedComment" Target="../threadedComments/threadedComment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B37DBD-DECA-4097-9804-D82621A13861}">
  <sheetPr codeName="Munka2">
    <tabColor rgb="FF7030A0"/>
  </sheetPr>
  <dimension ref="A1"/>
  <sheetViews>
    <sheetView showGridLines="0" topLeftCell="A2" zoomScale="55" zoomScaleNormal="55" workbookViewId="0">
      <selection activeCell="I32" sqref="I32"/>
    </sheetView>
  </sheetViews>
  <sheetFormatPr defaultColWidth="8.796875" defaultRowHeight="15.6" x14ac:dyDescent="0.3"/>
  <sheetData/>
  <sheetProtection sheet="1" objects="1" scenarios="1" selectLockedCells="1" selectUnlockedCells="1"/>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C0D39-D3DB-4713-8991-75511A3E78C9}">
  <sheetPr codeName="Munka3"/>
  <dimension ref="C9:I20"/>
  <sheetViews>
    <sheetView showGridLines="0" workbookViewId="0">
      <selection activeCell="D13" sqref="D13:D14"/>
    </sheetView>
  </sheetViews>
  <sheetFormatPr defaultColWidth="8.796875" defaultRowHeight="15.6" x14ac:dyDescent="0.3"/>
  <cols>
    <col min="3" max="3" width="27.296875" bestFit="1" customWidth="1"/>
    <col min="4" max="4" width="32.69921875" bestFit="1" customWidth="1"/>
    <col min="9" max="9" width="25.296875" bestFit="1" customWidth="1"/>
    <col min="10" max="10" width="12.69921875" bestFit="1" customWidth="1"/>
  </cols>
  <sheetData>
    <row r="9" spans="3:9" ht="34.799999999999997" x14ac:dyDescent="0.55000000000000004">
      <c r="C9" s="78" t="s">
        <v>27</v>
      </c>
      <c r="D9" s="78"/>
      <c r="E9" s="5"/>
      <c r="F9" s="5"/>
      <c r="G9" s="5"/>
    </row>
    <row r="10" spans="3:9" ht="34.799999999999997" x14ac:dyDescent="0.55000000000000004">
      <c r="C10" s="78"/>
      <c r="D10" s="78"/>
      <c r="E10" s="5"/>
      <c r="F10" s="5"/>
      <c r="G10" s="5"/>
    </row>
    <row r="11" spans="3:9" ht="22.8" x14ac:dyDescent="0.4">
      <c r="C11" s="4"/>
      <c r="D11" s="4"/>
      <c r="G11" s="7"/>
    </row>
    <row r="12" spans="3:9" ht="22.8" x14ac:dyDescent="0.4">
      <c r="C12" s="4" t="s">
        <v>13</v>
      </c>
      <c r="D12" s="26">
        <v>45294</v>
      </c>
    </row>
    <row r="13" spans="3:9" ht="22.8" x14ac:dyDescent="0.4">
      <c r="C13" s="4" t="s">
        <v>16</v>
      </c>
      <c r="D13" s="17"/>
      <c r="I13" s="21" t="s">
        <v>9</v>
      </c>
    </row>
    <row r="14" spans="3:9" ht="22.8" x14ac:dyDescent="0.4">
      <c r="C14" s="4" t="s">
        <v>15</v>
      </c>
      <c r="D14" s="17"/>
      <c r="I14" s="21" t="s">
        <v>10</v>
      </c>
    </row>
    <row r="15" spans="3:9" ht="22.8" x14ac:dyDescent="0.4">
      <c r="C15" s="4"/>
      <c r="D15" s="6"/>
      <c r="I15" s="21"/>
    </row>
    <row r="16" spans="3:9" ht="22.8" x14ac:dyDescent="0.4">
      <c r="C16" s="4" t="s">
        <v>17</v>
      </c>
      <c r="D16" s="23" t="s">
        <v>9</v>
      </c>
    </row>
    <row r="17" spans="3:4" ht="22.8" x14ac:dyDescent="0.4">
      <c r="C17" s="4" t="s">
        <v>11</v>
      </c>
      <c r="D17" s="7" t="s">
        <v>12</v>
      </c>
    </row>
    <row r="18" spans="3:4" ht="22.8" x14ac:dyDescent="0.4">
      <c r="D18" s="7"/>
    </row>
    <row r="19" spans="3:4" ht="22.8" x14ac:dyDescent="0.4">
      <c r="D19" s="7"/>
    </row>
    <row r="20" spans="3:4" ht="22.8" x14ac:dyDescent="0.4">
      <c r="C20" s="4" t="s">
        <v>14</v>
      </c>
      <c r="D20" s="8">
        <f>+Theory!C9+PE!C9+'Theory 2'!C9+'M&amp;A'!C9+DCF!C9</f>
        <v>0</v>
      </c>
    </row>
  </sheetData>
  <sheetProtection selectLockedCells="1"/>
  <mergeCells count="2">
    <mergeCell ref="C9:D9"/>
    <mergeCell ref="C10:D10"/>
  </mergeCells>
  <phoneticPr fontId="7" type="noConversion"/>
  <dataValidations count="1">
    <dataValidation allowBlank="1" showInputMessage="1" showErrorMessage="1" errorTitle="Ilyen csoport nincsen!" error="Kérem, a felsorolásból válasszon!" promptTitle="Válassza ki a csoportját!" sqref="D16" xr:uid="{E7C1251C-1580-42F2-91B9-E2C0C2F99FBF}"/>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51001-DD57-4B42-9CDC-B6256E26F6D7}">
  <sheetPr>
    <tabColor rgb="FF92D050"/>
  </sheetPr>
  <dimension ref="B1:I68"/>
  <sheetViews>
    <sheetView zoomScaleNormal="85" workbookViewId="0">
      <selection activeCell="A9" sqref="A9:J71"/>
    </sheetView>
  </sheetViews>
  <sheetFormatPr defaultColWidth="8.796875" defaultRowHeight="15.6" x14ac:dyDescent="0.3"/>
  <cols>
    <col min="2" max="2" width="46.796875" bestFit="1" customWidth="1"/>
    <col min="3" max="3" width="23.69921875" bestFit="1" customWidth="1"/>
    <col min="4" max="4" width="14.796875" bestFit="1" customWidth="1"/>
    <col min="5" max="5" width="22" bestFit="1" customWidth="1"/>
    <col min="6" max="6" width="14.69921875" bestFit="1" customWidth="1"/>
    <col min="7" max="7" width="7.796875" bestFit="1" customWidth="1"/>
    <col min="8" max="8" width="14.5" bestFit="1" customWidth="1"/>
    <col min="9" max="9" width="11.5" bestFit="1" customWidth="1"/>
  </cols>
  <sheetData>
    <row r="1" spans="2:3" ht="16.2" thickBot="1" x14ac:dyDescent="0.35"/>
    <row r="2" spans="2:3" ht="18" x14ac:dyDescent="0.35">
      <c r="B2" s="9" t="str">
        <f>+Admin!C12</f>
        <v>Date</v>
      </c>
      <c r="C2" s="25">
        <f>+Admin!D12</f>
        <v>45294</v>
      </c>
    </row>
    <row r="3" spans="2:3" ht="18" x14ac:dyDescent="0.35">
      <c r="B3" s="10" t="str">
        <f>+Admin!C13</f>
        <v>Student name</v>
      </c>
      <c r="C3" s="11">
        <f>+Admin!D13</f>
        <v>0</v>
      </c>
    </row>
    <row r="4" spans="2:3" ht="18" x14ac:dyDescent="0.35">
      <c r="B4" s="10" t="str">
        <f>+Admin!C14</f>
        <v>Neptun code</v>
      </c>
      <c r="C4" s="11">
        <f>+Admin!D14</f>
        <v>0</v>
      </c>
    </row>
    <row r="5" spans="2:3" ht="18" x14ac:dyDescent="0.35">
      <c r="B5" s="10"/>
      <c r="C5" s="12"/>
    </row>
    <row r="6" spans="2:3" ht="18" x14ac:dyDescent="0.35">
      <c r="B6" s="10" t="str">
        <f>+Admin!C16</f>
        <v>Study program</v>
      </c>
      <c r="C6" s="12" t="str">
        <f>+Admin!D16</f>
        <v>Master in Finance</v>
      </c>
    </row>
    <row r="7" spans="2:3" ht="18.600000000000001" thickBot="1" x14ac:dyDescent="0.4">
      <c r="B7" s="13" t="str">
        <f>+Admin!C17</f>
        <v>Instructor</v>
      </c>
      <c r="C7" s="14" t="str">
        <f>+Admin!D17</f>
        <v>Péter Juhász, PhD, CFA</v>
      </c>
    </row>
    <row r="8" spans="2:3" ht="16.2" thickBot="1" x14ac:dyDescent="0.35"/>
    <row r="9" spans="2:3" ht="21" thickBot="1" x14ac:dyDescent="0.4">
      <c r="B9" s="15" t="s">
        <v>18</v>
      </c>
      <c r="C9" s="16"/>
    </row>
    <row r="26" spans="3:6" x14ac:dyDescent="0.3">
      <c r="D26" s="19" t="s">
        <v>23</v>
      </c>
      <c r="E26" s="19" t="s">
        <v>24</v>
      </c>
      <c r="F26" s="19" t="s">
        <v>22</v>
      </c>
    </row>
    <row r="27" spans="3:6" x14ac:dyDescent="0.3">
      <c r="C27" t="s">
        <v>29</v>
      </c>
      <c r="D27" s="29">
        <v>2000000</v>
      </c>
      <c r="E27" s="29">
        <v>4000000</v>
      </c>
    </row>
    <row r="28" spans="3:6" x14ac:dyDescent="0.3">
      <c r="C28" t="s">
        <v>6</v>
      </c>
      <c r="D28" s="20">
        <v>0.2</v>
      </c>
      <c r="E28" s="20">
        <v>0.2</v>
      </c>
      <c r="F28" s="20">
        <v>0.2</v>
      </c>
    </row>
    <row r="29" spans="3:6" x14ac:dyDescent="0.3">
      <c r="C29" t="s">
        <v>26</v>
      </c>
      <c r="D29" s="20">
        <v>0.12</v>
      </c>
      <c r="E29" s="20">
        <v>0.12</v>
      </c>
      <c r="F29" s="20">
        <v>0.12</v>
      </c>
    </row>
    <row r="30" spans="3:6" x14ac:dyDescent="0.3">
      <c r="C30" t="s">
        <v>0</v>
      </c>
      <c r="D30" s="20">
        <v>0.03</v>
      </c>
      <c r="E30" s="20">
        <v>0.04</v>
      </c>
      <c r="F30" s="20">
        <v>3.2500000000000001E-2</v>
      </c>
    </row>
    <row r="31" spans="3:6" x14ac:dyDescent="0.3">
      <c r="C31" t="s">
        <v>7</v>
      </c>
      <c r="D31" s="20">
        <v>0.06</v>
      </c>
      <c r="E31" s="20">
        <v>0.06</v>
      </c>
      <c r="F31" s="20">
        <v>0.06</v>
      </c>
    </row>
    <row r="32" spans="3:6" x14ac:dyDescent="0.3">
      <c r="C32" t="s">
        <v>25</v>
      </c>
      <c r="D32" s="20">
        <v>0.3</v>
      </c>
      <c r="E32" s="20">
        <v>0.2</v>
      </c>
      <c r="F32" s="20">
        <v>0.3</v>
      </c>
    </row>
    <row r="33" spans="2:9" x14ac:dyDescent="0.3">
      <c r="C33" t="s">
        <v>31</v>
      </c>
      <c r="D33" s="27">
        <v>500</v>
      </c>
      <c r="E33" s="27"/>
      <c r="F33" s="27">
        <v>710</v>
      </c>
    </row>
    <row r="34" spans="2:9" x14ac:dyDescent="0.3">
      <c r="C34" t="s">
        <v>32</v>
      </c>
      <c r="D34" s="27"/>
      <c r="E34" s="27">
        <v>150</v>
      </c>
      <c r="F34" s="27"/>
    </row>
    <row r="35" spans="2:9" x14ac:dyDescent="0.3">
      <c r="C35" s="18" t="s">
        <v>58</v>
      </c>
      <c r="D35" s="39"/>
      <c r="E35" s="71">
        <f>1-E32</f>
        <v>0.8</v>
      </c>
      <c r="F35" s="39"/>
    </row>
    <row r="36" spans="2:9" x14ac:dyDescent="0.3">
      <c r="C36" s="18"/>
      <c r="D36" s="39"/>
      <c r="E36" s="39"/>
      <c r="F36" s="39"/>
    </row>
    <row r="37" spans="2:9" x14ac:dyDescent="0.3">
      <c r="B37" t="s">
        <v>59</v>
      </c>
      <c r="C37" t="s">
        <v>55</v>
      </c>
      <c r="D37" s="20">
        <f>(D29-D31*D32)/(1-D32)</f>
        <v>0.14571428571428571</v>
      </c>
      <c r="E37" s="20">
        <f t="shared" ref="E37:F37" si="0">(E29-E31*E32)/(1-E32)</f>
        <v>0.13499999999999998</v>
      </c>
      <c r="F37" s="20">
        <f t="shared" si="0"/>
        <v>0.14571428571428571</v>
      </c>
    </row>
    <row r="39" spans="2:9" x14ac:dyDescent="0.3">
      <c r="B39" t="s">
        <v>60</v>
      </c>
      <c r="C39" t="s">
        <v>51</v>
      </c>
      <c r="D39" s="35">
        <f>D29-D31*D32*D28</f>
        <v>0.11639999999999999</v>
      </c>
      <c r="E39" s="35">
        <f t="shared" ref="E39:F39" si="1">E29-E31*E32*E28</f>
        <v>0.1176</v>
      </c>
      <c r="F39" s="35">
        <f t="shared" si="1"/>
        <v>0.11639999999999999</v>
      </c>
    </row>
    <row r="40" spans="2:9" x14ac:dyDescent="0.3">
      <c r="H40" t="s">
        <v>61</v>
      </c>
      <c r="I40" t="s">
        <v>62</v>
      </c>
    </row>
    <row r="41" spans="2:9" x14ac:dyDescent="0.3">
      <c r="B41" t="s">
        <v>63</v>
      </c>
      <c r="C41" t="s">
        <v>64</v>
      </c>
      <c r="D41" s="67">
        <f>D33/(D39-D30)</f>
        <v>5787.0370370370374</v>
      </c>
      <c r="E41" s="67">
        <f>E43/E35</f>
        <v>1973.6842105263163</v>
      </c>
      <c r="F41" s="67">
        <f>F33/(F39-F30)</f>
        <v>8462.455303933255</v>
      </c>
      <c r="H41" s="37">
        <f t="shared" ref="H41:H43" si="2">D41+E41</f>
        <v>7760.7212475633532</v>
      </c>
      <c r="I41" s="60">
        <f t="shared" ref="I41" si="3">F41-H41</f>
        <v>701.73405636990174</v>
      </c>
    </row>
    <row r="42" spans="2:9" x14ac:dyDescent="0.3">
      <c r="C42" t="s">
        <v>65</v>
      </c>
      <c r="D42" s="67">
        <f>D41*D32</f>
        <v>1736.1111111111111</v>
      </c>
      <c r="E42" s="67">
        <f>E41*E32</f>
        <v>394.73684210526329</v>
      </c>
      <c r="F42" s="67">
        <f>F41*F32</f>
        <v>2538.7365911799766</v>
      </c>
      <c r="H42" s="37">
        <f t="shared" si="2"/>
        <v>2130.8479532163742</v>
      </c>
      <c r="I42" s="37"/>
    </row>
    <row r="43" spans="2:9" x14ac:dyDescent="0.3">
      <c r="C43" t="s">
        <v>66</v>
      </c>
      <c r="D43" s="67">
        <f t="shared" ref="D43:F43" si="4">D41-D42</f>
        <v>4050.9259259259261</v>
      </c>
      <c r="E43" s="67">
        <f>E34/(E37-E30)</f>
        <v>1578.9473684210532</v>
      </c>
      <c r="F43" s="67">
        <f t="shared" si="4"/>
        <v>5923.7187127532779</v>
      </c>
      <c r="H43" s="37">
        <f t="shared" si="2"/>
        <v>5629.8732943469795</v>
      </c>
      <c r="I43" s="37"/>
    </row>
    <row r="45" spans="2:9" x14ac:dyDescent="0.3">
      <c r="D45" t="s">
        <v>67</v>
      </c>
      <c r="E45" t="s">
        <v>82</v>
      </c>
      <c r="F45" t="s">
        <v>68</v>
      </c>
    </row>
    <row r="46" spans="2:9" x14ac:dyDescent="0.3">
      <c r="C46" t="s">
        <v>69</v>
      </c>
      <c r="D46" s="67">
        <f>E43</f>
        <v>1578.9473684210532</v>
      </c>
      <c r="E46">
        <v>4</v>
      </c>
      <c r="F46" s="38">
        <f>D46+E46</f>
        <v>1582.9473684210532</v>
      </c>
    </row>
    <row r="47" spans="2:9" x14ac:dyDescent="0.3">
      <c r="C47" t="s">
        <v>70</v>
      </c>
      <c r="D47" s="67">
        <f>D46+I41</f>
        <v>2280.6814247909551</v>
      </c>
      <c r="E47">
        <v>8</v>
      </c>
      <c r="F47" s="38">
        <f>D47-E47</f>
        <v>2272.6814247909551</v>
      </c>
    </row>
    <row r="53" spans="2:5" x14ac:dyDescent="0.3">
      <c r="B53" s="40" t="s">
        <v>71</v>
      </c>
      <c r="C53" s="68">
        <f>F46*(1+25%)</f>
        <v>1978.6842105263165</v>
      </c>
      <c r="D53" s="37"/>
    </row>
    <row r="54" spans="2:5" x14ac:dyDescent="0.3">
      <c r="C54" s="69"/>
      <c r="D54" s="37"/>
    </row>
    <row r="55" spans="2:5" x14ac:dyDescent="0.3">
      <c r="B55" t="s">
        <v>72</v>
      </c>
      <c r="C55" s="69">
        <f>C53*30%</f>
        <v>593.60526315789491</v>
      </c>
      <c r="D55" s="37"/>
    </row>
    <row r="56" spans="2:5" x14ac:dyDescent="0.3">
      <c r="B56" t="s">
        <v>73</v>
      </c>
      <c r="C56" s="69">
        <f>C53-C55</f>
        <v>1385.0789473684217</v>
      </c>
    </row>
    <row r="57" spans="2:5" x14ac:dyDescent="0.3">
      <c r="B57" s="40" t="s">
        <v>74</v>
      </c>
      <c r="C57" s="64">
        <f>+C56/F43</f>
        <v>0.23381916234247602</v>
      </c>
      <c r="D57" s="35"/>
      <c r="E57" s="67"/>
    </row>
    <row r="58" spans="2:5" x14ac:dyDescent="0.3">
      <c r="C58" s="69"/>
    </row>
    <row r="59" spans="2:5" x14ac:dyDescent="0.3">
      <c r="B59" s="42" t="s">
        <v>75</v>
      </c>
      <c r="C59" s="70">
        <f>D27+E27</f>
        <v>6000000</v>
      </c>
      <c r="D59" s="36"/>
    </row>
    <row r="60" spans="2:5" x14ac:dyDescent="0.3">
      <c r="B60" s="43" t="s">
        <v>76</v>
      </c>
      <c r="C60" s="65">
        <f>1-C57</f>
        <v>0.76618083765752398</v>
      </c>
    </row>
    <row r="61" spans="2:5" x14ac:dyDescent="0.3">
      <c r="B61" s="44"/>
      <c r="C61" s="45"/>
    </row>
    <row r="62" spans="2:5" x14ac:dyDescent="0.3">
      <c r="B62" s="40" t="s">
        <v>77</v>
      </c>
      <c r="C62" s="46">
        <f>C59/C60*C57</f>
        <v>1831049.4143184859</v>
      </c>
    </row>
    <row r="63" spans="2:5" x14ac:dyDescent="0.3">
      <c r="C63" s="41"/>
    </row>
    <row r="64" spans="2:5" x14ac:dyDescent="0.3">
      <c r="B64" t="s">
        <v>78</v>
      </c>
      <c r="C64" s="47">
        <f>C62+C59</f>
        <v>7831049.4143184861</v>
      </c>
    </row>
    <row r="65" spans="2:3" x14ac:dyDescent="0.3">
      <c r="B65" t="s">
        <v>79</v>
      </c>
      <c r="C65" s="48">
        <f>C64*C60</f>
        <v>6000000</v>
      </c>
    </row>
    <row r="66" spans="2:3" x14ac:dyDescent="0.3">
      <c r="B66" t="s">
        <v>80</v>
      </c>
      <c r="C66" s="48">
        <f>C64*C57</f>
        <v>1831049.4143184859</v>
      </c>
    </row>
    <row r="68" spans="2:3" x14ac:dyDescent="0.3">
      <c r="B68" s="61" t="s">
        <v>81</v>
      </c>
      <c r="C68" s="62">
        <f>C64/C59</f>
        <v>1.3051749023864143</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AA70D-9BBD-467B-9276-4356E1676819}">
  <sheetPr>
    <tabColor rgb="FF92D050"/>
  </sheetPr>
  <dimension ref="B1:K67"/>
  <sheetViews>
    <sheetView topLeftCell="A30" zoomScaleNormal="85" workbookViewId="0">
      <selection activeCell="C37" sqref="C37:C67"/>
    </sheetView>
  </sheetViews>
  <sheetFormatPr defaultColWidth="8.796875" defaultRowHeight="15.6" x14ac:dyDescent="0.3"/>
  <cols>
    <col min="2" max="2" width="19.796875" bestFit="1" customWidth="1"/>
    <col min="3" max="3" width="27.19921875" bestFit="1" customWidth="1"/>
    <col min="4" max="9" width="12.69921875" bestFit="1" customWidth="1"/>
  </cols>
  <sheetData>
    <row r="1" spans="2:3" ht="16.2" thickBot="1" x14ac:dyDescent="0.35"/>
    <row r="2" spans="2:3" ht="18" x14ac:dyDescent="0.35">
      <c r="B2" s="9" t="str">
        <f>+Admin!C12</f>
        <v>Date</v>
      </c>
      <c r="C2" s="25">
        <f>+Admin!D12</f>
        <v>45294</v>
      </c>
    </row>
    <row r="3" spans="2:3" ht="18" x14ac:dyDescent="0.35">
      <c r="B3" s="10" t="str">
        <f>+Admin!C13</f>
        <v>Student name</v>
      </c>
      <c r="C3" s="11">
        <f>+Admin!D13</f>
        <v>0</v>
      </c>
    </row>
    <row r="4" spans="2:3" ht="18" x14ac:dyDescent="0.35">
      <c r="B4" s="10" t="str">
        <f>+Admin!C14</f>
        <v>Neptun code</v>
      </c>
      <c r="C4" s="11">
        <f>+Admin!D14</f>
        <v>0</v>
      </c>
    </row>
    <row r="5" spans="2:3" ht="18" x14ac:dyDescent="0.35">
      <c r="B5" s="10"/>
      <c r="C5" s="12"/>
    </row>
    <row r="6" spans="2:3" ht="18" x14ac:dyDescent="0.35">
      <c r="B6" s="10" t="str">
        <f>+Admin!C16</f>
        <v>Study program</v>
      </c>
      <c r="C6" s="12" t="str">
        <f>+Admin!D16</f>
        <v>Master in Finance</v>
      </c>
    </row>
    <row r="7" spans="2:3" ht="18.600000000000001" thickBot="1" x14ac:dyDescent="0.4">
      <c r="B7" s="13" t="str">
        <f>+Admin!C17</f>
        <v>Instructor</v>
      </c>
      <c r="C7" s="14" t="str">
        <f>+Admin!D17</f>
        <v>Péter Juhász, PhD, CFA</v>
      </c>
    </row>
    <row r="8" spans="2:3" ht="16.2" thickBot="1" x14ac:dyDescent="0.35"/>
    <row r="9" spans="2:3" ht="21" thickBot="1" x14ac:dyDescent="0.4">
      <c r="B9" s="15" t="s">
        <v>18</v>
      </c>
      <c r="C9" s="16"/>
    </row>
    <row r="24" spans="3:9" x14ac:dyDescent="0.3">
      <c r="C24" s="18"/>
      <c r="D24" s="24">
        <v>2024</v>
      </c>
      <c r="E24" s="19">
        <f>+D24+1</f>
        <v>2025</v>
      </c>
      <c r="F24" s="19">
        <f t="shared" ref="F24:H24" si="0">+E24+1</f>
        <v>2026</v>
      </c>
      <c r="G24" s="19">
        <f t="shared" si="0"/>
        <v>2027</v>
      </c>
      <c r="H24" s="19">
        <f t="shared" si="0"/>
        <v>2028</v>
      </c>
      <c r="I24" s="1" t="s">
        <v>1</v>
      </c>
    </row>
    <row r="25" spans="3:9" x14ac:dyDescent="0.3">
      <c r="C25" s="2" t="s">
        <v>19</v>
      </c>
      <c r="D25" s="18"/>
      <c r="E25" s="18"/>
      <c r="F25" s="18"/>
      <c r="G25" s="3"/>
      <c r="H25" s="3"/>
      <c r="I25" s="3">
        <v>0.06</v>
      </c>
    </row>
    <row r="26" spans="3:9" x14ac:dyDescent="0.3">
      <c r="C26" s="2" t="s">
        <v>6</v>
      </c>
      <c r="D26" s="3">
        <v>0.15</v>
      </c>
      <c r="E26" s="3">
        <v>0.15</v>
      </c>
      <c r="F26" s="3">
        <v>0.15</v>
      </c>
      <c r="G26" s="3">
        <v>0.15</v>
      </c>
      <c r="H26" s="3">
        <v>0.15</v>
      </c>
      <c r="I26" s="3">
        <v>0.15</v>
      </c>
    </row>
    <row r="27" spans="3:9" ht="18" x14ac:dyDescent="0.3">
      <c r="C27" s="2" t="s">
        <v>4</v>
      </c>
      <c r="D27" s="3">
        <v>0.12</v>
      </c>
      <c r="E27" s="3">
        <v>0.12</v>
      </c>
      <c r="F27" s="3">
        <v>0.12</v>
      </c>
      <c r="G27" s="3">
        <v>0.12</v>
      </c>
      <c r="H27" s="3">
        <v>0.12</v>
      </c>
      <c r="I27" s="3">
        <v>0.12</v>
      </c>
    </row>
    <row r="28" spans="3:9" ht="18" x14ac:dyDescent="0.3">
      <c r="C28" s="2" t="s">
        <v>5</v>
      </c>
      <c r="D28" s="3">
        <v>0.06</v>
      </c>
      <c r="E28" s="3">
        <v>0.06</v>
      </c>
      <c r="F28" s="3">
        <v>6.5000000000000002E-2</v>
      </c>
      <c r="G28" s="3">
        <v>7.0000000000000007E-2</v>
      </c>
      <c r="H28" s="3">
        <v>7.2999999999999995E-2</v>
      </c>
      <c r="I28" s="3">
        <v>7.2999999999999995E-2</v>
      </c>
    </row>
    <row r="29" spans="3:9" x14ac:dyDescent="0.3">
      <c r="C29" s="2" t="s">
        <v>21</v>
      </c>
      <c r="D29" s="63">
        <f>+D39/D59</f>
        <v>2.9221703372140927E-2</v>
      </c>
      <c r="E29" s="63">
        <f t="shared" ref="E29:H29" si="1">+E39/E59</f>
        <v>9.0637460697634828E-2</v>
      </c>
      <c r="F29" s="63">
        <f t="shared" si="1"/>
        <v>0.14970656567294316</v>
      </c>
      <c r="G29" s="63">
        <f t="shared" si="1"/>
        <v>0.21077395706760574</v>
      </c>
      <c r="H29" s="63">
        <f t="shared" si="1"/>
        <v>0.24343436667105578</v>
      </c>
      <c r="I29" s="3">
        <v>0.4</v>
      </c>
    </row>
    <row r="30" spans="3:9" x14ac:dyDescent="0.3">
      <c r="C30" s="2" t="s">
        <v>20</v>
      </c>
      <c r="D30" s="3">
        <v>0.05</v>
      </c>
      <c r="E30" s="3">
        <v>0.15</v>
      </c>
      <c r="F30" s="3">
        <v>0.25</v>
      </c>
      <c r="G30" s="3">
        <v>0.35</v>
      </c>
      <c r="H30" s="3">
        <v>0.4</v>
      </c>
      <c r="I30" s="3"/>
    </row>
    <row r="31" spans="3:9" x14ac:dyDescent="0.3">
      <c r="C31" s="2" t="s">
        <v>30</v>
      </c>
      <c r="D31" s="30">
        <v>2000</v>
      </c>
    </row>
    <row r="32" spans="3:9" x14ac:dyDescent="0.3">
      <c r="C32" s="2" t="s">
        <v>3</v>
      </c>
      <c r="D32" s="3"/>
      <c r="E32" s="3">
        <v>0.6</v>
      </c>
      <c r="F32" s="3">
        <v>0.4</v>
      </c>
      <c r="G32" s="3">
        <v>0.3</v>
      </c>
      <c r="H32" s="3">
        <v>0.25</v>
      </c>
      <c r="I32" s="59">
        <f>I25/I33</f>
        <v>0.51894135962636223</v>
      </c>
    </row>
    <row r="33" spans="3:11" x14ac:dyDescent="0.3">
      <c r="C33" s="2" t="s">
        <v>2</v>
      </c>
      <c r="D33" s="3"/>
      <c r="E33" s="3"/>
      <c r="F33" s="3">
        <v>0.15</v>
      </c>
      <c r="G33" s="3">
        <v>0.14000000000000001</v>
      </c>
      <c r="H33" s="3">
        <v>0.13</v>
      </c>
      <c r="I33" s="63">
        <f>I37</f>
        <v>0.11562</v>
      </c>
    </row>
    <row r="34" spans="3:11" x14ac:dyDescent="0.3">
      <c r="C34" s="2" t="s">
        <v>8</v>
      </c>
      <c r="D34" s="3">
        <v>0.13</v>
      </c>
      <c r="E34" s="3">
        <v>0.13</v>
      </c>
      <c r="F34" s="3"/>
      <c r="G34" s="3"/>
      <c r="H34" s="3"/>
      <c r="I34" s="3"/>
    </row>
    <row r="35" spans="3:11" x14ac:dyDescent="0.3">
      <c r="C35" s="2" t="s">
        <v>41</v>
      </c>
      <c r="D35" s="31">
        <v>10000</v>
      </c>
    </row>
    <row r="37" spans="3:11" x14ac:dyDescent="0.3">
      <c r="C37" t="s">
        <v>42</v>
      </c>
      <c r="D37" s="20">
        <f>+D27-D28*D26*D29</f>
        <v>0.11973700466965073</v>
      </c>
      <c r="E37" s="20">
        <f t="shared" ref="E37:H37" si="2">+E27-E28*E26*E29</f>
        <v>0.11918426285372129</v>
      </c>
      <c r="F37" s="20">
        <f>+F27-F28*F26*F29</f>
        <v>0.1185403609846888</v>
      </c>
      <c r="G37" s="20">
        <f t="shared" si="2"/>
        <v>0.11778687345079014</v>
      </c>
      <c r="H37" s="20">
        <f t="shared" si="2"/>
        <v>0.11733439368495194</v>
      </c>
      <c r="I37" s="20">
        <f>+I27-I28*I26*I29</f>
        <v>0.11562</v>
      </c>
      <c r="J37" s="20"/>
      <c r="K37" s="20"/>
    </row>
    <row r="38" spans="3:11" x14ac:dyDescent="0.3">
      <c r="C38" t="s">
        <v>41</v>
      </c>
      <c r="D38" s="28">
        <f>D35</f>
        <v>10000</v>
      </c>
      <c r="E38" s="28">
        <f>+D38+D44</f>
        <v>12000</v>
      </c>
      <c r="F38" s="28">
        <f>+E38+E44</f>
        <v>12936</v>
      </c>
      <c r="G38" s="28">
        <f>+F38+F44</f>
        <v>13784.64</v>
      </c>
      <c r="H38" s="28">
        <f t="shared" ref="H38:I38" si="3">+G38+G44</f>
        <v>14522.9568</v>
      </c>
      <c r="I38" s="28">
        <f t="shared" si="3"/>
        <v>15193.59456</v>
      </c>
      <c r="J38" s="28"/>
      <c r="K38" s="28"/>
    </row>
    <row r="39" spans="3:11" x14ac:dyDescent="0.3">
      <c r="C39" t="s">
        <v>43</v>
      </c>
      <c r="D39">
        <f>+D30*D38</f>
        <v>500</v>
      </c>
      <c r="E39">
        <f t="shared" ref="E39:H39" si="4">+E30*E38</f>
        <v>1800</v>
      </c>
      <c r="F39">
        <f t="shared" si="4"/>
        <v>3234</v>
      </c>
      <c r="G39">
        <f t="shared" si="4"/>
        <v>4824.6239999999998</v>
      </c>
      <c r="H39">
        <f t="shared" si="4"/>
        <v>5809.1827200000007</v>
      </c>
      <c r="I39" s="50">
        <f>+I29*I54</f>
        <v>9860.6140114167101</v>
      </c>
      <c r="J39">
        <f>+I39*(1+I25)</f>
        <v>10452.250852101713</v>
      </c>
    </row>
    <row r="40" spans="3:11" x14ac:dyDescent="0.3">
      <c r="C40" t="s">
        <v>44</v>
      </c>
      <c r="D40" s="28">
        <f>+D38-D39</f>
        <v>9500</v>
      </c>
      <c r="E40" s="28">
        <f t="shared" ref="E40:I40" si="5">+E38-E39</f>
        <v>10200</v>
      </c>
      <c r="F40" s="28">
        <f t="shared" si="5"/>
        <v>9702</v>
      </c>
      <c r="G40" s="28">
        <f>+G38-G39</f>
        <v>8960.0159999999996</v>
      </c>
      <c r="H40" s="28">
        <f t="shared" si="5"/>
        <v>8713.7740799999992</v>
      </c>
      <c r="I40" s="28">
        <f t="shared" si="5"/>
        <v>5332.9805485832894</v>
      </c>
      <c r="J40" s="28"/>
      <c r="K40" s="28"/>
    </row>
    <row r="43" spans="3:11" x14ac:dyDescent="0.3">
      <c r="C43" t="s">
        <v>45</v>
      </c>
      <c r="D43">
        <f>D38*D34</f>
        <v>1300</v>
      </c>
      <c r="E43">
        <f>+E38*E34</f>
        <v>1560</v>
      </c>
      <c r="F43">
        <f>+E43+E44*E32</f>
        <v>2121.6</v>
      </c>
      <c r="G43">
        <f>+F43+F44*F32</f>
        <v>2461.056</v>
      </c>
      <c r="H43">
        <f>+G43+G44*G32</f>
        <v>2682.5510399999998</v>
      </c>
      <c r="I43">
        <f t="shared" ref="I43" si="6">+H43+H44*H32</f>
        <v>2850.2104799999997</v>
      </c>
    </row>
    <row r="44" spans="3:11" x14ac:dyDescent="0.3">
      <c r="C44" t="s">
        <v>30</v>
      </c>
      <c r="D44" s="28">
        <f>+D31</f>
        <v>2000</v>
      </c>
      <c r="E44" s="28">
        <f>+E43*E32</f>
        <v>936</v>
      </c>
      <c r="F44" s="28">
        <f>+F43*F32</f>
        <v>848.64</v>
      </c>
      <c r="G44" s="28">
        <f>+G43*G32</f>
        <v>738.31679999999994</v>
      </c>
      <c r="H44" s="28">
        <f t="shared" ref="H44:I44" si="7">+H43*H32</f>
        <v>670.63775999999996</v>
      </c>
      <c r="I44" s="28">
        <f t="shared" si="7"/>
        <v>1479.0921017125063</v>
      </c>
      <c r="J44" s="28"/>
      <c r="K44" s="28"/>
    </row>
    <row r="45" spans="3:11" x14ac:dyDescent="0.3">
      <c r="C45" t="s">
        <v>46</v>
      </c>
      <c r="D45" s="28">
        <f>+D43-D44</f>
        <v>-700</v>
      </c>
      <c r="E45" s="28">
        <f t="shared" ref="E45:H45" si="8">+E43-E44</f>
        <v>624</v>
      </c>
      <c r="F45" s="28">
        <f t="shared" si="8"/>
        <v>1272.96</v>
      </c>
      <c r="G45" s="28">
        <f t="shared" si="8"/>
        <v>1722.7392</v>
      </c>
      <c r="H45" s="28">
        <f t="shared" si="8"/>
        <v>2011.9132799999998</v>
      </c>
      <c r="I45" s="28">
        <f>+I43-I44</f>
        <v>1371.1183782874934</v>
      </c>
      <c r="J45" s="28"/>
      <c r="K45" s="28"/>
    </row>
    <row r="46" spans="3:11" x14ac:dyDescent="0.3">
      <c r="C46" t="s">
        <v>47</v>
      </c>
      <c r="D46">
        <f>+D39*D28</f>
        <v>30</v>
      </c>
      <c r="E46">
        <f t="shared" ref="E46:I46" si="9">+E39*E28</f>
        <v>108</v>
      </c>
      <c r="F46">
        <f t="shared" si="9"/>
        <v>210.21</v>
      </c>
      <c r="G46">
        <f t="shared" si="9"/>
        <v>337.72368</v>
      </c>
      <c r="H46">
        <f t="shared" si="9"/>
        <v>424.07033856000004</v>
      </c>
      <c r="I46">
        <f t="shared" si="9"/>
        <v>719.82482283341983</v>
      </c>
    </row>
    <row r="47" spans="3:11" x14ac:dyDescent="0.3">
      <c r="C47" t="s">
        <v>48</v>
      </c>
      <c r="D47">
        <f>+D46*D26</f>
        <v>4.5</v>
      </c>
      <c r="E47">
        <f t="shared" ref="E47:I47" si="10">+E46*E26</f>
        <v>16.2</v>
      </c>
      <c r="F47">
        <f t="shared" si="10"/>
        <v>31.531500000000001</v>
      </c>
      <c r="G47">
        <f t="shared" si="10"/>
        <v>50.658552</v>
      </c>
      <c r="H47">
        <f t="shared" si="10"/>
        <v>63.610550784000004</v>
      </c>
      <c r="I47">
        <f t="shared" si="10"/>
        <v>107.97372342501298</v>
      </c>
    </row>
    <row r="48" spans="3:11" x14ac:dyDescent="0.3">
      <c r="C48" t="s">
        <v>49</v>
      </c>
      <c r="D48">
        <f>+E39-D39</f>
        <v>1300</v>
      </c>
      <c r="E48">
        <f t="shared" ref="E48:G48" si="11">+F39-E39</f>
        <v>1434</v>
      </c>
      <c r="F48">
        <f t="shared" si="11"/>
        <v>1590.6239999999998</v>
      </c>
      <c r="G48">
        <f t="shared" si="11"/>
        <v>984.5587200000009</v>
      </c>
      <c r="H48">
        <f>+I39-H39</f>
        <v>4051.4312914167094</v>
      </c>
      <c r="I48">
        <f>+J39-I39</f>
        <v>591.63684068500334</v>
      </c>
    </row>
    <row r="49" spans="3:11" x14ac:dyDescent="0.3">
      <c r="C49" t="s">
        <v>50</v>
      </c>
      <c r="D49" s="28">
        <f>+D45-D46+D47+D48</f>
        <v>574.5</v>
      </c>
      <c r="E49" s="28">
        <f t="shared" ref="E49:H49" si="12">+E45-E46+E47+E48</f>
        <v>1966.2</v>
      </c>
      <c r="F49" s="28">
        <f t="shared" si="12"/>
        <v>2684.9054999999998</v>
      </c>
      <c r="G49" s="28">
        <f t="shared" si="12"/>
        <v>2420.2327920000007</v>
      </c>
      <c r="H49" s="28">
        <f t="shared" si="12"/>
        <v>5702.8847836407094</v>
      </c>
      <c r="I49" s="28">
        <f>+I45-I46+I47+I48</f>
        <v>1350.9041195640898</v>
      </c>
      <c r="J49" s="28"/>
    </row>
    <row r="52" spans="3:11" x14ac:dyDescent="0.3">
      <c r="C52" t="s">
        <v>46</v>
      </c>
      <c r="D52" s="28">
        <f>+D45</f>
        <v>-700</v>
      </c>
      <c r="E52" s="28">
        <f t="shared" ref="E52:I52" si="13">+E45</f>
        <v>624</v>
      </c>
      <c r="F52" s="28">
        <f t="shared" si="13"/>
        <v>1272.96</v>
      </c>
      <c r="G52" s="28">
        <f t="shared" si="13"/>
        <v>1722.7392</v>
      </c>
      <c r="H52" s="28">
        <f t="shared" si="13"/>
        <v>2011.9132799999998</v>
      </c>
      <c r="I52" s="28">
        <f t="shared" si="13"/>
        <v>1371.1183782874934</v>
      </c>
      <c r="J52" s="28"/>
      <c r="K52" s="28"/>
    </row>
    <row r="53" spans="3:11" x14ac:dyDescent="0.3">
      <c r="C53" t="s">
        <v>51</v>
      </c>
      <c r="D53" s="20">
        <f>+D37</f>
        <v>0.11973700466965073</v>
      </c>
      <c r="E53" s="20">
        <f t="shared" ref="E53:I53" si="14">+E37</f>
        <v>0.11918426285372129</v>
      </c>
      <c r="F53" s="20">
        <f t="shared" si="14"/>
        <v>0.1185403609846888</v>
      </c>
      <c r="G53" s="20">
        <f t="shared" si="14"/>
        <v>0.11778687345079014</v>
      </c>
      <c r="H53" s="20">
        <f t="shared" si="14"/>
        <v>0.11733439368495194</v>
      </c>
      <c r="I53" s="20">
        <f t="shared" si="14"/>
        <v>0.11562</v>
      </c>
      <c r="J53" s="20"/>
      <c r="K53" s="20"/>
    </row>
    <row r="54" spans="3:11" x14ac:dyDescent="0.3">
      <c r="C54" s="73" t="s">
        <v>52</v>
      </c>
      <c r="D54" s="72">
        <f t="shared" ref="D54:F54" si="15">+(D52+E54)/(1+D53)</f>
        <v>17110.569963443158</v>
      </c>
      <c r="E54" s="72">
        <f t="shared" si="15"/>
        <v>19859.338359056335</v>
      </c>
      <c r="F54" s="72">
        <f t="shared" si="15"/>
        <v>21602.258962143093</v>
      </c>
      <c r="G54" s="72">
        <f>+(G52+H54)/(1+G53)</f>
        <v>22890.038537600267</v>
      </c>
      <c r="H54" s="72">
        <f>+(H52+I54)/(1+H53)</f>
        <v>23863.445410112297</v>
      </c>
      <c r="I54" s="72">
        <f>+(I52)/(I53-I25)</f>
        <v>24651.535028541773</v>
      </c>
    </row>
    <row r="57" spans="3:11" x14ac:dyDescent="0.3">
      <c r="C57" t="s">
        <v>53</v>
      </c>
      <c r="D57" s="28">
        <f>+D45+D47</f>
        <v>-695.5</v>
      </c>
      <c r="E57" s="28">
        <f t="shared" ref="E57:I57" si="16">+E45+E47</f>
        <v>640.20000000000005</v>
      </c>
      <c r="F57" s="28">
        <f t="shared" si="16"/>
        <v>1304.4915000000001</v>
      </c>
      <c r="G57" s="28">
        <f t="shared" si="16"/>
        <v>1773.3977520000001</v>
      </c>
      <c r="H57" s="28">
        <f t="shared" si="16"/>
        <v>2075.523830784</v>
      </c>
      <c r="I57" s="28">
        <f t="shared" si="16"/>
        <v>1479.0921017125065</v>
      </c>
      <c r="J57" s="28"/>
      <c r="K57" s="28"/>
    </row>
    <row r="58" spans="3:11" x14ac:dyDescent="0.3">
      <c r="C58" t="s">
        <v>26</v>
      </c>
      <c r="D58" s="20">
        <f>+D27</f>
        <v>0.12</v>
      </c>
      <c r="E58" s="20">
        <f t="shared" ref="E58:I58" si="17">+E27</f>
        <v>0.12</v>
      </c>
      <c r="F58" s="20">
        <f t="shared" si="17"/>
        <v>0.12</v>
      </c>
      <c r="G58" s="20">
        <f t="shared" si="17"/>
        <v>0.12</v>
      </c>
      <c r="H58" s="20">
        <f t="shared" si="17"/>
        <v>0.12</v>
      </c>
      <c r="I58" s="20">
        <f t="shared" si="17"/>
        <v>0.12</v>
      </c>
      <c r="J58" s="20"/>
      <c r="K58" s="20"/>
    </row>
    <row r="59" spans="3:11" x14ac:dyDescent="0.3">
      <c r="C59" s="73" t="s">
        <v>52</v>
      </c>
      <c r="D59" s="72">
        <f t="shared" ref="D59:G59" si="18">+(D57+E59)/(1+D58)</f>
        <v>17110.569963443151</v>
      </c>
      <c r="E59" s="72">
        <f t="shared" si="18"/>
        <v>19859.338359056332</v>
      </c>
      <c r="F59" s="72">
        <f>+(F57+G59)/(1+F58)</f>
        <v>21602.258962143093</v>
      </c>
      <c r="G59" s="72">
        <f t="shared" si="18"/>
        <v>22890.038537600267</v>
      </c>
      <c r="H59" s="72">
        <f>+(H57+I59)/(1+H58)</f>
        <v>23863.445410112301</v>
      </c>
      <c r="I59" s="72">
        <f>+(I57)/(I58-I25)</f>
        <v>24651.535028541777</v>
      </c>
    </row>
    <row r="60" spans="3:11" x14ac:dyDescent="0.3">
      <c r="C60" s="49" t="s">
        <v>54</v>
      </c>
      <c r="D60" s="32">
        <f>+D54-D59</f>
        <v>0</v>
      </c>
      <c r="E60" s="32">
        <f t="shared" ref="E60:I60" si="19">+E54-E59</f>
        <v>0</v>
      </c>
      <c r="F60" s="32">
        <f t="shared" si="19"/>
        <v>0</v>
      </c>
      <c r="G60" s="32">
        <f t="shared" si="19"/>
        <v>0</v>
      </c>
      <c r="H60" s="32">
        <f t="shared" si="19"/>
        <v>0</v>
      </c>
      <c r="I60" s="32">
        <f t="shared" si="19"/>
        <v>0</v>
      </c>
      <c r="J60" s="32"/>
    </row>
    <row r="61" spans="3:11" x14ac:dyDescent="0.3">
      <c r="D61" s="66"/>
      <c r="E61" s="66"/>
      <c r="F61" s="66"/>
      <c r="G61" s="66"/>
      <c r="H61" s="66"/>
      <c r="I61" s="66"/>
      <c r="J61" s="66"/>
    </row>
    <row r="62" spans="3:11" x14ac:dyDescent="0.3">
      <c r="C62" t="s">
        <v>50</v>
      </c>
      <c r="D62" s="28">
        <f>+D49</f>
        <v>574.5</v>
      </c>
      <c r="E62" s="28">
        <f t="shared" ref="E62:I62" si="20">+E49</f>
        <v>1966.2</v>
      </c>
      <c r="F62" s="28">
        <f t="shared" si="20"/>
        <v>2684.9054999999998</v>
      </c>
      <c r="G62" s="28">
        <f t="shared" si="20"/>
        <v>2420.2327920000007</v>
      </c>
      <c r="H62" s="28">
        <f t="shared" si="20"/>
        <v>5702.8847836407094</v>
      </c>
      <c r="I62" s="28">
        <f t="shared" si="20"/>
        <v>1350.9041195640898</v>
      </c>
      <c r="J62" s="28"/>
    </row>
    <row r="63" spans="3:11" x14ac:dyDescent="0.3">
      <c r="C63" t="s">
        <v>55</v>
      </c>
      <c r="D63" s="20">
        <f>(D27-D29*D28)/(1-D29)</f>
        <v>0.12180607890433769</v>
      </c>
      <c r="E63" s="20">
        <f t="shared" ref="E63:I63" si="21">(E27-E29*E28)/(1-E29)</f>
        <v>0.12598028553719634</v>
      </c>
      <c r="F63" s="20">
        <f t="shared" si="21"/>
        <v>0.12968355250035343</v>
      </c>
      <c r="G63" s="20">
        <f t="shared" si="21"/>
        <v>0.13335320590058511</v>
      </c>
      <c r="H63" s="20">
        <f t="shared" si="21"/>
        <v>0.13512283234859157</v>
      </c>
      <c r="I63" s="20">
        <f t="shared" si="21"/>
        <v>0.15133333333333332</v>
      </c>
      <c r="J63" s="20"/>
    </row>
    <row r="64" spans="3:11" x14ac:dyDescent="0.3">
      <c r="C64" t="s">
        <v>56</v>
      </c>
      <c r="D64">
        <f>+(D62+E64)/(1+D63)</f>
        <v>16610.569963443162</v>
      </c>
      <c r="E64">
        <f t="shared" ref="E64:G64" si="22">+(E62+F64)/(1+E63)</f>
        <v>18059.338359056339</v>
      </c>
      <c r="F64">
        <f t="shared" si="22"/>
        <v>18368.2589621431</v>
      </c>
      <c r="G64">
        <f t="shared" si="22"/>
        <v>18065.414537600271</v>
      </c>
      <c r="H64">
        <f>+(H62+I64)/(1+H63)</f>
        <v>18054.262690112304</v>
      </c>
      <c r="I64">
        <f>+(I62)/(I63-I25)</f>
        <v>14790.921017125072</v>
      </c>
    </row>
    <row r="65" spans="3:10" x14ac:dyDescent="0.3">
      <c r="C65" t="s">
        <v>57</v>
      </c>
      <c r="D65">
        <f>+D39</f>
        <v>500</v>
      </c>
      <c r="E65">
        <f t="shared" ref="E65:I65" si="23">+E39</f>
        <v>1800</v>
      </c>
      <c r="F65">
        <f t="shared" si="23"/>
        <v>3234</v>
      </c>
      <c r="G65">
        <f t="shared" si="23"/>
        <v>4824.6239999999998</v>
      </c>
      <c r="H65">
        <f t="shared" si="23"/>
        <v>5809.1827200000007</v>
      </c>
      <c r="I65">
        <f t="shared" si="23"/>
        <v>9860.6140114167101</v>
      </c>
    </row>
    <row r="66" spans="3:10" x14ac:dyDescent="0.3">
      <c r="C66" s="73" t="s">
        <v>52</v>
      </c>
      <c r="D66" s="72">
        <f>+D64+D65</f>
        <v>17110.569963443162</v>
      </c>
      <c r="E66" s="72">
        <f t="shared" ref="E66:I66" si="24">+E64+E65</f>
        <v>19859.338359056339</v>
      </c>
      <c r="F66" s="72">
        <f t="shared" si="24"/>
        <v>21602.2589621431</v>
      </c>
      <c r="G66" s="72">
        <f t="shared" si="24"/>
        <v>22890.038537600271</v>
      </c>
      <c r="H66" s="72">
        <f>+H64+H65</f>
        <v>23863.445410112305</v>
      </c>
      <c r="I66" s="72">
        <f t="shared" si="24"/>
        <v>24651.535028541781</v>
      </c>
    </row>
    <row r="67" spans="3:10" x14ac:dyDescent="0.3">
      <c r="C67" s="49" t="s">
        <v>54</v>
      </c>
      <c r="D67" s="32">
        <f>+D59-D66</f>
        <v>0</v>
      </c>
      <c r="E67" s="32">
        <f t="shared" ref="E67:I67" si="25">+E59-E66</f>
        <v>0</v>
      </c>
      <c r="F67" s="32">
        <f t="shared" si="25"/>
        <v>0</v>
      </c>
      <c r="G67" s="32">
        <f t="shared" si="25"/>
        <v>0</v>
      </c>
      <c r="H67" s="32">
        <f t="shared" si="25"/>
        <v>0</v>
      </c>
      <c r="I67" s="32">
        <f t="shared" si="25"/>
        <v>0</v>
      </c>
      <c r="J67" s="32"/>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DD459-795A-487D-9EC3-A697EF27ABB5}">
  <sheetPr>
    <tabColor rgb="FF92D050"/>
  </sheetPr>
  <dimension ref="B1:F34"/>
  <sheetViews>
    <sheetView zoomScaleNormal="70" workbookViewId="0">
      <selection activeCell="L21" sqref="L21"/>
    </sheetView>
  </sheetViews>
  <sheetFormatPr defaultColWidth="8.796875" defaultRowHeight="15.6" x14ac:dyDescent="0.3"/>
  <cols>
    <col min="2" max="2" width="19.796875" bestFit="1" customWidth="1"/>
    <col min="3" max="3" width="27.19921875" bestFit="1" customWidth="1"/>
    <col min="4" max="4" width="12.296875" bestFit="1" customWidth="1"/>
    <col min="5" max="5" width="11.19921875" bestFit="1" customWidth="1"/>
    <col min="6" max="6" width="11.296875" bestFit="1" customWidth="1"/>
    <col min="7" max="7" width="13.69921875" bestFit="1" customWidth="1"/>
    <col min="8" max="8" width="7.796875" bestFit="1" customWidth="1"/>
    <col min="9" max="9" width="7" bestFit="1" customWidth="1"/>
    <col min="12" max="12" width="11.19921875" bestFit="1" customWidth="1"/>
  </cols>
  <sheetData>
    <row r="1" spans="2:3" ht="16.2" thickBot="1" x14ac:dyDescent="0.35"/>
    <row r="2" spans="2:3" ht="18" x14ac:dyDescent="0.35">
      <c r="B2" s="9" t="s">
        <v>13</v>
      </c>
      <c r="C2" s="25">
        <f>+Admin!D12</f>
        <v>45294</v>
      </c>
    </row>
    <row r="3" spans="2:3" ht="18" x14ac:dyDescent="0.35">
      <c r="B3" s="10" t="s">
        <v>16</v>
      </c>
      <c r="C3" s="11">
        <f>+Admin!D13</f>
        <v>0</v>
      </c>
    </row>
    <row r="4" spans="2:3" ht="18" x14ac:dyDescent="0.35">
      <c r="B4" s="10" t="s">
        <v>15</v>
      </c>
      <c r="C4" s="11">
        <f>+Admin!D14</f>
        <v>0</v>
      </c>
    </row>
    <row r="5" spans="2:3" ht="18" x14ac:dyDescent="0.35">
      <c r="B5" s="10"/>
      <c r="C5" s="12"/>
    </row>
    <row r="6" spans="2:3" ht="18" x14ac:dyDescent="0.35">
      <c r="B6" s="10" t="s">
        <v>17</v>
      </c>
      <c r="C6" s="12" t="str">
        <f>+Admin!D16</f>
        <v>Master in Finance</v>
      </c>
    </row>
    <row r="7" spans="2:3" ht="18.600000000000001" thickBot="1" x14ac:dyDescent="0.4">
      <c r="B7" s="13" t="s">
        <v>11</v>
      </c>
      <c r="C7" s="14" t="str">
        <f>+Admin!D17</f>
        <v>Péter Juhász, PhD, CFA</v>
      </c>
    </row>
    <row r="8" spans="2:3" ht="16.2" thickBot="1" x14ac:dyDescent="0.35"/>
    <row r="9" spans="2:3" ht="21" thickBot="1" x14ac:dyDescent="0.4">
      <c r="B9" s="15" t="s">
        <v>18</v>
      </c>
      <c r="C9" s="16"/>
    </row>
    <row r="20" spans="3:6" x14ac:dyDescent="0.3">
      <c r="D20" t="s">
        <v>28</v>
      </c>
    </row>
    <row r="21" spans="3:6" x14ac:dyDescent="0.3">
      <c r="C21" t="s">
        <v>37</v>
      </c>
      <c r="D21" s="28">
        <v>200</v>
      </c>
    </row>
    <row r="22" spans="3:6" x14ac:dyDescent="0.3">
      <c r="C22" t="s">
        <v>38</v>
      </c>
      <c r="D22" s="28">
        <v>0</v>
      </c>
      <c r="F22" s="77" t="s">
        <v>124</v>
      </c>
    </row>
    <row r="23" spans="3:6" x14ac:dyDescent="0.3">
      <c r="D23" s="28"/>
    </row>
    <row r="24" spans="3:6" x14ac:dyDescent="0.3">
      <c r="C24" t="s">
        <v>39</v>
      </c>
      <c r="D24" s="28">
        <v>200</v>
      </c>
    </row>
    <row r="25" spans="3:6" x14ac:dyDescent="0.3">
      <c r="D25" s="28"/>
    </row>
    <row r="26" spans="3:6" x14ac:dyDescent="0.3">
      <c r="D26" s="28" t="s">
        <v>40</v>
      </c>
    </row>
    <row r="27" spans="3:6" x14ac:dyDescent="0.3">
      <c r="C27" t="s">
        <v>39</v>
      </c>
      <c r="D27" s="28">
        <v>300</v>
      </c>
    </row>
    <row r="28" spans="3:6" x14ac:dyDescent="0.3">
      <c r="D28" s="28"/>
    </row>
    <row r="29" spans="3:6" x14ac:dyDescent="0.3">
      <c r="D29" s="28" t="s">
        <v>33</v>
      </c>
    </row>
    <row r="30" spans="3:6" x14ac:dyDescent="0.3">
      <c r="C30" t="s">
        <v>35</v>
      </c>
      <c r="D30" s="28">
        <v>500</v>
      </c>
    </row>
    <row r="31" spans="3:6" x14ac:dyDescent="0.3">
      <c r="C31" t="s">
        <v>34</v>
      </c>
      <c r="D31" s="28">
        <v>4</v>
      </c>
    </row>
    <row r="32" spans="3:6" x14ac:dyDescent="0.3">
      <c r="C32" t="s">
        <v>36</v>
      </c>
      <c r="D32" s="28">
        <v>1500</v>
      </c>
    </row>
    <row r="34" spans="4:4" x14ac:dyDescent="0.3">
      <c r="D34" s="28"/>
    </row>
  </sheetData>
  <phoneticPr fontId="7"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3878A-E9EB-4361-B3F6-4458B2433C9F}">
  <sheetPr>
    <tabColor rgb="FF92D050"/>
  </sheetPr>
  <dimension ref="B4:P56"/>
  <sheetViews>
    <sheetView tabSelected="1" zoomScale="90" zoomScaleNormal="90" workbookViewId="0">
      <selection activeCell="B11" sqref="B11"/>
    </sheetView>
  </sheetViews>
  <sheetFormatPr defaultColWidth="8.796875" defaultRowHeight="15.6" x14ac:dyDescent="0.3"/>
  <cols>
    <col min="2" max="2" width="19.296875" customWidth="1"/>
    <col min="3" max="3" width="22.5" bestFit="1" customWidth="1"/>
    <col min="6" max="6" width="18.69921875" customWidth="1"/>
    <col min="7" max="7" width="12.19921875" bestFit="1" customWidth="1"/>
    <col min="10" max="10" width="11.796875" customWidth="1"/>
    <col min="11" max="11" width="65.296875" bestFit="1" customWidth="1"/>
    <col min="15" max="15" width="31.69921875" customWidth="1"/>
    <col min="16" max="16" width="19.69921875" customWidth="1"/>
    <col min="17" max="17" width="28.69921875" customWidth="1"/>
    <col min="18" max="18" width="13.19921875" bestFit="1" customWidth="1"/>
    <col min="19" max="19" width="5.19921875" bestFit="1" customWidth="1"/>
    <col min="20" max="20" width="4.69921875" bestFit="1" customWidth="1"/>
    <col min="21" max="21" width="33.796875" bestFit="1" customWidth="1"/>
    <col min="22" max="22" width="12.69921875" bestFit="1" customWidth="1"/>
    <col min="23" max="23" width="6.19921875" customWidth="1"/>
    <col min="26" max="26" width="33.796875" bestFit="1" customWidth="1"/>
    <col min="27" max="27" width="13.19921875" bestFit="1" customWidth="1"/>
    <col min="28" max="28" width="52" bestFit="1" customWidth="1"/>
  </cols>
  <sheetData>
    <row r="4" spans="2:16" x14ac:dyDescent="0.3">
      <c r="O4" s="51" t="s">
        <v>83</v>
      </c>
    </row>
    <row r="5" spans="2:16" x14ac:dyDescent="0.3">
      <c r="B5" t="s">
        <v>84</v>
      </c>
      <c r="C5" s="33">
        <v>0.2</v>
      </c>
    </row>
    <row r="7" spans="2:16" x14ac:dyDescent="0.3">
      <c r="O7" s="51"/>
    </row>
    <row r="9" spans="2:16" x14ac:dyDescent="0.3">
      <c r="B9" t="s">
        <v>85</v>
      </c>
      <c r="C9" s="33">
        <v>0.09</v>
      </c>
    </row>
    <row r="12" spans="2:16" ht="16.2" customHeight="1" x14ac:dyDescent="0.3">
      <c r="P12" t="s">
        <v>28</v>
      </c>
    </row>
    <row r="13" spans="2:16" x14ac:dyDescent="0.3">
      <c r="O13" t="s">
        <v>37</v>
      </c>
      <c r="P13" s="28">
        <v>200</v>
      </c>
    </row>
    <row r="14" spans="2:16" x14ac:dyDescent="0.3">
      <c r="O14" t="s">
        <v>38</v>
      </c>
      <c r="P14" s="28">
        <v>0</v>
      </c>
    </row>
    <row r="15" spans="2:16" x14ac:dyDescent="0.3">
      <c r="P15" s="28"/>
    </row>
    <row r="16" spans="2:16" x14ac:dyDescent="0.3">
      <c r="O16" t="s">
        <v>39</v>
      </c>
      <c r="P16" s="28">
        <v>200</v>
      </c>
    </row>
    <row r="17" spans="2:16" x14ac:dyDescent="0.3">
      <c r="P17" s="28"/>
    </row>
    <row r="18" spans="2:16" x14ac:dyDescent="0.3">
      <c r="P18" s="28" t="s">
        <v>40</v>
      </c>
    </row>
    <row r="19" spans="2:16" x14ac:dyDescent="0.3">
      <c r="O19" t="s">
        <v>39</v>
      </c>
      <c r="P19" s="28">
        <v>300</v>
      </c>
    </row>
    <row r="20" spans="2:16" x14ac:dyDescent="0.3">
      <c r="F20" s="53" t="s">
        <v>86</v>
      </c>
      <c r="G20" s="53">
        <f>L24/(1+C36)^5</f>
        <v>1096.5481032294251</v>
      </c>
      <c r="P20" s="28"/>
    </row>
    <row r="21" spans="2:16" x14ac:dyDescent="0.3">
      <c r="C21" t="s">
        <v>28</v>
      </c>
      <c r="G21" t="s">
        <v>118</v>
      </c>
      <c r="L21" t="s">
        <v>117</v>
      </c>
      <c r="P21" s="28" t="s">
        <v>33</v>
      </c>
    </row>
    <row r="22" spans="2:16" x14ac:dyDescent="0.3">
      <c r="B22" s="52" t="s">
        <v>87</v>
      </c>
      <c r="C22" s="52">
        <v>200</v>
      </c>
      <c r="F22" s="52" t="s">
        <v>88</v>
      </c>
      <c r="G22" s="52">
        <v>300</v>
      </c>
      <c r="K22" s="52" t="s">
        <v>89</v>
      </c>
      <c r="L22" s="52">
        <f>1500*4</f>
        <v>6000</v>
      </c>
      <c r="O22" t="s">
        <v>35</v>
      </c>
      <c r="P22" s="28">
        <v>500</v>
      </c>
    </row>
    <row r="23" spans="2:16" x14ac:dyDescent="0.3">
      <c r="B23" t="s">
        <v>90</v>
      </c>
      <c r="C23">
        <f>C26-C24</f>
        <v>102.69901442183351</v>
      </c>
      <c r="F23" s="54" t="s">
        <v>90</v>
      </c>
      <c r="G23" s="54">
        <f>+G20-G22</f>
        <v>796.54810322942512</v>
      </c>
      <c r="K23" t="s">
        <v>65</v>
      </c>
      <c r="L23">
        <v>500</v>
      </c>
      <c r="O23" t="s">
        <v>34</v>
      </c>
      <c r="P23" s="28">
        <v>4</v>
      </c>
    </row>
    <row r="24" spans="2:16" x14ac:dyDescent="0.3">
      <c r="B24" s="52" t="s">
        <v>91</v>
      </c>
      <c r="C24" s="52">
        <v>200</v>
      </c>
      <c r="F24" s="52" t="s">
        <v>92</v>
      </c>
      <c r="G24" s="52">
        <v>0</v>
      </c>
      <c r="K24" s="53" t="s">
        <v>66</v>
      </c>
      <c r="L24" s="53">
        <f>L22-L23</f>
        <v>5500</v>
      </c>
      <c r="O24" t="s">
        <v>36</v>
      </c>
      <c r="P24" s="28">
        <v>1500</v>
      </c>
    </row>
    <row r="25" spans="2:16" x14ac:dyDescent="0.3">
      <c r="B25" t="s">
        <v>93</v>
      </c>
      <c r="C25">
        <f>C22+C24</f>
        <v>400</v>
      </c>
      <c r="F25" s="55" t="s">
        <v>119</v>
      </c>
      <c r="G25" s="56">
        <f>+G22/G20</f>
        <v>0.27358580906434943</v>
      </c>
      <c r="H25" t="s">
        <v>94</v>
      </c>
      <c r="K25" s="50" t="s">
        <v>122</v>
      </c>
      <c r="L25" s="74">
        <f>+L26+L27</f>
        <v>0.58836515962968461</v>
      </c>
    </row>
    <row r="26" spans="2:16" x14ac:dyDescent="0.3">
      <c r="B26" s="52" t="s">
        <v>95</v>
      </c>
      <c r="C26">
        <f>+G23/(1+C36)^3</f>
        <v>302.69901442183351</v>
      </c>
      <c r="E26" s="57">
        <v>0.25</v>
      </c>
      <c r="F26" t="s">
        <v>96</v>
      </c>
      <c r="G26">
        <f>1-G25</f>
        <v>0.72641419093565052</v>
      </c>
      <c r="K26" s="55" t="s">
        <v>119</v>
      </c>
      <c r="L26" s="75">
        <f>G25</f>
        <v>0.27358580906434943</v>
      </c>
    </row>
    <row r="27" spans="2:16" x14ac:dyDescent="0.3">
      <c r="F27" s="55" t="s">
        <v>120</v>
      </c>
      <c r="G27" s="56">
        <f>G26*C28</f>
        <v>0.31477935056533524</v>
      </c>
      <c r="H27" t="s">
        <v>97</v>
      </c>
      <c r="K27" s="55" t="s">
        <v>120</v>
      </c>
      <c r="L27" s="75">
        <f>G27</f>
        <v>0.31477935056533524</v>
      </c>
    </row>
    <row r="28" spans="2:16" x14ac:dyDescent="0.3">
      <c r="B28" t="s">
        <v>98</v>
      </c>
      <c r="C28" s="20">
        <v>0.43333315138005063</v>
      </c>
      <c r="F28" s="55" t="s">
        <v>99</v>
      </c>
      <c r="G28" s="58">
        <f>C31*G26</f>
        <v>0.41163484037031522</v>
      </c>
      <c r="H28" t="s">
        <v>100</v>
      </c>
      <c r="K28" s="55" t="s">
        <v>99</v>
      </c>
      <c r="L28" s="75">
        <f>G28</f>
        <v>0.41163484037031522</v>
      </c>
    </row>
    <row r="29" spans="2:16" x14ac:dyDescent="0.3">
      <c r="B29" s="52" t="s">
        <v>101</v>
      </c>
      <c r="C29" s="34">
        <v>0.43333215138005066</v>
      </c>
    </row>
    <row r="30" spans="2:16" x14ac:dyDescent="0.3">
      <c r="B30" t="s">
        <v>102</v>
      </c>
      <c r="C30" s="33">
        <f>C29-C28</f>
        <v>-9.9999999997324451E-7</v>
      </c>
      <c r="E30" s="57">
        <v>0.75</v>
      </c>
      <c r="F30" s="52" t="s">
        <v>103</v>
      </c>
      <c r="G30" s="57">
        <v>0</v>
      </c>
      <c r="K30" t="s">
        <v>121</v>
      </c>
      <c r="L30">
        <f>G31*(1+C9)^5</f>
        <v>615.44958196000016</v>
      </c>
    </row>
    <row r="31" spans="2:16" x14ac:dyDescent="0.3">
      <c r="B31" s="55" t="s">
        <v>99</v>
      </c>
      <c r="C31" s="58">
        <f>1-C28</f>
        <v>0.56666684861994931</v>
      </c>
      <c r="F31" t="s">
        <v>104</v>
      </c>
      <c r="G31" s="28">
        <f>+P16+P13</f>
        <v>400</v>
      </c>
      <c r="K31" t="s">
        <v>105</v>
      </c>
      <c r="L31">
        <f>G32*(1+C9)^5</f>
        <v>266.69470686626164</v>
      </c>
    </row>
    <row r="32" spans="2:16" x14ac:dyDescent="0.3">
      <c r="B32" t="s">
        <v>106</v>
      </c>
      <c r="C32">
        <v>8</v>
      </c>
      <c r="D32" t="s">
        <v>107</v>
      </c>
      <c r="F32" t="s">
        <v>108</v>
      </c>
      <c r="G32">
        <f>+C28*G31</f>
        <v>173.33326055202025</v>
      </c>
    </row>
    <row r="33" spans="2:12" x14ac:dyDescent="0.3">
      <c r="B33" t="s">
        <v>109</v>
      </c>
      <c r="C33" s="33">
        <v>0.75</v>
      </c>
      <c r="F33" t="s">
        <v>110</v>
      </c>
      <c r="G33" s="28">
        <f>G31-G32</f>
        <v>226.66673944797975</v>
      </c>
      <c r="K33" t="s">
        <v>111</v>
      </c>
      <c r="L33">
        <f>+L24*L28</f>
        <v>2263.9916220367336</v>
      </c>
    </row>
    <row r="34" spans="2:12" x14ac:dyDescent="0.3">
      <c r="B34" t="s">
        <v>112</v>
      </c>
      <c r="C34">
        <f>+(L31/C24)^(1/8)-1</f>
        <v>3.6628274102104008E-2</v>
      </c>
      <c r="F34" t="s">
        <v>113</v>
      </c>
      <c r="G34">
        <f>(G33/C23)^(1/3)-1</f>
        <v>0.30198857674477297</v>
      </c>
      <c r="K34" t="s">
        <v>114</v>
      </c>
      <c r="L34">
        <f>(L33/C23)^(1/8)-1</f>
        <v>0.47201951445764112</v>
      </c>
    </row>
    <row r="35" spans="2:12" x14ac:dyDescent="0.3">
      <c r="B35" t="s">
        <v>115</v>
      </c>
      <c r="C35" s="33">
        <v>0.25</v>
      </c>
    </row>
    <row r="36" spans="2:12" x14ac:dyDescent="0.3">
      <c r="B36" s="50" t="s">
        <v>116</v>
      </c>
      <c r="C36" s="59">
        <f>(((1+C5)^C32-C33*(1+C34)^C32)/C35)^(1/C32)-1</f>
        <v>0.38059723827658876</v>
      </c>
    </row>
    <row r="40" spans="2:12" x14ac:dyDescent="0.3">
      <c r="F40" s="53" t="s">
        <v>86</v>
      </c>
      <c r="G40" s="53">
        <f>L44/(1+C56)^5</f>
        <v>1226.5742610221109</v>
      </c>
    </row>
    <row r="41" spans="2:12" x14ac:dyDescent="0.3">
      <c r="C41" t="s">
        <v>28</v>
      </c>
      <c r="G41" t="s">
        <v>118</v>
      </c>
      <c r="L41" t="s">
        <v>117</v>
      </c>
    </row>
    <row r="42" spans="2:12" x14ac:dyDescent="0.3">
      <c r="B42" s="52" t="s">
        <v>87</v>
      </c>
      <c r="C42" s="52">
        <v>200</v>
      </c>
      <c r="F42" s="52" t="s">
        <v>88</v>
      </c>
      <c r="G42" s="52">
        <v>300</v>
      </c>
      <c r="K42" s="52" t="s">
        <v>89</v>
      </c>
      <c r="L42" s="52">
        <f>1500*4</f>
        <v>6000</v>
      </c>
    </row>
    <row r="43" spans="2:12" x14ac:dyDescent="0.3">
      <c r="B43" t="s">
        <v>90</v>
      </c>
      <c r="C43">
        <f>C46-C44</f>
        <v>176.5987953145804</v>
      </c>
      <c r="F43" s="54" t="s">
        <v>90</v>
      </c>
      <c r="G43" s="54">
        <f>+G40-G42</f>
        <v>926.57426102211093</v>
      </c>
      <c r="K43" t="s">
        <v>65</v>
      </c>
      <c r="L43">
        <v>500</v>
      </c>
    </row>
    <row r="44" spans="2:12" x14ac:dyDescent="0.3">
      <c r="B44" s="52" t="s">
        <v>91</v>
      </c>
      <c r="C44" s="52">
        <v>200</v>
      </c>
      <c r="F44" s="52" t="s">
        <v>92</v>
      </c>
      <c r="G44" s="52">
        <v>0</v>
      </c>
      <c r="K44" s="53" t="s">
        <v>66</v>
      </c>
      <c r="L44" s="53">
        <f>L42-L43</f>
        <v>5500</v>
      </c>
    </row>
    <row r="45" spans="2:12" x14ac:dyDescent="0.3">
      <c r="B45" t="s">
        <v>93</v>
      </c>
      <c r="C45">
        <f>C42+C44</f>
        <v>400</v>
      </c>
      <c r="F45" s="55" t="s">
        <v>119</v>
      </c>
      <c r="G45" s="56">
        <f>+G42/G40</f>
        <v>0.24458364204545463</v>
      </c>
      <c r="H45" t="s">
        <v>94</v>
      </c>
      <c r="K45" s="50" t="s">
        <v>123</v>
      </c>
      <c r="L45" s="74">
        <f>+L46+L47</f>
        <v>0.64576271632686955</v>
      </c>
    </row>
    <row r="46" spans="2:12" x14ac:dyDescent="0.3">
      <c r="B46" s="52" t="s">
        <v>95</v>
      </c>
      <c r="C46">
        <f>+G43/(1+C56)^3</f>
        <v>376.5987953145804</v>
      </c>
      <c r="E46" s="57">
        <v>0.25</v>
      </c>
      <c r="F46" t="s">
        <v>96</v>
      </c>
      <c r="G46">
        <f>1-G45</f>
        <v>0.75541635795454543</v>
      </c>
      <c r="K46" s="55" t="s">
        <v>119</v>
      </c>
      <c r="L46" s="75">
        <f>G45</f>
        <v>0.24458364204545463</v>
      </c>
    </row>
    <row r="47" spans="2:12" x14ac:dyDescent="0.3">
      <c r="F47" s="55" t="s">
        <v>120</v>
      </c>
      <c r="G47" s="56">
        <f>G46*C48</f>
        <v>0.40117907428141497</v>
      </c>
      <c r="H47" t="s">
        <v>97</v>
      </c>
      <c r="K47" s="55" t="s">
        <v>120</v>
      </c>
      <c r="L47" s="75">
        <f>G47</f>
        <v>0.40117907428141497</v>
      </c>
    </row>
    <row r="48" spans="2:12" x14ac:dyDescent="0.3">
      <c r="B48" t="s">
        <v>98</v>
      </c>
      <c r="C48" s="20">
        <v>0.53107014437401756</v>
      </c>
      <c r="F48" s="55" t="s">
        <v>99</v>
      </c>
      <c r="G48" s="58">
        <f>C51*G46</f>
        <v>0.35423728367313045</v>
      </c>
      <c r="H48" t="s">
        <v>100</v>
      </c>
      <c r="K48" s="55" t="s">
        <v>99</v>
      </c>
      <c r="L48" s="75">
        <f>G48</f>
        <v>0.35423728367313045</v>
      </c>
    </row>
    <row r="49" spans="2:12" x14ac:dyDescent="0.3">
      <c r="B49" s="52" t="s">
        <v>101</v>
      </c>
      <c r="C49" s="34">
        <f>C44/C46</f>
        <v>0.53106914437401764</v>
      </c>
    </row>
    <row r="50" spans="2:12" x14ac:dyDescent="0.3">
      <c r="B50" t="s">
        <v>102</v>
      </c>
      <c r="C50" s="33">
        <f>C49-C48</f>
        <v>-9.9999999991773336E-7</v>
      </c>
      <c r="E50" s="57">
        <v>0.75</v>
      </c>
      <c r="F50" s="52" t="s">
        <v>103</v>
      </c>
      <c r="G50" s="57">
        <v>0</v>
      </c>
      <c r="K50" t="s">
        <v>121</v>
      </c>
      <c r="L50">
        <f>G51*(1+C9)^5</f>
        <v>1077.0367684300004</v>
      </c>
    </row>
    <row r="51" spans="2:12" x14ac:dyDescent="0.3">
      <c r="B51" s="55" t="s">
        <v>99</v>
      </c>
      <c r="C51" s="58">
        <f>1-C48</f>
        <v>0.46892985562598244</v>
      </c>
      <c r="F51" t="s">
        <v>104</v>
      </c>
      <c r="G51" s="28">
        <f>+P19+P16+P13</f>
        <v>700</v>
      </c>
      <c r="K51" t="s">
        <v>105</v>
      </c>
      <c r="L51">
        <f>G52*(1+C9)^5</f>
        <v>571.9820721062456</v>
      </c>
    </row>
    <row r="52" spans="2:12" x14ac:dyDescent="0.3">
      <c r="B52" t="s">
        <v>106</v>
      </c>
      <c r="C52">
        <v>8</v>
      </c>
      <c r="D52" t="s">
        <v>107</v>
      </c>
      <c r="F52" t="s">
        <v>108</v>
      </c>
      <c r="G52">
        <f>+C48*G51</f>
        <v>371.74910106181227</v>
      </c>
    </row>
    <row r="53" spans="2:12" x14ac:dyDescent="0.3">
      <c r="B53" t="s">
        <v>109</v>
      </c>
      <c r="C53" s="33">
        <v>0.75</v>
      </c>
      <c r="F53" t="s">
        <v>110</v>
      </c>
      <c r="G53" s="28">
        <f>G51-G52</f>
        <v>328.25089893818773</v>
      </c>
      <c r="K53" t="s">
        <v>111</v>
      </c>
      <c r="L53">
        <f>+L44*L48</f>
        <v>1948.3050602022174</v>
      </c>
    </row>
    <row r="54" spans="2:12" x14ac:dyDescent="0.3">
      <c r="B54" t="s">
        <v>112</v>
      </c>
      <c r="C54">
        <f>+(L51/C44)^(1/7)-1</f>
        <v>0.16196541820951338</v>
      </c>
      <c r="F54" t="s">
        <v>113</v>
      </c>
      <c r="G54">
        <f>(G53/C43)^(1/3)-1</f>
        <v>0.22953075310431692</v>
      </c>
      <c r="K54" t="s">
        <v>114</v>
      </c>
      <c r="L54">
        <f>(L53/C43)^(1/8)-1</f>
        <v>0.34999964013850793</v>
      </c>
    </row>
    <row r="55" spans="2:12" x14ac:dyDescent="0.3">
      <c r="B55" t="s">
        <v>115</v>
      </c>
      <c r="C55" s="33">
        <v>0.25</v>
      </c>
    </row>
    <row r="56" spans="2:12" x14ac:dyDescent="0.3">
      <c r="B56" s="50" t="s">
        <v>116</v>
      </c>
      <c r="C56" s="76">
        <v>0.35</v>
      </c>
    </row>
  </sheetData>
  <pageMargins left="0.7" right="0.7" top="0.75" bottom="0.75" header="0.3" footer="0.3"/>
  <drawing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0EA27-AFD2-4B9D-BC68-7FC8BA9C8528}">
  <sheetPr>
    <tabColor rgb="FF92D050"/>
  </sheetPr>
  <dimension ref="B1:L22"/>
  <sheetViews>
    <sheetView zoomScale="116" zoomScaleNormal="70" workbookViewId="0">
      <selection activeCell="H31" sqref="H31"/>
    </sheetView>
  </sheetViews>
  <sheetFormatPr defaultColWidth="8.796875" defaultRowHeight="15.6" x14ac:dyDescent="0.3"/>
  <cols>
    <col min="2" max="2" width="19.796875" bestFit="1" customWidth="1"/>
    <col min="3" max="3" width="37.19921875" bestFit="1" customWidth="1"/>
  </cols>
  <sheetData>
    <row r="1" spans="2:3" ht="16.2" thickBot="1" x14ac:dyDescent="0.35"/>
    <row r="2" spans="2:3" ht="18" x14ac:dyDescent="0.35">
      <c r="B2" s="9" t="str">
        <f>+[2]Admin!C12</f>
        <v>Date</v>
      </c>
      <c r="C2" s="25">
        <f>+Admin!D12</f>
        <v>45294</v>
      </c>
    </row>
    <row r="3" spans="2:3" ht="18" x14ac:dyDescent="0.35">
      <c r="B3" s="10" t="str">
        <f>+[2]Admin!C13</f>
        <v>Student name</v>
      </c>
      <c r="C3" s="11">
        <f>+Admin!D13</f>
        <v>0</v>
      </c>
    </row>
    <row r="4" spans="2:3" ht="18" x14ac:dyDescent="0.35">
      <c r="B4" s="10" t="str">
        <f>+[2]Admin!C14</f>
        <v>Neptun code</v>
      </c>
      <c r="C4" s="11">
        <f>+Admin!D14</f>
        <v>0</v>
      </c>
    </row>
    <row r="5" spans="2:3" ht="18" x14ac:dyDescent="0.35">
      <c r="B5" s="10"/>
      <c r="C5" s="12"/>
    </row>
    <row r="6" spans="2:3" ht="18" x14ac:dyDescent="0.35">
      <c r="B6" s="10" t="str">
        <f>+[2]Admin!C16</f>
        <v>Study program</v>
      </c>
      <c r="C6" s="12" t="str">
        <f>+Admin!D16</f>
        <v>Master in Finance</v>
      </c>
    </row>
    <row r="7" spans="2:3" ht="18.600000000000001" thickBot="1" x14ac:dyDescent="0.4">
      <c r="B7" s="13" t="str">
        <f>+[2]Admin!C17</f>
        <v>Instructor</v>
      </c>
      <c r="C7" s="14" t="str">
        <f>+Admin!D17</f>
        <v>Péter Juhász, PhD, CFA</v>
      </c>
    </row>
    <row r="8" spans="2:3" ht="16.2" thickBot="1" x14ac:dyDescent="0.35"/>
    <row r="9" spans="2:3" ht="21" thickBot="1" x14ac:dyDescent="0.4">
      <c r="B9" s="15" t="s">
        <v>18</v>
      </c>
      <c r="C9" s="16"/>
    </row>
    <row r="19" spans="10:12" x14ac:dyDescent="0.3">
      <c r="J19" t="s">
        <v>125</v>
      </c>
      <c r="K19">
        <v>1200</v>
      </c>
      <c r="L19">
        <v>1400</v>
      </c>
    </row>
    <row r="20" spans="10:12" x14ac:dyDescent="0.3">
      <c r="J20" t="s">
        <v>126</v>
      </c>
      <c r="K20">
        <v>900</v>
      </c>
      <c r="L20">
        <v>1100</v>
      </c>
    </row>
    <row r="21" spans="10:12" x14ac:dyDescent="0.3">
      <c r="J21" t="s">
        <v>127</v>
      </c>
      <c r="K21">
        <v>1000</v>
      </c>
      <c r="L21">
        <v>1200</v>
      </c>
    </row>
    <row r="22" spans="10:12" x14ac:dyDescent="0.3">
      <c r="J22" t="s">
        <v>128</v>
      </c>
      <c r="K22">
        <v>600</v>
      </c>
      <c r="L22">
        <v>800</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BF7B94-CD1F-4364-9903-53CFB2227E96}">
  <sheetPr codeName="Munka1">
    <tabColor rgb="FFFFC000"/>
  </sheetPr>
  <dimension ref="B1:K21"/>
  <sheetViews>
    <sheetView topLeftCell="C1" zoomScale="112" zoomScaleNormal="70" workbookViewId="0">
      <selection activeCell="A10" sqref="A10:L36"/>
    </sheetView>
  </sheetViews>
  <sheetFormatPr defaultColWidth="8.796875" defaultRowHeight="15.6" x14ac:dyDescent="0.3"/>
  <cols>
    <col min="2" max="2" width="19.796875" bestFit="1" customWidth="1"/>
    <col min="3" max="3" width="37.19921875" bestFit="1" customWidth="1"/>
  </cols>
  <sheetData>
    <row r="1" spans="2:3" ht="16.2" thickBot="1" x14ac:dyDescent="0.35"/>
    <row r="2" spans="2:3" ht="18" x14ac:dyDescent="0.35">
      <c r="B2" s="9" t="str">
        <f>+Admin!C12</f>
        <v>Date</v>
      </c>
      <c r="C2" s="25">
        <f>+Admin!D12</f>
        <v>45294</v>
      </c>
    </row>
    <row r="3" spans="2:3" ht="18" x14ac:dyDescent="0.35">
      <c r="B3" s="10" t="str">
        <f>+Admin!C13</f>
        <v>Student name</v>
      </c>
      <c r="C3" s="11">
        <f>+Admin!D13</f>
        <v>0</v>
      </c>
    </row>
    <row r="4" spans="2:3" ht="18" x14ac:dyDescent="0.35">
      <c r="B4" s="10" t="str">
        <f>+Admin!C14</f>
        <v>Neptun code</v>
      </c>
      <c r="C4" s="11">
        <f>+Admin!D14</f>
        <v>0</v>
      </c>
    </row>
    <row r="5" spans="2:3" ht="18" x14ac:dyDescent="0.35">
      <c r="B5" s="10"/>
      <c r="C5" s="12"/>
    </row>
    <row r="6" spans="2:3" ht="18" x14ac:dyDescent="0.35">
      <c r="B6" s="10" t="str">
        <f>+Admin!C16</f>
        <v>Study program</v>
      </c>
      <c r="C6" s="12" t="str">
        <f>+Admin!D16</f>
        <v>Master in Finance</v>
      </c>
    </row>
    <row r="7" spans="2:3" ht="18.600000000000001" thickBot="1" x14ac:dyDescent="0.4">
      <c r="B7" s="13" t="str">
        <f>+Admin!C17</f>
        <v>Instructor</v>
      </c>
      <c r="C7" s="14" t="str">
        <f>+Admin!D17</f>
        <v>Péter Juhász, PhD, CFA</v>
      </c>
    </row>
    <row r="8" spans="2:3" ht="16.2" thickBot="1" x14ac:dyDescent="0.35"/>
    <row r="9" spans="2:3" ht="21" thickBot="1" x14ac:dyDescent="0.4">
      <c r="B9" s="15" t="s">
        <v>18</v>
      </c>
      <c r="C9" s="16"/>
    </row>
    <row r="21" spans="11:11" ht="21" x14ac:dyDescent="0.4">
      <c r="K21" s="22"/>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OpeningPage</vt:lpstr>
      <vt:lpstr>Admin</vt:lpstr>
      <vt:lpstr>M&amp;A</vt:lpstr>
      <vt:lpstr>DCF</vt:lpstr>
      <vt:lpstr>PE</vt:lpstr>
      <vt:lpstr>PE Sol</vt:lpstr>
      <vt:lpstr>Theory</vt:lpstr>
      <vt:lpstr>Theory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Peter</dc:creator>
  <cp:lastModifiedBy>Borja Figueroa Franco</cp:lastModifiedBy>
  <dcterms:created xsi:type="dcterms:W3CDTF">2014-05-14T18:27:14Z</dcterms:created>
  <dcterms:modified xsi:type="dcterms:W3CDTF">2024-12-10T12:59:33Z</dcterms:modified>
</cp:coreProperties>
</file>