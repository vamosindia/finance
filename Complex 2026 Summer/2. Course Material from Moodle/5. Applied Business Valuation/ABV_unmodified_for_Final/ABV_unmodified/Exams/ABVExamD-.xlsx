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 VIVOBOOK\Desktop\Exam Papers\"/>
    </mc:Choice>
  </mc:AlternateContent>
  <xr:revisionPtr revIDLastSave="0" documentId="13_ncr:1_{12308E4F-10CD-448D-8CC5-B737A2DF0AA2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OpeningPage" sheetId="5" r:id="rId1"/>
    <sheet name="Admin" sheetId="6" r:id="rId2"/>
    <sheet name="Task 1" sheetId="15" r:id="rId3"/>
    <sheet name="Task 2" sheetId="11" r:id="rId4"/>
    <sheet name="Task 3" sheetId="13" r:id="rId5"/>
    <sheet name="Task 4" sheetId="12" r:id="rId6"/>
    <sheet name="Task 4 Sol" sheetId="16" r:id="rId7"/>
    <sheet name="Task 5" sheetId="9" r:id="rId8"/>
  </sheets>
  <definedNames>
    <definedName name="lista">OFFSET(#REF!,0,0,COUNTA(#REF!),1)</definedName>
  </definedNames>
  <calcPr calcId="191029" iterateCount="10000" iterateDelta="1E-1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6" i="15" l="1"/>
  <c r="C71" i="15"/>
  <c r="G53" i="15"/>
  <c r="F53" i="15"/>
  <c r="E53" i="15"/>
  <c r="D53" i="15"/>
  <c r="C53" i="15"/>
  <c r="K49" i="16"/>
  <c r="C64" i="16"/>
  <c r="C54" i="16"/>
  <c r="N45" i="16"/>
  <c r="N44" i="16"/>
  <c r="C44" i="16"/>
  <c r="G62" i="16" s="1"/>
  <c r="N43" i="16"/>
  <c r="K62" i="16" l="1"/>
  <c r="G64" i="16"/>
  <c r="L64" i="16" s="1"/>
  <c r="G63" i="16"/>
  <c r="L63" i="16" s="1"/>
  <c r="K63" i="16" l="1"/>
  <c r="C63" i="16" s="1"/>
  <c r="C65" i="16" s="1"/>
  <c r="G49" i="16" s="1"/>
  <c r="K64" i="16"/>
  <c r="G47" i="16" l="1"/>
  <c r="C50" i="16" s="1"/>
  <c r="G51" i="16"/>
  <c r="G52" i="16" l="1"/>
  <c r="K51" i="16"/>
  <c r="C56" i="16"/>
  <c r="C57" i="16" s="1"/>
  <c r="C48" i="16"/>
  <c r="G53" i="16" l="1"/>
  <c r="G54" i="16"/>
  <c r="K53" i="16" s="1"/>
  <c r="K55" i="16" s="1"/>
  <c r="K56" i="16" s="1"/>
  <c r="K52" i="16" l="1"/>
  <c r="G55" i="16"/>
  <c r="C54" i="15" l="1"/>
  <c r="C7" i="16"/>
  <c r="C6" i="16"/>
  <c r="C4" i="16"/>
  <c r="C3" i="16"/>
  <c r="C2" i="16"/>
  <c r="C7" i="15"/>
  <c r="B7" i="15"/>
  <c r="C6" i="15"/>
  <c r="B6" i="15"/>
  <c r="C4" i="15"/>
  <c r="B4" i="15"/>
  <c r="C3" i="15"/>
  <c r="B3" i="15"/>
  <c r="C2" i="15"/>
  <c r="B2" i="15"/>
  <c r="E66" i="11"/>
  <c r="F66" i="11"/>
  <c r="G66" i="11"/>
  <c r="H66" i="11"/>
  <c r="I66" i="11"/>
  <c r="D66" i="11"/>
  <c r="E65" i="11"/>
  <c r="F65" i="11"/>
  <c r="G65" i="11"/>
  <c r="H65" i="11"/>
  <c r="I65" i="11"/>
  <c r="D65" i="11"/>
  <c r="G64" i="11"/>
  <c r="F64" i="11" s="1"/>
  <c r="E64" i="11" s="1"/>
  <c r="D64" i="11" s="1"/>
  <c r="H64" i="11"/>
  <c r="I64" i="11"/>
  <c r="G59" i="11"/>
  <c r="F59" i="11" s="1"/>
  <c r="H59" i="11"/>
  <c r="G33" i="11"/>
  <c r="G37" i="11" s="1"/>
  <c r="G53" i="11" s="1"/>
  <c r="H63" i="11"/>
  <c r="I63" i="11"/>
  <c r="H37" i="11"/>
  <c r="I37" i="11"/>
  <c r="I27" i="11" s="1"/>
  <c r="F62" i="11"/>
  <c r="E62" i="11"/>
  <c r="D62" i="11"/>
  <c r="E58" i="11"/>
  <c r="F58" i="11"/>
  <c r="G58" i="11"/>
  <c r="H58" i="11"/>
  <c r="I58" i="11"/>
  <c r="D58" i="11"/>
  <c r="E57" i="11"/>
  <c r="F57" i="11"/>
  <c r="G57" i="11"/>
  <c r="D57" i="11"/>
  <c r="H53" i="11"/>
  <c r="I53" i="11"/>
  <c r="E52" i="11"/>
  <c r="F52" i="11"/>
  <c r="G52" i="11"/>
  <c r="H52" i="11"/>
  <c r="D52" i="11"/>
  <c r="E49" i="11"/>
  <c r="F49" i="11"/>
  <c r="D49" i="11"/>
  <c r="E48" i="11"/>
  <c r="F48" i="11"/>
  <c r="D48" i="11"/>
  <c r="E47" i="11"/>
  <c r="F47" i="11"/>
  <c r="G47" i="11"/>
  <c r="D47" i="11"/>
  <c r="E46" i="11"/>
  <c r="F46" i="11"/>
  <c r="G46" i="11"/>
  <c r="D46" i="11"/>
  <c r="G39" i="11"/>
  <c r="G38" i="11"/>
  <c r="H38" i="11" s="1"/>
  <c r="H45" i="11"/>
  <c r="G45" i="11"/>
  <c r="F45" i="11"/>
  <c r="E45" i="11"/>
  <c r="D45" i="11"/>
  <c r="H43" i="11"/>
  <c r="G43" i="11"/>
  <c r="G44" i="11" s="1"/>
  <c r="H44" i="11"/>
  <c r="F44" i="11"/>
  <c r="E40" i="11"/>
  <c r="F40" i="11"/>
  <c r="G40" i="11"/>
  <c r="F43" i="11"/>
  <c r="E43" i="11"/>
  <c r="D43" i="11"/>
  <c r="C59" i="15" l="1"/>
  <c r="C56" i="15"/>
  <c r="E59" i="11"/>
  <c r="F33" i="11"/>
  <c r="G63" i="11"/>
  <c r="I43" i="11"/>
  <c r="I32" i="11"/>
  <c r="I44" i="11" s="1"/>
  <c r="I38" i="11"/>
  <c r="C60" i="15" l="1"/>
  <c r="D54" i="15" s="1"/>
  <c r="C61" i="15"/>
  <c r="F63" i="11"/>
  <c r="F37" i="11"/>
  <c r="F53" i="11" s="1"/>
  <c r="E33" i="11"/>
  <c r="D59" i="11"/>
  <c r="D33" i="11" s="1"/>
  <c r="I45" i="11"/>
  <c r="I52" i="11" s="1"/>
  <c r="I54" i="11" s="1"/>
  <c r="D59" i="15" l="1"/>
  <c r="D56" i="15"/>
  <c r="E37" i="11"/>
  <c r="E53" i="11" s="1"/>
  <c r="E63" i="11"/>
  <c r="D37" i="11"/>
  <c r="D53" i="11" s="1"/>
  <c r="D63" i="11"/>
  <c r="I39" i="11"/>
  <c r="H54" i="11"/>
  <c r="D60" i="15" l="1"/>
  <c r="E54" i="15" s="1"/>
  <c r="D61" i="15"/>
  <c r="H39" i="11"/>
  <c r="G54" i="11"/>
  <c r="F54" i="11" s="1"/>
  <c r="E54" i="11" s="1"/>
  <c r="D54" i="11" s="1"/>
  <c r="I46" i="11"/>
  <c r="J39" i="11"/>
  <c r="I48" i="11" s="1"/>
  <c r="I40" i="11"/>
  <c r="E56" i="15" l="1"/>
  <c r="E59" i="15"/>
  <c r="I47" i="11"/>
  <c r="I57" i="11" s="1"/>
  <c r="I59" i="11" s="1"/>
  <c r="E60" i="15" l="1"/>
  <c r="F54" i="15" s="1"/>
  <c r="E61" i="15"/>
  <c r="I49" i="11"/>
  <c r="I62" i="11" s="1"/>
  <c r="F59" i="15" l="1"/>
  <c r="F56" i="15"/>
  <c r="D40" i="11"/>
  <c r="F60" i="15" l="1"/>
  <c r="G54" i="15" s="1"/>
  <c r="G56" i="15" s="1"/>
  <c r="C77" i="15" s="1"/>
  <c r="F61" i="15"/>
  <c r="G59" i="15"/>
  <c r="C73" i="15" l="1"/>
  <c r="G60" i="15"/>
  <c r="C72" i="15" s="1"/>
  <c r="G61" i="15"/>
  <c r="G62" i="15" s="1"/>
  <c r="C75" i="15" s="1"/>
  <c r="C57" i="13" l="1"/>
  <c r="C54" i="13"/>
  <c r="C53" i="13"/>
  <c r="C25" i="13" s="1"/>
  <c r="C46" i="13"/>
  <c r="C58" i="13" s="1"/>
  <c r="C23" i="13"/>
  <c r="D39" i="11"/>
  <c r="E38" i="11"/>
  <c r="E39" i="11" s="1"/>
  <c r="E44" i="11"/>
  <c r="D44" i="11"/>
  <c r="F38" i="11" l="1"/>
  <c r="F39" i="11" s="1"/>
  <c r="C55" i="13"/>
  <c r="C24" i="13"/>
  <c r="C26" i="13" l="1"/>
  <c r="C27" i="13"/>
  <c r="D20" i="6" l="1"/>
  <c r="C7" i="13"/>
  <c r="C6" i="13"/>
  <c r="C4" i="13"/>
  <c r="C3" i="13"/>
  <c r="C2" i="13"/>
  <c r="C7" i="12" l="1"/>
  <c r="C6" i="12"/>
  <c r="C4" i="12"/>
  <c r="C3" i="12"/>
  <c r="C2" i="12"/>
  <c r="E25" i="11" l="1"/>
  <c r="F25" i="11" s="1"/>
  <c r="G25" i="11" s="1"/>
  <c r="H25" i="11" s="1"/>
  <c r="B7" i="11" l="1"/>
  <c r="C6" i="11"/>
  <c r="B6" i="11"/>
  <c r="C4" i="11"/>
  <c r="B4" i="11"/>
  <c r="C3" i="11"/>
  <c r="B3" i="11"/>
  <c r="C2" i="11"/>
  <c r="B2" i="11"/>
  <c r="B7" i="9" l="1"/>
  <c r="C6" i="9"/>
  <c r="B6" i="9"/>
  <c r="C4" i="9"/>
  <c r="B4" i="9"/>
  <c r="C3" i="9"/>
  <c r="B3" i="9"/>
  <c r="C2" i="9"/>
  <c r="B2" i="9"/>
  <c r="C7" i="11" l="1"/>
  <c r="C7" i="9"/>
  <c r="H40" i="11"/>
  <c r="H48" i="11"/>
  <c r="H46" i="11"/>
  <c r="H47" i="11" s="1"/>
  <c r="H57" i="11" s="1"/>
  <c r="G48" i="11"/>
  <c r="G49" i="11" s="1"/>
  <c r="G62" i="11" s="1"/>
  <c r="H49" i="11" l="1"/>
  <c r="H62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Aya SLIKI</author>
  </authors>
  <commentList>
    <comment ref="F49" authorId="0" shapeId="0" xr:uid="{A68AF260-557A-C543-96A2-3F3F0C7E2F2C}">
      <text>
        <r>
          <rPr>
            <b/>
            <sz val="9"/>
            <color rgb="FF000000"/>
            <rFont val="Tahoma"/>
            <family val="2"/>
          </rPr>
          <t>Aya SLIKI: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Discounting Future Value of E using Success Return rate</t>
        </r>
      </text>
    </comment>
    <comment ref="B50" authorId="0" shapeId="0" xr:uid="{3EE2DE83-6C32-8A4C-A925-E16B919AF2A6}">
      <text>
        <r>
          <rPr>
            <b/>
            <sz val="9"/>
            <color rgb="FF000000"/>
            <rFont val="Tahoma"/>
            <family val="2"/>
          </rPr>
          <t>Aya SLIKI: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Discounting Future Value of E using Success Return rate</t>
        </r>
      </text>
    </comment>
    <comment ref="J51" authorId="0" shapeId="0" xr:uid="{6D6DC9ED-7A8E-BF44-86AF-B740BB3736F9}">
      <text>
        <r>
          <rPr>
            <b/>
            <sz val="9"/>
            <color rgb="FF000000"/>
            <rFont val="Tahoma"/>
            <family val="2"/>
          </rPr>
          <t>Aya SLIKI: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Stakes will stay the same because no additional capital 3 was invested</t>
        </r>
      </text>
    </comment>
    <comment ref="B55" authorId="0" shapeId="0" xr:uid="{E22D42D6-4EE3-F045-9E0F-7061D4BB3DA1}">
      <text>
        <r>
          <rPr>
            <b/>
            <sz val="9"/>
            <color rgb="FF000000"/>
            <rFont val="Tahoma"/>
            <family val="2"/>
          </rPr>
          <t>Aya SLIKI: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if we don't have it given assume %, then at the end calculate it, and use solver to get 0 in diff by changing it</t>
        </r>
      </text>
    </comment>
    <comment ref="G63" authorId="0" shapeId="0" xr:uid="{930942E1-F259-EC46-8C51-D21D36E52438}">
      <text>
        <r>
          <rPr>
            <b/>
            <sz val="9"/>
            <color indexed="81"/>
            <rFont val="Tahoma"/>
            <family val="2"/>
          </rPr>
          <t>Aya SLIKI:</t>
        </r>
        <r>
          <rPr>
            <sz val="9"/>
            <color indexed="81"/>
            <rFont val="Tahoma"/>
            <family val="2"/>
          </rPr>
          <t xml:space="preserve">
It will be reinvested</t>
        </r>
      </text>
    </comment>
  </commentList>
</comments>
</file>

<file path=xl/sharedStrings.xml><?xml version="1.0" encoding="utf-8"?>
<sst xmlns="http://schemas.openxmlformats.org/spreadsheetml/2006/main" count="257" uniqueCount="169">
  <si>
    <t>g</t>
  </si>
  <si>
    <t>TV</t>
  </si>
  <si>
    <t>RONIC</t>
  </si>
  <si>
    <t>K</t>
  </si>
  <si>
    <r>
      <t>r</t>
    </r>
    <r>
      <rPr>
        <vertAlign val="subscript"/>
        <sz val="12"/>
        <color rgb="FF000000"/>
        <rFont val="Times New Roman"/>
        <family val="1"/>
        <charset val="238"/>
      </rPr>
      <t>A</t>
    </r>
  </si>
  <si>
    <r>
      <t>r</t>
    </r>
    <r>
      <rPr>
        <vertAlign val="subscript"/>
        <sz val="12"/>
        <color rgb="FF000000"/>
        <rFont val="Times New Roman"/>
        <family val="1"/>
        <charset val="238"/>
      </rPr>
      <t>D</t>
    </r>
  </si>
  <si>
    <t>t</t>
  </si>
  <si>
    <t>rD</t>
  </si>
  <si>
    <t>ROIC</t>
  </si>
  <si>
    <t>Master in Finance</t>
  </si>
  <si>
    <t>Master in Accounting</t>
  </si>
  <si>
    <t>Instructor</t>
  </si>
  <si>
    <t>Péter Juhász, PhD, CFA</t>
  </si>
  <si>
    <t>Date</t>
  </si>
  <si>
    <t>Total points achieved</t>
  </si>
  <si>
    <t>Neptun code</t>
  </si>
  <si>
    <t>Student name</t>
  </si>
  <si>
    <t>Study program</t>
  </si>
  <si>
    <t>Points achived:</t>
  </si>
  <si>
    <t>IC boy</t>
  </si>
  <si>
    <t>g TV period</t>
  </si>
  <si>
    <t>D/IC boy</t>
  </si>
  <si>
    <t>D/V boy</t>
  </si>
  <si>
    <t>FCFF</t>
  </si>
  <si>
    <t>D/V</t>
  </si>
  <si>
    <t>rA</t>
  </si>
  <si>
    <t>Applied Business Valuation</t>
  </si>
  <si>
    <t>Today</t>
  </si>
  <si>
    <t>WACC</t>
  </si>
  <si>
    <t>dIC</t>
  </si>
  <si>
    <t>in 8 years time</t>
  </si>
  <si>
    <t>P/E</t>
  </si>
  <si>
    <t>P/BV</t>
  </si>
  <si>
    <t>P/S</t>
  </si>
  <si>
    <t>EV/EBITDA</t>
  </si>
  <si>
    <t>EV/tBV</t>
  </si>
  <si>
    <t>P/L</t>
  </si>
  <si>
    <t>Revenue from Sales</t>
  </si>
  <si>
    <t>D&amp;A</t>
  </si>
  <si>
    <t>Operational profit</t>
  </si>
  <si>
    <t>Profit before tax</t>
  </si>
  <si>
    <t>After tax profit</t>
  </si>
  <si>
    <t>Balance sheet</t>
  </si>
  <si>
    <t>Cash</t>
  </si>
  <si>
    <t>Receivables</t>
  </si>
  <si>
    <t>Inventory</t>
  </si>
  <si>
    <t>PP&amp;E</t>
  </si>
  <si>
    <t>Goodwill</t>
  </si>
  <si>
    <t>Payables</t>
  </si>
  <si>
    <t>Debt (Bonds only)</t>
  </si>
  <si>
    <t>Equity</t>
  </si>
  <si>
    <t>Number of bonds</t>
  </si>
  <si>
    <t>Closing price of bonds</t>
  </si>
  <si>
    <t>Number of shares</t>
  </si>
  <si>
    <t>Closing price of shares</t>
  </si>
  <si>
    <t>A before</t>
  </si>
  <si>
    <t>A after</t>
  </si>
  <si>
    <t>B before</t>
  </si>
  <si>
    <t>B after</t>
  </si>
  <si>
    <t>gTV</t>
  </si>
  <si>
    <t xml:space="preserve">Book value of equity </t>
  </si>
  <si>
    <t>Book value of debt</t>
  </si>
  <si>
    <t>Venture capital contribution</t>
  </si>
  <si>
    <t>Debt</t>
  </si>
  <si>
    <t>Expected EBIT multiple</t>
  </si>
  <si>
    <t>IC</t>
  </si>
  <si>
    <t>Debt boy</t>
  </si>
  <si>
    <t>BV Equity boy</t>
  </si>
  <si>
    <t>EBIT</t>
  </si>
  <si>
    <t>Noplat</t>
  </si>
  <si>
    <t>Interest</t>
  </si>
  <si>
    <t>Tax shield</t>
  </si>
  <si>
    <t>d Debt</t>
  </si>
  <si>
    <t>FCFE</t>
  </si>
  <si>
    <t>V boy</t>
  </si>
  <si>
    <t>FCFF+TS</t>
  </si>
  <si>
    <t>check</t>
  </si>
  <si>
    <t>rE</t>
  </si>
  <si>
    <t>E boy</t>
  </si>
  <si>
    <t>D boy</t>
  </si>
  <si>
    <t>Equity Market Value</t>
  </si>
  <si>
    <t>Debt Market Value</t>
  </si>
  <si>
    <t>Enterprise Value</t>
  </si>
  <si>
    <t>E</t>
  </si>
  <si>
    <t>rFinancing</t>
  </si>
  <si>
    <t>rReinvestment</t>
  </si>
  <si>
    <t>In 8 years</t>
  </si>
  <si>
    <t>D</t>
  </si>
  <si>
    <t>Investment horizon</t>
  </si>
  <si>
    <t>Chance of failure</t>
  </si>
  <si>
    <t>Chance of success</t>
  </si>
  <si>
    <t>Yearly return of success</t>
  </si>
  <si>
    <t>Investment sum</t>
  </si>
  <si>
    <t>Year</t>
  </si>
  <si>
    <t>Dependance on success</t>
  </si>
  <si>
    <t xml:space="preserve">Owner= founders </t>
  </si>
  <si>
    <t>Nope</t>
  </si>
  <si>
    <t>Total IC</t>
  </si>
  <si>
    <t>PE1 = First Invesor</t>
  </si>
  <si>
    <t>Success (Business will continue)</t>
  </si>
  <si>
    <t>Success (Business will be sold)</t>
  </si>
  <si>
    <t>PE2 = 2nd Investor= Loan providor</t>
  </si>
  <si>
    <t>Only in case of the succes in the first 2 years</t>
  </si>
  <si>
    <t>Equity - Initial</t>
  </si>
  <si>
    <t>3)</t>
  </si>
  <si>
    <t>Equity - Pre Money Value</t>
  </si>
  <si>
    <t>Value (Sales Price)</t>
  </si>
  <si>
    <t>Steps</t>
  </si>
  <si>
    <t>5)</t>
  </si>
  <si>
    <t>Additional IC 2</t>
  </si>
  <si>
    <t>1. Fill out the investments in the noted terms</t>
  </si>
  <si>
    <t>Additional IC 1</t>
  </si>
  <si>
    <t>2)</t>
  </si>
  <si>
    <t>Equity - Post Money Value</t>
  </si>
  <si>
    <t>1)</t>
  </si>
  <si>
    <t>2. Put a random PE-1 stake - will use solver later on</t>
  </si>
  <si>
    <t>4)</t>
  </si>
  <si>
    <t>3.Founder stake 1-PE 1 Stake</t>
  </si>
  <si>
    <t>PE-2 Stake</t>
  </si>
  <si>
    <t>4. Go to part 6, calculated Liquidation value</t>
  </si>
  <si>
    <t>Others Stake</t>
  </si>
  <si>
    <t>PE-1 Stake</t>
  </si>
  <si>
    <t>5. Calculated cash inflow for founders and PE 1</t>
  </si>
  <si>
    <t>&gt;&gt; PE-1 Stake</t>
  </si>
  <si>
    <t>Founders Stake</t>
  </si>
  <si>
    <t>6. Founder and PE1 invest those inflows, for the next 4 years, calc. FV of their investment</t>
  </si>
  <si>
    <t>&gt;&gt; Founders Stake</t>
  </si>
  <si>
    <t>7. Goto part 8- Return = FV of PE1 cashflow/Initial investment of PE1^(1/number of years=6)-1</t>
  </si>
  <si>
    <t>Check Total Stakes</t>
  </si>
  <si>
    <t>Founders CashInflow after Sale</t>
  </si>
  <si>
    <t>8. Calc. Yearly returnof success - (1+rfin)^t=Prob fail *(1+r fail)^t+Prob success*(1+rsuccess)^t</t>
  </si>
  <si>
    <t>PE-1 Stake (Calculated)</t>
  </si>
  <si>
    <t>Founders Yearly Return</t>
  </si>
  <si>
    <t>9. Go to part 2 - Calc Equity value in year 2 after loan investment=Equity year 6, discounted with yearly return on succes (4 years horizon)</t>
  </si>
  <si>
    <t>10)</t>
  </si>
  <si>
    <t>Diff</t>
  </si>
  <si>
    <t>10. Calculated pre- money (before loan) eqity = Post money equity - PE2 additional IC (loan)</t>
  </si>
  <si>
    <t>11. PE 2 stake= PE2 additional IC (loan)/ Post money equity value in year 2</t>
  </si>
  <si>
    <t>Failure (Business is liquidited)</t>
  </si>
  <si>
    <t>Failure (Money from Liquidition was reinvested)</t>
  </si>
  <si>
    <t>12. Other stake 1- PE2 stake</t>
  </si>
  <si>
    <t>13. PE1 Stake = PE 1 Stake from Year=0 (which was put randomly)* others stake value</t>
  </si>
  <si>
    <t>Liquidition Ratio</t>
  </si>
  <si>
    <t>14. Founder Stake =Founders stake  from Year=0 (which was put randomly)* others stake value</t>
  </si>
  <si>
    <t>6)</t>
  </si>
  <si>
    <t>Liquidition Value</t>
  </si>
  <si>
    <t>15. Go to part 2 - Calc Equity value today (year=0) after PE 1 =Equity value year 2 (post money), discounted with yearly return on succes (2 years horizon)</t>
  </si>
  <si>
    <t>8)</t>
  </si>
  <si>
    <t>Yearly return of failure for PE-1</t>
  </si>
  <si>
    <t>PE-1 CashInflow after Liquidition</t>
  </si>
  <si>
    <t>7)</t>
  </si>
  <si>
    <t>16.  Calculated pre- money (before PE 1 additional IC) eqity = Post money equity - PE1 additional IC (70)</t>
  </si>
  <si>
    <t>Founders CashInflow</t>
  </si>
  <si>
    <t>17. PE 1 stake= PE1 additional IC (loan)/ Post money equity value itoday</t>
  </si>
  <si>
    <t>9)</t>
  </si>
  <si>
    <t>18. Part 10 - make difference cell of step 17 and step 2, in solver set it to 0 by adjusting cell from the step 2</t>
  </si>
  <si>
    <t>k</t>
  </si>
  <si>
    <t>NOPLAT</t>
  </si>
  <si>
    <t>V</t>
  </si>
  <si>
    <t>Synergy</t>
  </si>
  <si>
    <t>Min</t>
  </si>
  <si>
    <t>Max</t>
  </si>
  <si>
    <t>Price</t>
  </si>
  <si>
    <t>Shares worth</t>
  </si>
  <si>
    <t>B hold %</t>
  </si>
  <si>
    <t>Initial Shared held by A</t>
  </si>
  <si>
    <t>% of shared held by A</t>
  </si>
  <si>
    <t>Number of Shared B hold</t>
  </si>
  <si>
    <t>is 0 because D/V 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</si>
</sst>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;;;@"/>
    <numFmt numFmtId="165" formatCode="0.0%"/>
    <numFmt numFmtId="166" formatCode="_-* #,##0_-;\-* #,##0_-;_-* &quot;-&quot;??_-;_-@_-"/>
    <numFmt numFmtId="167" formatCode="0.00000%"/>
  </numFmts>
  <fonts count="27" x14ac:knownFonts="1">
    <font>
      <sz val="12"/>
      <color theme="1"/>
      <name val="Times New Roman"/>
      <family val="2"/>
      <charset val="238"/>
    </font>
    <font>
      <b/>
      <sz val="12"/>
      <color rgb="FF000000"/>
      <name val="Times New Roman"/>
      <family val="1"/>
      <charset val="238"/>
    </font>
    <font>
      <sz val="12"/>
      <color rgb="FF000000"/>
      <name val="Times New Roman"/>
      <family val="1"/>
      <charset val="238"/>
    </font>
    <font>
      <b/>
      <sz val="12"/>
      <color theme="1"/>
      <name val="Times New Roman"/>
      <family val="1"/>
      <charset val="238"/>
    </font>
    <font>
      <vertAlign val="subscript"/>
      <sz val="12"/>
      <color rgb="FF000000"/>
      <name val="Times New Roman"/>
      <family val="1"/>
      <charset val="238"/>
    </font>
    <font>
      <sz val="18"/>
      <color theme="1"/>
      <name val="Times New Roman"/>
      <family val="2"/>
      <charset val="238"/>
    </font>
    <font>
      <b/>
      <sz val="18"/>
      <color theme="1"/>
      <name val="Times New Roman"/>
      <family val="1"/>
      <charset val="238"/>
    </font>
    <font>
      <sz val="8"/>
      <name val="Times New Roman"/>
      <family val="2"/>
      <charset val="238"/>
    </font>
    <font>
      <b/>
      <sz val="28"/>
      <color theme="1"/>
      <name val="Times New Roman"/>
      <family val="1"/>
      <charset val="238"/>
    </font>
    <font>
      <sz val="14"/>
      <color theme="1"/>
      <name val="Times New Roman"/>
      <family val="2"/>
      <charset val="238"/>
    </font>
    <font>
      <b/>
      <sz val="14"/>
      <color theme="1"/>
      <name val="Times New Roman"/>
      <family val="1"/>
      <charset val="238"/>
    </font>
    <font>
      <b/>
      <sz val="16"/>
      <color theme="1"/>
      <name val="Times New Roman"/>
      <family val="1"/>
      <charset val="238"/>
    </font>
    <font>
      <sz val="12"/>
      <color theme="1"/>
      <name val="Times New Roman"/>
      <family val="1"/>
      <charset val="238"/>
    </font>
    <font>
      <sz val="12"/>
      <color theme="0"/>
      <name val="Times New Roman"/>
      <family val="2"/>
      <charset val="238"/>
    </font>
    <font>
      <sz val="16"/>
      <color rgb="FF000000"/>
      <name val="Times New Roman"/>
      <family val="1"/>
      <charset val="238"/>
    </font>
    <font>
      <sz val="12"/>
      <color theme="1"/>
      <name val="Times New Roman"/>
      <family val="2"/>
      <charset val="238"/>
    </font>
    <font>
      <sz val="12"/>
      <color rgb="FFFF0000"/>
      <name val="Times New Roman"/>
      <family val="2"/>
      <charset val="238"/>
    </font>
    <font>
      <b/>
      <sz val="12"/>
      <color theme="1"/>
      <name val="Calibri"/>
      <family val="2"/>
      <scheme val="minor"/>
    </font>
    <font>
      <b/>
      <sz val="12"/>
      <name val="Times New Roman"/>
      <family val="1"/>
      <charset val="238"/>
    </font>
    <font>
      <sz val="12"/>
      <color rgb="FFFF0000"/>
      <name val="Calibri"/>
      <family val="2"/>
      <charset val="238"/>
    </font>
    <font>
      <b/>
      <sz val="12"/>
      <color theme="1"/>
      <name val="Calibri"/>
      <family val="2"/>
      <charset val="238"/>
      <scheme val="minor"/>
    </font>
    <font>
      <b/>
      <u/>
      <sz val="12"/>
      <color rgb="FF00B050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rgb="FFA8D08D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</cellStyleXfs>
  <cellXfs count="6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0" fontId="2" fillId="0" borderId="0" xfId="0" applyNumberFormat="1" applyFont="1" applyAlignment="1">
      <alignment horizontal="right" vertical="center"/>
    </xf>
    <xf numFmtId="0" fontId="5" fillId="0" borderId="0" xfId="0" applyFont="1"/>
    <xf numFmtId="0" fontId="0" fillId="0" borderId="0" xfId="0" applyAlignment="1">
      <alignment horizontal="center"/>
    </xf>
    <xf numFmtId="0" fontId="6" fillId="0" borderId="0" xfId="0" applyFont="1"/>
    <xf numFmtId="0" fontId="6" fillId="0" borderId="0" xfId="0" applyFont="1" applyProtection="1">
      <protection hidden="1"/>
    </xf>
    <xf numFmtId="0" fontId="6" fillId="2" borderId="3" xfId="0" applyFont="1" applyFill="1" applyBorder="1" applyProtection="1">
      <protection hidden="1"/>
    </xf>
    <xf numFmtId="0" fontId="9" fillId="4" borderId="4" xfId="0" applyFont="1" applyFill="1" applyBorder="1"/>
    <xf numFmtId="0" fontId="9" fillId="4" borderId="6" xfId="0" applyFont="1" applyFill="1" applyBorder="1"/>
    <xf numFmtId="164" fontId="10" fillId="4" borderId="7" xfId="0" applyNumberFormat="1" applyFont="1" applyFill="1" applyBorder="1" applyAlignment="1">
      <alignment horizontal="center"/>
    </xf>
    <xf numFmtId="0" fontId="9" fillId="4" borderId="7" xfId="0" applyFont="1" applyFill="1" applyBorder="1"/>
    <xf numFmtId="0" fontId="9" fillId="4" borderId="8" xfId="0" applyFont="1" applyFill="1" applyBorder="1"/>
    <xf numFmtId="0" fontId="9" fillId="4" borderId="2" xfId="0" applyFont="1" applyFill="1" applyBorder="1"/>
    <xf numFmtId="0" fontId="11" fillId="2" borderId="9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6" fillId="3" borderId="3" xfId="0" applyFont="1" applyFill="1" applyBorder="1" applyAlignment="1" applyProtection="1">
      <alignment horizontal="center"/>
      <protection locked="0"/>
    </xf>
    <xf numFmtId="0" fontId="12" fillId="0" borderId="0" xfId="0" applyFont="1"/>
    <xf numFmtId="4" fontId="12" fillId="0" borderId="0" xfId="0" applyNumberFormat="1" applyFont="1"/>
    <xf numFmtId="0" fontId="3" fillId="0" borderId="0" xfId="0" applyFont="1" applyAlignment="1">
      <alignment horizontal="center"/>
    </xf>
    <xf numFmtId="10" fontId="0" fillId="0" borderId="0" xfId="0" applyNumberFormat="1"/>
    <xf numFmtId="0" fontId="13" fillId="0" borderId="0" xfId="0" applyFont="1"/>
    <xf numFmtId="0" fontId="14" fillId="0" borderId="0" xfId="0" applyFont="1"/>
    <xf numFmtId="0" fontId="6" fillId="0" borderId="0" xfId="0" applyFont="1" applyAlignment="1" applyProtection="1">
      <alignment horizontal="center"/>
      <protection hidden="1"/>
    </xf>
    <xf numFmtId="0" fontId="3" fillId="2" borderId="0" xfId="0" applyFont="1" applyFill="1" applyAlignment="1">
      <alignment horizontal="center"/>
    </xf>
    <xf numFmtId="14" fontId="10" fillId="4" borderId="5" xfId="0" applyNumberFormat="1" applyFont="1" applyFill="1" applyBorder="1" applyAlignment="1">
      <alignment horizontal="center"/>
    </xf>
    <xf numFmtId="14" fontId="6" fillId="0" borderId="0" xfId="0" applyNumberFormat="1" applyFont="1" applyAlignment="1">
      <alignment horizontal="center"/>
    </xf>
    <xf numFmtId="4" fontId="0" fillId="0" borderId="0" xfId="0" applyNumberFormat="1"/>
    <xf numFmtId="10" fontId="0" fillId="0" borderId="0" xfId="1" applyNumberFormat="1" applyFont="1"/>
    <xf numFmtId="0" fontId="3" fillId="0" borderId="0" xfId="0" applyFont="1"/>
    <xf numFmtId="4" fontId="3" fillId="0" borderId="0" xfId="0" applyNumberFormat="1" applyFont="1"/>
    <xf numFmtId="0" fontId="16" fillId="0" borderId="0" xfId="0" applyFont="1"/>
    <xf numFmtId="10" fontId="16" fillId="0" borderId="0" xfId="1" applyNumberFormat="1" applyFont="1"/>
    <xf numFmtId="4" fontId="2" fillId="0" borderId="0" xfId="0" applyNumberFormat="1" applyFont="1" applyAlignment="1">
      <alignment horizontal="right" vertical="center"/>
    </xf>
    <xf numFmtId="4" fontId="0" fillId="3" borderId="3" xfId="0" applyNumberFormat="1" applyFill="1" applyBorder="1"/>
    <xf numFmtId="4" fontId="2" fillId="0" borderId="0" xfId="1" applyNumberFormat="1" applyFont="1" applyFill="1" applyAlignment="1">
      <alignment horizontal="right" vertical="center"/>
    </xf>
    <xf numFmtId="10" fontId="2" fillId="0" borderId="0" xfId="1" applyNumberFormat="1" applyFont="1" applyFill="1" applyAlignment="1">
      <alignment horizontal="right" vertical="center"/>
    </xf>
    <xf numFmtId="9" fontId="0" fillId="0" borderId="0" xfId="0" applyNumberFormat="1"/>
    <xf numFmtId="0" fontId="18" fillId="5" borderId="0" xfId="0" applyFont="1" applyFill="1"/>
    <xf numFmtId="0" fontId="19" fillId="0" borderId="0" xfId="0" applyFont="1"/>
    <xf numFmtId="10" fontId="2" fillId="2" borderId="0" xfId="0" applyNumberFormat="1" applyFont="1" applyFill="1" applyAlignment="1">
      <alignment horizontal="right" vertical="center"/>
    </xf>
    <xf numFmtId="0" fontId="0" fillId="2" borderId="0" xfId="0" applyFill="1"/>
    <xf numFmtId="9" fontId="0" fillId="0" borderId="0" xfId="1" applyFont="1"/>
    <xf numFmtId="0" fontId="17" fillId="0" borderId="0" xfId="0" applyFont="1" applyAlignment="1">
      <alignment horizontal="right"/>
    </xf>
    <xf numFmtId="9" fontId="0" fillId="8" borderId="0" xfId="0" applyNumberFormat="1" applyFill="1"/>
    <xf numFmtId="0" fontId="20" fillId="0" borderId="0" xfId="0" applyFont="1"/>
    <xf numFmtId="0" fontId="20" fillId="9" borderId="0" xfId="0" applyFont="1" applyFill="1" applyAlignment="1">
      <alignment horizontal="center"/>
    </xf>
    <xf numFmtId="0" fontId="20" fillId="10" borderId="0" xfId="0" applyFont="1" applyFill="1"/>
    <xf numFmtId="166" fontId="20" fillId="10" borderId="0" xfId="0" applyNumberFormat="1" applyFont="1" applyFill="1"/>
    <xf numFmtId="166" fontId="0" fillId="0" borderId="0" xfId="2" applyNumberFormat="1" applyFont="1"/>
    <xf numFmtId="0" fontId="20" fillId="0" borderId="0" xfId="0" applyFont="1" applyAlignment="1">
      <alignment horizontal="center"/>
    </xf>
    <xf numFmtId="0" fontId="21" fillId="0" borderId="0" xfId="0" applyFont="1"/>
    <xf numFmtId="166" fontId="0" fillId="8" borderId="0" xfId="2" applyNumberFormat="1" applyFont="1" applyFill="1"/>
    <xf numFmtId="0" fontId="17" fillId="7" borderId="0" xfId="0" applyFont="1" applyFill="1"/>
    <xf numFmtId="9" fontId="17" fillId="7" borderId="0" xfId="1" applyFont="1" applyFill="1"/>
    <xf numFmtId="0" fontId="17" fillId="11" borderId="0" xfId="0" applyFont="1" applyFill="1"/>
    <xf numFmtId="9" fontId="17" fillId="11" borderId="0" xfId="1" applyFont="1" applyFill="1"/>
    <xf numFmtId="0" fontId="22" fillId="0" borderId="0" xfId="0" applyFont="1"/>
    <xf numFmtId="0" fontId="17" fillId="0" borderId="0" xfId="0" applyFont="1"/>
    <xf numFmtId="0" fontId="17" fillId="8" borderId="0" xfId="0" applyFont="1" applyFill="1" applyAlignment="1">
      <alignment horizontal="center"/>
    </xf>
    <xf numFmtId="9" fontId="17" fillId="8" borderId="0" xfId="1" applyFont="1" applyFill="1" applyAlignment="1">
      <alignment horizontal="center"/>
    </xf>
    <xf numFmtId="0" fontId="17" fillId="6" borderId="0" xfId="0" applyFont="1" applyFill="1"/>
    <xf numFmtId="165" fontId="17" fillId="6" borderId="0" xfId="1" applyNumberFormat="1" applyFont="1" applyFill="1" applyAlignment="1">
      <alignment horizontal="center"/>
    </xf>
    <xf numFmtId="166" fontId="0" fillId="0" borderId="0" xfId="0" applyNumberFormat="1"/>
    <xf numFmtId="0" fontId="17" fillId="3" borderId="0" xfId="0" applyFont="1" applyFill="1"/>
    <xf numFmtId="9" fontId="17" fillId="3" borderId="0" xfId="1" applyFont="1" applyFill="1" applyAlignment="1">
      <alignment horizontal="center"/>
    </xf>
    <xf numFmtId="167" fontId="0" fillId="0" borderId="0" xfId="0" applyNumberFormat="1"/>
    <xf numFmtId="0" fontId="8" fillId="0" borderId="0" xfId="0" applyFont="1" applyAlignment="1">
      <alignment horizontal="center"/>
    </xf>
  </cellXfs>
  <cellStyles count="4">
    <cellStyle name="Comma" xfId="2" builtinId="3"/>
    <cellStyle name="Normal" xfId="0" builtinId="0"/>
    <cellStyle name="Percent" xfId="1" builtinId="5"/>
    <cellStyle name="Percent 2" xfId="3" xr:uid="{EEB7CF3A-574D-F54A-9A95-7694CC5137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542924</xdr:colOff>
      <xdr:row>28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0" y="0"/>
          <a:ext cx="12887324" cy="5610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000"/>
        </a:p>
        <a:p>
          <a:pPr algn="ctr"/>
          <a:endParaRPr lang="hu-HU" sz="1000"/>
        </a:p>
        <a:p>
          <a:pPr algn="ctr"/>
          <a:endParaRPr lang="hu-HU" sz="1000"/>
        </a:p>
        <a:p>
          <a:pPr algn="ctr"/>
          <a:endParaRPr lang="hu-HU" sz="1000"/>
        </a:p>
        <a:p>
          <a:pPr algn="ctr"/>
          <a:endParaRPr lang="hu-HU" sz="1000"/>
        </a:p>
        <a:p>
          <a:pPr algn="ctr"/>
          <a:endParaRPr lang="hu-HU" sz="1000"/>
        </a:p>
        <a:p>
          <a:pPr algn="ctr"/>
          <a:endParaRPr lang="hu-HU" sz="1000"/>
        </a:p>
        <a:p>
          <a:pPr algn="ctr"/>
          <a:endParaRPr lang="hu-HU" sz="1000"/>
        </a:p>
        <a:p>
          <a:pPr algn="ctr"/>
          <a:endParaRPr lang="en-US" sz="1000"/>
        </a:p>
        <a:p>
          <a:pPr algn="ctr"/>
          <a:r>
            <a:rPr lang="hu-HU" sz="8000" b="1">
              <a:solidFill>
                <a:srgbClr val="7030A0"/>
              </a:solidFill>
            </a:rPr>
            <a:t>Applied Business Valuation</a:t>
          </a:r>
        </a:p>
        <a:p>
          <a:pPr algn="ctr"/>
          <a:endParaRPr lang="hu-HU" sz="5000"/>
        </a:p>
        <a:p>
          <a:pPr algn="ctr"/>
          <a:r>
            <a:rPr lang="hu-HU" sz="5000" baseline="0">
              <a:solidFill>
                <a:schemeClr val="dk1"/>
              </a:solidFill>
              <a:latin typeface="+mn-lt"/>
              <a:ea typeface="+mn-ea"/>
              <a:cs typeface="+mn-cs"/>
            </a:rPr>
            <a:t>Péter Juhász, PhD</a:t>
          </a:r>
          <a:r>
            <a:rPr lang="hu-HU" sz="5000" baseline="0"/>
            <a:t>, CFA</a:t>
          </a:r>
        </a:p>
        <a:p>
          <a:pPr algn="ctr"/>
          <a:r>
            <a:rPr lang="hu-HU" sz="3000" baseline="0"/>
            <a:t>peter.juhasz@uni-corvinus.hu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304800</xdr:colOff>
      <xdr:row>0</xdr:row>
      <xdr:rowOff>76200</xdr:rowOff>
    </xdr:from>
    <xdr:to>
      <xdr:col>4</xdr:col>
      <xdr:colOff>666750</xdr:colOff>
      <xdr:row>8</xdr:row>
      <xdr:rowOff>57150</xdr:rowOff>
    </xdr:to>
    <xdr:sp macro="" textlink="">
      <xdr:nvSpPr>
        <xdr:cNvPr id="2" name="Szövegdoboz 1">
          <a:extLst>
            <a:ext uri="{FF2B5EF4-FFF2-40B4-BE49-F238E27FC236}">
              <a16:creationId xmlns:a16="http://schemas.microsoft.com/office/drawing/2014/main" id="{6355EBA2-DB27-4EF1-AFED-D11B8547EEFD}"/>
            </a:ext>
          </a:extLst>
        </xdr:cNvPr>
        <xdr:cNvSpPr txBox="1"/>
      </xdr:nvSpPr>
      <xdr:spPr>
        <a:xfrm>
          <a:off x="990600" y="76200"/>
          <a:ext cx="5629275" cy="1581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hu-HU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Kindly</a:t>
          </a:r>
          <a:r>
            <a:rPr lang="hu-HU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save this file renaming it following the pattern below.  Please hand in the file only after named properly. </a:t>
          </a:r>
          <a:endParaRPr lang="hu-HU" sz="1600" b="1" baseline="0">
            <a:solidFill>
              <a:srgbClr val="FF0000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endParaRPr lang="hu-HU" sz="1600" b="1" baseline="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hu-HU" sz="1600" b="1" baseline="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ABVExamD_FamilyName_GivenName.xlsx</a:t>
          </a:r>
          <a:endParaRPr lang="hu-HU" sz="1600" b="1">
            <a:solidFill>
              <a:srgbClr val="7030A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9523</xdr:colOff>
      <xdr:row>15</xdr:row>
      <xdr:rowOff>38100</xdr:rowOff>
    </xdr:from>
    <xdr:to>
      <xdr:col>7</xdr:col>
      <xdr:colOff>136071</xdr:colOff>
      <xdr:row>24</xdr:row>
      <xdr:rowOff>97972</xdr:rowOff>
    </xdr:to>
    <xdr:sp macro="" textlink="">
      <xdr:nvSpPr>
        <xdr:cNvPr id="2" name="Szövegdoboz 1">
          <a:extLst>
            <a:ext uri="{FF2B5EF4-FFF2-40B4-BE49-F238E27FC236}">
              <a16:creationId xmlns:a16="http://schemas.microsoft.com/office/drawing/2014/main" id="{62BFAE84-26C4-BB46-AFB6-5E4453B23B4B}"/>
            </a:ext>
          </a:extLst>
        </xdr:cNvPr>
        <xdr:cNvSpPr txBox="1"/>
      </xdr:nvSpPr>
      <xdr:spPr>
        <a:xfrm>
          <a:off x="682623" y="3340100"/>
          <a:ext cx="5993948" cy="18886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hu-HU" sz="1400" b="1">
              <a:latin typeface="Times New Roman" panose="02020603050405020304" pitchFamily="18" charset="0"/>
              <a:cs typeface="Times New Roman" panose="02020603050405020304" pitchFamily="18" charset="0"/>
            </a:rPr>
            <a:t>Task 1</a:t>
          </a:r>
        </a:p>
        <a:p>
          <a:pPr algn="just"/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A wants to aquire B. What is the minimum and maximum takeover price if operation of A is perpetuity-like? How many old B share should be given for one new A share if 60% of synergy is passed on to the former owners and 60% of the price is paid using shares of the merged firm and the rest from non-operational cash reserves?  (10 points)</a:t>
          </a:r>
        </a:p>
      </xdr:txBody>
    </xdr:sp>
    <xdr:clientData/>
  </xdr:twoCellAnchor>
  <xdr:twoCellAnchor>
    <xdr:from>
      <xdr:col>1</xdr:col>
      <xdr:colOff>1</xdr:colOff>
      <xdr:row>10</xdr:row>
      <xdr:rowOff>9525</xdr:rowOff>
    </xdr:from>
    <xdr:to>
      <xdr:col>7</xdr:col>
      <xdr:colOff>142876</xdr:colOff>
      <xdr:row>14</xdr:row>
      <xdr:rowOff>152400</xdr:rowOff>
    </xdr:to>
    <xdr:sp macro="" textlink="">
      <xdr:nvSpPr>
        <xdr:cNvPr id="3" name="Szövegdoboz 2">
          <a:extLst>
            <a:ext uri="{FF2B5EF4-FFF2-40B4-BE49-F238E27FC236}">
              <a16:creationId xmlns:a16="http://schemas.microsoft.com/office/drawing/2014/main" id="{A37E4C83-F740-394A-940D-F1EC30A06354}"/>
            </a:ext>
          </a:extLst>
        </xdr:cNvPr>
        <xdr:cNvSpPr txBox="1"/>
      </xdr:nvSpPr>
      <xdr:spPr>
        <a:xfrm>
          <a:off x="673101" y="2295525"/>
          <a:ext cx="6010275" cy="955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hu-HU" sz="1600">
              <a:latin typeface="Times New Roman" panose="02020603050405020304" pitchFamily="18" charset="0"/>
              <a:cs typeface="Times New Roman" panose="02020603050405020304" pitchFamily="18" charset="0"/>
            </a:rPr>
            <a:t>Notes of</a:t>
          </a:r>
          <a:r>
            <a:rPr lang="hu-HU" sz="1600" baseline="0">
              <a:latin typeface="Times New Roman" panose="02020603050405020304" pitchFamily="18" charset="0"/>
              <a:cs typeface="Times New Roman" panose="02020603050405020304" pitchFamily="18" charset="0"/>
            </a:rPr>
            <a:t> the reviewer.</a:t>
          </a:r>
          <a:endParaRPr lang="hu-HU" sz="16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15</xdr:row>
      <xdr:rowOff>38100</xdr:rowOff>
    </xdr:from>
    <xdr:to>
      <xdr:col>9</xdr:col>
      <xdr:colOff>647700</xdr:colOff>
      <xdr:row>23</xdr:row>
      <xdr:rowOff>108857</xdr:rowOff>
    </xdr:to>
    <xdr:sp macro="" textlink="">
      <xdr:nvSpPr>
        <xdr:cNvPr id="2" name="Szövegdoboz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706210" y="3249386"/>
          <a:ext cx="8568419" cy="1638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just"/>
          <a:r>
            <a:rPr lang="hu-HU" sz="1400" b="1">
              <a:latin typeface="Times New Roman" panose="02020603050405020304" pitchFamily="18" charset="0"/>
              <a:cs typeface="Times New Roman" panose="02020603050405020304" pitchFamily="18" charset="0"/>
            </a:rPr>
            <a:t>Taks 2</a:t>
          </a:r>
        </a:p>
        <a:p>
          <a:pPr algn="just"/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You can find the key quantities of a financial plan requiring a startup capital of 50000 below. </a:t>
          </a:r>
        </a:p>
        <a:p>
          <a:pPr algn="just"/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a) Determine the value of the firm using at least two different DCF methods for the start of 2024 assuming that no project will not</a:t>
          </a:r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create any added value during the terminal value period. What is your opinion of the firm?</a:t>
          </a:r>
        </a:p>
        <a:p>
          <a:pPr algn="just"/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b) How woudl the value of the firm change of the terminal value period growth rate would be lowered to 6% and the D/V ratio would be increased to 50% for the same period? </a:t>
          </a:r>
        </a:p>
        <a:p>
          <a:pPr algn="just"/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(10 points)</a:t>
          </a:r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9</xdr:col>
      <xdr:colOff>304800</xdr:colOff>
      <xdr:row>14</xdr:row>
      <xdr:rowOff>142875</xdr:rowOff>
    </xdr:to>
    <xdr:sp macro="" textlink="">
      <xdr:nvSpPr>
        <xdr:cNvPr id="3" name="Szövegdoboz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685800" y="2324100"/>
          <a:ext cx="7239000" cy="942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hu-HU" sz="1400" b="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Notes of the reviewer.</a:t>
          </a:r>
        </a:p>
      </xdr:txBody>
    </xdr:sp>
    <xdr:clientData/>
  </xdr:twoCellAnchor>
  <xdr:twoCellAnchor>
    <xdr:from>
      <xdr:col>10</xdr:col>
      <xdr:colOff>80532</xdr:colOff>
      <xdr:row>11</xdr:row>
      <xdr:rowOff>151959</xdr:rowOff>
    </xdr:from>
    <xdr:to>
      <xdr:col>20</xdr:col>
      <xdr:colOff>140403</xdr:colOff>
      <xdr:row>23</xdr:row>
      <xdr:rowOff>148739</xdr:rowOff>
    </xdr:to>
    <xdr:sp macro="" textlink="">
      <xdr:nvSpPr>
        <xdr:cNvPr id="4" name="Szövegdoboz 3">
          <a:extLst>
            <a:ext uri="{FF2B5EF4-FFF2-40B4-BE49-F238E27FC236}">
              <a16:creationId xmlns:a16="http://schemas.microsoft.com/office/drawing/2014/main" id="{0DC6C25D-3AEB-49DA-B54F-001C5D0B4AB1}"/>
            </a:ext>
          </a:extLst>
        </xdr:cNvPr>
        <xdr:cNvSpPr txBox="1"/>
      </xdr:nvSpPr>
      <xdr:spPr>
        <a:xfrm>
          <a:off x="9382424" y="2646193"/>
          <a:ext cx="6810321" cy="246813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Give your answers here.</a:t>
          </a:r>
        </a:p>
        <a:p>
          <a:endParaRPr lang="hu-HU" sz="1400" b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a) </a:t>
          </a:r>
        </a:p>
        <a:p>
          <a:endParaRPr lang="hu-HU" sz="1400" b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hu-HU" sz="1400" b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hu-HU" sz="1400" b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b) 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10</xdr:row>
      <xdr:rowOff>9525</xdr:rowOff>
    </xdr:from>
    <xdr:to>
      <xdr:col>7</xdr:col>
      <xdr:colOff>142876</xdr:colOff>
      <xdr:row>14</xdr:row>
      <xdr:rowOff>152400</xdr:rowOff>
    </xdr:to>
    <xdr:sp macro="" textlink="">
      <xdr:nvSpPr>
        <xdr:cNvPr id="3" name="Szövegdoboz 2">
          <a:extLst>
            <a:ext uri="{FF2B5EF4-FFF2-40B4-BE49-F238E27FC236}">
              <a16:creationId xmlns:a16="http://schemas.microsoft.com/office/drawing/2014/main" id="{A5853059-186B-4600-A4AA-8DE3CEDF8B8F}"/>
            </a:ext>
          </a:extLst>
        </xdr:cNvPr>
        <xdr:cNvSpPr txBox="1"/>
      </xdr:nvSpPr>
      <xdr:spPr>
        <a:xfrm>
          <a:off x="696687" y="2241096"/>
          <a:ext cx="7278460" cy="9266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hu-HU" sz="1600">
              <a:latin typeface="Times New Roman" panose="02020603050405020304" pitchFamily="18" charset="0"/>
              <a:cs typeface="Times New Roman" panose="02020603050405020304" pitchFamily="18" charset="0"/>
            </a:rPr>
            <a:t>Notes of</a:t>
          </a:r>
          <a:r>
            <a:rPr lang="hu-HU" sz="1600" baseline="0">
              <a:latin typeface="Times New Roman" panose="02020603050405020304" pitchFamily="18" charset="0"/>
              <a:cs typeface="Times New Roman" panose="02020603050405020304" pitchFamily="18" charset="0"/>
            </a:rPr>
            <a:t> the reviewer.</a:t>
          </a:r>
          <a:endParaRPr lang="hu-HU" sz="16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674916</xdr:colOff>
      <xdr:row>16</xdr:row>
      <xdr:rowOff>38099</xdr:rowOff>
    </xdr:from>
    <xdr:to>
      <xdr:col>7</xdr:col>
      <xdr:colOff>136073</xdr:colOff>
      <xdr:row>21</xdr:row>
      <xdr:rowOff>92528</xdr:rowOff>
    </xdr:to>
    <xdr:sp macro="" textlink="">
      <xdr:nvSpPr>
        <xdr:cNvPr id="5" name="Szövegdoboz 4">
          <a:extLst>
            <a:ext uri="{FF2B5EF4-FFF2-40B4-BE49-F238E27FC236}">
              <a16:creationId xmlns:a16="http://schemas.microsoft.com/office/drawing/2014/main" id="{0704DAB4-7BB3-4B7D-99E3-4915A50B6DBC}"/>
            </a:ext>
          </a:extLst>
        </xdr:cNvPr>
        <xdr:cNvSpPr txBox="1"/>
      </xdr:nvSpPr>
      <xdr:spPr>
        <a:xfrm>
          <a:off x="674916" y="3445328"/>
          <a:ext cx="7293428" cy="10341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just"/>
          <a:r>
            <a:rPr lang="hu-HU" sz="1400" b="1">
              <a:latin typeface="Times New Roman" panose="02020603050405020304" pitchFamily="18" charset="0"/>
              <a:cs typeface="Times New Roman" panose="02020603050405020304" pitchFamily="18" charset="0"/>
            </a:rPr>
            <a:t>Task 4</a:t>
          </a:r>
        </a:p>
        <a:p>
          <a:pPr algn="just"/>
          <a:r>
            <a:rPr lang="hu-HU" sz="1400" b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Based on the given data calculate the value of the listed multiples. </a:t>
          </a:r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(10 points)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9</xdr:row>
      <xdr:rowOff>114300</xdr:rowOff>
    </xdr:from>
    <xdr:to>
      <xdr:col>9</xdr:col>
      <xdr:colOff>190500</xdr:colOff>
      <xdr:row>17</xdr:row>
      <xdr:rowOff>114299</xdr:rowOff>
    </xdr:to>
    <xdr:sp macro="" textlink="">
      <xdr:nvSpPr>
        <xdr:cNvPr id="2" name="Szövegdoboz 1">
          <a:extLst>
            <a:ext uri="{FF2B5EF4-FFF2-40B4-BE49-F238E27FC236}">
              <a16:creationId xmlns:a16="http://schemas.microsoft.com/office/drawing/2014/main" id="{1C2C32B3-3994-44EE-B4DB-C1B21C2C3FB9}"/>
            </a:ext>
          </a:extLst>
        </xdr:cNvPr>
        <xdr:cNvSpPr txBox="1"/>
      </xdr:nvSpPr>
      <xdr:spPr>
        <a:xfrm>
          <a:off x="695324" y="2238375"/>
          <a:ext cx="8172451" cy="16001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just"/>
          <a:r>
            <a:rPr lang="hu-HU" sz="1400" b="1">
              <a:latin typeface="Times New Roman" panose="02020603050405020304" pitchFamily="18" charset="0"/>
              <a:cs typeface="Times New Roman" panose="02020603050405020304" pitchFamily="18" charset="0"/>
            </a:rPr>
            <a:t>Task 4</a:t>
          </a:r>
        </a:p>
        <a:p>
          <a:pPr algn="just"/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Assume a venture capital fund with a yearly cost of financing of 20%. Their usual investment horizon is 8 years, probability of project failures is 65% and the return collected in case of failure is 7% yearly for the total investment horizon. Assume</a:t>
          </a:r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a </a:t>
          </a:r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corporate tax rate of 20% for the full time horizon.</a:t>
          </a:r>
        </a:p>
        <a:p>
          <a:pPr algn="just"/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a) What should be the required rate of return for success cases?</a:t>
          </a:r>
        </a:p>
        <a:p>
          <a:pPr algn="just"/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b) Assume the required return is 32% for the success cases. What ownership stake should we ask for an investment of 200 M today based on the data provided below? Are the founders likely to agree?  (10 points)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9</xdr:row>
      <xdr:rowOff>114300</xdr:rowOff>
    </xdr:from>
    <xdr:to>
      <xdr:col>9</xdr:col>
      <xdr:colOff>190500</xdr:colOff>
      <xdr:row>17</xdr:row>
      <xdr:rowOff>114299</xdr:rowOff>
    </xdr:to>
    <xdr:sp macro="" textlink="">
      <xdr:nvSpPr>
        <xdr:cNvPr id="2" name="Szövegdoboz 1">
          <a:extLst>
            <a:ext uri="{FF2B5EF4-FFF2-40B4-BE49-F238E27FC236}">
              <a16:creationId xmlns:a16="http://schemas.microsoft.com/office/drawing/2014/main" id="{C6DAB8F8-2BA4-6F49-8B0F-9D772F81EE9B}"/>
            </a:ext>
          </a:extLst>
        </xdr:cNvPr>
        <xdr:cNvSpPr txBox="1"/>
      </xdr:nvSpPr>
      <xdr:spPr>
        <a:xfrm>
          <a:off x="682624" y="2197100"/>
          <a:ext cx="8601076" cy="1625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just"/>
          <a:r>
            <a:rPr lang="hu-HU" sz="1400" b="1">
              <a:latin typeface="Times New Roman" panose="02020603050405020304" pitchFamily="18" charset="0"/>
              <a:cs typeface="Times New Roman" panose="02020603050405020304" pitchFamily="18" charset="0"/>
            </a:rPr>
            <a:t>Task 4</a:t>
          </a:r>
        </a:p>
        <a:p>
          <a:pPr algn="just"/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Assume a venture capital fund with a yearly cost of financing of 20%. Their usual investment horizon is 8 years, probability of project failures is 65% and the return collected in case of failure is 7% yearly for the total investment horizon. Assume</a:t>
          </a:r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a </a:t>
          </a:r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corporate tax rate of 20% for the full time horizon.</a:t>
          </a:r>
        </a:p>
        <a:p>
          <a:pPr algn="just"/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a) What should be the required rate of return for success cases?</a:t>
          </a:r>
        </a:p>
        <a:p>
          <a:pPr algn="just"/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b) Assume the required return is 32% for the success cases. What ownership stake should we ask for an investment of 200 M today based on the data provided below? Are the founders likely to agree?  (10 points)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10</xdr:row>
      <xdr:rowOff>38100</xdr:rowOff>
    </xdr:from>
    <xdr:to>
      <xdr:col>7</xdr:col>
      <xdr:colOff>285750</xdr:colOff>
      <xdr:row>15</xdr:row>
      <xdr:rowOff>114300</xdr:rowOff>
    </xdr:to>
    <xdr:sp macro="" textlink="">
      <xdr:nvSpPr>
        <xdr:cNvPr id="2" name="Szövegdoboz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695324" y="2362200"/>
          <a:ext cx="7372351" cy="1076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hu-HU" sz="1400" b="1">
              <a:latin typeface="Times New Roman" panose="02020603050405020304" pitchFamily="18" charset="0"/>
              <a:cs typeface="Times New Roman" panose="02020603050405020304" pitchFamily="18" charset="0"/>
            </a:rPr>
            <a:t>Task</a:t>
          </a:r>
          <a:r>
            <a:rPr lang="hu-HU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5</a:t>
          </a:r>
          <a:endParaRPr lang="hu-HU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Describe and contrast the following asset valuation methods: replacement value, substitution value, capitalisation. </a:t>
          </a:r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(10 points)</a:t>
          </a:r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hu-HU" sz="14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9525</xdr:colOff>
      <xdr:row>16</xdr:row>
      <xdr:rowOff>9524</xdr:rowOff>
    </xdr:from>
    <xdr:to>
      <xdr:col>7</xdr:col>
      <xdr:colOff>285751</xdr:colOff>
      <xdr:row>33</xdr:row>
      <xdr:rowOff>85724</xdr:rowOff>
    </xdr:to>
    <xdr:sp macro="" textlink="">
      <xdr:nvSpPr>
        <xdr:cNvPr id="4" name="Szövegdoboz 3">
          <a:extLst>
            <a:ext uri="{FF2B5EF4-FFF2-40B4-BE49-F238E27FC236}">
              <a16:creationId xmlns:a16="http://schemas.microsoft.com/office/drawing/2014/main" id="{B2457B3A-23F9-459B-B509-8C0E2E7D7599}"/>
            </a:ext>
          </a:extLst>
        </xdr:cNvPr>
        <xdr:cNvSpPr txBox="1"/>
      </xdr:nvSpPr>
      <xdr:spPr>
        <a:xfrm>
          <a:off x="695325" y="3533774"/>
          <a:ext cx="7372351" cy="3533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Replacement cost estimates what it would cost you to replace all of the assets that a firm has</a:t>
          </a:r>
          <a:endParaRPr lang="en-I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US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today but focusing on the fuctionality rather than the asset. </a:t>
          </a:r>
        </a:p>
        <a:p>
          <a:endParaRPr lang="en-IN" sz="1400" b="0" i="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US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Substitution value refers to the cost of repurchase of recreation of an asset (entry price in the</a:t>
          </a:r>
          <a:endParaRPr lang="en-I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US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present). It evaluates </a:t>
          </a:r>
          <a:r>
            <a:rPr lang="en-IN" sz="1400" b="0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an asset's worth by estimating the cost of substituting it with an equivalent alternative</a:t>
          </a:r>
        </a:p>
        <a:p>
          <a:endParaRPr lang="en-IN" sz="1400" b="0" i="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IN" sz="1400" b="0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Capitalization is value of an asset based on its income-producing potential,</a:t>
          </a:r>
          <a:r>
            <a:rPr lang="en-IN" sz="1400" b="0" i="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used in</a:t>
          </a:r>
          <a:r>
            <a:rPr lang="hu-HU" sz="1800" b="0" i="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DCF.</a:t>
          </a:r>
          <a:endParaRPr lang="hu-HU" sz="14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37DBD-DECA-4097-9804-D82621A13861}">
  <sheetPr codeName="Munka2">
    <tabColor rgb="FF7030A0"/>
  </sheetPr>
  <dimension ref="A1"/>
  <sheetViews>
    <sheetView showGridLines="0" zoomScale="50" workbookViewId="0">
      <selection activeCell="I32" sqref="I32"/>
    </sheetView>
  </sheetViews>
  <sheetFormatPr defaultColWidth="8.796875" defaultRowHeight="15.6" x14ac:dyDescent="0.3"/>
  <sheetData/>
  <sheetProtection sheet="1" objects="1" scenarios="1" selectLockedCells="1" selectUnlockedCell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C0D39-D3DB-4713-8991-75511A3E78C9}">
  <sheetPr codeName="Munka3"/>
  <dimension ref="C9:I20"/>
  <sheetViews>
    <sheetView showGridLines="0" workbookViewId="0">
      <selection activeCell="D20" sqref="D20"/>
    </sheetView>
  </sheetViews>
  <sheetFormatPr defaultColWidth="8.796875" defaultRowHeight="15.6" x14ac:dyDescent="0.3"/>
  <cols>
    <col min="3" max="3" width="27.296875" bestFit="1" customWidth="1"/>
    <col min="4" max="4" width="32.69921875" bestFit="1" customWidth="1"/>
    <col min="9" max="9" width="25.296875" bestFit="1" customWidth="1"/>
    <col min="10" max="10" width="12.69921875" bestFit="1" customWidth="1"/>
  </cols>
  <sheetData>
    <row r="9" spans="3:9" ht="34.799999999999997" x14ac:dyDescent="0.55000000000000004">
      <c r="C9" s="68" t="s">
        <v>26</v>
      </c>
      <c r="D9" s="68"/>
      <c r="E9" s="5"/>
      <c r="F9" s="5"/>
      <c r="G9" s="5"/>
    </row>
    <row r="10" spans="3:9" ht="34.799999999999997" x14ac:dyDescent="0.55000000000000004">
      <c r="C10" s="68"/>
      <c r="D10" s="68"/>
      <c r="E10" s="5"/>
      <c r="F10" s="5"/>
      <c r="G10" s="5"/>
    </row>
    <row r="11" spans="3:9" ht="22.8" x14ac:dyDescent="0.4">
      <c r="C11" s="4"/>
      <c r="D11" s="4"/>
      <c r="G11" s="7"/>
    </row>
    <row r="12" spans="3:9" ht="22.8" x14ac:dyDescent="0.4">
      <c r="C12" s="4" t="s">
        <v>13</v>
      </c>
      <c r="D12" s="27">
        <v>45308</v>
      </c>
    </row>
    <row r="13" spans="3:9" ht="22.8" x14ac:dyDescent="0.4">
      <c r="C13" s="4" t="s">
        <v>16</v>
      </c>
      <c r="D13" s="17"/>
      <c r="I13" s="22" t="s">
        <v>9</v>
      </c>
    </row>
    <row r="14" spans="3:9" ht="22.8" x14ac:dyDescent="0.4">
      <c r="C14" s="4" t="s">
        <v>15</v>
      </c>
      <c r="D14" s="17"/>
      <c r="I14" s="22" t="s">
        <v>10</v>
      </c>
    </row>
    <row r="15" spans="3:9" ht="22.8" x14ac:dyDescent="0.4">
      <c r="C15" s="4"/>
      <c r="D15" s="6"/>
      <c r="I15" s="22"/>
    </row>
    <row r="16" spans="3:9" ht="22.8" x14ac:dyDescent="0.4">
      <c r="C16" s="4" t="s">
        <v>17</v>
      </c>
      <c r="D16" s="24" t="s">
        <v>9</v>
      </c>
    </row>
    <row r="17" spans="3:4" ht="22.8" x14ac:dyDescent="0.4">
      <c r="C17" s="4" t="s">
        <v>11</v>
      </c>
      <c r="D17" s="7" t="s">
        <v>12</v>
      </c>
    </row>
    <row r="18" spans="3:4" ht="22.8" x14ac:dyDescent="0.4">
      <c r="D18" s="7"/>
    </row>
    <row r="19" spans="3:4" ht="22.8" x14ac:dyDescent="0.4">
      <c r="D19" s="7"/>
    </row>
    <row r="20" spans="3:4" ht="22.8" x14ac:dyDescent="0.4">
      <c r="C20" s="4" t="s">
        <v>14</v>
      </c>
      <c r="D20" s="8" t="e">
        <f>+'Task 3'!C9+'Task 4'!C9+'Task 5'!C9+#REF!+'Task 2'!C9</f>
        <v>#REF!</v>
      </c>
    </row>
  </sheetData>
  <sheetProtection selectLockedCells="1"/>
  <mergeCells count="2">
    <mergeCell ref="C9:D9"/>
    <mergeCell ref="C10:D10"/>
  </mergeCells>
  <phoneticPr fontId="7" type="noConversion"/>
  <dataValidations count="1">
    <dataValidation allowBlank="1" showInputMessage="1" showErrorMessage="1" errorTitle="Ilyen csoport nincsen!" error="Kérem, a felsorolásból válasszon!" promptTitle="Válassza ki a csoportját!" sqref="D16" xr:uid="{E7C1251C-1580-42F2-91B9-E2C0C2F99FBF}"/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B5AA5-3586-E345-A86B-30DACB6CD09D}">
  <sheetPr>
    <tabColor rgb="FFFFC000"/>
  </sheetPr>
  <dimension ref="A1:P91"/>
  <sheetViews>
    <sheetView zoomScale="75" workbookViewId="0">
      <selection activeCell="C4" sqref="C4"/>
    </sheetView>
  </sheetViews>
  <sheetFormatPr defaultColWidth="8.796875" defaultRowHeight="15.6" x14ac:dyDescent="0.3"/>
  <cols>
    <col min="1" max="1" width="18.796875" bestFit="1" customWidth="1"/>
    <col min="2" max="2" width="18.19921875" bestFit="1" customWidth="1"/>
    <col min="3" max="3" width="23.5" bestFit="1" customWidth="1"/>
    <col min="4" max="4" width="9.796875" bestFit="1" customWidth="1"/>
    <col min="5" max="5" width="11.5" bestFit="1" customWidth="1"/>
    <col min="6" max="6" width="13.69921875" bestFit="1" customWidth="1"/>
    <col min="7" max="7" width="14.296875" bestFit="1" customWidth="1"/>
    <col min="8" max="8" width="3.796875" bestFit="1" customWidth="1"/>
    <col min="9" max="9" width="6.296875" bestFit="1" customWidth="1"/>
  </cols>
  <sheetData>
    <row r="1" spans="2:3" ht="16.2" thickBot="1" x14ac:dyDescent="0.35"/>
    <row r="2" spans="2:3" ht="18" x14ac:dyDescent="0.35">
      <c r="B2" s="9" t="str">
        <f>+Admin!C12</f>
        <v>Date</v>
      </c>
      <c r="C2" s="26">
        <f>+Admin!D12</f>
        <v>45308</v>
      </c>
    </row>
    <row r="3" spans="2:3" ht="18" x14ac:dyDescent="0.35">
      <c r="B3" s="10" t="str">
        <f>+Admin!C13</f>
        <v>Student name</v>
      </c>
      <c r="C3" s="11">
        <f>+Admin!D13</f>
        <v>0</v>
      </c>
    </row>
    <row r="4" spans="2:3" ht="18" x14ac:dyDescent="0.35">
      <c r="B4" s="10" t="str">
        <f>+Admin!C14</f>
        <v>Neptun code</v>
      </c>
      <c r="C4" s="11">
        <f>+Admin!D14</f>
        <v>0</v>
      </c>
    </row>
    <row r="5" spans="2:3" ht="18" x14ac:dyDescent="0.35">
      <c r="B5" s="10"/>
      <c r="C5" s="12"/>
    </row>
    <row r="6" spans="2:3" ht="18" x14ac:dyDescent="0.35">
      <c r="B6" s="10" t="str">
        <f>+Admin!C16</f>
        <v>Study program</v>
      </c>
      <c r="C6" s="12" t="str">
        <f>+Admin!D16</f>
        <v>Master in Finance</v>
      </c>
    </row>
    <row r="7" spans="2:3" ht="18.600000000000001" thickBot="1" x14ac:dyDescent="0.4">
      <c r="B7" s="13" t="str">
        <f>+Admin!C17</f>
        <v>Instructor</v>
      </c>
      <c r="C7" s="14" t="str">
        <f>+Admin!D17</f>
        <v>Péter Juhász, PhD, CFA</v>
      </c>
    </row>
    <row r="8" spans="2:3" ht="16.2" thickBot="1" x14ac:dyDescent="0.35"/>
    <row r="9" spans="2:3" ht="21" thickBot="1" x14ac:dyDescent="0.4">
      <c r="B9" s="15" t="s">
        <v>18</v>
      </c>
      <c r="C9" s="16"/>
    </row>
    <row r="26" spans="2:6" x14ac:dyDescent="0.3">
      <c r="D26" s="20"/>
      <c r="E26" s="20"/>
      <c r="F26" s="20"/>
    </row>
    <row r="27" spans="2:6" x14ac:dyDescent="0.3">
      <c r="C27" s="20" t="s">
        <v>55</v>
      </c>
      <c r="D27" s="20" t="s">
        <v>56</v>
      </c>
    </row>
    <row r="28" spans="2:6" x14ac:dyDescent="0.3">
      <c r="B28" t="s">
        <v>53</v>
      </c>
      <c r="C28" s="36">
        <v>3000000</v>
      </c>
      <c r="D28" s="20"/>
    </row>
    <row r="29" spans="2:6" x14ac:dyDescent="0.3">
      <c r="B29" t="s">
        <v>6</v>
      </c>
      <c r="C29" s="37">
        <v>0.15</v>
      </c>
      <c r="D29" s="37">
        <v>0.15</v>
      </c>
    </row>
    <row r="30" spans="2:6" x14ac:dyDescent="0.3">
      <c r="B30" s="28" t="s">
        <v>23</v>
      </c>
      <c r="C30" s="34">
        <v>2000</v>
      </c>
      <c r="D30" s="34">
        <v>2024</v>
      </c>
    </row>
    <row r="31" spans="2:6" x14ac:dyDescent="0.3">
      <c r="B31" t="s">
        <v>28</v>
      </c>
      <c r="C31" s="37">
        <v>0.1</v>
      </c>
      <c r="D31" s="37">
        <v>0.1</v>
      </c>
    </row>
    <row r="32" spans="2:6" x14ac:dyDescent="0.3">
      <c r="B32" t="s">
        <v>24</v>
      </c>
      <c r="C32" s="37">
        <v>0.25</v>
      </c>
      <c r="D32" s="37">
        <v>0.25</v>
      </c>
    </row>
    <row r="33" spans="2:16" x14ac:dyDescent="0.3">
      <c r="B33" t="s">
        <v>7</v>
      </c>
      <c r="C33" s="37">
        <v>0.05</v>
      </c>
      <c r="D33" s="37">
        <v>0.05</v>
      </c>
    </row>
    <row r="34" spans="2:16" x14ac:dyDescent="0.3">
      <c r="B34" t="s">
        <v>0</v>
      </c>
      <c r="C34" s="37">
        <v>0.03</v>
      </c>
      <c r="D34" s="37">
        <v>3.2000000000000001E-2</v>
      </c>
    </row>
    <row r="36" spans="2:16" x14ac:dyDescent="0.3">
      <c r="D36" s="18"/>
    </row>
    <row r="37" spans="2:16" x14ac:dyDescent="0.3">
      <c r="B37" s="30"/>
      <c r="C37" s="31"/>
      <c r="D37" s="31"/>
      <c r="E37" s="30"/>
      <c r="F37" s="30"/>
      <c r="G37" s="31"/>
    </row>
    <row r="38" spans="2:16" x14ac:dyDescent="0.3">
      <c r="C38" s="28"/>
      <c r="D38" s="28"/>
      <c r="G38" s="28"/>
    </row>
    <row r="39" spans="2:16" x14ac:dyDescent="0.3">
      <c r="C39" s="28"/>
      <c r="D39" s="28"/>
    </row>
    <row r="41" spans="2:16" x14ac:dyDescent="0.3">
      <c r="E41" s="20"/>
      <c r="F41" s="20"/>
      <c r="G41" s="20"/>
    </row>
    <row r="42" spans="2:16" x14ac:dyDescent="0.3">
      <c r="B42" s="20" t="s">
        <v>57</v>
      </c>
      <c r="C42" s="1">
        <v>1</v>
      </c>
      <c r="D42" s="1">
        <v>2</v>
      </c>
      <c r="E42" s="1">
        <v>3</v>
      </c>
      <c r="F42" s="1">
        <v>4</v>
      </c>
      <c r="G42" s="1" t="s">
        <v>1</v>
      </c>
      <c r="K42" s="20" t="s">
        <v>58</v>
      </c>
    </row>
    <row r="43" spans="2:16" x14ac:dyDescent="0.3">
      <c r="B43" t="s">
        <v>19</v>
      </c>
      <c r="C43" s="19">
        <v>250</v>
      </c>
      <c r="D43" s="19"/>
      <c r="E43" s="19"/>
      <c r="F43" s="19"/>
      <c r="G43" s="19"/>
      <c r="K43" t="s">
        <v>19</v>
      </c>
      <c r="L43" s="19">
        <v>250</v>
      </c>
      <c r="M43" s="19"/>
      <c r="N43" s="19"/>
      <c r="O43" s="19"/>
      <c r="P43" s="19"/>
    </row>
    <row r="44" spans="2:16" x14ac:dyDescent="0.3">
      <c r="B44" t="s">
        <v>8</v>
      </c>
      <c r="C44" s="38">
        <v>0.12</v>
      </c>
      <c r="D44" s="38">
        <v>0.12</v>
      </c>
      <c r="E44" s="38">
        <v>0.12</v>
      </c>
      <c r="F44" s="38">
        <v>0.12</v>
      </c>
      <c r="G44" s="38"/>
      <c r="K44" t="s">
        <v>8</v>
      </c>
      <c r="L44" s="38">
        <v>0.12</v>
      </c>
      <c r="M44" s="38"/>
      <c r="N44" s="38"/>
      <c r="O44" s="38"/>
      <c r="P44" s="38"/>
    </row>
    <row r="45" spans="2:16" x14ac:dyDescent="0.3">
      <c r="B45" t="s">
        <v>2</v>
      </c>
      <c r="C45" s="38"/>
      <c r="D45" s="38"/>
      <c r="E45" s="38"/>
      <c r="F45" s="38"/>
      <c r="G45" s="38">
        <v>0.1</v>
      </c>
      <c r="K45" t="s">
        <v>2</v>
      </c>
      <c r="L45" s="38"/>
      <c r="M45" s="38">
        <v>0.15</v>
      </c>
      <c r="N45" s="38">
        <v>0.14000000000000001</v>
      </c>
      <c r="O45" s="38">
        <v>0.13</v>
      </c>
      <c r="P45" s="38">
        <v>0.1</v>
      </c>
    </row>
    <row r="46" spans="2:16" x14ac:dyDescent="0.3">
      <c r="B46" t="s">
        <v>3</v>
      </c>
      <c r="C46" s="38">
        <v>0.2</v>
      </c>
      <c r="D46" s="38">
        <v>0.2</v>
      </c>
      <c r="E46" s="38">
        <v>0.2</v>
      </c>
      <c r="F46" s="38">
        <v>0.2</v>
      </c>
      <c r="G46" s="38"/>
      <c r="K46" t="s">
        <v>3</v>
      </c>
      <c r="L46" s="38">
        <v>0.7</v>
      </c>
      <c r="M46" s="38">
        <v>0.6</v>
      </c>
      <c r="N46" s="38">
        <v>0.5</v>
      </c>
      <c r="O46" s="38">
        <v>0.4</v>
      </c>
      <c r="P46" s="38"/>
    </row>
    <row r="47" spans="2:16" x14ac:dyDescent="0.3">
      <c r="B47" t="s">
        <v>24</v>
      </c>
      <c r="C47" s="38">
        <v>0</v>
      </c>
      <c r="D47" s="38">
        <v>0</v>
      </c>
      <c r="E47" s="38">
        <v>0</v>
      </c>
      <c r="F47" s="38">
        <v>0</v>
      </c>
      <c r="G47" s="38">
        <v>0</v>
      </c>
      <c r="K47" t="s">
        <v>24</v>
      </c>
      <c r="L47" s="38">
        <v>0.25</v>
      </c>
      <c r="M47" s="38">
        <v>0.25</v>
      </c>
      <c r="N47" s="38">
        <v>0.25</v>
      </c>
      <c r="O47" s="38">
        <v>0.25</v>
      </c>
      <c r="P47" s="38">
        <v>0.25</v>
      </c>
    </row>
    <row r="48" spans="2:16" x14ac:dyDescent="0.3">
      <c r="B48" t="s">
        <v>53</v>
      </c>
      <c r="C48" s="28">
        <v>500000</v>
      </c>
      <c r="K48" t="s">
        <v>7</v>
      </c>
      <c r="L48" s="38">
        <v>0.04</v>
      </c>
      <c r="M48" s="38">
        <v>0.04</v>
      </c>
      <c r="N48" s="38">
        <v>0.04</v>
      </c>
      <c r="O48" s="38">
        <v>0.04</v>
      </c>
      <c r="P48" s="38">
        <v>0.04</v>
      </c>
    </row>
    <row r="49" spans="1:16" x14ac:dyDescent="0.3">
      <c r="B49" t="s">
        <v>59</v>
      </c>
      <c r="C49" s="38"/>
      <c r="D49" s="38"/>
      <c r="E49" s="38"/>
      <c r="F49" s="38"/>
      <c r="G49" s="38">
        <v>0.05</v>
      </c>
      <c r="K49" t="s">
        <v>59</v>
      </c>
      <c r="P49" s="38">
        <v>0.05</v>
      </c>
    </row>
    <row r="50" spans="1:16" x14ac:dyDescent="0.3">
      <c r="B50" t="s">
        <v>25</v>
      </c>
      <c r="C50" s="38">
        <v>0.1</v>
      </c>
      <c r="D50" s="38">
        <v>0.1</v>
      </c>
      <c r="E50" s="38">
        <v>0.1</v>
      </c>
      <c r="F50" s="38">
        <v>0.1</v>
      </c>
      <c r="G50" s="38">
        <v>0.1</v>
      </c>
    </row>
    <row r="51" spans="1:16" x14ac:dyDescent="0.3">
      <c r="B51" t="s">
        <v>6</v>
      </c>
      <c r="C51" s="38">
        <v>0.15</v>
      </c>
      <c r="D51" s="38">
        <v>0.15</v>
      </c>
      <c r="E51" s="38">
        <v>0.15</v>
      </c>
      <c r="F51" s="38">
        <v>0.15</v>
      </c>
      <c r="G51" s="38">
        <v>0.15</v>
      </c>
    </row>
    <row r="52" spans="1:16" x14ac:dyDescent="0.3">
      <c r="C52" s="38"/>
      <c r="D52" s="38"/>
      <c r="E52" s="38"/>
      <c r="F52" s="38"/>
      <c r="G52" s="38"/>
    </row>
    <row r="53" spans="1:16" x14ac:dyDescent="0.3">
      <c r="B53" t="s">
        <v>28</v>
      </c>
      <c r="C53" s="67">
        <f>C50-L48*L48*C51</f>
        <v>9.9760000000000001E-2</v>
      </c>
      <c r="D53" s="67">
        <f t="shared" ref="D53:G53" si="0">D50-M48*M48*D51</f>
        <v>9.9760000000000001E-2</v>
      </c>
      <c r="E53" s="67">
        <f t="shared" si="0"/>
        <v>9.9760000000000001E-2</v>
      </c>
      <c r="F53" s="67">
        <f t="shared" si="0"/>
        <v>9.9760000000000001E-2</v>
      </c>
      <c r="G53" s="67">
        <f t="shared" si="0"/>
        <v>9.9760000000000001E-2</v>
      </c>
    </row>
    <row r="54" spans="1:16" x14ac:dyDescent="0.3">
      <c r="B54" t="s">
        <v>19</v>
      </c>
      <c r="C54" s="28">
        <f>C43</f>
        <v>250</v>
      </c>
      <c r="D54" s="28">
        <f>C54+C60</f>
        <v>256</v>
      </c>
      <c r="E54" s="28">
        <f t="shared" ref="E54:F54" si="1">D54+D60</f>
        <v>262.14400000000001</v>
      </c>
      <c r="F54" s="28">
        <f t="shared" si="1"/>
        <v>268.43545599999999</v>
      </c>
      <c r="G54" s="28">
        <f>F54+F60</f>
        <v>274.87790694399996</v>
      </c>
    </row>
    <row r="55" spans="1:16" x14ac:dyDescent="0.3">
      <c r="A55" t="s">
        <v>168</v>
      </c>
      <c r="B55" t="s">
        <v>66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16" x14ac:dyDescent="0.3">
      <c r="B56" t="s">
        <v>67</v>
      </c>
      <c r="C56" s="28">
        <f>C54-C57</f>
        <v>250</v>
      </c>
      <c r="D56" s="28">
        <f t="shared" ref="D56:G56" si="2">D54-D57</f>
        <v>256</v>
      </c>
      <c r="E56" s="28">
        <f t="shared" si="2"/>
        <v>262.14400000000001</v>
      </c>
      <c r="F56" s="28">
        <f t="shared" si="2"/>
        <v>268.43545599999999</v>
      </c>
      <c r="G56" s="28">
        <f t="shared" si="2"/>
        <v>274.87790694399996</v>
      </c>
    </row>
    <row r="58" spans="1:16" x14ac:dyDescent="0.3">
      <c r="B58" t="s">
        <v>68</v>
      </c>
    </row>
    <row r="59" spans="1:16" x14ac:dyDescent="0.3">
      <c r="B59" t="s">
        <v>69</v>
      </c>
      <c r="C59">
        <f>C54*C44</f>
        <v>30</v>
      </c>
      <c r="D59">
        <f t="shared" ref="D59:F59" si="3">D54*D44</f>
        <v>30.72</v>
      </c>
      <c r="E59">
        <f t="shared" si="3"/>
        <v>31.457280000000001</v>
      </c>
      <c r="F59">
        <f t="shared" si="3"/>
        <v>32.212254719999997</v>
      </c>
      <c r="G59">
        <f>F59+F59*G49</f>
        <v>33.822867455999997</v>
      </c>
    </row>
    <row r="60" spans="1:16" x14ac:dyDescent="0.3">
      <c r="B60" t="s">
        <v>29</v>
      </c>
      <c r="C60">
        <f>C59*C46</f>
        <v>6</v>
      </c>
      <c r="D60">
        <f t="shared" ref="D60:F60" si="4">D59*D46</f>
        <v>6.1440000000000001</v>
      </c>
      <c r="E60">
        <f t="shared" si="4"/>
        <v>6.2914560000000002</v>
      </c>
      <c r="F60">
        <f t="shared" si="4"/>
        <v>6.442450944</v>
      </c>
      <c r="G60">
        <f>(G59-F59)/G45</f>
        <v>16.106127360000002</v>
      </c>
    </row>
    <row r="61" spans="1:16" x14ac:dyDescent="0.3">
      <c r="B61" t="s">
        <v>23</v>
      </c>
      <c r="C61">
        <f>C59-C60</f>
        <v>24</v>
      </c>
      <c r="D61">
        <f t="shared" ref="D61:G61" si="5">D59-D60</f>
        <v>24.576000000000001</v>
      </c>
      <c r="E61">
        <f t="shared" si="5"/>
        <v>25.165824000000001</v>
      </c>
      <c r="F61">
        <f t="shared" si="5"/>
        <v>25.769803775999996</v>
      </c>
      <c r="G61">
        <f t="shared" si="5"/>
        <v>17.716740095999995</v>
      </c>
    </row>
    <row r="62" spans="1:16" x14ac:dyDescent="0.3">
      <c r="B62" t="s">
        <v>158</v>
      </c>
      <c r="G62">
        <f>G61/(G53-G49)</f>
        <v>356.04381221864941</v>
      </c>
    </row>
    <row r="70" spans="2:3" x14ac:dyDescent="0.3">
      <c r="C70" t="s">
        <v>57</v>
      </c>
    </row>
    <row r="71" spans="2:3" x14ac:dyDescent="0.3">
      <c r="B71" t="s">
        <v>28</v>
      </c>
      <c r="C71" s="67">
        <f>G53</f>
        <v>9.9760000000000001E-2</v>
      </c>
    </row>
    <row r="72" spans="2:3" x14ac:dyDescent="0.3">
      <c r="B72" t="s">
        <v>156</v>
      </c>
      <c r="C72">
        <f>G60/G59</f>
        <v>0.47619047619047628</v>
      </c>
    </row>
    <row r="73" spans="2:3" x14ac:dyDescent="0.3">
      <c r="B73" t="s">
        <v>157</v>
      </c>
      <c r="C73">
        <f>G59</f>
        <v>33.822867455999997</v>
      </c>
    </row>
    <row r="75" spans="2:3" x14ac:dyDescent="0.3">
      <c r="B75" t="s">
        <v>158</v>
      </c>
      <c r="C75">
        <f>G62</f>
        <v>356.04381221864941</v>
      </c>
    </row>
    <row r="76" spans="2:3" x14ac:dyDescent="0.3">
      <c r="B76" t="s">
        <v>87</v>
      </c>
      <c r="C76">
        <f>G55</f>
        <v>0</v>
      </c>
    </row>
    <row r="77" spans="2:3" x14ac:dyDescent="0.3">
      <c r="B77" t="s">
        <v>83</v>
      </c>
      <c r="C77" s="28">
        <f>G56</f>
        <v>274.87790694399996</v>
      </c>
    </row>
    <row r="78" spans="2:3" x14ac:dyDescent="0.3">
      <c r="B78" t="s">
        <v>159</v>
      </c>
    </row>
    <row r="80" spans="2:3" x14ac:dyDescent="0.3">
      <c r="B80" t="s">
        <v>160</v>
      </c>
    </row>
    <row r="81" spans="2:2" x14ac:dyDescent="0.3">
      <c r="B81" t="s">
        <v>161</v>
      </c>
    </row>
    <row r="83" spans="2:2" x14ac:dyDescent="0.3">
      <c r="B83" t="s">
        <v>162</v>
      </c>
    </row>
    <row r="84" spans="2:2" x14ac:dyDescent="0.3">
      <c r="B84" t="s">
        <v>43</v>
      </c>
    </row>
    <row r="85" spans="2:2" x14ac:dyDescent="0.3">
      <c r="B85" t="s">
        <v>163</v>
      </c>
    </row>
    <row r="86" spans="2:2" x14ac:dyDescent="0.3">
      <c r="B86" t="s">
        <v>164</v>
      </c>
    </row>
    <row r="88" spans="2:2" x14ac:dyDescent="0.3">
      <c r="B88" t="s">
        <v>165</v>
      </c>
    </row>
    <row r="89" spans="2:2" x14ac:dyDescent="0.3">
      <c r="B89" t="s">
        <v>166</v>
      </c>
    </row>
    <row r="91" spans="2:2" x14ac:dyDescent="0.3">
      <c r="B91" t="s">
        <v>167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AA70D-9BBD-467B-9276-4356E1676819}">
  <sheetPr>
    <tabColor rgb="FFFFC000"/>
  </sheetPr>
  <dimension ref="B1:J67"/>
  <sheetViews>
    <sheetView topLeftCell="A21" zoomScale="137" workbookViewId="0">
      <selection activeCell="D38" sqref="D38"/>
    </sheetView>
  </sheetViews>
  <sheetFormatPr defaultColWidth="8.796875" defaultRowHeight="15.6" x14ac:dyDescent="0.3"/>
  <cols>
    <col min="2" max="2" width="19.796875" bestFit="1" customWidth="1"/>
    <col min="3" max="3" width="27.19921875" bestFit="1" customWidth="1"/>
    <col min="4" max="5" width="11" bestFit="1" customWidth="1"/>
    <col min="6" max="6" width="8.796875" bestFit="1" customWidth="1"/>
    <col min="7" max="7" width="9.796875" bestFit="1" customWidth="1"/>
    <col min="8" max="9" width="8.796875" bestFit="1" customWidth="1"/>
  </cols>
  <sheetData>
    <row r="1" spans="2:3" ht="16.2" thickBot="1" x14ac:dyDescent="0.35"/>
    <row r="2" spans="2:3" ht="18" x14ac:dyDescent="0.35">
      <c r="B2" s="9" t="str">
        <f>+Admin!C12</f>
        <v>Date</v>
      </c>
      <c r="C2" s="26">
        <f>+Admin!D12</f>
        <v>45308</v>
      </c>
    </row>
    <row r="3" spans="2:3" ht="18" x14ac:dyDescent="0.35">
      <c r="B3" s="10" t="str">
        <f>+Admin!C13</f>
        <v>Student name</v>
      </c>
      <c r="C3" s="11">
        <f>+Admin!D13</f>
        <v>0</v>
      </c>
    </row>
    <row r="4" spans="2:3" ht="18" x14ac:dyDescent="0.35">
      <c r="B4" s="10" t="str">
        <f>+Admin!C14</f>
        <v>Neptun code</v>
      </c>
      <c r="C4" s="11">
        <f>+Admin!D14</f>
        <v>0</v>
      </c>
    </row>
    <row r="5" spans="2:3" ht="18" x14ac:dyDescent="0.35">
      <c r="B5" s="10"/>
      <c r="C5" s="12"/>
    </row>
    <row r="6" spans="2:3" ht="18" x14ac:dyDescent="0.35">
      <c r="B6" s="10" t="str">
        <f>+Admin!C16</f>
        <v>Study program</v>
      </c>
      <c r="C6" s="12" t="str">
        <f>+Admin!D16</f>
        <v>Master in Finance</v>
      </c>
    </row>
    <row r="7" spans="2:3" ht="18.600000000000001" thickBot="1" x14ac:dyDescent="0.4">
      <c r="B7" s="13" t="str">
        <f>+Admin!C17</f>
        <v>Instructor</v>
      </c>
      <c r="C7" s="14" t="str">
        <f>+Admin!D17</f>
        <v>Péter Juhász, PhD, CFA</v>
      </c>
    </row>
    <row r="8" spans="2:3" ht="16.2" thickBot="1" x14ac:dyDescent="0.35"/>
    <row r="9" spans="2:3" ht="21" thickBot="1" x14ac:dyDescent="0.4">
      <c r="B9" s="15" t="s">
        <v>18</v>
      </c>
      <c r="C9" s="16"/>
    </row>
    <row r="25" spans="3:9" x14ac:dyDescent="0.3">
      <c r="C25" s="18"/>
      <c r="D25" s="25">
        <v>2024</v>
      </c>
      <c r="E25" s="20">
        <f>+D25+1</f>
        <v>2025</v>
      </c>
      <c r="F25" s="20">
        <f t="shared" ref="F25:H25" si="0">+E25+1</f>
        <v>2026</v>
      </c>
      <c r="G25" s="20">
        <f t="shared" si="0"/>
        <v>2027</v>
      </c>
      <c r="H25" s="20">
        <f t="shared" si="0"/>
        <v>2028</v>
      </c>
      <c r="I25" s="1" t="s">
        <v>1</v>
      </c>
    </row>
    <row r="26" spans="3:9" x14ac:dyDescent="0.3">
      <c r="C26" s="2" t="s">
        <v>6</v>
      </c>
      <c r="D26" s="3">
        <v>0.2</v>
      </c>
      <c r="E26" s="3">
        <v>0.2</v>
      </c>
      <c r="F26" s="3">
        <v>0.2</v>
      </c>
      <c r="G26" s="3">
        <v>0.2</v>
      </c>
      <c r="H26" s="3">
        <v>0.2</v>
      </c>
      <c r="I26" s="3">
        <v>0.2</v>
      </c>
    </row>
    <row r="27" spans="3:9" x14ac:dyDescent="0.3">
      <c r="C27" s="2" t="s">
        <v>2</v>
      </c>
      <c r="D27" s="3"/>
      <c r="E27" s="3"/>
      <c r="F27" s="3">
        <v>0.16</v>
      </c>
      <c r="G27" s="3">
        <v>0.15</v>
      </c>
      <c r="H27" s="3">
        <v>0.14000000000000001</v>
      </c>
      <c r="I27" s="41">
        <f>I37</f>
        <v>0.11416</v>
      </c>
    </row>
    <row r="28" spans="3:9" x14ac:dyDescent="0.3">
      <c r="C28" s="2" t="s">
        <v>8</v>
      </c>
      <c r="D28" s="3">
        <v>-0.01</v>
      </c>
      <c r="E28" s="3">
        <v>0.15</v>
      </c>
      <c r="F28" s="3"/>
      <c r="G28" s="3"/>
      <c r="H28" s="3"/>
      <c r="I28" s="3"/>
    </row>
    <row r="29" spans="3:9" ht="18" x14ac:dyDescent="0.3">
      <c r="C29" s="2" t="s">
        <v>4</v>
      </c>
      <c r="D29" s="3">
        <v>0.12</v>
      </c>
      <c r="E29" s="3">
        <v>0.12</v>
      </c>
      <c r="F29" s="3">
        <v>0.12</v>
      </c>
      <c r="G29" s="3">
        <v>0.12</v>
      </c>
      <c r="H29" s="3">
        <v>0.12</v>
      </c>
      <c r="I29" s="3">
        <v>0.12</v>
      </c>
    </row>
    <row r="30" spans="3:9" ht="18" x14ac:dyDescent="0.3">
      <c r="C30" s="2" t="s">
        <v>5</v>
      </c>
      <c r="D30" s="3">
        <v>0.06</v>
      </c>
      <c r="E30" s="3">
        <v>0.06</v>
      </c>
      <c r="F30" s="3">
        <v>6.5000000000000002E-2</v>
      </c>
      <c r="G30" s="3">
        <v>7.0000000000000007E-2</v>
      </c>
      <c r="H30" s="3">
        <v>7.2999999999999995E-2</v>
      </c>
      <c r="I30" s="3">
        <v>7.2999999999999995E-2</v>
      </c>
    </row>
    <row r="31" spans="3:9" x14ac:dyDescent="0.3">
      <c r="C31" s="2" t="s">
        <v>29</v>
      </c>
      <c r="D31" s="34">
        <v>2000</v>
      </c>
      <c r="E31" s="34">
        <v>1000</v>
      </c>
    </row>
    <row r="32" spans="3:9" x14ac:dyDescent="0.3">
      <c r="C32" s="2" t="s">
        <v>3</v>
      </c>
      <c r="D32" s="3"/>
      <c r="E32" s="3"/>
      <c r="F32" s="3">
        <v>0.4</v>
      </c>
      <c r="G32" s="3">
        <v>0.3</v>
      </c>
      <c r="H32" s="3">
        <v>0.25</v>
      </c>
      <c r="I32" s="3">
        <f>I35/I27</f>
        <v>0.61317449194113527</v>
      </c>
    </row>
    <row r="33" spans="3:10" x14ac:dyDescent="0.3">
      <c r="C33" s="2" t="s">
        <v>22</v>
      </c>
      <c r="D33" s="41">
        <f>D39/D59</f>
        <v>4.1886637055251467E-2</v>
      </c>
      <c r="E33" s="41">
        <f t="shared" ref="E33:G33" si="1">E39/E59</f>
        <v>0.11252635468007274</v>
      </c>
      <c r="F33" s="41">
        <f t="shared" si="1"/>
        <v>0.18730153222050194</v>
      </c>
      <c r="G33" s="41">
        <f t="shared" si="1"/>
        <v>0.26472530905429498</v>
      </c>
      <c r="H33" s="3">
        <v>0.4</v>
      </c>
      <c r="I33" s="3">
        <v>0.4</v>
      </c>
    </row>
    <row r="34" spans="3:10" x14ac:dyDescent="0.3">
      <c r="C34" s="2" t="s">
        <v>21</v>
      </c>
      <c r="D34" s="3">
        <v>0.05</v>
      </c>
      <c r="E34" s="3">
        <v>0.15</v>
      </c>
      <c r="F34" s="3">
        <v>0.25</v>
      </c>
      <c r="G34" s="3">
        <v>0.35</v>
      </c>
      <c r="H34" s="3"/>
      <c r="I34" s="3"/>
    </row>
    <row r="35" spans="3:10" x14ac:dyDescent="0.3">
      <c r="C35" s="2" t="s">
        <v>20</v>
      </c>
      <c r="D35" s="18"/>
      <c r="E35" s="18"/>
      <c r="F35" s="18"/>
      <c r="G35" s="3"/>
      <c r="H35" s="3"/>
      <c r="I35" s="3">
        <v>7.0000000000000007E-2</v>
      </c>
    </row>
    <row r="37" spans="3:10" x14ac:dyDescent="0.3">
      <c r="C37" t="s">
        <v>28</v>
      </c>
      <c r="D37" s="21">
        <f>D29-D33*D30*D26</f>
        <v>0.11949736035533698</v>
      </c>
      <c r="E37" s="21">
        <f t="shared" ref="E37:I37" si="2">E29-E33*E30*E26</f>
        <v>0.11864968374383912</v>
      </c>
      <c r="F37" s="21">
        <f t="shared" si="2"/>
        <v>0.11756508008113348</v>
      </c>
      <c r="G37" s="21">
        <f t="shared" si="2"/>
        <v>0.11629384567323986</v>
      </c>
      <c r="H37" s="21">
        <f t="shared" si="2"/>
        <v>0.11416</v>
      </c>
      <c r="I37" s="21">
        <f t="shared" si="2"/>
        <v>0.11416</v>
      </c>
    </row>
    <row r="38" spans="3:10" x14ac:dyDescent="0.3">
      <c r="C38" t="s">
        <v>19</v>
      </c>
      <c r="D38">
        <v>50000</v>
      </c>
      <c r="E38" s="28">
        <f>D38+D44</f>
        <v>52000</v>
      </c>
      <c r="F38" s="28">
        <f>E38+E44</f>
        <v>53000</v>
      </c>
      <c r="G38" s="28">
        <f t="shared" ref="G38:I38" si="3">F38+F44</f>
        <v>56184</v>
      </c>
      <c r="H38" s="28">
        <f t="shared" si="3"/>
        <v>58715.28</v>
      </c>
      <c r="I38" s="28">
        <f t="shared" si="3"/>
        <v>60913.274799999999</v>
      </c>
    </row>
    <row r="39" spans="3:10" x14ac:dyDescent="0.3">
      <c r="C39" t="s">
        <v>66</v>
      </c>
      <c r="D39">
        <f>D38*D34</f>
        <v>2500</v>
      </c>
      <c r="E39">
        <f>E38*E34</f>
        <v>7800</v>
      </c>
      <c r="F39">
        <f>F38*F34</f>
        <v>13250</v>
      </c>
      <c r="G39">
        <f>G38*G34</f>
        <v>19664.399999999998</v>
      </c>
      <c r="H39" s="42">
        <f>H33*H54</f>
        <v>30805.813594954456</v>
      </c>
      <c r="I39" s="42">
        <f>I33*I54</f>
        <v>31685.011514954458</v>
      </c>
      <c r="J39" s="42">
        <f>I39+(I39*I35)</f>
        <v>33902.962321001272</v>
      </c>
    </row>
    <row r="40" spans="3:10" x14ac:dyDescent="0.3">
      <c r="C40" t="s">
        <v>67</v>
      </c>
      <c r="D40">
        <f>D38-D39</f>
        <v>47500</v>
      </c>
      <c r="E40">
        <f t="shared" ref="E40:I40" si="4">E38-E39</f>
        <v>44200</v>
      </c>
      <c r="F40">
        <f t="shared" si="4"/>
        <v>39750</v>
      </c>
      <c r="G40">
        <f t="shared" si="4"/>
        <v>36519.600000000006</v>
      </c>
      <c r="H40">
        <f t="shared" si="4"/>
        <v>27909.466405045543</v>
      </c>
      <c r="I40">
        <f t="shared" si="4"/>
        <v>29228.263285045541</v>
      </c>
    </row>
    <row r="42" spans="3:10" x14ac:dyDescent="0.3">
      <c r="C42" t="s">
        <v>68</v>
      </c>
    </row>
    <row r="43" spans="3:10" x14ac:dyDescent="0.3">
      <c r="C43" t="s">
        <v>69</v>
      </c>
      <c r="D43">
        <f>D28*D38</f>
        <v>-500</v>
      </c>
      <c r="E43">
        <f>E28*E38</f>
        <v>7800</v>
      </c>
      <c r="F43">
        <f>E44*F27+E43</f>
        <v>7960</v>
      </c>
      <c r="G43">
        <f>F44*G27+F43</f>
        <v>8437.6</v>
      </c>
      <c r="H43">
        <f>G44*H27+G43</f>
        <v>8791.9791999999998</v>
      </c>
      <c r="I43">
        <f>H44*I27+H43</f>
        <v>9042.9022863680002</v>
      </c>
    </row>
    <row r="44" spans="3:10" x14ac:dyDescent="0.3">
      <c r="C44" t="s">
        <v>29</v>
      </c>
      <c r="D44" s="28">
        <f>D31</f>
        <v>2000</v>
      </c>
      <c r="E44" s="28">
        <f>E31</f>
        <v>1000</v>
      </c>
      <c r="F44">
        <f>F32*F43</f>
        <v>3184</v>
      </c>
      <c r="G44">
        <f t="shared" ref="G44:I44" si="5">G32*G43</f>
        <v>2531.2800000000002</v>
      </c>
      <c r="H44">
        <f t="shared" si="5"/>
        <v>2197.9947999999999</v>
      </c>
      <c r="I44">
        <f t="shared" si="5"/>
        <v>5544.8770151170293</v>
      </c>
    </row>
    <row r="45" spans="3:10" x14ac:dyDescent="0.3">
      <c r="C45" t="s">
        <v>23</v>
      </c>
      <c r="D45" s="28">
        <f>D43-D44</f>
        <v>-2500</v>
      </c>
      <c r="E45" s="28">
        <f t="shared" ref="E45:I45" si="6">E43-E44</f>
        <v>6800</v>
      </c>
      <c r="F45" s="28">
        <f t="shared" si="6"/>
        <v>4776</v>
      </c>
      <c r="G45" s="28">
        <f t="shared" si="6"/>
        <v>5906.32</v>
      </c>
      <c r="H45" s="28">
        <f t="shared" si="6"/>
        <v>6593.9843999999994</v>
      </c>
      <c r="I45" s="28">
        <f t="shared" si="6"/>
        <v>3498.0252712509709</v>
      </c>
    </row>
    <row r="46" spans="3:10" x14ac:dyDescent="0.3">
      <c r="C46" t="s">
        <v>70</v>
      </c>
      <c r="D46">
        <f>D39*D30</f>
        <v>150</v>
      </c>
      <c r="E46">
        <f t="shared" ref="E46:I46" si="7">E39*E30</f>
        <v>468</v>
      </c>
      <c r="F46">
        <f t="shared" si="7"/>
        <v>861.25</v>
      </c>
      <c r="G46">
        <f t="shared" si="7"/>
        <v>1376.508</v>
      </c>
      <c r="H46">
        <f t="shared" si="7"/>
        <v>2248.8243924316753</v>
      </c>
      <c r="I46">
        <f t="shared" si="7"/>
        <v>2313.0058405916752</v>
      </c>
    </row>
    <row r="47" spans="3:10" x14ac:dyDescent="0.3">
      <c r="C47" t="s">
        <v>71</v>
      </c>
      <c r="D47">
        <f>D46*D26</f>
        <v>30</v>
      </c>
      <c r="E47">
        <f t="shared" ref="E47:I47" si="8">E46*E26</f>
        <v>93.600000000000009</v>
      </c>
      <c r="F47">
        <f t="shared" si="8"/>
        <v>172.25</v>
      </c>
      <c r="G47">
        <f t="shared" si="8"/>
        <v>275.30160000000001</v>
      </c>
      <c r="H47">
        <f t="shared" si="8"/>
        <v>449.76487848633508</v>
      </c>
      <c r="I47">
        <f t="shared" si="8"/>
        <v>462.60116811833507</v>
      </c>
    </row>
    <row r="48" spans="3:10" x14ac:dyDescent="0.3">
      <c r="C48" t="s">
        <v>72</v>
      </c>
      <c r="D48">
        <f>E39-D39</f>
        <v>5300</v>
      </c>
      <c r="E48">
        <f t="shared" ref="E48:I48" si="9">F39-E39</f>
        <v>5450</v>
      </c>
      <c r="F48">
        <f t="shared" si="9"/>
        <v>6414.3999999999978</v>
      </c>
      <c r="G48">
        <f t="shared" si="9"/>
        <v>11141.413594954458</v>
      </c>
      <c r="H48">
        <f t="shared" si="9"/>
        <v>879.19792000000234</v>
      </c>
      <c r="I48">
        <f t="shared" si="9"/>
        <v>2217.9508060468143</v>
      </c>
    </row>
    <row r="49" spans="3:9" x14ac:dyDescent="0.3">
      <c r="C49" t="s">
        <v>73</v>
      </c>
      <c r="D49" s="28">
        <f>D45-D46+D47+D48</f>
        <v>2680</v>
      </c>
      <c r="E49" s="28">
        <f t="shared" ref="E49:I49" si="10">E45-E46+E47+E48</f>
        <v>11875.6</v>
      </c>
      <c r="F49" s="28">
        <f t="shared" si="10"/>
        <v>10501.399999999998</v>
      </c>
      <c r="G49" s="28">
        <f t="shared" si="10"/>
        <v>15946.527194954459</v>
      </c>
      <c r="H49" s="28">
        <f t="shared" si="10"/>
        <v>5674.1228060546609</v>
      </c>
      <c r="I49" s="28">
        <f t="shared" si="10"/>
        <v>3865.5714048244449</v>
      </c>
    </row>
    <row r="52" spans="3:9" x14ac:dyDescent="0.3">
      <c r="C52" t="s">
        <v>23</v>
      </c>
      <c r="D52" s="28">
        <f>D45</f>
        <v>-2500</v>
      </c>
      <c r="E52" s="28">
        <f t="shared" ref="E52:I52" si="11">E45</f>
        <v>6800</v>
      </c>
      <c r="F52" s="28">
        <f t="shared" si="11"/>
        <v>4776</v>
      </c>
      <c r="G52" s="28">
        <f t="shared" si="11"/>
        <v>5906.32</v>
      </c>
      <c r="H52" s="28">
        <f t="shared" si="11"/>
        <v>6593.9843999999994</v>
      </c>
      <c r="I52" s="28">
        <f t="shared" si="11"/>
        <v>3498.0252712509709</v>
      </c>
    </row>
    <row r="53" spans="3:9" x14ac:dyDescent="0.3">
      <c r="C53" t="s">
        <v>28</v>
      </c>
      <c r="D53" s="21">
        <f>D37</f>
        <v>0.11949736035533698</v>
      </c>
      <c r="E53" s="21">
        <f t="shared" ref="E53:I53" si="12">E37</f>
        <v>0.11864968374383912</v>
      </c>
      <c r="F53" s="21">
        <f t="shared" si="12"/>
        <v>0.11756508008113348</v>
      </c>
      <c r="G53" s="21">
        <f t="shared" si="12"/>
        <v>0.11629384567323986</v>
      </c>
      <c r="H53" s="21">
        <f t="shared" si="12"/>
        <v>0.11416</v>
      </c>
      <c r="I53" s="21">
        <f t="shared" si="12"/>
        <v>0.11416</v>
      </c>
    </row>
    <row r="54" spans="3:9" x14ac:dyDescent="0.3">
      <c r="C54" s="39" t="s">
        <v>74</v>
      </c>
      <c r="D54">
        <f t="shared" ref="D54:G54" si="13">(D52+E54)/(1+D53)</f>
        <v>59684.906112236284</v>
      </c>
      <c r="E54">
        <f t="shared" si="13"/>
        <v>69317.094845704647</v>
      </c>
      <c r="F54">
        <f t="shared" si="13"/>
        <v>70741.546227189203</v>
      </c>
      <c r="G54">
        <f t="shared" si="13"/>
        <v>74282.281774451898</v>
      </c>
      <c r="H54">
        <f>(H52+I54)/(1+H53)</f>
        <v>77014.533987386138</v>
      </c>
      <c r="I54">
        <f>I52/(I53-I35)</f>
        <v>79212.528787386138</v>
      </c>
    </row>
    <row r="57" spans="3:9" x14ac:dyDescent="0.3">
      <c r="C57" t="s">
        <v>75</v>
      </c>
      <c r="D57" s="28">
        <f>D45+D47</f>
        <v>-2470</v>
      </c>
      <c r="E57" s="28">
        <f t="shared" ref="E57:I57" si="14">E45+E47</f>
        <v>6893.6</v>
      </c>
      <c r="F57" s="28">
        <f t="shared" si="14"/>
        <v>4948.25</v>
      </c>
      <c r="G57" s="28">
        <f t="shared" si="14"/>
        <v>6181.6215999999995</v>
      </c>
      <c r="H57" s="28">
        <f t="shared" si="14"/>
        <v>7043.7492784863343</v>
      </c>
      <c r="I57" s="28">
        <f t="shared" si="14"/>
        <v>3960.6264393693059</v>
      </c>
    </row>
    <row r="58" spans="3:9" x14ac:dyDescent="0.3">
      <c r="C58" t="s">
        <v>25</v>
      </c>
      <c r="D58" s="21">
        <f>D29</f>
        <v>0.12</v>
      </c>
      <c r="E58" s="21">
        <f t="shared" ref="E58:I58" si="15">E29</f>
        <v>0.12</v>
      </c>
      <c r="F58" s="21">
        <f t="shared" si="15"/>
        <v>0.12</v>
      </c>
      <c r="G58" s="21">
        <f t="shared" si="15"/>
        <v>0.12</v>
      </c>
      <c r="H58" s="21">
        <f t="shared" si="15"/>
        <v>0.12</v>
      </c>
      <c r="I58" s="21">
        <f t="shared" si="15"/>
        <v>0.12</v>
      </c>
    </row>
    <row r="59" spans="3:9" x14ac:dyDescent="0.3">
      <c r="C59" s="39" t="s">
        <v>74</v>
      </c>
      <c r="D59">
        <f t="shared" ref="D59:G59" si="16">(D57+E59)/(1+D58)</f>
        <v>59684.906112236262</v>
      </c>
      <c r="E59">
        <f t="shared" si="16"/>
        <v>69317.094845704618</v>
      </c>
      <c r="F59">
        <f t="shared" si="16"/>
        <v>70741.546227189174</v>
      </c>
      <c r="G59">
        <f t="shared" si="16"/>
        <v>74282.281774451883</v>
      </c>
      <c r="H59">
        <f>(H57+I59)/(1+H58)</f>
        <v>77014.533987386123</v>
      </c>
      <c r="I59">
        <f>I57/(I58-I35)</f>
        <v>79212.528787386138</v>
      </c>
    </row>
    <row r="60" spans="3:9" x14ac:dyDescent="0.3">
      <c r="C60" s="40" t="s">
        <v>76</v>
      </c>
    </row>
    <row r="62" spans="3:9" x14ac:dyDescent="0.3">
      <c r="C62" t="s">
        <v>73</v>
      </c>
      <c r="D62" s="28">
        <f>D49</f>
        <v>2680</v>
      </c>
      <c r="E62" s="28">
        <f t="shared" ref="E62:I62" si="17">E49</f>
        <v>11875.6</v>
      </c>
      <c r="F62" s="28">
        <f t="shared" si="17"/>
        <v>10501.399999999998</v>
      </c>
      <c r="G62" s="28">
        <f t="shared" si="17"/>
        <v>15946.527194954459</v>
      </c>
      <c r="H62" s="28">
        <f t="shared" si="17"/>
        <v>5674.1228060546609</v>
      </c>
      <c r="I62" s="28">
        <f t="shared" si="17"/>
        <v>3865.5714048244449</v>
      </c>
    </row>
    <row r="63" spans="3:9" x14ac:dyDescent="0.3">
      <c r="C63" t="s">
        <v>77</v>
      </c>
      <c r="D63" s="21">
        <f>(D29-D30*D33)/(1-D33)</f>
        <v>0.12262306979582333</v>
      </c>
      <c r="E63" s="21">
        <f t="shared" ref="E63:I63" si="18">(E29-E30*E33)/(1-E33)</f>
        <v>0.12760764143973027</v>
      </c>
      <c r="F63" s="21">
        <f t="shared" si="18"/>
        <v>0.13267577666323674</v>
      </c>
      <c r="G63" s="21">
        <f t="shared" si="18"/>
        <v>0.13800179662880868</v>
      </c>
      <c r="H63" s="21">
        <f t="shared" si="18"/>
        <v>0.15133333333333332</v>
      </c>
      <c r="I63" s="21">
        <f t="shared" si="18"/>
        <v>0.15133333333333332</v>
      </c>
    </row>
    <row r="64" spans="3:9" x14ac:dyDescent="0.3">
      <c r="C64" t="s">
        <v>78</v>
      </c>
      <c r="D64">
        <f t="shared" ref="D64:G64" si="19">(D62+E64)/(1+D63)</f>
        <v>57184.906112236305</v>
      </c>
      <c r="E64">
        <f t="shared" si="19"/>
        <v>61517.094845704662</v>
      </c>
      <c r="F64">
        <f t="shared" si="19"/>
        <v>57491.546227189217</v>
      </c>
      <c r="G64">
        <f t="shared" si="19"/>
        <v>54617.881774451933</v>
      </c>
      <c r="H64">
        <f>(H62+I64)/(1+H63)</f>
        <v>46208.720392431707</v>
      </c>
      <c r="I64">
        <f>I62/(I63-I35)</f>
        <v>47527.517272431709</v>
      </c>
    </row>
    <row r="65" spans="3:9" x14ac:dyDescent="0.3">
      <c r="C65" t="s">
        <v>79</v>
      </c>
      <c r="D65">
        <f>D39</f>
        <v>2500</v>
      </c>
      <c r="E65">
        <f t="shared" ref="E65:I65" si="20">E39</f>
        <v>7800</v>
      </c>
      <c r="F65">
        <f t="shared" si="20"/>
        <v>13250</v>
      </c>
      <c r="G65">
        <f t="shared" si="20"/>
        <v>19664.399999999998</v>
      </c>
      <c r="H65">
        <f t="shared" si="20"/>
        <v>30805.813594954456</v>
      </c>
      <c r="I65">
        <f t="shared" si="20"/>
        <v>31685.011514954458</v>
      </c>
    </row>
    <row r="66" spans="3:9" x14ac:dyDescent="0.3">
      <c r="C66" s="39" t="s">
        <v>74</v>
      </c>
      <c r="D66">
        <f>D64+D65</f>
        <v>59684.906112236305</v>
      </c>
      <c r="E66">
        <f t="shared" ref="E66:I66" si="21">E64+E65</f>
        <v>69317.094845704662</v>
      </c>
      <c r="F66">
        <f t="shared" si="21"/>
        <v>70741.546227189217</v>
      </c>
      <c r="G66">
        <f t="shared" si="21"/>
        <v>74282.281774451927</v>
      </c>
      <c r="H66">
        <f t="shared" si="21"/>
        <v>77014.533987386167</v>
      </c>
      <c r="I66">
        <f t="shared" si="21"/>
        <v>79212.528787386167</v>
      </c>
    </row>
    <row r="67" spans="3:9" x14ac:dyDescent="0.3">
      <c r="C67" s="40" t="s">
        <v>76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0EA27-AFD2-4B9D-BC68-7FC8BA9C8528}">
  <sheetPr>
    <tabColor rgb="FFFFC000"/>
  </sheetPr>
  <dimension ref="B1:F58"/>
  <sheetViews>
    <sheetView tabSelected="1" zoomScale="86" workbookViewId="0">
      <selection activeCell="E44" sqref="E44"/>
    </sheetView>
  </sheetViews>
  <sheetFormatPr defaultColWidth="8.796875" defaultRowHeight="15.6" x14ac:dyDescent="0.3"/>
  <cols>
    <col min="2" max="2" width="19.796875" bestFit="1" customWidth="1"/>
    <col min="3" max="3" width="37.19921875" bestFit="1" customWidth="1"/>
    <col min="6" max="6" width="11.296875" bestFit="1" customWidth="1"/>
  </cols>
  <sheetData>
    <row r="1" spans="2:3" ht="16.2" thickBot="1" x14ac:dyDescent="0.35"/>
    <row r="2" spans="2:3" ht="18" x14ac:dyDescent="0.35">
      <c r="B2" s="9" t="s">
        <v>13</v>
      </c>
      <c r="C2" s="26">
        <f>+Admin!D12</f>
        <v>45308</v>
      </c>
    </row>
    <row r="3" spans="2:3" ht="18" x14ac:dyDescent="0.35">
      <c r="B3" s="10" t="s">
        <v>16</v>
      </c>
      <c r="C3" s="11">
        <f>+Admin!D13</f>
        <v>0</v>
      </c>
    </row>
    <row r="4" spans="2:3" ht="18" x14ac:dyDescent="0.35">
      <c r="B4" s="10" t="s">
        <v>15</v>
      </c>
      <c r="C4" s="11">
        <f>+Admin!D14</f>
        <v>0</v>
      </c>
    </row>
    <row r="5" spans="2:3" ht="18" x14ac:dyDescent="0.35">
      <c r="B5" s="10"/>
      <c r="C5" s="12"/>
    </row>
    <row r="6" spans="2:3" ht="18" x14ac:dyDescent="0.35">
      <c r="B6" s="10" t="s">
        <v>17</v>
      </c>
      <c r="C6" s="12" t="str">
        <f>+Admin!D16</f>
        <v>Master in Finance</v>
      </c>
    </row>
    <row r="7" spans="2:3" ht="18.600000000000001" thickBot="1" x14ac:dyDescent="0.4">
      <c r="B7" s="13" t="s">
        <v>11</v>
      </c>
      <c r="C7" s="14" t="str">
        <f>+Admin!D17</f>
        <v>Péter Juhász, PhD, CFA</v>
      </c>
    </row>
    <row r="8" spans="2:3" ht="16.2" thickBot="1" x14ac:dyDescent="0.35"/>
    <row r="9" spans="2:3" ht="21" thickBot="1" x14ac:dyDescent="0.4">
      <c r="B9" s="15" t="s">
        <v>18</v>
      </c>
      <c r="C9" s="16"/>
    </row>
    <row r="23" spans="2:6" x14ac:dyDescent="0.3">
      <c r="B23" t="s">
        <v>31</v>
      </c>
      <c r="C23" s="35">
        <f>C51/C57</f>
        <v>12.307692307692308</v>
      </c>
    </row>
    <row r="24" spans="2:6" x14ac:dyDescent="0.3">
      <c r="B24" t="s">
        <v>32</v>
      </c>
      <c r="C24" s="35">
        <f>C53/C46</f>
        <v>1.8823529411764706</v>
      </c>
    </row>
    <row r="25" spans="2:6" x14ac:dyDescent="0.3">
      <c r="B25" t="s">
        <v>33</v>
      </c>
      <c r="C25" s="35">
        <f>C53/C31</f>
        <v>0.64</v>
      </c>
    </row>
    <row r="26" spans="2:6" x14ac:dyDescent="0.3">
      <c r="B26" t="s">
        <v>34</v>
      </c>
      <c r="C26" s="35">
        <f>(C55-C38)/(C33)</f>
        <v>13.25</v>
      </c>
    </row>
    <row r="27" spans="2:6" x14ac:dyDescent="0.3">
      <c r="B27" t="s">
        <v>35</v>
      </c>
      <c r="C27" s="35">
        <f>(C55-C38)/C58</f>
        <v>1.7966101694915255</v>
      </c>
    </row>
    <row r="30" spans="2:6" x14ac:dyDescent="0.3">
      <c r="B30" t="s">
        <v>36</v>
      </c>
    </row>
    <row r="31" spans="2:6" x14ac:dyDescent="0.3">
      <c r="B31" t="s">
        <v>37</v>
      </c>
      <c r="C31" s="28">
        <v>10000000</v>
      </c>
      <c r="F31" s="28"/>
    </row>
    <row r="32" spans="2:6" x14ac:dyDescent="0.3">
      <c r="B32" t="s">
        <v>38</v>
      </c>
      <c r="C32" s="28">
        <v>600000</v>
      </c>
      <c r="F32" s="28"/>
    </row>
    <row r="33" spans="2:6" x14ac:dyDescent="0.3">
      <c r="B33" t="s">
        <v>39</v>
      </c>
      <c r="C33" s="28">
        <v>800000</v>
      </c>
      <c r="F33" s="28"/>
    </row>
    <row r="34" spans="2:6" x14ac:dyDescent="0.3">
      <c r="B34" t="s">
        <v>40</v>
      </c>
      <c r="C34" s="28">
        <v>700000</v>
      </c>
      <c r="D34" s="28"/>
    </row>
    <row r="35" spans="2:6" x14ac:dyDescent="0.3">
      <c r="B35" t="s">
        <v>41</v>
      </c>
      <c r="C35" s="28">
        <v>520000</v>
      </c>
    </row>
    <row r="37" spans="2:6" x14ac:dyDescent="0.3">
      <c r="B37" t="s">
        <v>42</v>
      </c>
    </row>
    <row r="38" spans="2:6" x14ac:dyDescent="0.3">
      <c r="B38" t="s">
        <v>43</v>
      </c>
      <c r="C38" s="28">
        <v>200000</v>
      </c>
    </row>
    <row r="39" spans="2:6" x14ac:dyDescent="0.3">
      <c r="B39" t="s">
        <v>44</v>
      </c>
      <c r="C39" s="28">
        <v>800000</v>
      </c>
    </row>
    <row r="40" spans="2:6" x14ac:dyDescent="0.3">
      <c r="B40" t="s">
        <v>45</v>
      </c>
      <c r="C40" s="28">
        <v>500000</v>
      </c>
    </row>
    <row r="41" spans="2:6" x14ac:dyDescent="0.3">
      <c r="B41" t="s">
        <v>46</v>
      </c>
      <c r="C41" s="28">
        <v>4000000</v>
      </c>
    </row>
    <row r="42" spans="2:6" x14ac:dyDescent="0.3">
      <c r="B42" t="s">
        <v>47</v>
      </c>
      <c r="C42" s="28">
        <v>400000</v>
      </c>
      <c r="E42" s="28"/>
    </row>
    <row r="44" spans="2:6" x14ac:dyDescent="0.3">
      <c r="B44" t="s">
        <v>48</v>
      </c>
      <c r="C44" s="28">
        <v>500000</v>
      </c>
    </row>
    <row r="45" spans="2:6" x14ac:dyDescent="0.3">
      <c r="B45" t="s">
        <v>49</v>
      </c>
      <c r="C45" s="28">
        <v>2000000</v>
      </c>
    </row>
    <row r="46" spans="2:6" x14ac:dyDescent="0.3">
      <c r="B46" t="s">
        <v>50</v>
      </c>
      <c r="C46" s="28">
        <f>SUM(C38:C42)-C44-C45</f>
        <v>3400000</v>
      </c>
    </row>
    <row r="48" spans="2:6" x14ac:dyDescent="0.3">
      <c r="B48" t="s">
        <v>51</v>
      </c>
      <c r="C48" s="28">
        <v>100000</v>
      </c>
    </row>
    <row r="49" spans="2:3" x14ac:dyDescent="0.3">
      <c r="B49" t="s">
        <v>52</v>
      </c>
      <c r="C49" s="28">
        <v>24</v>
      </c>
    </row>
    <row r="50" spans="2:3" x14ac:dyDescent="0.3">
      <c r="B50" t="s">
        <v>53</v>
      </c>
      <c r="C50" s="28">
        <v>2000000</v>
      </c>
    </row>
    <row r="51" spans="2:3" x14ac:dyDescent="0.3">
      <c r="B51" t="s">
        <v>54</v>
      </c>
      <c r="C51" s="28">
        <v>3.2</v>
      </c>
    </row>
    <row r="53" spans="2:3" x14ac:dyDescent="0.3">
      <c r="B53" t="s">
        <v>80</v>
      </c>
      <c r="C53">
        <f>C50*C51</f>
        <v>6400000</v>
      </c>
    </row>
    <row r="54" spans="2:3" x14ac:dyDescent="0.3">
      <c r="B54" t="s">
        <v>81</v>
      </c>
      <c r="C54">
        <f>C45+C48*C49</f>
        <v>4400000</v>
      </c>
    </row>
    <row r="55" spans="2:3" x14ac:dyDescent="0.3">
      <c r="B55" t="s">
        <v>82</v>
      </c>
      <c r="C55">
        <f>C53+C54</f>
        <v>10800000</v>
      </c>
    </row>
    <row r="57" spans="2:3" x14ac:dyDescent="0.3">
      <c r="B57" t="s">
        <v>83</v>
      </c>
      <c r="C57">
        <f>C35/C50</f>
        <v>0.26</v>
      </c>
    </row>
    <row r="58" spans="2:3" x14ac:dyDescent="0.3">
      <c r="B58" t="s">
        <v>65</v>
      </c>
      <c r="C58" s="28">
        <f>SUM(C44:C46)</f>
        <v>5900000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DD459-795A-487D-9EC3-A697EF27ABB5}">
  <sheetPr>
    <tabColor rgb="FFFFC000"/>
  </sheetPr>
  <dimension ref="B1:H31"/>
  <sheetViews>
    <sheetView workbookViewId="0">
      <selection activeCell="C20" sqref="C20:D31"/>
    </sheetView>
  </sheetViews>
  <sheetFormatPr defaultColWidth="8.796875" defaultRowHeight="15.6" x14ac:dyDescent="0.3"/>
  <cols>
    <col min="2" max="2" width="19.796875" bestFit="1" customWidth="1"/>
    <col min="3" max="3" width="27.19921875" bestFit="1" customWidth="1"/>
    <col min="4" max="4" width="12.296875" bestFit="1" customWidth="1"/>
    <col min="5" max="5" width="11.19921875" bestFit="1" customWidth="1"/>
    <col min="6" max="6" width="11.296875" bestFit="1" customWidth="1"/>
    <col min="7" max="7" width="13.69921875" bestFit="1" customWidth="1"/>
    <col min="8" max="8" width="8" bestFit="1" customWidth="1"/>
    <col min="9" max="9" width="7" bestFit="1" customWidth="1"/>
    <col min="12" max="12" width="11.19921875" bestFit="1" customWidth="1"/>
  </cols>
  <sheetData>
    <row r="1" spans="2:3" ht="16.2" thickBot="1" x14ac:dyDescent="0.35"/>
    <row r="2" spans="2:3" ht="18" x14ac:dyDescent="0.35">
      <c r="B2" s="9" t="s">
        <v>13</v>
      </c>
      <c r="C2" s="26">
        <f>+Admin!D12</f>
        <v>45308</v>
      </c>
    </row>
    <row r="3" spans="2:3" ht="18" x14ac:dyDescent="0.35">
      <c r="B3" s="10" t="s">
        <v>16</v>
      </c>
      <c r="C3" s="11">
        <f>+Admin!D13</f>
        <v>0</v>
      </c>
    </row>
    <row r="4" spans="2:3" ht="18" x14ac:dyDescent="0.35">
      <c r="B4" s="10" t="s">
        <v>15</v>
      </c>
      <c r="C4" s="11">
        <f>+Admin!D14</f>
        <v>0</v>
      </c>
    </row>
    <row r="5" spans="2:3" ht="18" x14ac:dyDescent="0.35">
      <c r="B5" s="10"/>
      <c r="C5" s="12"/>
    </row>
    <row r="6" spans="2:3" ht="18" x14ac:dyDescent="0.35">
      <c r="B6" s="10" t="s">
        <v>17</v>
      </c>
      <c r="C6" s="12" t="str">
        <f>+Admin!D16</f>
        <v>Master in Finance</v>
      </c>
    </row>
    <row r="7" spans="2:3" ht="18.600000000000001" thickBot="1" x14ac:dyDescent="0.4">
      <c r="B7" s="13" t="s">
        <v>11</v>
      </c>
      <c r="C7" s="14" t="str">
        <f>+Admin!D17</f>
        <v>Péter Juhász, PhD, CFA</v>
      </c>
    </row>
    <row r="8" spans="2:3" ht="16.2" thickBot="1" x14ac:dyDescent="0.35"/>
    <row r="9" spans="2:3" ht="21" thickBot="1" x14ac:dyDescent="0.4">
      <c r="B9" s="15" t="s">
        <v>18</v>
      </c>
      <c r="C9" s="16"/>
    </row>
    <row r="20" spans="3:8" x14ac:dyDescent="0.3">
      <c r="D20" t="s">
        <v>27</v>
      </c>
      <c r="H20" s="38"/>
    </row>
    <row r="21" spans="3:8" x14ac:dyDescent="0.3">
      <c r="C21" t="s">
        <v>60</v>
      </c>
      <c r="D21" s="28">
        <v>500</v>
      </c>
    </row>
    <row r="22" spans="3:8" x14ac:dyDescent="0.3">
      <c r="C22" t="s">
        <v>61</v>
      </c>
      <c r="D22" s="28">
        <v>0</v>
      </c>
      <c r="H22" s="38"/>
    </row>
    <row r="23" spans="3:8" x14ac:dyDescent="0.3">
      <c r="D23" s="28"/>
      <c r="H23" s="38"/>
    </row>
    <row r="24" spans="3:8" x14ac:dyDescent="0.3">
      <c r="C24" t="s">
        <v>62</v>
      </c>
      <c r="D24" s="28">
        <v>200</v>
      </c>
    </row>
    <row r="26" spans="3:8" x14ac:dyDescent="0.3">
      <c r="D26" t="s">
        <v>30</v>
      </c>
      <c r="G26" s="32"/>
      <c r="H26" s="33"/>
    </row>
    <row r="27" spans="3:8" x14ac:dyDescent="0.3">
      <c r="C27" t="s">
        <v>63</v>
      </c>
      <c r="D27" s="28">
        <v>500</v>
      </c>
      <c r="G27" s="32"/>
      <c r="H27" s="33"/>
    </row>
    <row r="28" spans="3:8" x14ac:dyDescent="0.3">
      <c r="C28" t="s">
        <v>7</v>
      </c>
      <c r="D28" s="21">
        <v>0.05</v>
      </c>
      <c r="H28" s="38"/>
    </row>
    <row r="29" spans="3:8" x14ac:dyDescent="0.3">
      <c r="C29" t="s">
        <v>19</v>
      </c>
      <c r="D29" s="28">
        <v>1500</v>
      </c>
    </row>
    <row r="30" spans="3:8" x14ac:dyDescent="0.3">
      <c r="C30" t="s">
        <v>8</v>
      </c>
      <c r="D30" s="29">
        <v>0.2</v>
      </c>
    </row>
    <row r="31" spans="3:8" x14ac:dyDescent="0.3">
      <c r="C31" t="s">
        <v>64</v>
      </c>
      <c r="D31" s="28">
        <v>20</v>
      </c>
    </row>
  </sheetData>
  <phoneticPr fontId="7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FCBE9-3D8C-A14F-8F8F-397A13EC29E7}">
  <sheetPr>
    <tabColor rgb="FFFFC000"/>
  </sheetPr>
  <dimension ref="A1:P67"/>
  <sheetViews>
    <sheetView topLeftCell="A22" zoomScale="75" workbookViewId="0">
      <selection activeCell="G61" sqref="G61"/>
    </sheetView>
  </sheetViews>
  <sheetFormatPr defaultColWidth="8.796875" defaultRowHeight="15.6" x14ac:dyDescent="0.3"/>
  <cols>
    <col min="2" max="2" width="27.296875" bestFit="1" customWidth="1"/>
    <col min="3" max="3" width="27.19921875" bestFit="1" customWidth="1"/>
    <col min="4" max="4" width="12.296875" bestFit="1" customWidth="1"/>
    <col min="5" max="5" width="11.19921875" bestFit="1" customWidth="1"/>
    <col min="6" max="6" width="28.69921875" bestFit="1" customWidth="1"/>
    <col min="7" max="7" width="13.69921875" bestFit="1" customWidth="1"/>
    <col min="8" max="8" width="8" bestFit="1" customWidth="1"/>
    <col min="9" max="9" width="7" bestFit="1" customWidth="1"/>
    <col min="10" max="10" width="41.69921875" bestFit="1" customWidth="1"/>
    <col min="12" max="12" width="11.19921875" bestFit="1" customWidth="1"/>
  </cols>
  <sheetData>
    <row r="1" spans="2:3" ht="16.2" thickBot="1" x14ac:dyDescent="0.35"/>
    <row r="2" spans="2:3" ht="18" x14ac:dyDescent="0.35">
      <c r="B2" s="9" t="s">
        <v>13</v>
      </c>
      <c r="C2" s="26">
        <f>+Admin!D12</f>
        <v>45308</v>
      </c>
    </row>
    <row r="3" spans="2:3" ht="18" x14ac:dyDescent="0.35">
      <c r="B3" s="10" t="s">
        <v>16</v>
      </c>
      <c r="C3" s="11">
        <f>+Admin!D13</f>
        <v>0</v>
      </c>
    </row>
    <row r="4" spans="2:3" ht="18" x14ac:dyDescent="0.35">
      <c r="B4" s="10" t="s">
        <v>15</v>
      </c>
      <c r="C4" s="11">
        <f>+Admin!D14</f>
        <v>0</v>
      </c>
    </row>
    <row r="5" spans="2:3" ht="18" x14ac:dyDescent="0.35">
      <c r="B5" s="10"/>
      <c r="C5" s="12"/>
    </row>
    <row r="6" spans="2:3" ht="18" x14ac:dyDescent="0.35">
      <c r="B6" s="10" t="s">
        <v>17</v>
      </c>
      <c r="C6" s="12" t="str">
        <f>+Admin!D16</f>
        <v>Master in Finance</v>
      </c>
    </row>
    <row r="7" spans="2:3" ht="18.600000000000001" thickBot="1" x14ac:dyDescent="0.4">
      <c r="B7" s="13" t="s">
        <v>11</v>
      </c>
      <c r="C7" s="14" t="str">
        <f>+Admin!D17</f>
        <v>Péter Juhász, PhD, CFA</v>
      </c>
    </row>
    <row r="8" spans="2:3" ht="16.2" thickBot="1" x14ac:dyDescent="0.35"/>
    <row r="9" spans="2:3" ht="21" thickBot="1" x14ac:dyDescent="0.4">
      <c r="B9" s="15" t="s">
        <v>18</v>
      </c>
      <c r="C9" s="16"/>
    </row>
    <row r="20" spans="3:8" x14ac:dyDescent="0.3">
      <c r="D20" t="s">
        <v>27</v>
      </c>
      <c r="H20" s="38"/>
    </row>
    <row r="21" spans="3:8" x14ac:dyDescent="0.3">
      <c r="C21" t="s">
        <v>60</v>
      </c>
      <c r="D21" s="28">
        <v>500</v>
      </c>
    </row>
    <row r="22" spans="3:8" x14ac:dyDescent="0.3">
      <c r="C22" t="s">
        <v>61</v>
      </c>
      <c r="D22" s="28">
        <v>0</v>
      </c>
      <c r="H22" s="38"/>
    </row>
    <row r="23" spans="3:8" x14ac:dyDescent="0.3">
      <c r="D23" s="28"/>
      <c r="H23" s="38"/>
    </row>
    <row r="24" spans="3:8" x14ac:dyDescent="0.3">
      <c r="C24" t="s">
        <v>62</v>
      </c>
      <c r="D24" s="28">
        <v>200</v>
      </c>
    </row>
    <row r="26" spans="3:8" x14ac:dyDescent="0.3">
      <c r="D26" t="s">
        <v>30</v>
      </c>
      <c r="G26" s="32"/>
      <c r="H26" s="33"/>
    </row>
    <row r="27" spans="3:8" x14ac:dyDescent="0.3">
      <c r="C27" t="s">
        <v>63</v>
      </c>
      <c r="D27" s="28">
        <v>500</v>
      </c>
      <c r="G27" s="32"/>
      <c r="H27" s="33"/>
    </row>
    <row r="28" spans="3:8" x14ac:dyDescent="0.3">
      <c r="C28" t="s">
        <v>7</v>
      </c>
      <c r="D28" s="21">
        <v>0.05</v>
      </c>
      <c r="H28" s="38"/>
    </row>
    <row r="29" spans="3:8" x14ac:dyDescent="0.3">
      <c r="C29" t="s">
        <v>19</v>
      </c>
      <c r="D29" s="28">
        <v>1500</v>
      </c>
    </row>
    <row r="30" spans="3:8" x14ac:dyDescent="0.3">
      <c r="C30" t="s">
        <v>8</v>
      </c>
      <c r="D30" s="29">
        <v>0.2</v>
      </c>
    </row>
    <row r="31" spans="3:8" x14ac:dyDescent="0.3">
      <c r="C31" t="s">
        <v>64</v>
      </c>
      <c r="D31" s="28">
        <v>20</v>
      </c>
    </row>
    <row r="33" spans="1:16" x14ac:dyDescent="0.3">
      <c r="B33" t="s">
        <v>84</v>
      </c>
      <c r="C33" s="38">
        <v>0.2</v>
      </c>
    </row>
    <row r="37" spans="1:16" x14ac:dyDescent="0.3">
      <c r="B37" t="s">
        <v>85</v>
      </c>
      <c r="C37" s="38">
        <v>7.0000000000000007E-2</v>
      </c>
    </row>
    <row r="41" spans="1:16" x14ac:dyDescent="0.3">
      <c r="A41" s="44"/>
      <c r="B41" t="s">
        <v>84</v>
      </c>
      <c r="C41" s="45">
        <v>0.2</v>
      </c>
      <c r="E41" s="44"/>
      <c r="I41" s="44"/>
    </row>
    <row r="42" spans="1:16" x14ac:dyDescent="0.3">
      <c r="A42" s="44"/>
      <c r="E42" s="44"/>
      <c r="I42" s="44"/>
      <c r="N42" t="s">
        <v>92</v>
      </c>
      <c r="O42" s="46" t="s">
        <v>93</v>
      </c>
      <c r="P42" s="46" t="s">
        <v>94</v>
      </c>
    </row>
    <row r="43" spans="1:16" x14ac:dyDescent="0.3">
      <c r="A43" s="44"/>
      <c r="B43" s="47" t="s">
        <v>27</v>
      </c>
      <c r="C43" s="47"/>
      <c r="E43" s="44"/>
      <c r="F43" s="47"/>
      <c r="G43" s="47"/>
      <c r="I43" s="44"/>
      <c r="J43" s="47" t="s">
        <v>86</v>
      </c>
      <c r="K43" s="47"/>
      <c r="M43" s="48" t="s">
        <v>95</v>
      </c>
      <c r="N43" s="49">
        <f>C46</f>
        <v>200</v>
      </c>
      <c r="O43" s="46">
        <v>0</v>
      </c>
      <c r="P43" s="46" t="s">
        <v>96</v>
      </c>
    </row>
    <row r="44" spans="1:16" x14ac:dyDescent="0.3">
      <c r="A44" s="44"/>
      <c r="B44" t="s">
        <v>97</v>
      </c>
      <c r="C44" s="50">
        <f>C46+C49</f>
        <v>400</v>
      </c>
      <c r="E44" s="44"/>
      <c r="G44" s="51"/>
      <c r="I44" s="44"/>
      <c r="K44" s="51"/>
      <c r="M44" s="48" t="s">
        <v>98</v>
      </c>
      <c r="N44" s="49">
        <f>C49</f>
        <v>200</v>
      </c>
      <c r="O44" s="46">
        <v>0</v>
      </c>
      <c r="P44" s="46" t="s">
        <v>96</v>
      </c>
    </row>
    <row r="45" spans="1:16" x14ac:dyDescent="0.3">
      <c r="A45" s="44"/>
      <c r="C45" s="50"/>
      <c r="E45" s="44"/>
      <c r="F45" s="52" t="s">
        <v>99</v>
      </c>
      <c r="I45" s="44"/>
      <c r="J45" s="52" t="s">
        <v>100</v>
      </c>
      <c r="M45" s="48" t="s">
        <v>101</v>
      </c>
      <c r="N45" s="49">
        <f>G48</f>
        <v>100</v>
      </c>
      <c r="O45" s="46">
        <v>2</v>
      </c>
      <c r="P45" s="46" t="s">
        <v>102</v>
      </c>
    </row>
    <row r="46" spans="1:16" x14ac:dyDescent="0.3">
      <c r="A46" s="44"/>
      <c r="B46" t="s">
        <v>103</v>
      </c>
      <c r="C46" s="53">
        <v>200</v>
      </c>
      <c r="E46" s="44"/>
      <c r="I46" s="44"/>
    </row>
    <row r="47" spans="1:16" x14ac:dyDescent="0.3">
      <c r="A47" s="44"/>
      <c r="C47" s="50"/>
      <c r="E47" s="44" t="s">
        <v>104</v>
      </c>
      <c r="F47" t="s">
        <v>105</v>
      </c>
      <c r="G47" s="50">
        <f>G49-G48</f>
        <v>119.91518616000852</v>
      </c>
      <c r="I47" s="44"/>
      <c r="J47" t="s">
        <v>106</v>
      </c>
      <c r="K47" s="53">
        <v>1500</v>
      </c>
      <c r="M47" s="48" t="s">
        <v>107</v>
      </c>
    </row>
    <row r="48" spans="1:16" x14ac:dyDescent="0.3">
      <c r="A48" s="44" t="s">
        <v>108</v>
      </c>
      <c r="B48" t="s">
        <v>105</v>
      </c>
      <c r="C48" s="50">
        <f>C50-C49</f>
        <v>-143.76563489910549</v>
      </c>
      <c r="E48" s="44"/>
      <c r="F48" t="s">
        <v>109</v>
      </c>
      <c r="G48" s="53">
        <v>100</v>
      </c>
      <c r="I48" s="44"/>
      <c r="J48" t="s">
        <v>63</v>
      </c>
      <c r="K48" s="53">
        <v>500</v>
      </c>
      <c r="M48" s="43" t="s">
        <v>110</v>
      </c>
      <c r="N48" s="43"/>
      <c r="O48" s="43"/>
      <c r="P48" s="43"/>
    </row>
    <row r="49" spans="1:16" x14ac:dyDescent="0.3">
      <c r="A49" s="44"/>
      <c r="B49" t="s">
        <v>111</v>
      </c>
      <c r="C49" s="53">
        <v>200</v>
      </c>
      <c r="E49" s="44" t="s">
        <v>112</v>
      </c>
      <c r="F49" t="s">
        <v>113</v>
      </c>
      <c r="G49" s="50">
        <f>K49/(1+C65)^4</f>
        <v>219.91518616000852</v>
      </c>
      <c r="I49" s="44" t="s">
        <v>114</v>
      </c>
      <c r="J49" t="s">
        <v>50</v>
      </c>
      <c r="K49" s="50">
        <f>K47-K48</f>
        <v>1000</v>
      </c>
      <c r="M49" s="43" t="s">
        <v>115</v>
      </c>
      <c r="N49" s="43"/>
      <c r="O49" s="43"/>
      <c r="P49" s="43"/>
    </row>
    <row r="50" spans="1:16" x14ac:dyDescent="0.3">
      <c r="A50" s="44" t="s">
        <v>116</v>
      </c>
      <c r="B50" t="s">
        <v>113</v>
      </c>
      <c r="C50" s="50">
        <f>G47/(1+C65)^2</f>
        <v>56.234365100894507</v>
      </c>
      <c r="E50" s="44"/>
      <c r="I50" s="44"/>
      <c r="M50" s="43" t="s">
        <v>117</v>
      </c>
      <c r="N50" s="43"/>
      <c r="O50" s="43"/>
      <c r="P50" s="43"/>
    </row>
    <row r="51" spans="1:16" x14ac:dyDescent="0.3">
      <c r="A51" s="44"/>
      <c r="C51" s="50"/>
      <c r="E51" s="44"/>
      <c r="F51" t="s">
        <v>118</v>
      </c>
      <c r="G51" s="43">
        <f>G48/G49</f>
        <v>0.45472075733433348</v>
      </c>
      <c r="I51" s="44"/>
      <c r="J51" t="s">
        <v>118</v>
      </c>
      <c r="K51" s="43">
        <f>G51</f>
        <v>0.45472075733433348</v>
      </c>
      <c r="M51" s="43" t="s">
        <v>119</v>
      </c>
      <c r="N51" s="43"/>
      <c r="O51" s="43"/>
      <c r="P51" s="43"/>
    </row>
    <row r="52" spans="1:16" x14ac:dyDescent="0.3">
      <c r="A52" s="44"/>
      <c r="E52" s="44"/>
      <c r="F52" t="s">
        <v>120</v>
      </c>
      <c r="G52" s="43">
        <f>1-G51</f>
        <v>0.54527924266566652</v>
      </c>
      <c r="I52" s="44"/>
      <c r="J52" t="s">
        <v>121</v>
      </c>
      <c r="K52" s="43">
        <f>G53</f>
        <v>0.29647049334593922</v>
      </c>
      <c r="M52" s="43" t="s">
        <v>122</v>
      </c>
      <c r="N52" s="43"/>
      <c r="O52" s="43"/>
      <c r="P52" s="43"/>
    </row>
    <row r="53" spans="1:16" x14ac:dyDescent="0.3">
      <c r="A53" s="44"/>
      <c r="E53" s="44"/>
      <c r="F53" t="s">
        <v>123</v>
      </c>
      <c r="G53" s="43">
        <f>C55*G52</f>
        <v>0.29647049334593922</v>
      </c>
      <c r="I53" s="44"/>
      <c r="J53" t="s">
        <v>124</v>
      </c>
      <c r="K53" s="43">
        <f>G54</f>
        <v>0.24880874931972732</v>
      </c>
      <c r="M53" s="43" t="s">
        <v>125</v>
      </c>
      <c r="N53" s="43"/>
      <c r="O53" s="43"/>
      <c r="P53" s="43"/>
    </row>
    <row r="54" spans="1:16" x14ac:dyDescent="0.3">
      <c r="A54" s="44"/>
      <c r="B54" t="s">
        <v>124</v>
      </c>
      <c r="C54" s="43">
        <f>1-C55</f>
        <v>0.45629602202239405</v>
      </c>
      <c r="E54" s="44"/>
      <c r="F54" t="s">
        <v>126</v>
      </c>
      <c r="G54" s="43">
        <f>C54*G52</f>
        <v>0.24880874931972732</v>
      </c>
      <c r="I54" s="44"/>
      <c r="M54" s="43" t="s">
        <v>127</v>
      </c>
      <c r="N54" s="43"/>
      <c r="O54" s="43"/>
      <c r="P54" s="43"/>
    </row>
    <row r="55" spans="1:16" x14ac:dyDescent="0.3">
      <c r="A55" s="44"/>
      <c r="B55" s="54" t="s">
        <v>121</v>
      </c>
      <c r="C55" s="55">
        <v>0.54370397797760595</v>
      </c>
      <c r="E55" s="44"/>
      <c r="F55" t="s">
        <v>128</v>
      </c>
      <c r="G55" s="38">
        <f>G51+G53+G54</f>
        <v>1</v>
      </c>
      <c r="I55" s="44"/>
      <c r="J55" t="s">
        <v>129</v>
      </c>
      <c r="K55" s="50">
        <f>+K49*K53</f>
        <v>248.80874931972733</v>
      </c>
      <c r="M55" s="43" t="s">
        <v>130</v>
      </c>
    </row>
    <row r="56" spans="1:16" x14ac:dyDescent="0.3">
      <c r="A56" s="44"/>
      <c r="B56" t="s">
        <v>131</v>
      </c>
      <c r="C56" s="43">
        <f>C49/C50</f>
        <v>3.556544110370309</v>
      </c>
      <c r="E56" s="44"/>
      <c r="I56" s="44"/>
      <c r="J56" s="56" t="s">
        <v>132</v>
      </c>
      <c r="K56" s="57" t="e">
        <f>+(K55/C48)^(1/6)-1</f>
        <v>#NUM!</v>
      </c>
      <c r="M56" s="43" t="s">
        <v>133</v>
      </c>
    </row>
    <row r="57" spans="1:16" x14ac:dyDescent="0.3">
      <c r="A57" s="44" t="s">
        <v>134</v>
      </c>
      <c r="B57" t="s">
        <v>135</v>
      </c>
      <c r="C57" s="43">
        <f>C55-C56</f>
        <v>-3.0128401323927032</v>
      </c>
      <c r="E57" s="44"/>
      <c r="I57" s="44"/>
      <c r="M57" s="43" t="s">
        <v>136</v>
      </c>
    </row>
    <row r="58" spans="1:16" x14ac:dyDescent="0.3">
      <c r="A58" s="44"/>
      <c r="C58" s="43"/>
      <c r="E58" s="44"/>
      <c r="I58" s="44"/>
      <c r="M58" s="43" t="s">
        <v>137</v>
      </c>
    </row>
    <row r="59" spans="1:16" x14ac:dyDescent="0.3">
      <c r="A59" s="44"/>
      <c r="E59" s="44"/>
      <c r="F59" s="58" t="s">
        <v>138</v>
      </c>
      <c r="I59" s="44"/>
      <c r="J59" s="58" t="s">
        <v>139</v>
      </c>
      <c r="M59" t="s">
        <v>140</v>
      </c>
    </row>
    <row r="60" spans="1:16" x14ac:dyDescent="0.3">
      <c r="A60" s="44"/>
      <c r="E60" s="44"/>
      <c r="I60" s="44"/>
      <c r="M60" s="43" t="s">
        <v>141</v>
      </c>
    </row>
    <row r="61" spans="1:16" x14ac:dyDescent="0.3">
      <c r="A61" s="44"/>
      <c r="B61" s="59" t="s">
        <v>88</v>
      </c>
      <c r="C61" s="60">
        <v>8</v>
      </c>
      <c r="E61" s="44"/>
      <c r="F61" t="s">
        <v>142</v>
      </c>
      <c r="G61" s="45">
        <v>0.9</v>
      </c>
      <c r="I61" s="44"/>
      <c r="J61" t="s">
        <v>85</v>
      </c>
      <c r="K61" s="45">
        <v>7.0000000000000007E-2</v>
      </c>
      <c r="M61" t="s">
        <v>143</v>
      </c>
    </row>
    <row r="62" spans="1:16" x14ac:dyDescent="0.3">
      <c r="A62" s="44"/>
      <c r="B62" s="59" t="s">
        <v>89</v>
      </c>
      <c r="C62" s="61">
        <v>0.65</v>
      </c>
      <c r="E62" s="44" t="s">
        <v>144</v>
      </c>
      <c r="F62" t="s">
        <v>145</v>
      </c>
      <c r="G62" s="50">
        <f>C44*G61</f>
        <v>360</v>
      </c>
      <c r="I62" s="44"/>
      <c r="J62" t="s">
        <v>145</v>
      </c>
      <c r="K62" s="50">
        <f>G62*(1+K61)^4</f>
        <v>471.88656359999999</v>
      </c>
      <c r="M62" s="43" t="s">
        <v>146</v>
      </c>
    </row>
    <row r="63" spans="1:16" x14ac:dyDescent="0.3">
      <c r="A63" s="44" t="s">
        <v>147</v>
      </c>
      <c r="B63" s="62" t="s">
        <v>148</v>
      </c>
      <c r="C63" s="63">
        <f>+(K63/C49)^(1/6)-1</f>
        <v>4.2385482850465062E-2</v>
      </c>
      <c r="E63" s="44"/>
      <c r="F63" t="s">
        <v>149</v>
      </c>
      <c r="G63" s="50">
        <f>+G62*C55</f>
        <v>195.73343207193815</v>
      </c>
      <c r="I63" s="44" t="s">
        <v>150</v>
      </c>
      <c r="J63" t="s">
        <v>149</v>
      </c>
      <c r="K63" s="50">
        <f>+K62*C55</f>
        <v>256.56660178350256</v>
      </c>
      <c r="L63" s="64">
        <f>G63*(1+K61)^4</f>
        <v>256.56660178350256</v>
      </c>
      <c r="M63" t="s">
        <v>151</v>
      </c>
    </row>
    <row r="64" spans="1:16" x14ac:dyDescent="0.3">
      <c r="A64" s="44"/>
      <c r="B64" s="59" t="s">
        <v>90</v>
      </c>
      <c r="C64" s="61">
        <f>1-C62</f>
        <v>0.35</v>
      </c>
      <c r="E64" s="44"/>
      <c r="F64" t="s">
        <v>152</v>
      </c>
      <c r="G64" s="50">
        <f>+G62*C54</f>
        <v>164.26656792806185</v>
      </c>
      <c r="I64" s="44"/>
      <c r="J64" t="s">
        <v>152</v>
      </c>
      <c r="K64" s="50">
        <f>+K62*C54</f>
        <v>215.31996181649745</v>
      </c>
      <c r="L64" s="64">
        <f>G64*(1+K61)^4</f>
        <v>215.31996181649743</v>
      </c>
      <c r="M64" s="43" t="s">
        <v>153</v>
      </c>
    </row>
    <row r="65" spans="1:13" x14ac:dyDescent="0.3">
      <c r="A65" s="44" t="s">
        <v>154</v>
      </c>
      <c r="B65" s="65" t="s">
        <v>91</v>
      </c>
      <c r="C65" s="66">
        <f>+(((1+C41)^C61-C62*(1+C63)^C61)/C64)^(1/6)-1</f>
        <v>0.46028019414312649</v>
      </c>
      <c r="E65" s="44"/>
      <c r="I65" s="44"/>
      <c r="M65" t="s">
        <v>155</v>
      </c>
    </row>
    <row r="66" spans="1:13" x14ac:dyDescent="0.3">
      <c r="A66" s="44"/>
      <c r="E66" s="44"/>
      <c r="I66" s="44"/>
    </row>
    <row r="67" spans="1:13" x14ac:dyDescent="0.3">
      <c r="A67" s="44"/>
      <c r="E67" s="44"/>
      <c r="I67" s="44"/>
    </row>
  </sheetData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F7B94-CD1F-4364-9903-53CFB2227E96}">
  <sheetPr codeName="Munka1">
    <tabColor rgb="FFFFC000"/>
  </sheetPr>
  <dimension ref="B1:K21"/>
  <sheetViews>
    <sheetView workbookViewId="0">
      <selection activeCell="E6" sqref="E6"/>
    </sheetView>
  </sheetViews>
  <sheetFormatPr defaultColWidth="8.796875" defaultRowHeight="15.6" x14ac:dyDescent="0.3"/>
  <cols>
    <col min="2" max="2" width="19.796875" bestFit="1" customWidth="1"/>
    <col min="3" max="3" width="37.19921875" bestFit="1" customWidth="1"/>
  </cols>
  <sheetData>
    <row r="1" spans="2:3" ht="16.2" thickBot="1" x14ac:dyDescent="0.35"/>
    <row r="2" spans="2:3" ht="18" x14ac:dyDescent="0.35">
      <c r="B2" s="9" t="str">
        <f>+Admin!C12</f>
        <v>Date</v>
      </c>
      <c r="C2" s="26">
        <f>+Admin!D12</f>
        <v>45308</v>
      </c>
    </row>
    <row r="3" spans="2:3" ht="18" x14ac:dyDescent="0.35">
      <c r="B3" s="10" t="str">
        <f>+Admin!C13</f>
        <v>Student name</v>
      </c>
      <c r="C3" s="11">
        <f>+Admin!D13</f>
        <v>0</v>
      </c>
    </row>
    <row r="4" spans="2:3" ht="18" x14ac:dyDescent="0.35">
      <c r="B4" s="10" t="str">
        <f>+Admin!C14</f>
        <v>Neptun code</v>
      </c>
      <c r="C4" s="11">
        <f>+Admin!D14</f>
        <v>0</v>
      </c>
    </row>
    <row r="5" spans="2:3" ht="18" x14ac:dyDescent="0.35">
      <c r="B5" s="10"/>
      <c r="C5" s="12"/>
    </row>
    <row r="6" spans="2:3" ht="18" x14ac:dyDescent="0.35">
      <c r="B6" s="10" t="str">
        <f>+Admin!C16</f>
        <v>Study program</v>
      </c>
      <c r="C6" s="12" t="str">
        <f>+Admin!D16</f>
        <v>Master in Finance</v>
      </c>
    </row>
    <row r="7" spans="2:3" ht="18.600000000000001" thickBot="1" x14ac:dyDescent="0.4">
      <c r="B7" s="13" t="str">
        <f>+Admin!C17</f>
        <v>Instructor</v>
      </c>
      <c r="C7" s="14" t="str">
        <f>+Admin!D17</f>
        <v>Péter Juhász, PhD, CFA</v>
      </c>
    </row>
    <row r="8" spans="2:3" ht="16.2" thickBot="1" x14ac:dyDescent="0.35"/>
    <row r="9" spans="2:3" ht="21" thickBot="1" x14ac:dyDescent="0.4">
      <c r="B9" s="15" t="s">
        <v>18</v>
      </c>
      <c r="C9" s="16"/>
    </row>
    <row r="21" spans="11:11" ht="21" x14ac:dyDescent="0.4">
      <c r="K21" s="2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OpeningPage</vt:lpstr>
      <vt:lpstr>Admin</vt:lpstr>
      <vt:lpstr>Task 1</vt:lpstr>
      <vt:lpstr>Task 2</vt:lpstr>
      <vt:lpstr>Task 3</vt:lpstr>
      <vt:lpstr>Task 4</vt:lpstr>
      <vt:lpstr>Task 4 Sol</vt:lpstr>
      <vt:lpstr>Task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Borja Figueroa Franco</cp:lastModifiedBy>
  <dcterms:created xsi:type="dcterms:W3CDTF">2014-05-14T18:27:14Z</dcterms:created>
  <dcterms:modified xsi:type="dcterms:W3CDTF">2024-12-10T12:56:19Z</dcterms:modified>
</cp:coreProperties>
</file>