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Users\ASUS VIVOBOOK\Desktop\Exam Papers\Copied\"/>
    </mc:Choice>
  </mc:AlternateContent>
  <xr:revisionPtr revIDLastSave="0" documentId="13_ncr:1_{EEA4483D-65DE-4B19-94B3-8EFBDFAC9FC7}" xr6:coauthVersionLast="47" xr6:coauthVersionMax="47" xr10:uidLastSave="{00000000-0000-0000-0000-000000000000}"/>
  <bookViews>
    <workbookView xWindow="-108" yWindow="-108" windowWidth="23256" windowHeight="13896" activeTab="2" xr2:uid="{00000000-000D-0000-FFFF-FFFF00000000}"/>
  </bookViews>
  <sheets>
    <sheet name="OpeningPage" sheetId="5" r:id="rId1"/>
    <sheet name="Admin" sheetId="6" r:id="rId2"/>
    <sheet name="Task 1" sheetId="4" r:id="rId3"/>
    <sheet name="Task 2" sheetId="11" r:id="rId4"/>
    <sheet name="M&amp;A put in AYA" sheetId="10" r:id="rId5"/>
    <sheet name="Task 4" sheetId="8" r:id="rId6"/>
    <sheet name="Task 5" sheetId="9" r:id="rId7"/>
    <sheet name="Bonus Task" sheetId="14" r:id="rId8"/>
  </sheets>
  <externalReferences>
    <externalReference r:id="rId9"/>
  </externalReferences>
  <definedNames>
    <definedName name="lista">OFFSET([1]DinamicValidation!$B$4,0,0,COUNTA([1]DinamicValidation!$B$4:$B$1048576),1)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4" l="1"/>
  <c r="C4" i="14"/>
  <c r="D34" i="11"/>
  <c r="E55" i="10"/>
  <c r="D57" i="10"/>
  <c r="C51" i="8"/>
  <c r="C46" i="8"/>
  <c r="C48" i="8" s="1"/>
  <c r="C37" i="8"/>
  <c r="C43" i="8" s="1"/>
  <c r="C47" i="8"/>
  <c r="C41" i="8"/>
  <c r="C40" i="8"/>
  <c r="C39" i="8"/>
  <c r="D55" i="10" l="1"/>
  <c r="D53" i="10"/>
  <c r="D52" i="10"/>
  <c r="D51" i="10"/>
  <c r="F47" i="10"/>
  <c r="F46" i="10"/>
  <c r="D47" i="10"/>
  <c r="D46" i="10"/>
  <c r="I42" i="10"/>
  <c r="I43" i="10"/>
  <c r="I41" i="10"/>
  <c r="H42" i="10"/>
  <c r="H43" i="10"/>
  <c r="H41" i="10"/>
  <c r="E43" i="10" l="1"/>
  <c r="F43" i="10"/>
  <c r="D43" i="10"/>
  <c r="E42" i="10"/>
  <c r="F42" i="10"/>
  <c r="D42" i="10"/>
  <c r="E41" i="10"/>
  <c r="F41" i="10"/>
  <c r="D41" i="10"/>
  <c r="E39" i="10"/>
  <c r="F39" i="10"/>
  <c r="D39" i="10"/>
  <c r="E38" i="10"/>
  <c r="F38" i="10"/>
  <c r="D38" i="10"/>
  <c r="E37" i="10"/>
  <c r="F37" i="10"/>
  <c r="D37" i="10"/>
  <c r="D79" i="11" l="1"/>
  <c r="F75" i="11"/>
  <c r="G75" i="11"/>
  <c r="H75" i="11"/>
  <c r="I75" i="11"/>
  <c r="J75" i="11"/>
  <c r="E74" i="11"/>
  <c r="F74" i="11"/>
  <c r="G74" i="11"/>
  <c r="H74" i="11"/>
  <c r="I74" i="11"/>
  <c r="J74" i="11"/>
  <c r="D74" i="11"/>
  <c r="E73" i="11"/>
  <c r="F73" i="11"/>
  <c r="G73" i="11"/>
  <c r="H73" i="11"/>
  <c r="I73" i="11"/>
  <c r="J73" i="11"/>
  <c r="D73" i="11"/>
  <c r="F72" i="11"/>
  <c r="G72" i="11"/>
  <c r="H72" i="11"/>
  <c r="I72" i="11"/>
  <c r="J72" i="11"/>
  <c r="E59" i="11"/>
  <c r="F59" i="11"/>
  <c r="G59" i="11"/>
  <c r="H59" i="11"/>
  <c r="I59" i="11"/>
  <c r="J59" i="11"/>
  <c r="D59" i="11"/>
  <c r="D50" i="11"/>
  <c r="I34" i="11"/>
  <c r="H34" i="11"/>
  <c r="J30" i="11"/>
  <c r="I30" i="11"/>
  <c r="F66" i="11"/>
  <c r="G66" i="11"/>
  <c r="H66" i="11"/>
  <c r="I66" i="11"/>
  <c r="J66" i="11"/>
  <c r="D51" i="11"/>
  <c r="D47" i="11"/>
  <c r="G34" i="11"/>
  <c r="D42" i="11"/>
  <c r="D46" i="11"/>
  <c r="D48" i="11"/>
  <c r="E34" i="11"/>
  <c r="F34" i="11"/>
  <c r="F40" i="11"/>
  <c r="G40" i="11"/>
  <c r="H40" i="11"/>
  <c r="I40" i="11"/>
  <c r="J40" i="11"/>
  <c r="D43" i="11"/>
  <c r="D38" i="11"/>
  <c r="E37" i="11"/>
  <c r="D37" i="11"/>
  <c r="G36" i="11"/>
  <c r="H36" i="11"/>
  <c r="I36" i="11"/>
  <c r="J36" i="11"/>
  <c r="F36" i="11"/>
  <c r="F89" i="4"/>
  <c r="E89" i="4"/>
  <c r="F87" i="4"/>
  <c r="E87" i="4"/>
  <c r="F86" i="4"/>
  <c r="E86" i="4"/>
  <c r="F83" i="4"/>
  <c r="E83" i="4"/>
  <c r="F81" i="4"/>
  <c r="E81" i="4"/>
  <c r="F82" i="4"/>
  <c r="E82" i="4"/>
  <c r="F78" i="4"/>
  <c r="E78" i="4"/>
  <c r="F75" i="4"/>
  <c r="F76" i="4" s="1"/>
  <c r="E75" i="4"/>
  <c r="E76" i="4"/>
  <c r="F74" i="4"/>
  <c r="E74" i="4"/>
  <c r="F72" i="4"/>
  <c r="F73" i="4" s="1"/>
  <c r="E72" i="4"/>
  <c r="E73" i="4" s="1"/>
  <c r="F71" i="4"/>
  <c r="E71" i="4"/>
  <c r="F70" i="4"/>
  <c r="E70" i="4"/>
  <c r="F69" i="4"/>
  <c r="E69" i="4"/>
  <c r="F68" i="4"/>
  <c r="E68" i="4"/>
  <c r="F67" i="4"/>
  <c r="E67" i="4"/>
  <c r="F66" i="4"/>
  <c r="E66" i="4"/>
  <c r="F65" i="4"/>
  <c r="E65" i="4"/>
  <c r="E64" i="4"/>
  <c r="F64" i="4"/>
  <c r="F63" i="4"/>
  <c r="E63" i="4"/>
  <c r="F62" i="4"/>
  <c r="E62" i="4"/>
  <c r="F61" i="4"/>
  <c r="E61" i="4"/>
  <c r="F60" i="4"/>
  <c r="E60" i="4"/>
  <c r="E59" i="4"/>
  <c r="F59" i="4"/>
  <c r="D59" i="4"/>
  <c r="F55" i="4"/>
  <c r="E55" i="4" s="1"/>
  <c r="D55" i="4" s="1"/>
  <c r="E58" i="4"/>
  <c r="F58" i="4"/>
  <c r="D58" i="4"/>
  <c r="K31" i="14"/>
  <c r="D20" i="6"/>
  <c r="C7" i="14"/>
  <c r="B7" i="14"/>
  <c r="C6" i="14"/>
  <c r="B6" i="14"/>
  <c r="B4" i="14"/>
  <c r="B3" i="14"/>
  <c r="C2" i="14"/>
  <c r="B2" i="14"/>
  <c r="D49" i="11" l="1"/>
  <c r="E38" i="11"/>
  <c r="E47" i="11"/>
  <c r="D41" i="4"/>
  <c r="D43" i="4" s="1"/>
  <c r="E46" i="11" l="1"/>
  <c r="E48" i="11"/>
  <c r="E43" i="11"/>
  <c r="E42" i="11"/>
  <c r="F38" i="11"/>
  <c r="D65" i="11"/>
  <c r="D58" i="11"/>
  <c r="E41" i="4"/>
  <c r="F41" i="4"/>
  <c r="E29" i="4"/>
  <c r="D29" i="4"/>
  <c r="F29" i="4"/>
  <c r="F42" i="11" l="1"/>
  <c r="E79" i="11"/>
  <c r="E50" i="11"/>
  <c r="E51" i="11" s="1"/>
  <c r="D52" i="11"/>
  <c r="D53" i="11" s="1"/>
  <c r="D77" i="11" s="1"/>
  <c r="E49" i="11"/>
  <c r="F47" i="11"/>
  <c r="F18" i="4"/>
  <c r="E18" i="4" s="1"/>
  <c r="D18" i="4" s="1"/>
  <c r="E24" i="11"/>
  <c r="F24" i="11" s="1"/>
  <c r="G24" i="11" s="1"/>
  <c r="H24" i="11" s="1"/>
  <c r="F48" i="11" l="1"/>
  <c r="G38" i="11" s="1"/>
  <c r="G47" i="11"/>
  <c r="F49" i="11"/>
  <c r="F46" i="11"/>
  <c r="E65" i="11"/>
  <c r="E58" i="11"/>
  <c r="B7" i="11"/>
  <c r="C6" i="11"/>
  <c r="B6" i="11"/>
  <c r="C4" i="11"/>
  <c r="B4" i="11"/>
  <c r="C3" i="11"/>
  <c r="B3" i="11"/>
  <c r="C2" i="11"/>
  <c r="B2" i="11"/>
  <c r="B7" i="10"/>
  <c r="C6" i="10"/>
  <c r="B6" i="10"/>
  <c r="C4" i="10"/>
  <c r="B4" i="10"/>
  <c r="C3" i="10"/>
  <c r="B3" i="10"/>
  <c r="C2" i="10"/>
  <c r="B2" i="10"/>
  <c r="F65" i="11" l="1"/>
  <c r="G48" i="11"/>
  <c r="H47" i="11"/>
  <c r="G49" i="11"/>
  <c r="G46" i="11"/>
  <c r="H38" i="11"/>
  <c r="G42" i="11"/>
  <c r="B7" i="9"/>
  <c r="C6" i="9"/>
  <c r="B6" i="9"/>
  <c r="C4" i="9"/>
  <c r="B4" i="9"/>
  <c r="C3" i="9"/>
  <c r="B3" i="9"/>
  <c r="C2" i="9"/>
  <c r="B2" i="9"/>
  <c r="B7" i="8"/>
  <c r="C6" i="8"/>
  <c r="B6" i="8"/>
  <c r="C4" i="8"/>
  <c r="B4" i="8"/>
  <c r="C3" i="8"/>
  <c r="B3" i="8"/>
  <c r="C2" i="8"/>
  <c r="B2" i="8"/>
  <c r="E46" i="4"/>
  <c r="F46" i="4"/>
  <c r="D46" i="4"/>
  <c r="E43" i="4"/>
  <c r="F43" i="4"/>
  <c r="E24" i="4"/>
  <c r="F24" i="4"/>
  <c r="D24" i="4"/>
  <c r="D56" i="4" s="1"/>
  <c r="H42" i="11" l="1"/>
  <c r="G65" i="11"/>
  <c r="H48" i="11"/>
  <c r="H46" i="11"/>
  <c r="E30" i="4"/>
  <c r="E52" i="4" s="1"/>
  <c r="E56" i="4"/>
  <c r="E57" i="4" s="1"/>
  <c r="D57" i="4"/>
  <c r="F30" i="4"/>
  <c r="F52" i="4" s="1"/>
  <c r="F56" i="4"/>
  <c r="D30" i="4"/>
  <c r="D52" i="4" s="1"/>
  <c r="D48" i="4"/>
  <c r="D49" i="4"/>
  <c r="F48" i="4"/>
  <c r="E48" i="4"/>
  <c r="B3" i="4"/>
  <c r="C3" i="4"/>
  <c r="B4" i="4"/>
  <c r="C4" i="4"/>
  <c r="B6" i="4"/>
  <c r="C6" i="4"/>
  <c r="B7" i="4"/>
  <c r="C2" i="4"/>
  <c r="B2" i="4"/>
  <c r="H49" i="11" l="1"/>
  <c r="I38" i="11"/>
  <c r="I47" i="11"/>
  <c r="F57" i="4"/>
  <c r="E49" i="4"/>
  <c r="F49" i="4"/>
  <c r="F32" i="4"/>
  <c r="F34" i="4" s="1"/>
  <c r="E32" i="4"/>
  <c r="E34" i="4" s="1"/>
  <c r="D32" i="4"/>
  <c r="D34" i="4" s="1"/>
  <c r="C7" i="4"/>
  <c r="C7" i="10"/>
  <c r="C7" i="11"/>
  <c r="C7" i="8"/>
  <c r="C7" i="9"/>
  <c r="I48" i="11" l="1"/>
  <c r="J47" i="11" s="1"/>
  <c r="I49" i="11"/>
  <c r="I46" i="11"/>
  <c r="J38" i="11"/>
  <c r="H65" i="11"/>
  <c r="I65" i="11" l="1"/>
  <c r="J48" i="11"/>
  <c r="J46" i="11"/>
  <c r="J49" i="11"/>
  <c r="J65" i="11" l="1"/>
  <c r="J67" i="11" s="1"/>
  <c r="J43" i="11" s="1"/>
  <c r="I67" i="11"/>
  <c r="I43" i="11" l="1"/>
  <c r="H67" i="11"/>
  <c r="J79" i="11"/>
  <c r="K43" i="11"/>
  <c r="J52" i="11" s="1"/>
  <c r="I52" i="11"/>
  <c r="J50" i="11"/>
  <c r="J51" i="11" l="1"/>
  <c r="J58" i="11" s="1"/>
  <c r="J60" i="11" s="1"/>
  <c r="J53" i="11"/>
  <c r="J77" i="11" s="1"/>
  <c r="J78" i="11" s="1"/>
  <c r="H43" i="11"/>
  <c r="G67" i="11"/>
  <c r="I79" i="11"/>
  <c r="H52" i="11"/>
  <c r="I50" i="11"/>
  <c r="I51" i="11" l="1"/>
  <c r="I58" i="11" s="1"/>
  <c r="I53" i="11"/>
  <c r="I77" i="11" s="1"/>
  <c r="F67" i="11"/>
  <c r="G43" i="11"/>
  <c r="H79" i="11"/>
  <c r="G52" i="11"/>
  <c r="H50" i="11"/>
  <c r="I78" i="11"/>
  <c r="J80" i="11"/>
  <c r="I60" i="11"/>
  <c r="I80" i="11" l="1"/>
  <c r="H51" i="11"/>
  <c r="H58" i="11" s="1"/>
  <c r="H60" i="11" s="1"/>
  <c r="H53" i="11"/>
  <c r="H77" i="11" s="1"/>
  <c r="H78" i="11" s="1"/>
  <c r="G79" i="11"/>
  <c r="G50" i="11"/>
  <c r="F43" i="11"/>
  <c r="F79" i="11" l="1"/>
  <c r="E52" i="11"/>
  <c r="E53" i="11" s="1"/>
  <c r="E77" i="11" s="1"/>
  <c r="F50" i="11"/>
  <c r="F52" i="11"/>
  <c r="G51" i="11"/>
  <c r="G58" i="11" s="1"/>
  <c r="G53" i="11"/>
  <c r="G77" i="11" s="1"/>
  <c r="G78" i="11"/>
  <c r="H80" i="11"/>
  <c r="G60" i="11"/>
  <c r="G80" i="11" l="1"/>
  <c r="F51" i="11"/>
  <c r="F58" i="11" s="1"/>
  <c r="F60" i="11" s="1"/>
  <c r="E60" i="11" s="1"/>
  <c r="F53" i="11"/>
  <c r="F77" i="11" s="1"/>
  <c r="F78" i="11" s="1"/>
  <c r="F80" i="11" l="1"/>
  <c r="D60" i="11"/>
  <c r="D36" i="11" s="1"/>
  <c r="E36" i="11"/>
  <c r="E72" i="11" l="1"/>
  <c r="E75" i="11" s="1"/>
  <c r="E78" i="11" s="1"/>
  <c r="E40" i="11"/>
  <c r="E66" i="11" s="1"/>
  <c r="E67" i="11" s="1"/>
  <c r="D72" i="11"/>
  <c r="D75" i="11" s="1"/>
  <c r="D40" i="11"/>
  <c r="D66" i="11" s="1"/>
  <c r="D67" i="11" l="1"/>
  <c r="D78" i="11"/>
  <c r="D80" i="11" s="1"/>
  <c r="E80" i="11"/>
</calcChain>
</file>

<file path=xl/sharedStrings.xml><?xml version="1.0" encoding="utf-8"?>
<sst xmlns="http://schemas.openxmlformats.org/spreadsheetml/2006/main" count="200" uniqueCount="149">
  <si>
    <t>Applied Business Valuation</t>
  </si>
  <si>
    <t>Date</t>
  </si>
  <si>
    <t>Student name</t>
  </si>
  <si>
    <t>Master in Finance</t>
  </si>
  <si>
    <t>Neptun code</t>
  </si>
  <si>
    <t>Master in Accounting</t>
  </si>
  <si>
    <t>Study program</t>
  </si>
  <si>
    <t>Instructor</t>
  </si>
  <si>
    <t>Péter Juhász, PhD, CFA</t>
  </si>
  <si>
    <t>Total points achieved</t>
  </si>
  <si>
    <t>Points achived:</t>
  </si>
  <si>
    <t>Sales</t>
  </si>
  <si>
    <t>Other income</t>
  </si>
  <si>
    <t>Material expenses</t>
  </si>
  <si>
    <t>Labour expenses</t>
  </si>
  <si>
    <t>D&amp;A</t>
  </si>
  <si>
    <t>EBIT</t>
  </si>
  <si>
    <t>Dividend received</t>
  </si>
  <si>
    <t>Interests received</t>
  </si>
  <si>
    <t>Interests paid on short term loans</t>
  </si>
  <si>
    <t>Interests paid on long term loans</t>
  </si>
  <si>
    <t>Financial profit</t>
  </si>
  <si>
    <t>Profit before tax</t>
  </si>
  <si>
    <t>Corporate tax</t>
  </si>
  <si>
    <t>Profit after tax</t>
  </si>
  <si>
    <t>Dividend</t>
  </si>
  <si>
    <t>Retained earnings</t>
  </si>
  <si>
    <t>Cash</t>
  </si>
  <si>
    <t>of which operational cash</t>
  </si>
  <si>
    <t>Marketable securities</t>
  </si>
  <si>
    <t>Receivables</t>
  </si>
  <si>
    <t>Inventory</t>
  </si>
  <si>
    <t>Current assets</t>
  </si>
  <si>
    <t>Invested assets</t>
  </si>
  <si>
    <t>Total of assests</t>
  </si>
  <si>
    <t>Short term loans</t>
  </si>
  <si>
    <t>Payables</t>
  </si>
  <si>
    <t>Short term liabilities</t>
  </si>
  <si>
    <t>Long term debt</t>
  </si>
  <si>
    <t>Equity</t>
  </si>
  <si>
    <t>Total of Liabilities and Equity</t>
  </si>
  <si>
    <t>t</t>
  </si>
  <si>
    <t>Cash Flow</t>
  </si>
  <si>
    <t>Operational profit (EBIT)</t>
  </si>
  <si>
    <t>NOPLAT (=EBIT-tax = EBIT*(1-t))</t>
  </si>
  <si>
    <t>Gross CF</t>
  </si>
  <si>
    <r>
      <rPr>
        <sz val="12"/>
        <color theme="1"/>
        <rFont val="Symbol"/>
        <family val="1"/>
        <charset val="2"/>
      </rPr>
      <t>D</t>
    </r>
    <r>
      <rPr>
        <sz val="12"/>
        <color theme="1"/>
        <rFont val="Times New Roman"/>
        <family val="2"/>
        <charset val="238"/>
      </rPr>
      <t xml:space="preserve"> Inventory</t>
    </r>
  </si>
  <si>
    <r>
      <rPr>
        <sz val="12"/>
        <color theme="1"/>
        <rFont val="Symbol"/>
        <family val="1"/>
        <charset val="2"/>
      </rPr>
      <t>D</t>
    </r>
    <r>
      <rPr>
        <sz val="12"/>
        <color theme="1"/>
        <rFont val="Times New Roman"/>
        <family val="2"/>
        <charset val="238"/>
      </rPr>
      <t xml:space="preserve"> Receivables</t>
    </r>
  </si>
  <si>
    <r>
      <rPr>
        <sz val="12"/>
        <color theme="1"/>
        <rFont val="Symbol"/>
        <family val="1"/>
        <charset val="2"/>
      </rPr>
      <t>D</t>
    </r>
    <r>
      <rPr>
        <sz val="12"/>
        <color theme="1"/>
        <rFont val="Times New Roman"/>
        <family val="2"/>
        <charset val="238"/>
      </rPr>
      <t xml:space="preserve"> Operational Cash</t>
    </r>
  </si>
  <si>
    <r>
      <rPr>
        <sz val="12"/>
        <color theme="1"/>
        <rFont val="Symbol"/>
        <family val="1"/>
        <charset val="2"/>
      </rPr>
      <t>D</t>
    </r>
    <r>
      <rPr>
        <sz val="12"/>
        <color theme="1"/>
        <rFont val="Times New Roman"/>
        <family val="2"/>
        <charset val="238"/>
      </rPr>
      <t xml:space="preserve"> Payables</t>
    </r>
  </si>
  <si>
    <t>CF from operations</t>
  </si>
  <si>
    <r>
      <rPr>
        <sz val="12"/>
        <color theme="1"/>
        <rFont val="Symbol"/>
        <family val="1"/>
        <charset val="2"/>
      </rPr>
      <t>D</t>
    </r>
    <r>
      <rPr>
        <sz val="12"/>
        <color theme="1"/>
        <rFont val="Times New Roman"/>
        <family val="2"/>
        <charset val="238"/>
      </rPr>
      <t xml:space="preserve"> PPE</t>
    </r>
  </si>
  <si>
    <t>CF from investments</t>
  </si>
  <si>
    <t>FCFF</t>
  </si>
  <si>
    <t>Interest</t>
  </si>
  <si>
    <t>Tax shield</t>
  </si>
  <si>
    <r>
      <rPr>
        <sz val="12"/>
        <color theme="1"/>
        <rFont val="Symbol"/>
        <family val="1"/>
        <charset val="2"/>
      </rPr>
      <t>D</t>
    </r>
    <r>
      <rPr>
        <sz val="12"/>
        <color theme="1"/>
        <rFont val="Times New Roman"/>
        <family val="2"/>
        <charset val="238"/>
      </rPr>
      <t xml:space="preserve"> Debt</t>
    </r>
  </si>
  <si>
    <t>FCFD</t>
  </si>
  <si>
    <t>FCFE</t>
  </si>
  <si>
    <t>Share issue/buyback</t>
  </si>
  <si>
    <t>CF from financing</t>
  </si>
  <si>
    <t>Non-operative items change</t>
  </si>
  <si>
    <t>Non-operative CF</t>
  </si>
  <si>
    <t>TS from Interests received</t>
  </si>
  <si>
    <t>Non-operative cash</t>
  </si>
  <si>
    <t>check</t>
  </si>
  <si>
    <t>TV1</t>
  </si>
  <si>
    <t>TV2</t>
  </si>
  <si>
    <r>
      <t>r</t>
    </r>
    <r>
      <rPr>
        <vertAlign val="subscript"/>
        <sz val="12"/>
        <color rgb="FF000000"/>
        <rFont val="Times New Roman"/>
        <family val="1"/>
        <charset val="238"/>
      </rPr>
      <t>A</t>
    </r>
  </si>
  <si>
    <t>D/V boy</t>
  </si>
  <si>
    <t>D/IC boy</t>
  </si>
  <si>
    <r>
      <t>r</t>
    </r>
    <r>
      <rPr>
        <vertAlign val="subscript"/>
        <sz val="12"/>
        <color rgb="FF000000"/>
        <rFont val="Times New Roman"/>
        <family val="1"/>
        <charset val="238"/>
      </rPr>
      <t>D</t>
    </r>
  </si>
  <si>
    <t>ROIC</t>
  </si>
  <si>
    <t>RONIC</t>
  </si>
  <si>
    <t>g targeted for the given year</t>
  </si>
  <si>
    <t>IC boy</t>
  </si>
  <si>
    <t>K</t>
  </si>
  <si>
    <t>WACC</t>
  </si>
  <si>
    <t>D boy</t>
  </si>
  <si>
    <t>BV of E boy</t>
  </si>
  <si>
    <t>NOPLAT</t>
  </si>
  <si>
    <t>dIC</t>
  </si>
  <si>
    <t>dD</t>
  </si>
  <si>
    <t>VALUATION</t>
  </si>
  <si>
    <t>APV</t>
  </si>
  <si>
    <t>FCFF+TS</t>
  </si>
  <si>
    <t>rA</t>
  </si>
  <si>
    <t>V boy</t>
  </si>
  <si>
    <t>D/V</t>
  </si>
  <si>
    <t>rD</t>
  </si>
  <si>
    <t>rE</t>
  </si>
  <si>
    <t>E boy</t>
  </si>
  <si>
    <t>transaction fee</t>
  </si>
  <si>
    <t>HUF</t>
  </si>
  <si>
    <t>Firm A</t>
  </si>
  <si>
    <t>Firm B</t>
  </si>
  <si>
    <t>Together</t>
  </si>
  <si>
    <t>Noplat</t>
  </si>
  <si>
    <t>M HUF?</t>
  </si>
  <si>
    <t xml:space="preserve"> </t>
  </si>
  <si>
    <t>g</t>
  </si>
  <si>
    <t>Number of shares</t>
  </si>
  <si>
    <t>Without synergy</t>
  </si>
  <si>
    <t>Synergy</t>
  </si>
  <si>
    <t>V</t>
  </si>
  <si>
    <t>D</t>
  </si>
  <si>
    <t>E</t>
  </si>
  <si>
    <t>base</t>
  </si>
  <si>
    <t>transaction cost (M HUF)</t>
  </si>
  <si>
    <t>Bargaining range</t>
  </si>
  <si>
    <t>Min</t>
  </si>
  <si>
    <t>Max</t>
  </si>
  <si>
    <t>Price paid</t>
  </si>
  <si>
    <t>Share</t>
  </si>
  <si>
    <t>Corporate tax rate</t>
  </si>
  <si>
    <t>Required rate of return on renting</t>
  </si>
  <si>
    <t>Capitalisation rate for EBITDA</t>
  </si>
  <si>
    <t>Average inflation during the last 20 years</t>
  </si>
  <si>
    <t>Age of the building</t>
  </si>
  <si>
    <t>years</t>
  </si>
  <si>
    <t>Useful operational years left over</t>
  </si>
  <si>
    <t>Accounting life time left over</t>
  </si>
  <si>
    <t>Total net monthly rental income before D&amp;A</t>
  </si>
  <si>
    <t>Expected g of rental fees</t>
  </si>
  <si>
    <t>Net book value of the building</t>
  </si>
  <si>
    <t>Gross book value of the building</t>
  </si>
  <si>
    <t>Rental fee</t>
  </si>
  <si>
    <t>Growing annuity WITHOUT  D&amp;A= (c/(r-g) *  (1- (1+g)^n / (1+r) ^n))* (1+r)</t>
  </si>
  <si>
    <t>tax shield of D&amp;A</t>
  </si>
  <si>
    <t>PV of tax shield</t>
  </si>
  <si>
    <t>Non growing annuity (20 yrs)</t>
  </si>
  <si>
    <t>Total value</t>
  </si>
  <si>
    <t>Net income</t>
  </si>
  <si>
    <t>Capitalization rate</t>
  </si>
  <si>
    <t>Value</t>
  </si>
  <si>
    <t>Adjusted purchase cost</t>
  </si>
  <si>
    <t>rF</t>
  </si>
  <si>
    <t>Market risk premium</t>
  </si>
  <si>
    <t>A</t>
  </si>
  <si>
    <t>P</t>
  </si>
  <si>
    <t xml:space="preserve"> number of shares</t>
  </si>
  <si>
    <t>Capitalisation</t>
  </si>
  <si>
    <t>betaE</t>
  </si>
  <si>
    <t>Debt</t>
  </si>
  <si>
    <t>debt risk premium</t>
  </si>
  <si>
    <t>betaD</t>
  </si>
  <si>
    <t>X</t>
  </si>
  <si>
    <t>Y</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</si>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</sst>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
    <numFmt numFmtId="166" formatCode="0.0%"/>
    <numFmt numFmtId="167" formatCode="_-* #,##0.00\ _F_t_-;\-* #,##0.00\ _F_t_-;_-* &quot;-&quot;??\ _F_t_-;_-@_-"/>
    <numFmt numFmtId="168" formatCode="0.0000%"/>
  </numFmts>
  <fonts count="29">
    <font>
      <sz val="12"/>
      <color theme="1"/>
      <name val="Times New Roman"/>
      <family val="2"/>
      <charset val="238"/>
    </font>
    <font>
      <sz val="10"/>
      <color theme="1"/>
      <name val="Calibri"/>
      <family val="2"/>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vertAlign val="subscript"/>
      <sz val="12"/>
      <color rgb="FF000000"/>
      <name val="Times New Roman"/>
      <family val="1"/>
      <charset val="238"/>
    </font>
    <font>
      <sz val="18"/>
      <color theme="1"/>
      <name val="Times New Roman"/>
      <family val="2"/>
      <charset val="238"/>
    </font>
    <font>
      <b/>
      <sz val="18"/>
      <color theme="1"/>
      <name val="Times New Roman"/>
      <family val="1"/>
      <charset val="238"/>
    </font>
    <font>
      <sz val="8"/>
      <name val="Times New Roman"/>
      <family val="2"/>
      <charset val="238"/>
    </font>
    <font>
      <b/>
      <sz val="28"/>
      <color theme="1"/>
      <name val="Times New Roman"/>
      <family val="1"/>
      <charset val="238"/>
    </font>
    <font>
      <sz val="14"/>
      <color theme="1"/>
      <name val="Times New Roman"/>
      <family val="2"/>
      <charset val="238"/>
    </font>
    <font>
      <b/>
      <sz val="14"/>
      <color theme="1"/>
      <name val="Times New Roman"/>
      <family val="1"/>
      <charset val="238"/>
    </font>
    <font>
      <b/>
      <sz val="16"/>
      <color theme="1"/>
      <name val="Times New Roman"/>
      <family val="1"/>
      <charset val="238"/>
    </font>
    <font>
      <sz val="12"/>
      <color theme="1"/>
      <name val="Times New Roman"/>
      <family val="1"/>
      <charset val="238"/>
    </font>
    <font>
      <b/>
      <i/>
      <sz val="12"/>
      <color rgb="FF000000"/>
      <name val="Times New Roman"/>
      <family val="1"/>
      <charset val="238"/>
    </font>
    <font>
      <sz val="12"/>
      <color theme="0"/>
      <name val="Times New Roman"/>
      <family val="2"/>
      <charset val="238"/>
    </font>
    <font>
      <sz val="16"/>
      <color rgb="FF000000"/>
      <name val="Times New Roman"/>
      <family val="1"/>
      <charset val="238"/>
    </font>
    <font>
      <sz val="12"/>
      <color theme="1"/>
      <name val="Times New Roman"/>
      <family val="2"/>
      <charset val="238"/>
    </font>
    <font>
      <b/>
      <sz val="12"/>
      <color theme="1"/>
      <name val="Calibri"/>
      <family val="2"/>
      <scheme val="minor"/>
    </font>
    <font>
      <sz val="12"/>
      <color theme="1"/>
      <name val="Calibri"/>
      <family val="2"/>
      <charset val="2"/>
      <scheme val="minor"/>
    </font>
    <font>
      <sz val="12"/>
      <color theme="1"/>
      <name val="Symbol"/>
      <family val="1"/>
      <charset val="2"/>
    </font>
    <font>
      <sz val="12"/>
      <color theme="1"/>
      <name val="Calibri"/>
      <family val="2"/>
      <scheme val="minor"/>
    </font>
    <font>
      <i/>
      <sz val="12"/>
      <color theme="1"/>
      <name val="Times New Roman"/>
      <family val="1"/>
    </font>
    <font>
      <sz val="12"/>
      <color theme="1"/>
      <name val="Calibri"/>
      <family val="2"/>
      <charset val="2"/>
    </font>
    <font>
      <sz val="12"/>
      <color theme="9"/>
      <name val="Times New Roman"/>
      <family val="2"/>
      <charset val="238"/>
    </font>
    <font>
      <sz val="12"/>
      <color theme="5"/>
      <name val="Times New Roman"/>
      <family val="1"/>
      <charset val="238"/>
    </font>
    <font>
      <sz val="12"/>
      <color theme="5"/>
      <name val="Times New Roman"/>
      <family val="2"/>
      <charset val="238"/>
    </font>
    <font>
      <sz val="12"/>
      <color theme="3"/>
      <name val="Times New Roman"/>
      <family val="2"/>
      <charset val="238"/>
    </font>
    <font>
      <b/>
      <sz val="12"/>
      <color theme="1"/>
      <name val="Times New Roman"/>
      <family val="1"/>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top/>
      <bottom style="thin">
        <color indexed="64"/>
      </bottom>
      <diagonal/>
    </border>
  </borders>
  <cellStyleXfs count="3">
    <xf numFmtId="0" fontId="0" fillId="0" borderId="0"/>
    <xf numFmtId="9" fontId="17" fillId="0" borderId="0" applyFont="0" applyFill="0" applyBorder="0" applyAlignment="0" applyProtection="0"/>
    <xf numFmtId="164" fontId="17" fillId="0" borderId="0" applyFont="0" applyFill="0" applyBorder="0" applyAlignment="0" applyProtection="0"/>
  </cellStyleXfs>
  <cellXfs count="79">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10" fontId="3" fillId="0" borderId="0" xfId="0" applyNumberFormat="1" applyFont="1" applyAlignment="1">
      <alignment horizontal="right" vertical="center"/>
    </xf>
    <xf numFmtId="0" fontId="6" fillId="0" borderId="0" xfId="0" applyFont="1"/>
    <xf numFmtId="0" fontId="0" fillId="0" borderId="0" xfId="0" applyAlignment="1">
      <alignment horizontal="center"/>
    </xf>
    <xf numFmtId="0" fontId="7" fillId="0" borderId="0" xfId="0" applyFont="1"/>
    <xf numFmtId="0" fontId="7" fillId="0" borderId="0" xfId="0" applyFont="1" applyProtection="1">
      <protection hidden="1"/>
    </xf>
    <xf numFmtId="0" fontId="7" fillId="2" borderId="5" xfId="0" applyFont="1" applyFill="1" applyBorder="1" applyProtection="1">
      <protection hidden="1"/>
    </xf>
    <xf numFmtId="0" fontId="10" fillId="5" borderId="6" xfId="0" applyFont="1" applyFill="1" applyBorder="1"/>
    <xf numFmtId="0" fontId="10" fillId="5" borderId="8" xfId="0" applyFont="1" applyFill="1" applyBorder="1"/>
    <xf numFmtId="165" fontId="11" fillId="5" borderId="9" xfId="0" applyNumberFormat="1" applyFont="1" applyFill="1" applyBorder="1" applyAlignment="1">
      <alignment horizontal="center"/>
    </xf>
    <xf numFmtId="0" fontId="10" fillId="5" borderId="9" xfId="0" applyFont="1" applyFill="1" applyBorder="1"/>
    <xf numFmtId="0" fontId="10" fillId="5" borderId="10" xfId="0" applyFont="1" applyFill="1" applyBorder="1"/>
    <xf numFmtId="0" fontId="10" fillId="5" borderId="4" xfId="0" applyFont="1" applyFill="1" applyBorder="1"/>
    <xf numFmtId="0" fontId="12" fillId="2" borderId="11" xfId="0" applyFont="1" applyFill="1" applyBorder="1" applyAlignment="1">
      <alignment horizontal="center"/>
    </xf>
    <xf numFmtId="0" fontId="12" fillId="2" borderId="2" xfId="0" applyFont="1" applyFill="1" applyBorder="1" applyAlignment="1">
      <alignment horizontal="center"/>
    </xf>
    <xf numFmtId="0" fontId="13" fillId="0" borderId="1" xfId="0" applyFont="1" applyBorder="1" applyAlignment="1">
      <alignment horizontal="left" vertical="center"/>
    </xf>
    <xf numFmtId="0" fontId="2" fillId="4" borderId="2" xfId="0" applyFont="1" applyFill="1" applyBorder="1" applyAlignment="1">
      <alignment horizontal="center" vertical="center"/>
    </xf>
    <xf numFmtId="0" fontId="13" fillId="0" borderId="3" xfId="0" applyFont="1" applyBorder="1" applyAlignment="1">
      <alignment horizontal="left" vertical="center"/>
    </xf>
    <xf numFmtId="0" fontId="4" fillId="0" borderId="3" xfId="0" applyFont="1" applyBorder="1" applyAlignment="1">
      <alignment horizontal="left" vertical="center"/>
    </xf>
    <xf numFmtId="0" fontId="1" fillId="0" borderId="12" xfId="0" applyFont="1" applyBorder="1"/>
    <xf numFmtId="4" fontId="3" fillId="4" borderId="4" xfId="0" applyNumberFormat="1" applyFont="1" applyFill="1" applyBorder="1" applyAlignment="1">
      <alignment horizontal="right" vertical="center"/>
    </xf>
    <xf numFmtId="4" fontId="2" fillId="4" borderId="4" xfId="0" applyNumberFormat="1" applyFont="1" applyFill="1" applyBorder="1" applyAlignment="1">
      <alignment horizontal="right" vertical="center"/>
    </xf>
    <xf numFmtId="4" fontId="3" fillId="4" borderId="12" xfId="0" applyNumberFormat="1" applyFont="1" applyFill="1" applyBorder="1" applyAlignment="1">
      <alignment horizontal="left" vertical="center"/>
    </xf>
    <xf numFmtId="4" fontId="14" fillId="4" borderId="4" xfId="0" applyNumberFormat="1" applyFont="1" applyFill="1" applyBorder="1" applyAlignment="1">
      <alignment horizontal="right" vertical="center"/>
    </xf>
    <xf numFmtId="0" fontId="7" fillId="3" borderId="5" xfId="0" applyFont="1" applyFill="1" applyBorder="1" applyAlignment="1" applyProtection="1">
      <alignment horizontal="center"/>
      <protection locked="0"/>
    </xf>
    <xf numFmtId="0" fontId="13" fillId="0" borderId="0" xfId="0" applyFont="1"/>
    <xf numFmtId="4" fontId="13" fillId="0" borderId="0" xfId="0" applyNumberFormat="1" applyFont="1"/>
    <xf numFmtId="0" fontId="4" fillId="0" borderId="0" xfId="0" applyFont="1" applyAlignment="1">
      <alignment horizontal="center"/>
    </xf>
    <xf numFmtId="10" fontId="0" fillId="0" borderId="0" xfId="0" applyNumberFormat="1"/>
    <xf numFmtId="0" fontId="15" fillId="0" borderId="0" xfId="0" applyFont="1"/>
    <xf numFmtId="0" fontId="16" fillId="0" borderId="0" xfId="0" applyFont="1"/>
    <xf numFmtId="0" fontId="7" fillId="0" borderId="0" xfId="0" applyFont="1" applyAlignment="1" applyProtection="1">
      <alignment horizontal="center"/>
      <protection hidden="1"/>
    </xf>
    <xf numFmtId="0" fontId="4" fillId="2" borderId="0" xfId="0" applyFont="1" applyFill="1" applyAlignment="1">
      <alignment horizontal="center"/>
    </xf>
    <xf numFmtId="14" fontId="11" fillId="5" borderId="7" xfId="0" applyNumberFormat="1" applyFont="1" applyFill="1" applyBorder="1" applyAlignment="1">
      <alignment horizontal="center"/>
    </xf>
    <xf numFmtId="14" fontId="7" fillId="0" borderId="0" xfId="0" applyNumberFormat="1" applyFont="1" applyAlignment="1">
      <alignment horizontal="center"/>
    </xf>
    <xf numFmtId="2" fontId="0" fillId="0" borderId="0" xfId="0" applyNumberFormat="1"/>
    <xf numFmtId="9" fontId="0" fillId="0" borderId="0" xfId="0" applyNumberFormat="1"/>
    <xf numFmtId="10" fontId="13" fillId="0" borderId="0" xfId="0" applyNumberFormat="1" applyFont="1"/>
    <xf numFmtId="10" fontId="0" fillId="0" borderId="0" xfId="1" applyNumberFormat="1" applyFont="1"/>
    <xf numFmtId="4" fontId="0" fillId="0" borderId="0" xfId="0" applyNumberFormat="1"/>
    <xf numFmtId="0" fontId="4" fillId="0" borderId="0" xfId="0" applyFont="1"/>
    <xf numFmtId="4" fontId="4" fillId="0" borderId="0" xfId="0" applyNumberFormat="1" applyFont="1"/>
    <xf numFmtId="10" fontId="0" fillId="0" borderId="0" xfId="1" applyNumberFormat="1" applyFont="1" applyFill="1"/>
    <xf numFmtId="0" fontId="18" fillId="6" borderId="0" xfId="0" applyFont="1" applyFill="1"/>
    <xf numFmtId="0" fontId="18" fillId="0" borderId="0" xfId="0" applyFont="1"/>
    <xf numFmtId="0" fontId="19" fillId="7" borderId="0" xfId="0" applyFont="1" applyFill="1"/>
    <xf numFmtId="0" fontId="19" fillId="8" borderId="13" xfId="0" applyFont="1" applyFill="1" applyBorder="1"/>
    <xf numFmtId="0" fontId="0" fillId="0" borderId="13" xfId="0" applyBorder="1"/>
    <xf numFmtId="0" fontId="21" fillId="0" borderId="0" xfId="0" applyFont="1"/>
    <xf numFmtId="0" fontId="19" fillId="0" borderId="13" xfId="0" applyFont="1" applyBorder="1"/>
    <xf numFmtId="0" fontId="19" fillId="0" borderId="0" xfId="0" applyFont="1"/>
    <xf numFmtId="0" fontId="22" fillId="0" borderId="0" xfId="0" applyFont="1"/>
    <xf numFmtId="0" fontId="13" fillId="8" borderId="0" xfId="0" applyFont="1" applyFill="1" applyAlignment="1">
      <alignment horizontal="left" vertical="center"/>
    </xf>
    <xf numFmtId="166" fontId="0" fillId="0" borderId="0" xfId="1" applyNumberFormat="1" applyFont="1"/>
    <xf numFmtId="164" fontId="0" fillId="0" borderId="0" xfId="2" applyFont="1"/>
    <xf numFmtId="0" fontId="13" fillId="8" borderId="3" xfId="0" applyFont="1" applyFill="1" applyBorder="1" applyAlignment="1">
      <alignment horizontal="left" vertical="center"/>
    </xf>
    <xf numFmtId="4" fontId="3" fillId="8" borderId="4" xfId="0" applyNumberFormat="1" applyFont="1" applyFill="1" applyBorder="1" applyAlignment="1">
      <alignment horizontal="right" vertical="center"/>
    </xf>
    <xf numFmtId="0" fontId="23" fillId="7" borderId="0" xfId="0" applyFont="1" applyFill="1"/>
    <xf numFmtId="0" fontId="24" fillId="0" borderId="0" xfId="0" applyFont="1"/>
    <xf numFmtId="164" fontId="24" fillId="0" borderId="0" xfId="0" applyNumberFormat="1" applyFont="1"/>
    <xf numFmtId="0" fontId="18" fillId="9" borderId="0" xfId="0" applyFont="1" applyFill="1"/>
    <xf numFmtId="0" fontId="18" fillId="10" borderId="0" xfId="0" applyFont="1" applyFill="1"/>
    <xf numFmtId="0" fontId="18" fillId="11" borderId="0" xfId="0" applyFont="1" applyFill="1"/>
    <xf numFmtId="167" fontId="0" fillId="0" borderId="0" xfId="0" applyNumberFormat="1"/>
    <xf numFmtId="168" fontId="0" fillId="0" borderId="0" xfId="1" applyNumberFormat="1" applyFont="1"/>
    <xf numFmtId="10" fontId="25" fillId="0" borderId="0" xfId="0" applyNumberFormat="1" applyFont="1" applyAlignment="1">
      <alignment horizontal="right" vertical="center"/>
    </xf>
    <xf numFmtId="10" fontId="26" fillId="0" borderId="0" xfId="0" applyNumberFormat="1" applyFont="1"/>
    <xf numFmtId="10" fontId="27" fillId="0" borderId="0" xfId="0" applyNumberFormat="1" applyFont="1"/>
    <xf numFmtId="4" fontId="27" fillId="0" borderId="0" xfId="0" applyNumberFormat="1" applyFont="1"/>
    <xf numFmtId="10" fontId="0" fillId="0" borderId="0" xfId="2" applyNumberFormat="1" applyFont="1"/>
    <xf numFmtId="10" fontId="3" fillId="12" borderId="0" xfId="0" applyNumberFormat="1" applyFont="1" applyFill="1" applyAlignment="1">
      <alignment horizontal="right" vertical="center"/>
    </xf>
    <xf numFmtId="164" fontId="0" fillId="12" borderId="0" xfId="2" applyFont="1" applyFill="1"/>
    <xf numFmtId="10" fontId="0" fillId="12" borderId="0" xfId="1" applyNumberFormat="1" applyFont="1" applyFill="1"/>
    <xf numFmtId="10" fontId="18" fillId="0" borderId="0" xfId="0" applyNumberFormat="1" applyFont="1"/>
    <xf numFmtId="167" fontId="28" fillId="0" borderId="0" xfId="0" applyNumberFormat="1" applyFont="1"/>
    <xf numFmtId="0" fontId="28" fillId="0" borderId="0" xfId="0" applyFont="1"/>
    <xf numFmtId="0" fontId="9" fillId="0" borderId="0" xfId="0" applyFont="1" applyAlignment="1">
      <alignment horizont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542924</xdr:colOff>
      <xdr:row>28</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12887324" cy="561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en-US" sz="1000"/>
        </a:p>
        <a:p>
          <a:pPr algn="ctr"/>
          <a:r>
            <a:rPr lang="hu-HU" sz="8000" b="1">
              <a:solidFill>
                <a:srgbClr val="7030A0"/>
              </a:solidFill>
            </a:rPr>
            <a:t>Applied Business Valuation</a:t>
          </a:r>
        </a:p>
        <a:p>
          <a:pPr algn="ctr"/>
          <a:r>
            <a:rPr lang="hu-HU" sz="5000"/>
            <a:t>Final exam 2 tasks</a:t>
          </a:r>
        </a:p>
        <a:p>
          <a:pPr algn="ctr"/>
          <a:endParaRPr lang="hu-HU" sz="5000"/>
        </a:p>
        <a:p>
          <a:pPr algn="ctr"/>
          <a:r>
            <a:rPr lang="hu-HU" sz="5000" baseline="0">
              <a:solidFill>
                <a:schemeClr val="dk1"/>
              </a:solidFill>
              <a:latin typeface="+mn-lt"/>
              <a:ea typeface="+mn-ea"/>
              <a:cs typeface="+mn-cs"/>
            </a:rPr>
            <a:t>Péter Juhász, PhD</a:t>
          </a:r>
          <a:r>
            <a:rPr lang="hu-HU" sz="5000" baseline="0"/>
            <a:t>, CFA</a:t>
          </a:r>
        </a:p>
        <a:p>
          <a:pPr algn="ctr"/>
          <a:r>
            <a:rPr lang="hu-HU" sz="3000" baseline="0"/>
            <a:t>peter.juhasz@uni-corvinus.hu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1</xdr:row>
      <xdr:rowOff>19050</xdr:rowOff>
    </xdr:from>
    <xdr:to>
      <xdr:col>4</xdr:col>
      <xdr:colOff>666750</xdr:colOff>
      <xdr:row>6</xdr:row>
      <xdr:rowOff>114300</xdr:rowOff>
    </xdr:to>
    <xdr:sp macro="" textlink="">
      <xdr:nvSpPr>
        <xdr:cNvPr id="2" name="Szövegdoboz 1">
          <a:extLst>
            <a:ext uri="{FF2B5EF4-FFF2-40B4-BE49-F238E27FC236}">
              <a16:creationId xmlns:a16="http://schemas.microsoft.com/office/drawing/2014/main" id="{6355EBA2-DB27-4EF1-AFED-D11B8547EEFD}"/>
            </a:ext>
          </a:extLst>
        </xdr:cNvPr>
        <xdr:cNvSpPr txBox="1"/>
      </xdr:nvSpPr>
      <xdr:spPr>
        <a:xfrm>
          <a:off x="990600" y="219075"/>
          <a:ext cx="56292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600" b="1">
              <a:solidFill>
                <a:srgbClr val="FF0000"/>
              </a:solidFill>
              <a:latin typeface="Times New Roman" panose="02020603050405020304" pitchFamily="18" charset="0"/>
              <a:cs typeface="Times New Roman" panose="02020603050405020304" pitchFamily="18" charset="0"/>
            </a:rPr>
            <a:t>Kindly</a:t>
          </a:r>
          <a:r>
            <a:rPr lang="hu-HU" sz="1600" b="1" baseline="0">
              <a:solidFill>
                <a:srgbClr val="FF0000"/>
              </a:solidFill>
              <a:latin typeface="Times New Roman" panose="02020603050405020304" pitchFamily="18" charset="0"/>
              <a:cs typeface="Times New Roman" panose="02020603050405020304" pitchFamily="18" charset="0"/>
            </a:rPr>
            <a:t> save this file renaming it following the pattern below. Please hand in the file only after named properly.</a:t>
          </a:r>
        </a:p>
        <a:p>
          <a:pPr algn="ctr"/>
          <a:endParaRPr lang="hu-HU" sz="1600" b="1" baseline="0">
            <a:solidFill>
              <a:srgbClr val="FF0000"/>
            </a:solidFill>
            <a:latin typeface="Times New Roman" panose="02020603050405020304" pitchFamily="18" charset="0"/>
            <a:cs typeface="Times New Roman" panose="02020603050405020304" pitchFamily="18" charset="0"/>
          </a:endParaRPr>
        </a:p>
        <a:p>
          <a:pPr algn="ctr"/>
          <a:r>
            <a:rPr lang="hu-HU" sz="1600" b="1" baseline="0">
              <a:solidFill>
                <a:srgbClr val="7030A0"/>
              </a:solidFill>
              <a:latin typeface="Times New Roman" panose="02020603050405020304" pitchFamily="18" charset="0"/>
              <a:cs typeface="Times New Roman" panose="02020603050405020304" pitchFamily="18" charset="0"/>
            </a:rPr>
            <a:t>EV2ndMidTerm_FamilyName_GivenName.xlsx</a:t>
          </a:r>
          <a:endParaRPr lang="hu-HU" sz="1600" b="1">
            <a:solidFill>
              <a:srgbClr val="7030A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4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 1</a:t>
          </a:r>
        </a:p>
        <a:p>
          <a:r>
            <a:rPr lang="hu-HU" sz="1400" b="0">
              <a:latin typeface="Times New Roman" panose="02020603050405020304" pitchFamily="18" charset="0"/>
              <a:cs typeface="Times New Roman" panose="02020603050405020304" pitchFamily="18" charset="0"/>
            </a:rPr>
            <a:t>Prepare the business cash flow of the firm for 2021 and 2022 based on the data provided. </a:t>
          </a:r>
        </a:p>
        <a:p>
          <a:r>
            <a:rPr lang="hu-HU" sz="1400" b="0">
              <a:latin typeface="Times New Roman" panose="02020603050405020304" pitchFamily="18" charset="0"/>
              <a:cs typeface="Times New Roman" panose="02020603050405020304" pitchFamily="18" charset="0"/>
            </a:rPr>
            <a:t>List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37</xdr:row>
      <xdr:rowOff>47625</xdr:rowOff>
    </xdr:to>
    <xdr:sp macro="" textlink="">
      <xdr:nvSpPr>
        <xdr:cNvPr id="3" name="Szövegdoboz 2">
          <a:extLst>
            <a:ext uri="{FF2B5EF4-FFF2-40B4-BE49-F238E27FC236}">
              <a16:creationId xmlns:a16="http://schemas.microsoft.com/office/drawing/2014/main" id="{BFDAC5A9-4707-436A-B503-673577B23A49}"/>
            </a:ext>
          </a:extLst>
        </xdr:cNvPr>
        <xdr:cNvSpPr txBox="1"/>
      </xdr:nvSpPr>
      <xdr:spPr>
        <a:xfrm>
          <a:off x="8477249" y="3752850"/>
          <a:ext cx="7372351" cy="380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Sales</a:t>
          </a:r>
          <a:r>
            <a:rPr lang="hu-HU" sz="1400" b="0" baseline="0">
              <a:latin typeface="Times New Roman" panose="02020603050405020304" pitchFamily="18" charset="0"/>
              <a:cs typeface="Times New Roman" panose="02020603050405020304" pitchFamily="18" charset="0"/>
            </a:rPr>
            <a:t> and other income is all operative, there wasn't one off items, or profit from asset slae.</a:t>
          </a:r>
        </a:p>
        <a:p>
          <a:r>
            <a:rPr lang="hu-HU" sz="1400" b="0" baseline="0">
              <a:latin typeface="Times New Roman" panose="02020603050405020304" pitchFamily="18" charset="0"/>
              <a:cs typeface="Times New Roman" panose="02020603050405020304" pitchFamily="18" charset="0"/>
            </a:rPr>
            <a:t>All of the expenses are operative, there aren't any "owner" items.</a:t>
          </a:r>
        </a:p>
        <a:p>
          <a:r>
            <a:rPr lang="hu-HU" sz="1400" b="0" baseline="0">
              <a:latin typeface="Times New Roman" panose="02020603050405020304" pitchFamily="18" charset="0"/>
              <a:cs typeface="Times New Roman" panose="02020603050405020304" pitchFamily="18" charset="0"/>
            </a:rPr>
            <a:t>The dividends recived are all non-operative and tax exempt.</a:t>
          </a:r>
        </a:p>
        <a:p>
          <a:r>
            <a:rPr lang="hu-HU" sz="1400" b="0" baseline="0">
              <a:latin typeface="Times New Roman" panose="02020603050405020304" pitchFamily="18" charset="0"/>
              <a:cs typeface="Times New Roman" panose="02020603050405020304" pitchFamily="18" charset="0"/>
            </a:rPr>
            <a:t>The interest received is not tax exempt, and non-operative.</a:t>
          </a:r>
        </a:p>
        <a:p>
          <a:r>
            <a:rPr lang="hu-HU" sz="1400" b="0" baseline="0">
              <a:latin typeface="Times New Roman" panose="02020603050405020304" pitchFamily="18" charset="0"/>
              <a:cs typeface="Times New Roman" panose="02020603050405020304" pitchFamily="18" charset="0"/>
            </a:rPr>
            <a:t>Both the short term and long term loan is for financing, none of it is liquidity loan.</a:t>
          </a:r>
        </a:p>
        <a:p>
          <a:r>
            <a:rPr lang="hu-HU" sz="1400" b="0" baseline="0">
              <a:latin typeface="Times New Roman" panose="02020603050405020304" pitchFamily="18" charset="0"/>
              <a:cs typeface="Times New Roman" panose="02020603050405020304" pitchFamily="18" charset="0"/>
            </a:rPr>
            <a:t>The marketable securities are not operative.</a:t>
          </a:r>
        </a:p>
        <a:p>
          <a:endParaRPr lang="hu-HU" sz="1400" b="0" baseline="0">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Generally: the accounting is correct and accurate, for the CF to be used for valuing we should assume the operations are going to continue in a similar manner.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00000000-0008-0000-0300-000002000000}"/>
            </a:ext>
          </a:extLst>
        </xdr:cNvPr>
        <xdr:cNvSpPr txBox="1"/>
      </xdr:nvSpPr>
      <xdr:spPr>
        <a:xfrm>
          <a:off x="695324" y="3362325"/>
          <a:ext cx="722947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2024 assuming that </a:t>
          </a:r>
          <a:r>
            <a:rPr lang="hu-HU" sz="1400" b="1">
              <a:latin typeface="Times New Roman" panose="02020603050405020304" pitchFamily="18" charset="0"/>
              <a:cs typeface="Times New Roman" panose="02020603050405020304" pitchFamily="18" charset="0"/>
            </a:rPr>
            <a:t>projects will not</a:t>
          </a:r>
          <a:r>
            <a:rPr lang="hu-HU" sz="1400" b="1" baseline="0">
              <a:latin typeface="Times New Roman" panose="02020603050405020304" pitchFamily="18" charset="0"/>
              <a:cs typeface="Times New Roman" panose="02020603050405020304" pitchFamily="18" charset="0"/>
            </a:rPr>
            <a:t> create any added value </a:t>
          </a:r>
          <a:r>
            <a:rPr lang="hu-HU" sz="1400" b="0" baseline="0">
              <a:latin typeface="Times New Roman" panose="02020603050405020304" pitchFamily="18" charset="0"/>
              <a:cs typeface="Times New Roman" panose="02020603050405020304" pitchFamily="18" charset="0"/>
            </a:rPr>
            <a:t>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00000000-0008-0000-0300-000003000000}"/>
            </a:ext>
          </a:extLst>
        </xdr:cNvPr>
        <xdr:cNvSpPr txBox="1"/>
      </xdr:nvSpPr>
      <xdr:spPr>
        <a:xfrm>
          <a:off x="685800" y="2324100"/>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15</xdr:row>
      <xdr:rowOff>0</xdr:rowOff>
    </xdr:from>
    <xdr:to>
      <xdr:col>7</xdr:col>
      <xdr:colOff>130629</xdr:colOff>
      <xdr:row>23</xdr:row>
      <xdr:rowOff>157842</xdr:rowOff>
    </xdr:to>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696686" y="3211286"/>
          <a:ext cx="8006443" cy="1725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3</a:t>
          </a:r>
        </a:p>
        <a:p>
          <a:pPr algn="l"/>
          <a:r>
            <a:rPr lang="hu-HU" sz="1400" b="0">
              <a:latin typeface="Times New Roman" panose="02020603050405020304" pitchFamily="18" charset="0"/>
              <a:cs typeface="Times New Roman" panose="02020603050405020304" pitchFamily="18" charset="0"/>
            </a:rPr>
            <a:t>Firm A </a:t>
          </a:r>
          <a:r>
            <a:rPr lang="hu-HU" sz="1400" b="0" baseline="0">
              <a:solidFill>
                <a:schemeClr val="dk1"/>
              </a:solidFill>
              <a:latin typeface="Times New Roman" panose="02020603050405020304" pitchFamily="18" charset="0"/>
              <a:ea typeface="+mn-ea"/>
              <a:cs typeface="Times New Roman" panose="02020603050405020304" pitchFamily="18" charset="0"/>
            </a:rPr>
            <a:t>plans to take over and merge with Firm B. (Both companies show a perpetuity like operation.) They plan for reorganisations are shown below. Owners of Firm B expect to pay a transaction fee of 3 M HUF, while Firm will pay 6 M HUF for consultatnts and integration. What is the realistic bargaining range firm taking over firm B? How many new shares should we issue if we wish to pay a premium of 25% over the minimum price (transaction costs considered) and 50% of the price will be paid from non-operational cash available? (10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00000000-0008-0000-0200-000003000000}"/>
            </a:ext>
          </a:extLst>
        </xdr:cNvPr>
        <xdr:cNvSpPr txBox="1"/>
      </xdr:nvSpPr>
      <xdr:spPr>
        <a:xfrm>
          <a:off x="685801" y="2333625"/>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00000000-0008-0000-0600-000002000000}"/>
            </a:ext>
          </a:extLst>
        </xdr:cNvPr>
        <xdr:cNvSpPr txBox="1"/>
      </xdr:nvSpPr>
      <xdr:spPr>
        <a:xfrm>
          <a:off x="695324" y="2238375"/>
          <a:ext cx="7115176"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We consider to take over a firm. Our target firm has</a:t>
          </a:r>
          <a:r>
            <a:rPr lang="hu-HU" sz="1400" b="0" baseline="0">
              <a:latin typeface="Times New Roman" panose="02020603050405020304" pitchFamily="18" charset="0"/>
              <a:cs typeface="Times New Roman" panose="02020603050405020304" pitchFamily="18" charset="0"/>
            </a:rPr>
            <a:t> several non-operative assets. Estimate the value of their office building currently rented to a number of other firms based on the data below using at least two different asset valuation approaches. Explain the differences and shortcommings of the two methods used.</a:t>
          </a:r>
        </a:p>
        <a:p>
          <a:pPr algn="just"/>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10</xdr:col>
      <xdr:colOff>647700</xdr:colOff>
      <xdr:row>14</xdr:row>
      <xdr:rowOff>152400</xdr:rowOff>
    </xdr:from>
    <xdr:to>
      <xdr:col>21</xdr:col>
      <xdr:colOff>476251</xdr:colOff>
      <xdr:row>31</xdr:row>
      <xdr:rowOff>133350</xdr:rowOff>
    </xdr:to>
    <xdr:sp macro="" textlink="">
      <xdr:nvSpPr>
        <xdr:cNvPr id="3" name="Szövegdoboz 2">
          <a:extLst>
            <a:ext uri="{FF2B5EF4-FFF2-40B4-BE49-F238E27FC236}">
              <a16:creationId xmlns:a16="http://schemas.microsoft.com/office/drawing/2014/main" id="{92746C0D-371E-44C8-8C2A-1FAAB707CC14}"/>
            </a:ext>
          </a:extLst>
        </xdr:cNvPr>
        <xdr:cNvSpPr txBox="1"/>
      </xdr:nvSpPr>
      <xdr:spPr>
        <a:xfrm>
          <a:off x="8953500" y="3276600"/>
          <a:ext cx="7372351" cy="2981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We can look at the asset value in</a:t>
          </a:r>
          <a:r>
            <a:rPr lang="hu-HU" sz="1400" b="0" baseline="0">
              <a:latin typeface="Times New Roman" panose="02020603050405020304" pitchFamily="18" charset="0"/>
              <a:cs typeface="Times New Roman" panose="02020603050405020304" pitchFamily="18" charset="0"/>
            </a:rPr>
            <a:t> 3 different ways from these informations. First we can use a DCF method and look at it from a future exit point of view. We calculate the future CF and the tax shield it provides and take the present value of it. We need to rely on the assumption that the future will be like our estimations for the value drivers.</a:t>
          </a:r>
          <a:br>
            <a:rPr lang="hu-HU" sz="1400" b="0" baseline="0">
              <a:latin typeface="Times New Roman" panose="02020603050405020304" pitchFamily="18" charset="0"/>
              <a:cs typeface="Times New Roman" panose="02020603050405020304" pitchFamily="18" charset="0"/>
            </a:rPr>
          </a:br>
          <a:r>
            <a:rPr lang="hu-HU" sz="1400" b="0" baseline="0">
              <a:latin typeface="Times New Roman" panose="02020603050405020304" pitchFamily="18" charset="0"/>
              <a:cs typeface="Times New Roman" panose="02020603050405020304" pitchFamily="18" charset="0"/>
            </a:rPr>
            <a:t>Still looking into future exits we can take the capitalisation rate, as a kind of multiple and calcultate the current value from the net income the asset provides. In this case we assume that the assets we use to get the capitalisation rate are similar and that the market is correct on assesing that.</a:t>
          </a:r>
        </a:p>
        <a:p>
          <a:r>
            <a:rPr lang="hu-HU" sz="1400" b="0" baseline="0">
              <a:latin typeface="Times New Roman" panose="02020603050405020304" pitchFamily="18" charset="0"/>
              <a:cs typeface="Times New Roman" panose="02020603050405020304" pitchFamily="18" charset="0"/>
            </a:rPr>
            <a:t>If we take the past entry point of view  and we are caluclating from the book value and adjusting that with inflation. In this method we don't assume anything about the future and not really looking at the CF producing ability of the asset just the past price.</a:t>
          </a:r>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7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How would you estimate the cost of capital for a privately held SME? Which DCF method would you use to value the company?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9525</xdr:colOff>
      <xdr:row>16</xdr:row>
      <xdr:rowOff>9524</xdr:rowOff>
    </xdr:from>
    <xdr:to>
      <xdr:col>7</xdr:col>
      <xdr:colOff>285751</xdr:colOff>
      <xdr:row>33</xdr:row>
      <xdr:rowOff>85724</xdr:rowOff>
    </xdr:to>
    <xdr:sp macro="" textlink="">
      <xdr:nvSpPr>
        <xdr:cNvPr id="4" name="Szövegdoboz 3">
          <a:extLst>
            <a:ext uri="{FF2B5EF4-FFF2-40B4-BE49-F238E27FC236}">
              <a16:creationId xmlns:a16="http://schemas.microsoft.com/office/drawing/2014/main" id="{B2457B3A-23F9-459B-B509-8C0E2E7D7599}"/>
            </a:ext>
          </a:extLst>
        </xdr:cNvPr>
        <xdr:cNvSpPr txBox="1"/>
      </xdr:nvSpPr>
      <xdr:spPr>
        <a:xfrm>
          <a:off x="695325" y="3533774"/>
          <a:ext cx="7372351"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First we would need to make sure that the CF matches the cost of capital (in currency, maturity,</a:t>
          </a:r>
          <a:r>
            <a:rPr lang="hu-HU" sz="1400" b="0" baseline="0">
              <a:latin typeface="Times New Roman" panose="02020603050405020304" pitchFamily="18" charset="0"/>
              <a:cs typeface="Times New Roman" panose="02020603050405020304" pitchFamily="18" charset="0"/>
            </a:rPr>
            <a:t> risk...). We would need to estiamte the cost of debt and equity seperatly. We could estimate the cost of debt from implied debt return of own or similar firms’ bonds, historical regressions, (implied) credit rating, but most likely in case of an SME, looking at the former and existing debt contracts is the best way to do it. For the equity, we could do a regression methods (CAPM, APT) or a built-up method (where we estimate a risk free return from government bods for instance and then add market, industry, size and other firm specific risk premiums), but again in case of an SME maybe the simplest way is the best, and we could estimate it by gathering the expectations in an interview with the owner.</a:t>
          </a:r>
          <a:br>
            <a:rPr lang="hu-HU" sz="1400" b="0" baseline="0">
              <a:latin typeface="Times New Roman" panose="02020603050405020304" pitchFamily="18" charset="0"/>
              <a:cs typeface="Times New Roman" panose="02020603050405020304" pitchFamily="18" charset="0"/>
            </a:rPr>
          </a:br>
          <a:r>
            <a:rPr lang="hu-HU" sz="1400" b="0" baseline="0">
              <a:latin typeface="Times New Roman" panose="02020603050405020304" pitchFamily="18" charset="0"/>
              <a:cs typeface="Times New Roman" panose="02020603050405020304" pitchFamily="18" charset="0"/>
            </a:rPr>
            <a:t>The best DCF method might be an APV, estimating the cost of capital could be difficult in this case.</a:t>
          </a:r>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E4EE38FF-1B41-4FE7-8857-8F3EE85ABCBE}"/>
            </a:ext>
          </a:extLst>
        </xdr:cNvPr>
        <xdr:cNvSpPr txBox="1"/>
      </xdr:nvSpPr>
      <xdr:spPr>
        <a:xfrm>
          <a:off x="706210" y="2269671"/>
          <a:ext cx="7411811" cy="1055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Bonus Task</a:t>
          </a:r>
        </a:p>
        <a:p>
          <a:r>
            <a:rPr lang="hu-HU" sz="1400" b="0" baseline="0">
              <a:latin typeface="Times New Roman" panose="02020603050405020304" pitchFamily="18" charset="0"/>
              <a:cs typeface="Times New Roman" panose="02020603050405020304" pitchFamily="18" charset="0"/>
            </a:rPr>
            <a:t>Estimate the cost of equity for company A using data form competitors (X, Y, Z) from the same industry. </a:t>
          </a: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unka/!!ExcelTr&#233;ningLegfrissebb/MasterExcelTasks2019No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
      <sheetName val="MovingAround"/>
      <sheetName val="SelectingRanges"/>
      <sheetName val="InsertCells"/>
      <sheetName val="FormattingCells1"/>
      <sheetName val="FormattingCells2"/>
      <sheetName val="PasteSpecial"/>
      <sheetName val="ConditionalFormatting"/>
      <sheetName val="DataValidation"/>
      <sheetName val="FindSpecialCells"/>
      <sheetName val="FastInput"/>
      <sheetName val="Protecting&amp;Hiding sheets"/>
      <sheetName val="PricingShares"/>
      <sheetName val="Financial Planning"/>
      <sheetName val="Optimizing1FindingIRR"/>
      <sheetName val="Optimizing2GoalSeek"/>
      <sheetName val="Optimizing3Solver"/>
      <sheetName val="SensitivityAnalysis"/>
      <sheetName val="Sparklines"/>
      <sheetName val="VisualisingStatistics"/>
      <sheetName val="Charts1Tornado"/>
      <sheetName val="Charts2Waterfall"/>
      <sheetName val="Charts3Combined"/>
      <sheetName val="Charts4Pictures"/>
      <sheetName val="Charts5FillingPicture"/>
      <sheetName val="Charts6PeopleChart"/>
      <sheetName val="Charts8ProportionalAppearance"/>
      <sheetName val="Charts7RadialBar"/>
      <sheetName val="Charts8Dashboard"/>
      <sheetName val="Shapes"/>
      <sheetName val="LinksAmongCells"/>
      <sheetName val="UsingNames"/>
      <sheetName val="DependentLists"/>
      <sheetName val="Trends"/>
      <sheetName val="Moving Average"/>
      <sheetName val="Seasonality"/>
      <sheetName val="DataAnalysis"/>
      <sheetName val="SubTotals&amp;Groups"/>
      <sheetName val="FunctionsDifferently"/>
      <sheetName val="Sorting"/>
      <sheetName val="AutoFilter"/>
      <sheetName val="AdvancedFiler"/>
      <sheetName val="DatabaseFunctions"/>
      <sheetName val="Tables"/>
      <sheetName val="DinamicValidation"/>
      <sheetName val="PivotTable"/>
      <sheetName val="PowerQuery"/>
      <sheetName val="ReferenceFunctions"/>
      <sheetName val="RandomSample"/>
      <sheetName val="MonteCarlo"/>
      <sheetName val="Objects1"/>
      <sheetName val="ScenarioswithObjects"/>
      <sheetName val="ChartwithObject"/>
      <sheetName val="IntroToMacros"/>
      <sheetName val="Protecting&amp;Hiding_sheets1"/>
      <sheetName val="Financial_Planning1"/>
      <sheetName val="Moving_Average1"/>
      <sheetName val="Protecting&amp;Hiding_sheets"/>
      <sheetName val="Financial_Planning"/>
      <sheetName val="Moving_Average"/>
      <sheetName val="Protecting&amp;Hiding_sheets2"/>
      <sheetName val="Financial_Planning2"/>
      <sheetName val="Moving_Averag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B4" t="str">
            <v>KSA</v>
          </cell>
        </row>
        <row r="5">
          <cell r="B5" t="str">
            <v>Kuvait</v>
          </cell>
        </row>
        <row r="6">
          <cell r="B6" t="str">
            <v>Bahrain</v>
          </cell>
        </row>
        <row r="7">
          <cell r="B7" t="str">
            <v>Qatar</v>
          </cell>
        </row>
        <row r="8">
          <cell r="B8" t="str">
            <v>UAE</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7DBD-DECA-4097-9804-D82621A13861}">
  <sheetPr codeName="Munka2">
    <tabColor rgb="FF7030A0"/>
  </sheetPr>
  <dimension ref="A1"/>
  <sheetViews>
    <sheetView showGridLines="0" zoomScale="70" zoomScaleNormal="70" workbookViewId="0">
      <selection activeCell="I32" sqref="I32"/>
    </sheetView>
  </sheetViews>
  <sheetFormatPr defaultColWidth="8.796875" defaultRowHeight="15.6"/>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0D39-D3DB-4713-8991-75511A3E78C9}">
  <sheetPr codeName="Munka3"/>
  <dimension ref="C9:I20"/>
  <sheetViews>
    <sheetView showGridLines="0" workbookViewId="0">
      <selection activeCell="D13" sqref="D13:D14"/>
    </sheetView>
  </sheetViews>
  <sheetFormatPr defaultColWidth="8.796875" defaultRowHeight="15.6"/>
  <cols>
    <col min="3" max="3" width="27.296875" bestFit="1" customWidth="1"/>
    <col min="4" max="4" width="32.69921875" bestFit="1" customWidth="1"/>
    <col min="9" max="9" width="25.296875" bestFit="1" customWidth="1"/>
    <col min="10" max="10" width="12.69921875" bestFit="1" customWidth="1"/>
  </cols>
  <sheetData>
    <row r="9" spans="3:9" ht="34.799999999999997">
      <c r="C9" s="78" t="s">
        <v>0</v>
      </c>
      <c r="D9" s="78"/>
      <c r="E9" s="5"/>
      <c r="F9" s="5"/>
      <c r="G9" s="5"/>
    </row>
    <row r="10" spans="3:9" ht="34.799999999999997">
      <c r="C10" s="78"/>
      <c r="D10" s="78"/>
      <c r="E10" s="5"/>
      <c r="F10" s="5"/>
      <c r="G10" s="5"/>
    </row>
    <row r="11" spans="3:9" ht="22.8">
      <c r="C11" s="4"/>
      <c r="D11" s="4"/>
      <c r="G11" s="7"/>
    </row>
    <row r="12" spans="3:9" ht="22.8">
      <c r="C12" s="4" t="s">
        <v>1</v>
      </c>
      <c r="D12" s="36">
        <v>45272</v>
      </c>
    </row>
    <row r="13" spans="3:9" ht="22.8">
      <c r="C13" s="4" t="s">
        <v>2</v>
      </c>
      <c r="D13" s="26"/>
      <c r="I13" s="31" t="s">
        <v>3</v>
      </c>
    </row>
    <row r="14" spans="3:9" ht="22.8">
      <c r="C14" s="4" t="s">
        <v>4</v>
      </c>
      <c r="D14" s="26"/>
      <c r="I14" s="31" t="s">
        <v>5</v>
      </c>
    </row>
    <row r="15" spans="3:9" ht="22.8">
      <c r="C15" s="4"/>
      <c r="D15" s="6"/>
      <c r="I15" s="31"/>
    </row>
    <row r="16" spans="3:9" ht="22.8">
      <c r="C16" s="4" t="s">
        <v>6</v>
      </c>
      <c r="D16" s="33" t="s">
        <v>3</v>
      </c>
    </row>
    <row r="17" spans="3:4" ht="22.8">
      <c r="C17" s="4" t="s">
        <v>7</v>
      </c>
      <c r="D17" s="7" t="s">
        <v>8</v>
      </c>
    </row>
    <row r="18" spans="3:4" ht="22.8">
      <c r="D18" s="7"/>
    </row>
    <row r="19" spans="3:4" ht="22.8">
      <c r="D19" s="7"/>
    </row>
    <row r="20" spans="3:4" ht="22.8">
      <c r="C20" s="4" t="s">
        <v>9</v>
      </c>
      <c r="D20" s="8">
        <f>+'Task 1'!C9+'Task 4'!C9+'Task 5'!C9+'M&amp;A put in AYA'!C9+'Task 2'!C9+'Bonus Task'!C9</f>
        <v>0</v>
      </c>
    </row>
  </sheetData>
  <sheetProtection selectLockedCells="1"/>
  <mergeCells count="2">
    <mergeCell ref="C9:D9"/>
    <mergeCell ref="C10:D10"/>
  </mergeCells>
  <phoneticPr fontId="8" type="noConversion"/>
  <dataValidations count="1">
    <dataValidation allowBlank="1" showInputMessage="1" showErrorMessage="1" errorTitle="Ilyen csoport nincsen!" error="Kérem, a felsorolásból válasszon!" promptTitle="Válassza ki a csoportját!" sqref="D16" xr:uid="{E7C1251C-1580-42F2-91B9-E2C0C2F99FBF}"/>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24AA-CF15-465A-AA1F-31C1352C6464}">
  <sheetPr codeName="Munka4">
    <tabColor rgb="FFFFFF00"/>
  </sheetPr>
  <dimension ref="B1:G89"/>
  <sheetViews>
    <sheetView tabSelected="1" workbookViewId="0">
      <selection activeCell="B27" sqref="B27"/>
    </sheetView>
  </sheetViews>
  <sheetFormatPr defaultColWidth="8.796875" defaultRowHeight="15.6"/>
  <cols>
    <col min="2" max="2" width="19.796875" bestFit="1" customWidth="1"/>
    <col min="3" max="3" width="37.19921875" bestFit="1" customWidth="1"/>
    <col min="4" max="4" width="9.69921875" bestFit="1" customWidth="1"/>
    <col min="5" max="6" width="9.5" bestFit="1" customWidth="1"/>
  </cols>
  <sheetData>
    <row r="1" spans="2:3" ht="16.2" thickBot="1"/>
    <row r="2" spans="2:3" ht="18">
      <c r="B2" s="9" t="str">
        <f>+Admin!C12</f>
        <v>Date</v>
      </c>
      <c r="C2" s="35">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17" spans="3:6" ht="16.2" thickBot="1"/>
    <row r="18" spans="3:6" ht="16.2" thickBot="1">
      <c r="C18" s="17"/>
      <c r="D18" s="18">
        <f ca="1">+E18-1</f>
        <v>2021</v>
      </c>
      <c r="E18" s="18">
        <f ca="1">+F18-1</f>
        <v>2022</v>
      </c>
      <c r="F18" s="18">
        <f ca="1">+YEAR(TODAY())-1</f>
        <v>2023</v>
      </c>
    </row>
    <row r="19" spans="3:6" ht="16.2" thickBot="1">
      <c r="C19" s="19" t="s">
        <v>11</v>
      </c>
      <c r="D19" s="22">
        <v>19000</v>
      </c>
      <c r="E19" s="22">
        <v>22000</v>
      </c>
      <c r="F19" s="22">
        <v>25000</v>
      </c>
    </row>
    <row r="20" spans="3:6" ht="16.2" thickBot="1">
      <c r="C20" s="19" t="s">
        <v>12</v>
      </c>
      <c r="D20" s="22">
        <v>0</v>
      </c>
      <c r="E20" s="22">
        <v>500</v>
      </c>
      <c r="F20" s="22">
        <v>0</v>
      </c>
    </row>
    <row r="21" spans="3:6" ht="16.2" thickBot="1">
      <c r="C21" s="19" t="s">
        <v>13</v>
      </c>
      <c r="D21" s="22">
        <v>10000</v>
      </c>
      <c r="E21" s="22">
        <v>12000</v>
      </c>
      <c r="F21" s="22">
        <v>13000</v>
      </c>
    </row>
    <row r="22" spans="3:6" ht="16.2" thickBot="1">
      <c r="C22" s="19" t="s">
        <v>14</v>
      </c>
      <c r="D22" s="22">
        <v>5000</v>
      </c>
      <c r="E22" s="22">
        <v>6000</v>
      </c>
      <c r="F22" s="22">
        <v>7000</v>
      </c>
    </row>
    <row r="23" spans="3:6" ht="16.2" thickBot="1">
      <c r="C23" s="19" t="s">
        <v>15</v>
      </c>
      <c r="D23" s="22">
        <v>2000</v>
      </c>
      <c r="E23" s="22">
        <v>2300</v>
      </c>
      <c r="F23" s="22">
        <v>2500</v>
      </c>
    </row>
    <row r="24" spans="3:6" ht="16.2" thickBot="1">
      <c r="C24" s="20" t="s">
        <v>16</v>
      </c>
      <c r="D24" s="23">
        <f>+D19+D20-D21-D22-D23</f>
        <v>2000</v>
      </c>
      <c r="E24" s="23">
        <f t="shared" ref="E24:F24" si="0">+E19+E20-E21-E22-E23</f>
        <v>2200</v>
      </c>
      <c r="F24" s="23">
        <f t="shared" si="0"/>
        <v>2500</v>
      </c>
    </row>
    <row r="25" spans="3:6" ht="16.2" thickBot="1">
      <c r="C25" s="57" t="s">
        <v>17</v>
      </c>
      <c r="D25" s="58">
        <v>100</v>
      </c>
      <c r="E25" s="58">
        <v>60</v>
      </c>
      <c r="F25" s="58">
        <v>0</v>
      </c>
    </row>
    <row r="26" spans="3:6" ht="16.2" thickBot="1">
      <c r="C26" s="57" t="s">
        <v>18</v>
      </c>
      <c r="D26" s="58">
        <v>0</v>
      </c>
      <c r="E26" s="58">
        <v>0</v>
      </c>
      <c r="F26" s="58">
        <v>10</v>
      </c>
    </row>
    <row r="27" spans="3:6" ht="16.2" thickBot="1">
      <c r="C27" s="19" t="s">
        <v>19</v>
      </c>
      <c r="D27" s="22">
        <v>30</v>
      </c>
      <c r="E27" s="22">
        <v>20</v>
      </c>
      <c r="F27" s="22">
        <v>10</v>
      </c>
    </row>
    <row r="28" spans="3:6" ht="16.2" thickBot="1">
      <c r="C28" s="19" t="s">
        <v>20</v>
      </c>
      <c r="D28" s="22">
        <v>200</v>
      </c>
      <c r="E28" s="22">
        <v>250</v>
      </c>
      <c r="F28" s="22">
        <v>300</v>
      </c>
    </row>
    <row r="29" spans="3:6" ht="16.2" thickBot="1">
      <c r="C29" s="20" t="s">
        <v>21</v>
      </c>
      <c r="D29" s="23">
        <f t="shared" ref="D29" si="1">+D25+D26-D27-D28</f>
        <v>-130</v>
      </c>
      <c r="E29" s="23">
        <f>+E25+E26-E27-E28</f>
        <v>-210</v>
      </c>
      <c r="F29" s="23">
        <f>+F25+F26-F27-F28</f>
        <v>-300</v>
      </c>
    </row>
    <row r="30" spans="3:6" ht="16.2" thickBot="1">
      <c r="C30" s="19" t="s">
        <v>22</v>
      </c>
      <c r="D30" s="22">
        <f>+D29+D24</f>
        <v>1870</v>
      </c>
      <c r="E30" s="22">
        <f>+E29+E24</f>
        <v>1990</v>
      </c>
      <c r="F30" s="22">
        <f t="shared" ref="F30" si="2">+F29+F24</f>
        <v>2200</v>
      </c>
    </row>
    <row r="31" spans="3:6" ht="16.2" thickBot="1">
      <c r="C31" s="19" t="s">
        <v>23</v>
      </c>
      <c r="D31" s="22">
        <v>300</v>
      </c>
      <c r="E31" s="22">
        <v>330</v>
      </c>
      <c r="F31" s="22">
        <v>370</v>
      </c>
    </row>
    <row r="32" spans="3:6" ht="16.2" thickBot="1">
      <c r="C32" s="20" t="s">
        <v>24</v>
      </c>
      <c r="D32" s="23">
        <f>+D30-D31</f>
        <v>1570</v>
      </c>
      <c r="E32" s="23">
        <f t="shared" ref="E32:F32" si="3">+E30-E31</f>
        <v>1660</v>
      </c>
      <c r="F32" s="23">
        <f t="shared" si="3"/>
        <v>1830</v>
      </c>
    </row>
    <row r="33" spans="3:6" ht="16.2" thickBot="1">
      <c r="C33" s="19" t="s">
        <v>25</v>
      </c>
      <c r="D33" s="22">
        <v>1000</v>
      </c>
      <c r="E33" s="22">
        <v>1200</v>
      </c>
      <c r="F33" s="22">
        <v>1400</v>
      </c>
    </row>
    <row r="34" spans="3:6" ht="16.2" thickBot="1">
      <c r="C34" s="19" t="s">
        <v>26</v>
      </c>
      <c r="D34" s="22">
        <f>+D32-D33</f>
        <v>570</v>
      </c>
      <c r="E34" s="22">
        <f t="shared" ref="E34:F34" si="4">+E32-E33</f>
        <v>460</v>
      </c>
      <c r="F34" s="22">
        <f t="shared" si="4"/>
        <v>430</v>
      </c>
    </row>
    <row r="35" spans="3:6" ht="16.2" thickBot="1">
      <c r="C35" s="21"/>
      <c r="D35" s="24"/>
      <c r="E35" s="24"/>
      <c r="F35" s="24"/>
    </row>
    <row r="36" spans="3:6" ht="16.2" thickBot="1">
      <c r="C36" s="19" t="s">
        <v>27</v>
      </c>
      <c r="D36" s="22">
        <v>500</v>
      </c>
      <c r="E36" s="22">
        <v>600</v>
      </c>
      <c r="F36" s="22">
        <v>400</v>
      </c>
    </row>
    <row r="37" spans="3:6" ht="16.2" thickBot="1">
      <c r="C37" s="57" t="s">
        <v>28</v>
      </c>
      <c r="D37" s="58">
        <v>200</v>
      </c>
      <c r="E37" s="58">
        <v>220</v>
      </c>
      <c r="F37" s="58">
        <v>250</v>
      </c>
    </row>
    <row r="38" spans="3:6" ht="16.2" thickBot="1">
      <c r="C38" s="57" t="s">
        <v>29</v>
      </c>
      <c r="D38" s="58">
        <v>0</v>
      </c>
      <c r="E38" s="58">
        <v>50</v>
      </c>
      <c r="F38" s="58">
        <v>40</v>
      </c>
    </row>
    <row r="39" spans="3:6" ht="16.2" thickBot="1">
      <c r="C39" s="19" t="s">
        <v>30</v>
      </c>
      <c r="D39" s="22">
        <v>600</v>
      </c>
      <c r="E39" s="22">
        <v>800</v>
      </c>
      <c r="F39" s="22">
        <v>1000</v>
      </c>
    </row>
    <row r="40" spans="3:6" ht="16.2" thickBot="1">
      <c r="C40" s="19" t="s">
        <v>31</v>
      </c>
      <c r="D40" s="22">
        <v>400</v>
      </c>
      <c r="E40" s="22">
        <v>500</v>
      </c>
      <c r="F40" s="22">
        <v>450</v>
      </c>
    </row>
    <row r="41" spans="3:6" ht="16.8" thickBot="1">
      <c r="C41" s="20" t="s">
        <v>32</v>
      </c>
      <c r="D41" s="25">
        <f>+D36+D38+D39+D40</f>
        <v>1500</v>
      </c>
      <c r="E41" s="25">
        <f t="shared" ref="E41:F41" si="5">+E36+E38+E39+E40</f>
        <v>1950</v>
      </c>
      <c r="F41" s="25">
        <f t="shared" si="5"/>
        <v>1890</v>
      </c>
    </row>
    <row r="42" spans="3:6" ht="16.2" thickBot="1">
      <c r="C42" s="19" t="s">
        <v>33</v>
      </c>
      <c r="D42" s="22">
        <v>15000</v>
      </c>
      <c r="E42" s="22">
        <v>20000</v>
      </c>
      <c r="F42" s="22">
        <v>19500</v>
      </c>
    </row>
    <row r="43" spans="3:6" ht="16.2" thickBot="1">
      <c r="C43" s="20" t="s">
        <v>34</v>
      </c>
      <c r="D43" s="23">
        <f>+D42+D41</f>
        <v>16500</v>
      </c>
      <c r="E43" s="23">
        <f t="shared" ref="E43:F43" si="6">+E42+E41</f>
        <v>21950</v>
      </c>
      <c r="F43" s="23">
        <f t="shared" si="6"/>
        <v>21390</v>
      </c>
    </row>
    <row r="44" spans="3:6" ht="16.2" thickBot="1">
      <c r="C44" s="19" t="s">
        <v>35</v>
      </c>
      <c r="D44" s="22">
        <v>300</v>
      </c>
      <c r="E44" s="22">
        <v>200</v>
      </c>
      <c r="F44" s="22">
        <v>250</v>
      </c>
    </row>
    <row r="45" spans="3:6" ht="16.2" thickBot="1">
      <c r="C45" s="19" t="s">
        <v>36</v>
      </c>
      <c r="D45" s="22">
        <v>300</v>
      </c>
      <c r="E45" s="22">
        <v>240</v>
      </c>
      <c r="F45" s="22">
        <v>450</v>
      </c>
    </row>
    <row r="46" spans="3:6" ht="16.2" thickBot="1">
      <c r="C46" s="20" t="s">
        <v>37</v>
      </c>
      <c r="D46" s="23">
        <f>+D44+D45</f>
        <v>600</v>
      </c>
      <c r="E46" s="23">
        <f t="shared" ref="E46:F46" si="7">+E44+E45</f>
        <v>440</v>
      </c>
      <c r="F46" s="23">
        <f t="shared" si="7"/>
        <v>700</v>
      </c>
    </row>
    <row r="47" spans="3:6" ht="16.2" thickBot="1">
      <c r="C47" s="19" t="s">
        <v>38</v>
      </c>
      <c r="D47" s="22">
        <v>5000</v>
      </c>
      <c r="E47" s="22">
        <v>6000</v>
      </c>
      <c r="F47" s="22">
        <v>7000</v>
      </c>
    </row>
    <row r="48" spans="3:6" ht="16.2" thickBot="1">
      <c r="C48" s="19" t="s">
        <v>39</v>
      </c>
      <c r="D48" s="22">
        <f>+D43-D46-D47</f>
        <v>10900</v>
      </c>
      <c r="E48" s="22">
        <f t="shared" ref="E48:F48" si="8">+E43-E46-E47</f>
        <v>15510</v>
      </c>
      <c r="F48" s="22">
        <f t="shared" si="8"/>
        <v>13690</v>
      </c>
    </row>
    <row r="49" spans="3:6" ht="16.2" thickBot="1">
      <c r="C49" s="20" t="s">
        <v>40</v>
      </c>
      <c r="D49" s="23">
        <f>+D46+D47+D48</f>
        <v>16500</v>
      </c>
      <c r="E49" s="23">
        <f t="shared" ref="E49:F49" si="9">+E46+E47+E48</f>
        <v>21950</v>
      </c>
      <c r="F49" s="23">
        <f t="shared" si="9"/>
        <v>21390</v>
      </c>
    </row>
    <row r="52" spans="3:6">
      <c r="C52" t="s">
        <v>41</v>
      </c>
      <c r="D52" s="55">
        <f>D31/(D30-D25)</f>
        <v>0.16949152542372881</v>
      </c>
      <c r="E52" s="55">
        <f t="shared" ref="E52:F52" si="10">E31/(E30-E25)</f>
        <v>0.17098445595854922</v>
      </c>
      <c r="F52" s="55">
        <f t="shared" si="10"/>
        <v>0.16818181818181818</v>
      </c>
    </row>
    <row r="54" spans="3:6" ht="16.2" thickBot="1"/>
    <row r="55" spans="3:6" ht="16.2" thickBot="1">
      <c r="C55" s="45" t="s">
        <v>42</v>
      </c>
      <c r="D55" s="18">
        <f ca="1">+E55-1</f>
        <v>2021</v>
      </c>
      <c r="E55" s="18">
        <f ca="1">+F55-1</f>
        <v>2022</v>
      </c>
      <c r="F55" s="18">
        <f ca="1">+YEAR(TODAY())-1</f>
        <v>2023</v>
      </c>
    </row>
    <row r="56" spans="3:6">
      <c r="C56" s="46" t="s">
        <v>43</v>
      </c>
      <c r="D56" s="56">
        <f>D24</f>
        <v>2000</v>
      </c>
      <c r="E56" s="56">
        <f t="shared" ref="E56:F56" si="11">E24</f>
        <v>2200</v>
      </c>
      <c r="F56" s="56">
        <f t="shared" si="11"/>
        <v>2500</v>
      </c>
    </row>
    <row r="57" spans="3:6">
      <c r="C57" t="s">
        <v>44</v>
      </c>
      <c r="D57" s="56">
        <f>D56*(1-D52)</f>
        <v>1661.0169491525423</v>
      </c>
      <c r="E57" s="56">
        <f>E56*(1-E52)</f>
        <v>1823.8341968911918</v>
      </c>
      <c r="F57" s="56">
        <f>F56*(1-F52)</f>
        <v>2079.5454545454545</v>
      </c>
    </row>
    <row r="58" spans="3:6">
      <c r="C58" t="s">
        <v>15</v>
      </c>
      <c r="D58" s="56">
        <f>D23</f>
        <v>2000</v>
      </c>
      <c r="E58" s="56">
        <f t="shared" ref="E58:F58" si="12">E23</f>
        <v>2300</v>
      </c>
      <c r="F58" s="56">
        <f t="shared" si="12"/>
        <v>2500</v>
      </c>
    </row>
    <row r="59" spans="3:6">
      <c r="C59" s="46" t="s">
        <v>45</v>
      </c>
      <c r="D59" s="56">
        <f>D57+D58</f>
        <v>3661.0169491525421</v>
      </c>
      <c r="E59" s="56">
        <f t="shared" ref="E59:F59" si="13">E57+E58</f>
        <v>4123.8341968911918</v>
      </c>
      <c r="F59" s="56">
        <f t="shared" si="13"/>
        <v>4579.545454545454</v>
      </c>
    </row>
    <row r="60" spans="3:6">
      <c r="C60" s="47" t="s">
        <v>46</v>
      </c>
      <c r="D60" s="56"/>
      <c r="E60" s="56">
        <f>-(E40-D40)</f>
        <v>-100</v>
      </c>
      <c r="F60" s="56">
        <f>-(F40-E40)</f>
        <v>50</v>
      </c>
    </row>
    <row r="61" spans="3:6">
      <c r="C61" s="47" t="s">
        <v>47</v>
      </c>
      <c r="D61" s="56"/>
      <c r="E61" s="56">
        <f>-(E39-D39)</f>
        <v>-200</v>
      </c>
      <c r="F61" s="56">
        <f>-(F39-E39)</f>
        <v>-200</v>
      </c>
    </row>
    <row r="62" spans="3:6">
      <c r="C62" s="59" t="s">
        <v>48</v>
      </c>
      <c r="D62" s="56"/>
      <c r="E62" s="56">
        <f>-(E37-D37)</f>
        <v>-20</v>
      </c>
      <c r="F62" s="56">
        <f>-(F37-E37)</f>
        <v>-30</v>
      </c>
    </row>
    <row r="63" spans="3:6">
      <c r="C63" s="48" t="s">
        <v>49</v>
      </c>
      <c r="D63" s="56"/>
      <c r="E63" s="56">
        <f>E45-D45</f>
        <v>-60</v>
      </c>
      <c r="F63" s="56">
        <f>F45-E45</f>
        <v>210</v>
      </c>
    </row>
    <row r="64" spans="3:6">
      <c r="C64" s="46" t="s">
        <v>50</v>
      </c>
      <c r="D64" s="56"/>
      <c r="E64" s="56">
        <f>E59+E60+E61+E62+E63</f>
        <v>3743.8341968911918</v>
      </c>
      <c r="F64" s="56">
        <f>F59+F60+F61+F62+F63</f>
        <v>4609.545454545454</v>
      </c>
    </row>
    <row r="65" spans="3:6">
      <c r="C65" s="47" t="s">
        <v>51</v>
      </c>
      <c r="D65" s="56"/>
      <c r="E65" s="56">
        <f>-(E42-D42)</f>
        <v>-5000</v>
      </c>
      <c r="F65" s="56">
        <f>-(F42-E42)</f>
        <v>500</v>
      </c>
    </row>
    <row r="66" spans="3:6">
      <c r="C66" s="49" t="s">
        <v>15</v>
      </c>
      <c r="D66" s="56"/>
      <c r="E66" s="56">
        <f>-E58</f>
        <v>-2300</v>
      </c>
      <c r="F66" s="56">
        <f>-F58</f>
        <v>-2500</v>
      </c>
    </row>
    <row r="67" spans="3:6">
      <c r="C67" s="46" t="s">
        <v>52</v>
      </c>
      <c r="D67" s="56"/>
      <c r="E67" s="56">
        <f>E65+E66</f>
        <v>-7300</v>
      </c>
      <c r="F67" s="56">
        <f>F65+F66</f>
        <v>-2000</v>
      </c>
    </row>
    <row r="68" spans="3:6">
      <c r="C68" s="46" t="s">
        <v>53</v>
      </c>
      <c r="D68" s="56"/>
      <c r="E68" s="56">
        <f>E67+E64</f>
        <v>-3556.1658031088082</v>
      </c>
      <c r="F68" s="56">
        <f>F67+F64</f>
        <v>2609.545454545454</v>
      </c>
    </row>
    <row r="69" spans="3:6">
      <c r="C69" s="50" t="s">
        <v>54</v>
      </c>
      <c r="D69" s="56"/>
      <c r="E69" s="56">
        <f>-(E27+E28)</f>
        <v>-270</v>
      </c>
      <c r="F69" s="56">
        <f>-(F27+F28)</f>
        <v>-310</v>
      </c>
    </row>
    <row r="70" spans="3:6">
      <c r="C70" t="s">
        <v>55</v>
      </c>
      <c r="D70" s="56"/>
      <c r="E70" s="56">
        <f>-E69*E52</f>
        <v>46.165803108808291</v>
      </c>
      <c r="F70" s="56">
        <f>-F69*F52</f>
        <v>52.136363636363633</v>
      </c>
    </row>
    <row r="71" spans="3:6">
      <c r="C71" s="51" t="s">
        <v>56</v>
      </c>
      <c r="D71" s="56"/>
      <c r="E71" s="56">
        <f>(E44+E47)-(D44+D47)</f>
        <v>900</v>
      </c>
      <c r="F71" s="56">
        <f>(F44+F47)-(E44+E47)</f>
        <v>1050</v>
      </c>
    </row>
    <row r="72" spans="3:6">
      <c r="C72" s="46" t="s">
        <v>57</v>
      </c>
      <c r="D72" s="56"/>
      <c r="E72" s="56">
        <f>E69+E70+E71</f>
        <v>676.16580310880829</v>
      </c>
      <c r="F72" s="56">
        <f>F69+F70+F71</f>
        <v>792.13636363636363</v>
      </c>
    </row>
    <row r="73" spans="3:6">
      <c r="C73" s="46" t="s">
        <v>58</v>
      </c>
      <c r="D73" s="56"/>
      <c r="E73" s="56">
        <f>E72+E68</f>
        <v>-2880</v>
      </c>
      <c r="F73" s="56">
        <f>F72+F68</f>
        <v>3401.6818181818176</v>
      </c>
    </row>
    <row r="74" spans="3:6">
      <c r="C74" t="s">
        <v>25</v>
      </c>
      <c r="D74" s="56"/>
      <c r="E74" s="56">
        <f>-E33</f>
        <v>-1200</v>
      </c>
      <c r="F74" s="56">
        <f>-F33</f>
        <v>-1400</v>
      </c>
    </row>
    <row r="75" spans="3:6">
      <c r="C75" s="52" t="s">
        <v>59</v>
      </c>
      <c r="D75" s="56"/>
      <c r="E75" s="56">
        <f>E48-D48-E34</f>
        <v>4150</v>
      </c>
      <c r="F75" s="56">
        <f>F48-E48-F34</f>
        <v>-2250</v>
      </c>
    </row>
    <row r="76" spans="3:6">
      <c r="C76" s="46" t="s">
        <v>60</v>
      </c>
      <c r="D76" s="56"/>
      <c r="E76" s="56">
        <f>E72+E74+E75</f>
        <v>3626.1658031088082</v>
      </c>
      <c r="F76" s="56">
        <f>F72+F74+F75</f>
        <v>-2857.8636363636365</v>
      </c>
    </row>
    <row r="77" spans="3:6">
      <c r="D77" s="56"/>
      <c r="E77" s="56"/>
      <c r="F77" s="56"/>
    </row>
    <row r="78" spans="3:6">
      <c r="C78" s="53" t="s">
        <v>61</v>
      </c>
      <c r="D78" s="56"/>
      <c r="E78" s="56">
        <f>E76+E67+E64</f>
        <v>70</v>
      </c>
      <c r="F78" s="56">
        <f>F76+F67+F64</f>
        <v>-248.31818181818198</v>
      </c>
    </row>
    <row r="79" spans="3:6">
      <c r="D79" s="56"/>
      <c r="E79" s="56"/>
      <c r="F79" s="56"/>
    </row>
    <row r="80" spans="3:6">
      <c r="C80" s="53" t="s">
        <v>62</v>
      </c>
      <c r="D80" s="56"/>
      <c r="E80" s="56"/>
      <c r="F80" s="56"/>
    </row>
    <row r="81" spans="3:7">
      <c r="C81" s="54" t="s">
        <v>17</v>
      </c>
      <c r="D81" s="56"/>
      <c r="E81" s="56">
        <f>E25</f>
        <v>60</v>
      </c>
      <c r="F81" s="56">
        <f>F25</f>
        <v>0</v>
      </c>
    </row>
    <row r="82" spans="3:7">
      <c r="C82" s="54" t="s">
        <v>18</v>
      </c>
      <c r="D82" s="56"/>
      <c r="E82" s="56">
        <f>E26</f>
        <v>0</v>
      </c>
      <c r="F82" s="56">
        <f>F26</f>
        <v>10</v>
      </c>
    </row>
    <row r="83" spans="3:7">
      <c r="C83" s="54" t="s">
        <v>63</v>
      </c>
      <c r="D83" s="56"/>
      <c r="E83" s="56">
        <f>-E82*E52</f>
        <v>0</v>
      </c>
      <c r="F83" s="56">
        <f>-F82*F52</f>
        <v>-1.6818181818181819</v>
      </c>
    </row>
    <row r="84" spans="3:7">
      <c r="D84" s="56"/>
      <c r="E84" s="56"/>
      <c r="F84" s="56"/>
    </row>
    <row r="85" spans="3:7">
      <c r="C85" s="53" t="s">
        <v>61</v>
      </c>
      <c r="D85" s="56"/>
      <c r="E85" s="56"/>
      <c r="F85" s="56"/>
    </row>
    <row r="86" spans="3:7">
      <c r="C86" s="54" t="s">
        <v>29</v>
      </c>
      <c r="D86" s="56"/>
      <c r="E86" s="56">
        <f>-(E38-D38)</f>
        <v>-50</v>
      </c>
      <c r="F86" s="56">
        <f>-(F38-E38)</f>
        <v>10</v>
      </c>
    </row>
    <row r="87" spans="3:7">
      <c r="C87" s="54" t="s">
        <v>64</v>
      </c>
      <c r="E87" s="56">
        <f>-((E36-E37)-(D36-D37))</f>
        <v>-80</v>
      </c>
      <c r="F87" s="56">
        <f>-((F36-F37)-(E36-E37))</f>
        <v>230</v>
      </c>
    </row>
    <row r="88" spans="3:7">
      <c r="E88" s="56"/>
      <c r="F88" s="56"/>
    </row>
    <row r="89" spans="3:7">
      <c r="C89" s="60" t="s">
        <v>65</v>
      </c>
      <c r="D89" s="60"/>
      <c r="E89" s="61">
        <f>SUM(E78:E87)</f>
        <v>0</v>
      </c>
      <c r="F89" s="61">
        <f>SUM(F78:F87)</f>
        <v>0</v>
      </c>
      <c r="G89"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A70D-9BBD-467B-9276-4356E1676819}">
  <sheetPr>
    <tabColor rgb="FFFFFF00"/>
  </sheetPr>
  <dimension ref="B1:K104"/>
  <sheetViews>
    <sheetView topLeftCell="A20" workbookViewId="0">
      <selection activeCell="G36" sqref="G36"/>
    </sheetView>
  </sheetViews>
  <sheetFormatPr defaultColWidth="8.796875" defaultRowHeight="15.6"/>
  <cols>
    <col min="2" max="2" width="18.19921875" bestFit="1" customWidth="1"/>
    <col min="3" max="3" width="23.5" bestFit="1" customWidth="1"/>
    <col min="4" max="4" width="12.69921875" bestFit="1" customWidth="1"/>
    <col min="5" max="5" width="13.796875" bestFit="1" customWidth="1"/>
    <col min="6" max="9" width="12" bestFit="1" customWidth="1"/>
    <col min="10" max="11" width="12.69921875" bestFit="1" customWidth="1"/>
  </cols>
  <sheetData>
    <row r="1" spans="2:3" ht="16.2" thickBot="1"/>
    <row r="2" spans="2:3" ht="18">
      <c r="B2" s="9" t="str">
        <f>+Admin!C12</f>
        <v>Date</v>
      </c>
      <c r="C2" s="35">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24" spans="3:11">
      <c r="C24" s="27"/>
      <c r="D24" s="34">
        <v>2024</v>
      </c>
      <c r="E24" s="29">
        <f>+D24+1</f>
        <v>2025</v>
      </c>
      <c r="F24" s="29">
        <f t="shared" ref="F24:H24" si="0">+E24+1</f>
        <v>2026</v>
      </c>
      <c r="G24" s="29">
        <f t="shared" si="0"/>
        <v>2027</v>
      </c>
      <c r="H24" s="29">
        <f t="shared" si="0"/>
        <v>2028</v>
      </c>
      <c r="I24" s="1" t="s">
        <v>66</v>
      </c>
      <c r="J24" s="1" t="s">
        <v>67</v>
      </c>
    </row>
    <row r="25" spans="3:11" ht="18">
      <c r="C25" s="2" t="s">
        <v>68</v>
      </c>
      <c r="D25" s="3">
        <v>0.12</v>
      </c>
      <c r="E25" s="3">
        <v>0.12</v>
      </c>
      <c r="F25" s="3">
        <v>0.12</v>
      </c>
      <c r="G25" s="3">
        <v>0.12</v>
      </c>
      <c r="H25" s="3">
        <v>0.12</v>
      </c>
      <c r="I25" s="3">
        <v>0.12</v>
      </c>
      <c r="J25" s="3">
        <v>0.12</v>
      </c>
    </row>
    <row r="26" spans="3:11">
      <c r="C26" s="2" t="s">
        <v>69</v>
      </c>
      <c r="D26" s="3"/>
      <c r="E26" s="3"/>
      <c r="F26" s="3">
        <v>0.3</v>
      </c>
      <c r="G26" s="3">
        <v>0.4</v>
      </c>
      <c r="H26" s="3">
        <v>0.5</v>
      </c>
      <c r="I26" s="3">
        <v>0.5</v>
      </c>
      <c r="J26" s="3">
        <v>0.5</v>
      </c>
    </row>
    <row r="27" spans="3:11">
      <c r="C27" s="2" t="s">
        <v>70</v>
      </c>
      <c r="D27" s="3">
        <v>0.1</v>
      </c>
      <c r="E27" s="3">
        <v>0.2</v>
      </c>
      <c r="F27" s="3"/>
      <c r="G27" s="3"/>
      <c r="H27" s="3"/>
      <c r="I27" s="3"/>
    </row>
    <row r="28" spans="3:11" ht="18">
      <c r="C28" s="2" t="s">
        <v>71</v>
      </c>
      <c r="D28" s="3">
        <v>0.06</v>
      </c>
      <c r="E28" s="3">
        <v>7.0000000000000007E-2</v>
      </c>
      <c r="F28" s="3">
        <v>7.1999999999999995E-2</v>
      </c>
      <c r="G28" s="3">
        <v>7.2999999999999995E-2</v>
      </c>
      <c r="H28" s="3">
        <v>7.3999999999999996E-2</v>
      </c>
      <c r="I28" s="3">
        <v>7.3999999999999996E-2</v>
      </c>
      <c r="J28" s="3">
        <v>7.3999999999999996E-2</v>
      </c>
    </row>
    <row r="29" spans="3:11">
      <c r="C29" s="2" t="s">
        <v>72</v>
      </c>
      <c r="D29" s="3">
        <v>0.115</v>
      </c>
      <c r="E29" s="67"/>
      <c r="F29" s="67"/>
      <c r="G29" s="67"/>
      <c r="H29" s="67"/>
      <c r="I29" s="67"/>
      <c r="J29" s="67"/>
    </row>
    <row r="30" spans="3:11">
      <c r="C30" s="2" t="s">
        <v>73</v>
      </c>
      <c r="D30" s="3"/>
      <c r="E30" s="3">
        <v>0.16</v>
      </c>
      <c r="F30" s="3">
        <v>0.15</v>
      </c>
      <c r="G30" s="3">
        <v>0.14000000000000001</v>
      </c>
      <c r="H30" s="3">
        <v>0.13</v>
      </c>
      <c r="I30" s="72">
        <f>I40</f>
        <v>0.11445</v>
      </c>
      <c r="J30" s="72">
        <f>J40</f>
        <v>0.11445</v>
      </c>
      <c r="K30" s="30"/>
    </row>
    <row r="31" spans="3:11">
      <c r="C31" s="2" t="s">
        <v>74</v>
      </c>
      <c r="D31" s="27"/>
      <c r="E31" s="39">
        <v>0.15</v>
      </c>
      <c r="F31" s="39">
        <v>0.12</v>
      </c>
      <c r="G31" s="3">
        <v>0.1</v>
      </c>
      <c r="H31" s="3">
        <v>0.08</v>
      </c>
      <c r="I31" s="3">
        <v>0.05</v>
      </c>
      <c r="J31" s="30">
        <v>0.05</v>
      </c>
      <c r="K31" s="30">
        <v>0.05</v>
      </c>
    </row>
    <row r="32" spans="3:11">
      <c r="C32" s="2" t="s">
        <v>41</v>
      </c>
      <c r="D32" s="3">
        <v>0.15</v>
      </c>
      <c r="E32" s="3">
        <v>0.15</v>
      </c>
      <c r="F32" s="3">
        <v>0.15</v>
      </c>
      <c r="G32" s="3">
        <v>0.15</v>
      </c>
      <c r="H32" s="3">
        <v>0.15</v>
      </c>
      <c r="I32" s="3">
        <v>0.15</v>
      </c>
      <c r="J32" s="3">
        <v>0.15</v>
      </c>
    </row>
    <row r="33" spans="3:11">
      <c r="C33" s="27" t="s">
        <v>75</v>
      </c>
      <c r="D33" s="28">
        <v>100000</v>
      </c>
      <c r="E33" s="3"/>
      <c r="F33" s="3"/>
      <c r="G33" s="3"/>
      <c r="H33" s="3"/>
      <c r="I33" s="3"/>
      <c r="J33" s="3"/>
    </row>
    <row r="34" spans="3:11">
      <c r="C34" s="2" t="s">
        <v>76</v>
      </c>
      <c r="D34" s="68">
        <f>E31/E30</f>
        <v>0.9375</v>
      </c>
      <c r="E34" s="68">
        <f t="shared" ref="E34:F34" si="1">F31/F30</f>
        <v>0.8</v>
      </c>
      <c r="F34" s="68">
        <f t="shared" si="1"/>
        <v>0.7142857142857143</v>
      </c>
      <c r="G34" s="68">
        <f>H31/H30</f>
        <v>0.61538461538461542</v>
      </c>
      <c r="H34" s="68">
        <f t="shared" ref="H34" si="2">I31/I30</f>
        <v>0.43687199650502406</v>
      </c>
      <c r="I34" s="68">
        <f>J31/J30</f>
        <v>0.43687199650502406</v>
      </c>
    </row>
    <row r="35" spans="3:11">
      <c r="E35" s="28"/>
      <c r="F35" s="28"/>
      <c r="G35" s="28"/>
      <c r="H35" s="28"/>
      <c r="I35" s="28"/>
    </row>
    <row r="36" spans="3:11">
      <c r="C36" s="2" t="s">
        <v>69</v>
      </c>
      <c r="D36" s="74">
        <f>D43/D60</f>
        <v>9.2228923097780649E-2</v>
      </c>
      <c r="E36" s="74">
        <f>E43/E60</f>
        <v>0.18367386940213595</v>
      </c>
      <c r="F36" s="69">
        <f>F26</f>
        <v>0.3</v>
      </c>
      <c r="G36" s="69">
        <f t="shared" ref="G36:J36" si="3">G26</f>
        <v>0.4</v>
      </c>
      <c r="H36" s="69">
        <f t="shared" si="3"/>
        <v>0.5</v>
      </c>
      <c r="I36" s="69">
        <f t="shared" si="3"/>
        <v>0.5</v>
      </c>
      <c r="J36" s="69">
        <f t="shared" si="3"/>
        <v>0.5</v>
      </c>
    </row>
    <row r="37" spans="3:11">
      <c r="C37" s="2" t="s">
        <v>70</v>
      </c>
      <c r="D37" s="69">
        <f>D27</f>
        <v>0.1</v>
      </c>
      <c r="E37" s="69">
        <f>E27</f>
        <v>0.2</v>
      </c>
    </row>
    <row r="38" spans="3:11">
      <c r="C38" s="27" t="s">
        <v>75</v>
      </c>
      <c r="D38" s="70">
        <f>D33</f>
        <v>100000</v>
      </c>
      <c r="E38" s="56">
        <f>D38+D48</f>
        <v>110781.25</v>
      </c>
      <c r="F38" s="56">
        <f t="shared" ref="F38:G38" si="4">E38+E48</f>
        <v>121361.25</v>
      </c>
      <c r="G38" s="56">
        <f t="shared" si="4"/>
        <v>131941.25</v>
      </c>
      <c r="H38" s="56">
        <f>G38+G48</f>
        <v>141967.83461538461</v>
      </c>
      <c r="I38" s="56">
        <f t="shared" ref="I38:J38" si="5">H38+H48</f>
        <v>149655.32085391672</v>
      </c>
      <c r="J38" s="56">
        <f t="shared" si="5"/>
        <v>157727.18140437544</v>
      </c>
    </row>
    <row r="39" spans="3:11">
      <c r="E39" s="65"/>
      <c r="F39" s="65"/>
      <c r="G39" s="65"/>
      <c r="H39" s="66"/>
    </row>
    <row r="40" spans="3:11">
      <c r="C40" s="2" t="s">
        <v>77</v>
      </c>
      <c r="D40" s="30">
        <f>D25-D36*D28*D32</f>
        <v>0.11916993969211997</v>
      </c>
      <c r="E40" s="30">
        <f t="shared" ref="E40:J40" si="6">E25-E36*E28*E32</f>
        <v>0.11807142437127757</v>
      </c>
      <c r="F40" s="30">
        <f t="shared" si="6"/>
        <v>0.11676</v>
      </c>
      <c r="G40" s="30">
        <f t="shared" si="6"/>
        <v>0.11562</v>
      </c>
      <c r="H40" s="30">
        <f t="shared" si="6"/>
        <v>0.11445</v>
      </c>
      <c r="I40" s="30">
        <f t="shared" si="6"/>
        <v>0.11445</v>
      </c>
      <c r="J40" s="30">
        <f t="shared" si="6"/>
        <v>0.11445</v>
      </c>
    </row>
    <row r="42" spans="3:11">
      <c r="C42" s="2" t="s">
        <v>75</v>
      </c>
      <c r="D42" s="41">
        <f>D38</f>
        <v>100000</v>
      </c>
      <c r="E42" s="41">
        <f>E38</f>
        <v>110781.25</v>
      </c>
      <c r="F42" s="41">
        <f t="shared" ref="F42:G42" si="7">F38</f>
        <v>121361.25</v>
      </c>
      <c r="G42" s="41">
        <f t="shared" si="7"/>
        <v>131941.25</v>
      </c>
      <c r="H42" s="41">
        <f>H38</f>
        <v>141967.83461538461</v>
      </c>
    </row>
    <row r="43" spans="3:11">
      <c r="C43" t="s">
        <v>78</v>
      </c>
      <c r="D43" s="56">
        <f>D38*D37</f>
        <v>10000</v>
      </c>
      <c r="E43" s="56">
        <f>E38*E37</f>
        <v>22156.25</v>
      </c>
      <c r="F43" s="73">
        <f>F36*F67</f>
        <v>39667.786208311423</v>
      </c>
      <c r="G43" s="73">
        <f t="shared" ref="G43:I43" si="8">G36*G67</f>
        <v>57373.062567991823</v>
      </c>
      <c r="H43" s="73">
        <f t="shared" si="8"/>
        <v>76874.862385321117</v>
      </c>
      <c r="I43" s="73">
        <f t="shared" si="8"/>
        <v>80718.605504587162</v>
      </c>
      <c r="J43" s="73">
        <f>J36*J67</f>
        <v>84754.535779816521</v>
      </c>
      <c r="K43" s="65">
        <f>J43*(1+K31)</f>
        <v>88992.262568807346</v>
      </c>
    </row>
    <row r="44" spans="3:11">
      <c r="C44" t="s">
        <v>79</v>
      </c>
    </row>
    <row r="46" spans="3:11">
      <c r="C46" t="s">
        <v>16</v>
      </c>
      <c r="D46" s="56">
        <f>D47/(1-D32)</f>
        <v>13529.411764705883</v>
      </c>
      <c r="E46" s="56">
        <f t="shared" ref="E46:J46" si="9">E47/(1-E32)</f>
        <v>15558.823529411766</v>
      </c>
      <c r="F46" s="56">
        <f t="shared" si="9"/>
        <v>17425.882352941178</v>
      </c>
      <c r="G46" s="56">
        <f t="shared" si="9"/>
        <v>19168.470588235294</v>
      </c>
      <c r="H46" s="56">
        <f t="shared" si="9"/>
        <v>20701.948235294123</v>
      </c>
      <c r="I46" s="56">
        <f t="shared" si="9"/>
        <v>21737.045647058829</v>
      </c>
      <c r="J46" s="56">
        <f t="shared" si="9"/>
        <v>22823.897929411771</v>
      </c>
    </row>
    <row r="47" spans="3:11">
      <c r="C47" t="s">
        <v>80</v>
      </c>
      <c r="D47" s="56">
        <f>D29*D38</f>
        <v>11500</v>
      </c>
      <c r="E47" s="56">
        <f>D47+D48*E30</f>
        <v>13225</v>
      </c>
      <c r="F47" s="56">
        <f t="shared" ref="F47" si="10">E47+E48*F30</f>
        <v>14812</v>
      </c>
      <c r="G47" s="56">
        <f>F47+F48*G30</f>
        <v>16293.2</v>
      </c>
      <c r="H47" s="56">
        <f>G47+G48*H30</f>
        <v>17596.656000000003</v>
      </c>
      <c r="I47" s="56">
        <f>H47+H48*I30</f>
        <v>18476.488800000003</v>
      </c>
      <c r="J47" s="56">
        <f>I47+I48*J30</f>
        <v>19400.313240000003</v>
      </c>
    </row>
    <row r="48" spans="3:11">
      <c r="C48" s="49" t="s">
        <v>81</v>
      </c>
      <c r="D48" s="56">
        <f>D47*D34</f>
        <v>10781.25</v>
      </c>
      <c r="E48" s="56">
        <f t="shared" ref="E48:F48" si="11">E47*E34</f>
        <v>10580</v>
      </c>
      <c r="F48" s="56">
        <f t="shared" si="11"/>
        <v>10580</v>
      </c>
      <c r="G48" s="56">
        <f>G47*G34</f>
        <v>10026.584615384616</v>
      </c>
      <c r="H48" s="56">
        <f>H47*H34</f>
        <v>7687.4862385321121</v>
      </c>
      <c r="I48" s="56">
        <f>I47*I34</f>
        <v>8071.8605504587176</v>
      </c>
      <c r="J48" s="56">
        <f>J47*I34</f>
        <v>8475.4535779816542</v>
      </c>
    </row>
    <row r="49" spans="2:10">
      <c r="C49" s="62" t="s">
        <v>53</v>
      </c>
      <c r="D49" s="56">
        <f>D47-D48</f>
        <v>718.75</v>
      </c>
      <c r="E49" s="56">
        <f t="shared" ref="E49:J49" si="12">E47-E48</f>
        <v>2645</v>
      </c>
      <c r="F49" s="56">
        <f t="shared" si="12"/>
        <v>4232</v>
      </c>
      <c r="G49" s="56">
        <f t="shared" si="12"/>
        <v>6266.6153846153848</v>
      </c>
      <c r="H49" s="56">
        <f t="shared" si="12"/>
        <v>9909.1697614678906</v>
      </c>
      <c r="I49" s="56">
        <f t="shared" si="12"/>
        <v>10404.628249541285</v>
      </c>
      <c r="J49" s="56">
        <f t="shared" si="12"/>
        <v>10924.859662018349</v>
      </c>
    </row>
    <row r="50" spans="2:10">
      <c r="C50" t="s">
        <v>54</v>
      </c>
      <c r="D50" s="56">
        <f>D43*D28</f>
        <v>600</v>
      </c>
      <c r="E50" s="56">
        <f>E43*E28</f>
        <v>1550.9375000000002</v>
      </c>
      <c r="F50" s="56">
        <f t="shared" ref="F50:J50" si="13">F43*F28</f>
        <v>2856.0806069984224</v>
      </c>
      <c r="G50" s="56">
        <f t="shared" si="13"/>
        <v>4188.2335674634032</v>
      </c>
      <c r="H50" s="56">
        <f t="shared" si="13"/>
        <v>5688.739816513762</v>
      </c>
      <c r="I50" s="56">
        <f t="shared" si="13"/>
        <v>5973.1768073394496</v>
      </c>
      <c r="J50" s="56">
        <f t="shared" si="13"/>
        <v>6271.8356477064226</v>
      </c>
    </row>
    <row r="51" spans="2:10">
      <c r="C51" t="s">
        <v>55</v>
      </c>
      <c r="D51" s="56">
        <f>D50*D32</f>
        <v>90</v>
      </c>
      <c r="E51" s="56">
        <f t="shared" ref="E51:J51" si="14">E50*E32</f>
        <v>232.64062500000003</v>
      </c>
      <c r="F51" s="56">
        <f t="shared" si="14"/>
        <v>428.41209104976332</v>
      </c>
      <c r="G51" s="56">
        <f t="shared" si="14"/>
        <v>628.23503511951048</v>
      </c>
      <c r="H51" s="56">
        <f t="shared" si="14"/>
        <v>853.3109724770643</v>
      </c>
      <c r="I51" s="56">
        <f t="shared" si="14"/>
        <v>895.97652110091747</v>
      </c>
      <c r="J51" s="56">
        <f t="shared" si="14"/>
        <v>940.77534715596335</v>
      </c>
    </row>
    <row r="52" spans="2:10">
      <c r="C52" s="49" t="s">
        <v>82</v>
      </c>
      <c r="D52" s="56">
        <f>E43-D43</f>
        <v>12156.25</v>
      </c>
      <c r="E52" s="56">
        <f t="shared" ref="E52:J52" si="15">F43-E43</f>
        <v>17511.536208311423</v>
      </c>
      <c r="F52" s="56">
        <f t="shared" si="15"/>
        <v>17705.2763596804</v>
      </c>
      <c r="G52" s="56">
        <f t="shared" si="15"/>
        <v>19501.799817329294</v>
      </c>
      <c r="H52" s="56">
        <f t="shared" si="15"/>
        <v>3843.7431192660442</v>
      </c>
      <c r="I52" s="56">
        <f t="shared" si="15"/>
        <v>4035.9302752293588</v>
      </c>
      <c r="J52" s="56">
        <f t="shared" si="15"/>
        <v>4237.7267889908253</v>
      </c>
    </row>
    <row r="53" spans="2:10">
      <c r="C53" s="62" t="s">
        <v>58</v>
      </c>
      <c r="D53" s="56">
        <f>D49-D50+D51+D52</f>
        <v>12365</v>
      </c>
      <c r="E53" s="56">
        <f t="shared" ref="E53:J53" si="16">E49-E50+E51+E52</f>
        <v>18838.239333311423</v>
      </c>
      <c r="F53" s="56">
        <f t="shared" si="16"/>
        <v>19509.607843731741</v>
      </c>
      <c r="G53" s="56">
        <f t="shared" si="16"/>
        <v>22208.416669600785</v>
      </c>
      <c r="H53" s="56">
        <f t="shared" si="16"/>
        <v>8917.4840366972367</v>
      </c>
      <c r="I53" s="56">
        <f t="shared" si="16"/>
        <v>9363.3582385321115</v>
      </c>
      <c r="J53" s="56">
        <f t="shared" si="16"/>
        <v>9831.5261504587143</v>
      </c>
    </row>
    <row r="54" spans="2:10">
      <c r="D54" s="56"/>
      <c r="E54" s="56"/>
      <c r="F54" s="56"/>
      <c r="G54" s="56"/>
      <c r="H54" s="56"/>
      <c r="I54" s="56"/>
      <c r="J54" s="56"/>
    </row>
    <row r="55" spans="2:10">
      <c r="D55" s="56"/>
      <c r="E55" s="56"/>
      <c r="F55" s="56"/>
      <c r="G55" s="56"/>
      <c r="H55" s="56"/>
      <c r="I55" s="56"/>
      <c r="J55" s="56"/>
    </row>
    <row r="56" spans="2:10">
      <c r="D56" s="56"/>
      <c r="E56" s="56"/>
      <c r="F56" s="56"/>
      <c r="G56" s="56"/>
      <c r="H56" s="56"/>
      <c r="I56" s="56"/>
      <c r="J56" s="56"/>
    </row>
    <row r="57" spans="2:10">
      <c r="B57" s="46" t="s">
        <v>83</v>
      </c>
      <c r="D57" s="56"/>
      <c r="E57" s="56"/>
      <c r="F57" s="56"/>
      <c r="G57" s="56"/>
      <c r="H57" s="56"/>
      <c r="I57" s="56"/>
      <c r="J57" s="56"/>
    </row>
    <row r="58" spans="2:10">
      <c r="B58" s="46" t="s">
        <v>84</v>
      </c>
      <c r="C58" t="s">
        <v>85</v>
      </c>
      <c r="D58" s="56">
        <f>D49+D51</f>
        <v>808.75</v>
      </c>
      <c r="E58" s="56">
        <f t="shared" ref="E58:J58" si="17">E49+E51</f>
        <v>2877.640625</v>
      </c>
      <c r="F58" s="56">
        <f t="shared" si="17"/>
        <v>4660.4120910497631</v>
      </c>
      <c r="G58" s="56">
        <f t="shared" si="17"/>
        <v>6894.8504197348957</v>
      </c>
      <c r="H58" s="56">
        <f t="shared" si="17"/>
        <v>10762.480733944954</v>
      </c>
      <c r="I58" s="56">
        <f t="shared" si="17"/>
        <v>11300.604770642203</v>
      </c>
      <c r="J58" s="56">
        <f t="shared" si="17"/>
        <v>11865.635009174312</v>
      </c>
    </row>
    <row r="59" spans="2:10">
      <c r="C59" t="s">
        <v>86</v>
      </c>
      <c r="D59" s="71">
        <f>D25</f>
        <v>0.12</v>
      </c>
      <c r="E59" s="71">
        <f t="shared" ref="E59:J59" si="18">E25</f>
        <v>0.12</v>
      </c>
      <c r="F59" s="71">
        <f t="shared" si="18"/>
        <v>0.12</v>
      </c>
      <c r="G59" s="71">
        <f t="shared" si="18"/>
        <v>0.12</v>
      </c>
      <c r="H59" s="71">
        <f t="shared" si="18"/>
        <v>0.12</v>
      </c>
      <c r="I59" s="71">
        <f t="shared" si="18"/>
        <v>0.12</v>
      </c>
      <c r="J59" s="71">
        <f t="shared" si="18"/>
        <v>0.12</v>
      </c>
    </row>
    <row r="60" spans="2:10">
      <c r="C60" s="63" t="s">
        <v>87</v>
      </c>
      <c r="D60" s="56">
        <f>(D58+E60)/(1+D59)</f>
        <v>108425.85670655667</v>
      </c>
      <c r="E60" s="56">
        <f t="shared" ref="E60" si="19">(E58+F60)/(1+E59)</f>
        <v>120628.20951134349</v>
      </c>
      <c r="F60" s="56">
        <f t="shared" ref="F60" si="20">(F58+G60)/(1+F59)</f>
        <v>132225.95402770472</v>
      </c>
      <c r="G60" s="56">
        <f t="shared" ref="G60" si="21">(G58+H60)/(1+G59)</f>
        <v>143432.65641997952</v>
      </c>
      <c r="H60" s="56">
        <f t="shared" ref="H60" si="22">(H58+I60)/(1+H59)</f>
        <v>153749.72477064218</v>
      </c>
      <c r="I60" s="56">
        <f>(I58+J60)/(1+I59)</f>
        <v>161437.21100917432</v>
      </c>
      <c r="J60" s="56">
        <f>J58/(J59-K31)</f>
        <v>169509.07155963304</v>
      </c>
    </row>
    <row r="61" spans="2:10">
      <c r="D61" s="56"/>
      <c r="E61" s="56"/>
      <c r="F61" s="56"/>
      <c r="G61" s="56"/>
      <c r="H61" s="56"/>
      <c r="I61" s="56"/>
      <c r="J61" s="56"/>
    </row>
    <row r="62" spans="2:10">
      <c r="D62" s="56"/>
      <c r="E62" s="56"/>
      <c r="F62" s="56"/>
      <c r="G62" s="56"/>
      <c r="H62" s="56"/>
      <c r="I62" s="56"/>
      <c r="J62" s="56"/>
    </row>
    <row r="63" spans="2:10">
      <c r="D63" s="56"/>
      <c r="E63" s="56"/>
      <c r="F63" s="56"/>
      <c r="G63" s="56"/>
      <c r="H63" s="56"/>
      <c r="I63" s="56"/>
      <c r="J63" s="56"/>
    </row>
    <row r="64" spans="2:10">
      <c r="D64" s="56"/>
      <c r="E64" s="56"/>
      <c r="F64" s="56"/>
      <c r="G64" s="56"/>
      <c r="H64" s="56"/>
      <c r="I64" s="56"/>
      <c r="J64" s="56"/>
    </row>
    <row r="65" spans="2:10">
      <c r="B65" s="46" t="s">
        <v>53</v>
      </c>
      <c r="C65" s="46" t="s">
        <v>53</v>
      </c>
      <c r="D65" s="56">
        <f>D49</f>
        <v>718.75</v>
      </c>
      <c r="E65" s="56">
        <f t="shared" ref="E65:I65" si="23">E49</f>
        <v>2645</v>
      </c>
      <c r="F65" s="56">
        <f t="shared" si="23"/>
        <v>4232</v>
      </c>
      <c r="G65" s="56">
        <f t="shared" si="23"/>
        <v>6266.6153846153848</v>
      </c>
      <c r="H65" s="56">
        <f t="shared" si="23"/>
        <v>9909.1697614678906</v>
      </c>
      <c r="I65" s="56">
        <f t="shared" si="23"/>
        <v>10404.628249541285</v>
      </c>
      <c r="J65" s="56">
        <f>J49</f>
        <v>10924.859662018349</v>
      </c>
    </row>
    <row r="66" spans="2:10">
      <c r="C66" t="s">
        <v>77</v>
      </c>
      <c r="D66" s="71">
        <f>D40</f>
        <v>0.11916993969211997</v>
      </c>
      <c r="E66" s="71">
        <f t="shared" ref="E66:J66" si="24">E40</f>
        <v>0.11807142437127757</v>
      </c>
      <c r="F66" s="71">
        <f t="shared" si="24"/>
        <v>0.11676</v>
      </c>
      <c r="G66" s="71">
        <f t="shared" si="24"/>
        <v>0.11562</v>
      </c>
      <c r="H66" s="71">
        <f t="shared" si="24"/>
        <v>0.11445</v>
      </c>
      <c r="I66" s="71">
        <f t="shared" si="24"/>
        <v>0.11445</v>
      </c>
      <c r="J66" s="71">
        <f t="shared" si="24"/>
        <v>0.11445</v>
      </c>
    </row>
    <row r="67" spans="2:10">
      <c r="C67" s="64" t="s">
        <v>87</v>
      </c>
      <c r="D67" s="56">
        <f t="shared" ref="D67:H67" si="25">(D65+E67)/(1+D66)</f>
        <v>108425.85670655673</v>
      </c>
      <c r="E67" s="56">
        <f t="shared" si="25"/>
        <v>120628.20951134354</v>
      </c>
      <c r="F67" s="56">
        <f t="shared" si="25"/>
        <v>132225.95402770475</v>
      </c>
      <c r="G67" s="56">
        <f t="shared" si="25"/>
        <v>143432.65641997955</v>
      </c>
      <c r="H67" s="56">
        <f t="shared" si="25"/>
        <v>153749.72477064223</v>
      </c>
      <c r="I67" s="56">
        <f>(I65+J67)/(1+I66)</f>
        <v>161437.21100917432</v>
      </c>
      <c r="J67" s="56">
        <f>J65/(J66-K31)</f>
        <v>169509.07155963304</v>
      </c>
    </row>
    <row r="68" spans="2:10">
      <c r="D68" s="56"/>
      <c r="E68" s="56"/>
      <c r="F68" s="56"/>
      <c r="G68" s="56"/>
      <c r="H68" s="56"/>
      <c r="I68" s="56"/>
      <c r="J68" s="56"/>
    </row>
    <row r="69" spans="2:10">
      <c r="D69" s="56"/>
      <c r="E69" s="56"/>
      <c r="F69" s="56"/>
      <c r="G69" s="56"/>
      <c r="H69" s="56"/>
      <c r="I69" s="56"/>
      <c r="J69" s="56"/>
    </row>
    <row r="70" spans="2:10">
      <c r="D70" s="56"/>
      <c r="E70" s="56"/>
      <c r="F70" s="56"/>
      <c r="G70" s="56"/>
      <c r="H70" s="56"/>
      <c r="I70" s="56"/>
      <c r="J70" s="56"/>
    </row>
    <row r="71" spans="2:10">
      <c r="D71" s="56"/>
      <c r="E71" s="56"/>
      <c r="F71" s="56"/>
      <c r="G71" s="56"/>
      <c r="H71" s="56"/>
      <c r="I71" s="56"/>
      <c r="J71" s="56"/>
    </row>
    <row r="72" spans="2:10">
      <c r="B72" s="46" t="s">
        <v>58</v>
      </c>
      <c r="C72" t="s">
        <v>88</v>
      </c>
      <c r="D72" s="71">
        <f>D36</f>
        <v>9.2228923097780649E-2</v>
      </c>
      <c r="E72" s="71">
        <f t="shared" ref="E72:J72" si="26">E36</f>
        <v>0.18367386940213595</v>
      </c>
      <c r="F72" s="71">
        <f t="shared" si="26"/>
        <v>0.3</v>
      </c>
      <c r="G72" s="71">
        <f t="shared" si="26"/>
        <v>0.4</v>
      </c>
      <c r="H72" s="71">
        <f t="shared" si="26"/>
        <v>0.5</v>
      </c>
      <c r="I72" s="71">
        <f t="shared" si="26"/>
        <v>0.5</v>
      </c>
      <c r="J72" s="71">
        <f t="shared" si="26"/>
        <v>0.5</v>
      </c>
    </row>
    <row r="73" spans="2:10">
      <c r="C73" t="s">
        <v>89</v>
      </c>
      <c r="D73" s="71">
        <f>D28</f>
        <v>0.06</v>
      </c>
      <c r="E73" s="71">
        <f t="shared" ref="E73:J73" si="27">E28</f>
        <v>7.0000000000000007E-2</v>
      </c>
      <c r="F73" s="71">
        <f t="shared" si="27"/>
        <v>7.1999999999999995E-2</v>
      </c>
      <c r="G73" s="71">
        <f t="shared" si="27"/>
        <v>7.2999999999999995E-2</v>
      </c>
      <c r="H73" s="71">
        <f t="shared" si="27"/>
        <v>7.3999999999999996E-2</v>
      </c>
      <c r="I73" s="71">
        <f t="shared" si="27"/>
        <v>7.3999999999999996E-2</v>
      </c>
      <c r="J73" s="71">
        <f t="shared" si="27"/>
        <v>7.3999999999999996E-2</v>
      </c>
    </row>
    <row r="74" spans="2:10">
      <c r="C74" t="s">
        <v>86</v>
      </c>
      <c r="D74" s="71">
        <f>D25</f>
        <v>0.12</v>
      </c>
      <c r="E74" s="71">
        <f t="shared" ref="E74:J74" si="28">E25</f>
        <v>0.12</v>
      </c>
      <c r="F74" s="71">
        <f t="shared" si="28"/>
        <v>0.12</v>
      </c>
      <c r="G74" s="71">
        <f t="shared" si="28"/>
        <v>0.12</v>
      </c>
      <c r="H74" s="71">
        <f t="shared" si="28"/>
        <v>0.12</v>
      </c>
      <c r="I74" s="71">
        <f t="shared" si="28"/>
        <v>0.12</v>
      </c>
      <c r="J74" s="71">
        <f t="shared" si="28"/>
        <v>0.12</v>
      </c>
    </row>
    <row r="75" spans="2:10">
      <c r="C75" s="46" t="s">
        <v>90</v>
      </c>
      <c r="D75" s="75">
        <f>(D74-D73*D72)/(1-D72)</f>
        <v>0.12609595913184499</v>
      </c>
      <c r="E75" s="75">
        <f t="shared" ref="E75:J75" si="29">(E74-E73*E72)/(1-E72)</f>
        <v>0.1312500300135937</v>
      </c>
      <c r="F75" s="75">
        <f t="shared" si="29"/>
        <v>0.14057142857142857</v>
      </c>
      <c r="G75" s="75">
        <f t="shared" si="29"/>
        <v>0.15133333333333332</v>
      </c>
      <c r="H75" s="75">
        <f t="shared" si="29"/>
        <v>0.16599999999999998</v>
      </c>
      <c r="I75" s="75">
        <f t="shared" si="29"/>
        <v>0.16599999999999998</v>
      </c>
      <c r="J75" s="75">
        <f t="shared" si="29"/>
        <v>0.16599999999999998</v>
      </c>
    </row>
    <row r="76" spans="2:10">
      <c r="D76" s="56"/>
      <c r="E76" s="56"/>
      <c r="F76" s="56"/>
      <c r="G76" s="56"/>
      <c r="H76" s="56"/>
      <c r="I76" s="56"/>
      <c r="J76" s="56"/>
    </row>
    <row r="77" spans="2:10">
      <c r="C77" s="46" t="s">
        <v>58</v>
      </c>
      <c r="D77" s="56">
        <f>D53</f>
        <v>12365</v>
      </c>
      <c r="E77" s="56">
        <f t="shared" ref="E77:J77" si="30">E53</f>
        <v>18838.239333311423</v>
      </c>
      <c r="F77" s="56">
        <f t="shared" si="30"/>
        <v>19509.607843731741</v>
      </c>
      <c r="G77" s="56">
        <f t="shared" si="30"/>
        <v>22208.416669600785</v>
      </c>
      <c r="H77" s="56">
        <f t="shared" si="30"/>
        <v>8917.4840366972367</v>
      </c>
      <c r="I77" s="56">
        <f t="shared" si="30"/>
        <v>9363.3582385321115</v>
      </c>
      <c r="J77" s="56">
        <f t="shared" si="30"/>
        <v>9831.5261504587143</v>
      </c>
    </row>
    <row r="78" spans="2:10">
      <c r="C78" s="63" t="s">
        <v>91</v>
      </c>
      <c r="D78" s="56">
        <f>(D77+E78)/(1+D75)</f>
        <v>98425.856706556748</v>
      </c>
      <c r="E78" s="56">
        <f t="shared" ref="E78:I78" si="31">(E77+F78)/(1+E75)</f>
        <v>98471.95951134355</v>
      </c>
      <c r="F78" s="56">
        <f t="shared" si="31"/>
        <v>92558.167819393348</v>
      </c>
      <c r="G78" s="56">
        <f t="shared" si="31"/>
        <v>86059.593851987753</v>
      </c>
      <c r="H78" s="56">
        <f t="shared" si="31"/>
        <v>76874.862385321103</v>
      </c>
      <c r="I78" s="56">
        <f t="shared" si="31"/>
        <v>80718.605504587162</v>
      </c>
      <c r="J78" s="56">
        <f>J77/(J75-K31)</f>
        <v>84754.535779816521</v>
      </c>
    </row>
    <row r="79" spans="2:10">
      <c r="C79" s="50" t="s">
        <v>78</v>
      </c>
      <c r="D79" s="56">
        <f>D43</f>
        <v>10000</v>
      </c>
      <c r="E79" s="56">
        <f t="shared" ref="E79:I79" si="32">E43</f>
        <v>22156.25</v>
      </c>
      <c r="F79" s="56">
        <f t="shared" si="32"/>
        <v>39667.786208311423</v>
      </c>
      <c r="G79" s="56">
        <f t="shared" si="32"/>
        <v>57373.062567991823</v>
      </c>
      <c r="H79" s="56">
        <f t="shared" si="32"/>
        <v>76874.862385321117</v>
      </c>
      <c r="I79" s="56">
        <f t="shared" si="32"/>
        <v>80718.605504587162</v>
      </c>
      <c r="J79" s="56">
        <f>J43</f>
        <v>84754.535779816521</v>
      </c>
    </row>
    <row r="80" spans="2:10">
      <c r="C80" s="63" t="s">
        <v>87</v>
      </c>
      <c r="D80" s="56">
        <f t="shared" ref="D80:I80" si="33">D78+D79</f>
        <v>108425.85670655675</v>
      </c>
      <c r="E80" s="56">
        <f t="shared" si="33"/>
        <v>120628.20951134355</v>
      </c>
      <c r="F80" s="56">
        <f t="shared" si="33"/>
        <v>132225.95402770478</v>
      </c>
      <c r="G80" s="56">
        <f t="shared" si="33"/>
        <v>143432.65641997958</v>
      </c>
      <c r="H80" s="56">
        <f t="shared" si="33"/>
        <v>153749.72477064223</v>
      </c>
      <c r="I80" s="56">
        <f t="shared" si="33"/>
        <v>161437.21100917432</v>
      </c>
      <c r="J80" s="56">
        <f>J78+J79</f>
        <v>169509.07155963304</v>
      </c>
    </row>
    <row r="81" spans="4:10">
      <c r="D81" s="56"/>
      <c r="E81" s="56"/>
      <c r="F81" s="56"/>
      <c r="G81" s="56"/>
      <c r="H81" s="56"/>
      <c r="I81" s="56"/>
      <c r="J81" s="56"/>
    </row>
    <row r="82" spans="4:10">
      <c r="D82" s="56"/>
      <c r="E82" s="56"/>
      <c r="F82" s="56"/>
      <c r="G82" s="56"/>
      <c r="H82" s="56"/>
      <c r="I82" s="56"/>
      <c r="J82" s="56"/>
    </row>
    <row r="83" spans="4:10">
      <c r="D83" s="56"/>
      <c r="E83" s="56"/>
      <c r="F83" s="56"/>
      <c r="G83" s="56"/>
      <c r="H83" s="56"/>
      <c r="I83" s="56"/>
      <c r="J83" s="56"/>
    </row>
    <row r="84" spans="4:10">
      <c r="D84" s="56"/>
      <c r="E84" s="56"/>
      <c r="F84" s="56"/>
      <c r="G84" s="56"/>
      <c r="H84" s="56"/>
      <c r="I84" s="56"/>
      <c r="J84" s="56"/>
    </row>
    <row r="85" spans="4:10">
      <c r="D85" s="56"/>
      <c r="E85" s="56"/>
      <c r="F85" s="56"/>
      <c r="G85" s="56"/>
      <c r="H85" s="56"/>
      <c r="I85" s="56"/>
      <c r="J85" s="56"/>
    </row>
    <row r="86" spans="4:10">
      <c r="D86" s="56"/>
      <c r="E86" s="56"/>
      <c r="F86" s="56"/>
      <c r="G86" s="56"/>
      <c r="H86" s="56"/>
      <c r="I86" s="56"/>
      <c r="J86" s="56"/>
    </row>
    <row r="87" spans="4:10">
      <c r="D87" s="56"/>
      <c r="E87" s="56"/>
      <c r="F87" s="56"/>
      <c r="G87" s="56"/>
      <c r="H87" s="56"/>
      <c r="I87" s="56"/>
      <c r="J87" s="56"/>
    </row>
    <row r="88" spans="4:10">
      <c r="D88" s="56"/>
      <c r="E88" s="56"/>
      <c r="F88" s="56"/>
      <c r="G88" s="56"/>
      <c r="H88" s="56"/>
      <c r="I88" s="56"/>
      <c r="J88" s="56"/>
    </row>
    <row r="89" spans="4:10">
      <c r="D89" s="56"/>
      <c r="E89" s="56"/>
      <c r="F89" s="56"/>
      <c r="G89" s="56"/>
      <c r="H89" s="56"/>
      <c r="I89" s="56"/>
      <c r="J89" s="56"/>
    </row>
    <row r="90" spans="4:10">
      <c r="D90" s="56"/>
      <c r="E90" s="56"/>
      <c r="F90" s="56"/>
      <c r="G90" s="56"/>
      <c r="H90" s="56"/>
      <c r="I90" s="56"/>
      <c r="J90" s="56"/>
    </row>
    <row r="91" spans="4:10">
      <c r="D91" s="56"/>
      <c r="E91" s="56"/>
      <c r="F91" s="56"/>
      <c r="G91" s="56"/>
      <c r="H91" s="56"/>
      <c r="I91" s="56"/>
      <c r="J91" s="56"/>
    </row>
    <row r="92" spans="4:10">
      <c r="D92" s="56"/>
      <c r="E92" s="56"/>
      <c r="F92" s="56"/>
      <c r="G92" s="56"/>
      <c r="H92" s="56"/>
      <c r="I92" s="56"/>
      <c r="J92" s="56"/>
    </row>
    <row r="93" spans="4:10">
      <c r="D93" s="56"/>
      <c r="E93" s="56"/>
      <c r="F93" s="56"/>
      <c r="G93" s="56"/>
      <c r="H93" s="56"/>
      <c r="I93" s="56"/>
      <c r="J93" s="56"/>
    </row>
    <row r="94" spans="4:10">
      <c r="D94" s="56"/>
      <c r="E94" s="56"/>
      <c r="F94" s="56"/>
      <c r="G94" s="56"/>
      <c r="H94" s="56"/>
      <c r="I94" s="56"/>
      <c r="J94" s="56"/>
    </row>
    <row r="95" spans="4:10">
      <c r="D95" s="56"/>
      <c r="E95" s="56"/>
      <c r="F95" s="56"/>
      <c r="G95" s="56"/>
      <c r="H95" s="56"/>
      <c r="I95" s="56"/>
      <c r="J95" s="56"/>
    </row>
    <row r="96" spans="4:10">
      <c r="D96" s="56"/>
      <c r="E96" s="56"/>
      <c r="F96" s="56"/>
      <c r="G96" s="56"/>
      <c r="H96" s="56"/>
      <c r="I96" s="56"/>
      <c r="J96" s="56"/>
    </row>
    <row r="97" spans="4:10">
      <c r="D97" s="56"/>
      <c r="E97" s="56"/>
      <c r="F97" s="56"/>
      <c r="G97" s="56"/>
      <c r="H97" s="56"/>
      <c r="I97" s="56"/>
      <c r="J97" s="56"/>
    </row>
    <row r="98" spans="4:10">
      <c r="D98" s="56"/>
      <c r="E98" s="56"/>
      <c r="F98" s="56"/>
      <c r="G98" s="56"/>
      <c r="H98" s="56"/>
      <c r="I98" s="56"/>
      <c r="J98" s="56"/>
    </row>
    <row r="99" spans="4:10">
      <c r="D99" s="56"/>
      <c r="E99" s="56"/>
      <c r="F99" s="56"/>
      <c r="G99" s="56"/>
      <c r="H99" s="56"/>
      <c r="I99" s="56"/>
      <c r="J99" s="56"/>
    </row>
    <row r="100" spans="4:10">
      <c r="D100" s="56"/>
      <c r="E100" s="56"/>
      <c r="F100" s="56"/>
      <c r="G100" s="56"/>
      <c r="H100" s="56"/>
      <c r="I100" s="56"/>
      <c r="J100" s="56"/>
    </row>
    <row r="101" spans="4:10">
      <c r="D101" s="56"/>
      <c r="E101" s="56"/>
      <c r="F101" s="56"/>
      <c r="G101" s="56"/>
      <c r="H101" s="56"/>
      <c r="I101" s="56"/>
      <c r="J101" s="56"/>
    </row>
    <row r="102" spans="4:10">
      <c r="D102" s="56"/>
      <c r="E102" s="56"/>
      <c r="F102" s="56"/>
      <c r="G102" s="56"/>
      <c r="H102" s="56"/>
      <c r="I102" s="56"/>
      <c r="J102" s="56"/>
    </row>
    <row r="103" spans="4:10">
      <c r="D103" s="56"/>
      <c r="E103" s="56"/>
      <c r="F103" s="56"/>
      <c r="G103" s="56"/>
      <c r="H103" s="56"/>
      <c r="I103" s="56"/>
      <c r="J103" s="56"/>
    </row>
    <row r="104" spans="4:10">
      <c r="D104" s="56"/>
      <c r="E104" s="56"/>
      <c r="F104" s="56"/>
      <c r="G104" s="56"/>
      <c r="H104" s="56"/>
      <c r="I104" s="56"/>
      <c r="J104" s="56"/>
    </row>
  </sheetData>
  <phoneticPr fontId="8"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1001-DD57-4B42-9CDC-B6256E26F6D7}">
  <sheetPr>
    <tabColor rgb="FF92D050"/>
  </sheetPr>
  <dimension ref="B1:I57"/>
  <sheetViews>
    <sheetView workbookViewId="0">
      <selection activeCell="D57" sqref="D57"/>
    </sheetView>
  </sheetViews>
  <sheetFormatPr defaultColWidth="8.796875" defaultRowHeight="15.6"/>
  <cols>
    <col min="2" max="2" width="19.796875" bestFit="1" customWidth="1"/>
    <col min="3" max="3" width="37.19921875" bestFit="1" customWidth="1"/>
    <col min="4" max="4" width="14.19921875" bestFit="1" customWidth="1"/>
    <col min="5" max="5" width="27.5" bestFit="1" customWidth="1"/>
    <col min="6" max="6" width="14.69921875" bestFit="1" customWidth="1"/>
    <col min="8" max="8" width="14.296875" bestFit="1" customWidth="1"/>
    <col min="9" max="9" width="10.19921875" bestFit="1" customWidth="1"/>
  </cols>
  <sheetData>
    <row r="1" spans="2:3" ht="16.2" thickBot="1"/>
    <row r="2" spans="2:3" ht="18">
      <c r="B2" s="9" t="str">
        <f>+Admin!C12</f>
        <v>Date</v>
      </c>
      <c r="C2" s="35">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26" spans="3:7">
      <c r="C26" t="s">
        <v>92</v>
      </c>
      <c r="D26">
        <v>6000000</v>
      </c>
      <c r="E26">
        <v>3000000</v>
      </c>
      <c r="F26" t="s">
        <v>93</v>
      </c>
    </row>
    <row r="27" spans="3:7">
      <c r="D27" s="29" t="s">
        <v>94</v>
      </c>
      <c r="E27" s="29" t="s">
        <v>95</v>
      </c>
      <c r="F27" s="29" t="s">
        <v>96</v>
      </c>
    </row>
    <row r="28" spans="3:7">
      <c r="C28" t="s">
        <v>86</v>
      </c>
      <c r="D28" s="30">
        <v>0.1</v>
      </c>
      <c r="E28" s="30">
        <v>0.1</v>
      </c>
      <c r="F28" s="30">
        <v>0.1</v>
      </c>
    </row>
    <row r="29" spans="3:7">
      <c r="C29" t="s">
        <v>41</v>
      </c>
      <c r="D29" s="30">
        <v>0.15</v>
      </c>
      <c r="E29" s="30">
        <v>0.15</v>
      </c>
      <c r="F29" s="30">
        <v>0.15</v>
      </c>
    </row>
    <row r="30" spans="3:7">
      <c r="C30" t="s">
        <v>97</v>
      </c>
      <c r="D30" s="37">
        <v>840</v>
      </c>
      <c r="E30" s="37">
        <v>100</v>
      </c>
      <c r="F30" s="37">
        <v>1000</v>
      </c>
      <c r="G30" t="s">
        <v>98</v>
      </c>
    </row>
    <row r="31" spans="3:7">
      <c r="C31" t="s">
        <v>88</v>
      </c>
      <c r="D31" s="30">
        <v>0.4</v>
      </c>
      <c r="E31" s="30">
        <v>0.25</v>
      </c>
      <c r="F31" s="30">
        <v>0.4</v>
      </c>
      <c r="G31" t="s">
        <v>99</v>
      </c>
    </row>
    <row r="32" spans="3:7">
      <c r="C32" t="s">
        <v>89</v>
      </c>
      <c r="D32" s="30">
        <v>0.05</v>
      </c>
      <c r="E32" s="30">
        <v>0.05</v>
      </c>
      <c r="F32" s="30">
        <v>0.05</v>
      </c>
    </row>
    <row r="33" spans="3:9">
      <c r="C33" t="s">
        <v>73</v>
      </c>
      <c r="D33" s="30">
        <v>0.10100000000000001</v>
      </c>
      <c r="E33" s="30">
        <v>0.12</v>
      </c>
      <c r="F33" s="30">
        <v>0.10199999999999999</v>
      </c>
    </row>
    <row r="34" spans="3:9">
      <c r="C34" t="s">
        <v>100</v>
      </c>
      <c r="D34" s="30">
        <v>0.03</v>
      </c>
      <c r="E34" s="30">
        <v>0.04</v>
      </c>
      <c r="F34" s="30">
        <v>3.3000000000000002E-2</v>
      </c>
    </row>
    <row r="35" spans="3:9">
      <c r="C35" t="s">
        <v>101</v>
      </c>
      <c r="D35" s="41">
        <v>10000000</v>
      </c>
      <c r="E35" s="41">
        <v>5000000</v>
      </c>
    </row>
    <row r="37" spans="3:9">
      <c r="C37" t="s">
        <v>76</v>
      </c>
      <c r="D37" s="30">
        <f>D34/D33</f>
        <v>0.29702970297029702</v>
      </c>
      <c r="E37" s="30">
        <f t="shared" ref="E37:F37" si="0">E34/E33</f>
        <v>0.33333333333333337</v>
      </c>
      <c r="F37" s="30">
        <f t="shared" si="0"/>
        <v>0.3235294117647059</v>
      </c>
    </row>
    <row r="38" spans="3:9">
      <c r="C38" t="s">
        <v>53</v>
      </c>
      <c r="D38" s="56">
        <f>D30*(1-D37)</f>
        <v>590.49504950495043</v>
      </c>
      <c r="E38" s="56">
        <f t="shared" ref="E38:F38" si="1">E30*(1-E37)</f>
        <v>66.666666666666657</v>
      </c>
      <c r="F38" s="56">
        <f t="shared" si="1"/>
        <v>676.47058823529414</v>
      </c>
    </row>
    <row r="39" spans="3:9">
      <c r="C39" t="s">
        <v>77</v>
      </c>
      <c r="D39" s="30">
        <f>D28-D31*D32*D29</f>
        <v>9.7000000000000003E-2</v>
      </c>
      <c r="E39" s="30">
        <f t="shared" ref="E39:F39" si="2">E28-E31*E32*E29</f>
        <v>9.8125000000000004E-2</v>
      </c>
      <c r="F39" s="30">
        <f t="shared" si="2"/>
        <v>9.7000000000000003E-2</v>
      </c>
    </row>
    <row r="40" spans="3:9">
      <c r="H40" t="s">
        <v>102</v>
      </c>
      <c r="I40" t="s">
        <v>103</v>
      </c>
    </row>
    <row r="41" spans="3:9">
      <c r="C41" t="s">
        <v>104</v>
      </c>
      <c r="D41" s="56">
        <f>D38/D39-D34</f>
        <v>6087.5478299479428</v>
      </c>
      <c r="E41" s="56">
        <f t="shared" ref="E41:F41" si="3">E38/E39-E34</f>
        <v>679.36552016985127</v>
      </c>
      <c r="F41" s="56">
        <f t="shared" si="3"/>
        <v>6973.8905900545778</v>
      </c>
      <c r="H41" s="65">
        <f>D41+E41</f>
        <v>6766.9133501177939</v>
      </c>
      <c r="I41" s="65">
        <f>F41-H41</f>
        <v>206.97723993678392</v>
      </c>
    </row>
    <row r="42" spans="3:9">
      <c r="C42" t="s">
        <v>105</v>
      </c>
      <c r="D42" s="56">
        <f>D41*D31</f>
        <v>2435.019131979177</v>
      </c>
      <c r="E42" s="56">
        <f t="shared" ref="E42:F42" si="4">E41*E31</f>
        <v>169.84138004246282</v>
      </c>
      <c r="F42" s="56">
        <f t="shared" si="4"/>
        <v>2789.5562360218314</v>
      </c>
      <c r="H42" s="65">
        <f t="shared" ref="H42:H43" si="5">D42+E42</f>
        <v>2604.8605120216398</v>
      </c>
      <c r="I42" s="65">
        <f t="shared" ref="I42:I43" si="6">F42-H42</f>
        <v>184.6957240001916</v>
      </c>
    </row>
    <row r="43" spans="3:9">
      <c r="C43" t="s">
        <v>106</v>
      </c>
      <c r="D43" s="56">
        <f>D41-D42</f>
        <v>3652.5286979687658</v>
      </c>
      <c r="E43" s="56">
        <f t="shared" ref="E43:F43" si="7">E41-E42</f>
        <v>509.52414012738848</v>
      </c>
      <c r="F43" s="56">
        <f t="shared" si="7"/>
        <v>4184.334354032746</v>
      </c>
      <c r="H43" s="65">
        <f t="shared" si="5"/>
        <v>4162.0528380961541</v>
      </c>
      <c r="I43" s="65">
        <f t="shared" si="6"/>
        <v>22.281515936591859</v>
      </c>
    </row>
    <row r="45" spans="3:9">
      <c r="D45" t="s">
        <v>107</v>
      </c>
      <c r="E45" t="s">
        <v>108</v>
      </c>
      <c r="F45" t="s">
        <v>109</v>
      </c>
    </row>
    <row r="46" spans="3:9">
      <c r="C46" t="s">
        <v>110</v>
      </c>
      <c r="D46" s="56">
        <f>E43</f>
        <v>509.52414012738848</v>
      </c>
      <c r="E46">
        <v>3</v>
      </c>
      <c r="F46" s="76">
        <f>D46-E46</f>
        <v>506.52414012738848</v>
      </c>
    </row>
    <row r="47" spans="3:9">
      <c r="C47" t="s">
        <v>111</v>
      </c>
      <c r="D47" s="56">
        <f>D46+I41</f>
        <v>716.50138006417239</v>
      </c>
      <c r="E47">
        <v>6</v>
      </c>
      <c r="F47" s="76">
        <f>D47+E47</f>
        <v>722.50138006417239</v>
      </c>
    </row>
    <row r="51" spans="3:5">
      <c r="C51" t="s">
        <v>112</v>
      </c>
      <c r="D51" s="65">
        <f>F46*(1+25%)</f>
        <v>633.15517515923557</v>
      </c>
    </row>
    <row r="52" spans="3:5">
      <c r="C52" t="s">
        <v>27</v>
      </c>
      <c r="D52" s="65">
        <f>D51*50%</f>
        <v>316.57758757961778</v>
      </c>
    </row>
    <row r="53" spans="3:5">
      <c r="C53" t="s">
        <v>39</v>
      </c>
      <c r="D53" s="65">
        <f>D51-D52</f>
        <v>316.57758757961778</v>
      </c>
    </row>
    <row r="55" spans="3:5">
      <c r="C55" t="s">
        <v>113</v>
      </c>
      <c r="D55" s="40">
        <f>D53/F43</f>
        <v>7.5657813356743125E-2</v>
      </c>
      <c r="E55" s="56">
        <f>D55*D57</f>
        <v>945722.66695928911</v>
      </c>
    </row>
    <row r="57" spans="3:5">
      <c r="C57" t="s">
        <v>101</v>
      </c>
      <c r="D57">
        <f>D35+50%*E35</f>
        <v>12500000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83F8-C1ED-4618-BEF3-F3B796AB9621}">
  <sheetPr codeName="Munka6">
    <tabColor rgb="FFFFFF00"/>
  </sheetPr>
  <dimension ref="A1:D64"/>
  <sheetViews>
    <sheetView zoomScaleNormal="100" workbookViewId="0">
      <selection activeCell="C37" sqref="C37"/>
    </sheetView>
  </sheetViews>
  <sheetFormatPr defaultColWidth="8.796875" defaultRowHeight="15.6"/>
  <cols>
    <col min="2" max="2" width="36.796875" bestFit="1" customWidth="1"/>
    <col min="3" max="3" width="24.19921875" bestFit="1" customWidth="1"/>
    <col min="4" max="4" width="8.796875" bestFit="1" customWidth="1"/>
    <col min="5" max="9" width="7" bestFit="1" customWidth="1"/>
  </cols>
  <sheetData>
    <row r="1" spans="2:3" ht="16.2" thickBot="1"/>
    <row r="2" spans="2:3" ht="18">
      <c r="B2" s="9" t="str">
        <f>+Admin!C12</f>
        <v>Date</v>
      </c>
      <c r="C2" s="35">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20" spans="2:4">
      <c r="B20" t="s">
        <v>114</v>
      </c>
      <c r="C20" s="40">
        <v>0.15</v>
      </c>
    </row>
    <row r="21" spans="2:4">
      <c r="B21" t="s">
        <v>115</v>
      </c>
      <c r="C21" s="40">
        <v>0.09</v>
      </c>
    </row>
    <row r="22" spans="2:4">
      <c r="B22" t="s">
        <v>116</v>
      </c>
      <c r="C22" s="38">
        <v>0.08</v>
      </c>
    </row>
    <row r="23" spans="2:4">
      <c r="B23" t="s">
        <v>117</v>
      </c>
      <c r="C23" s="30">
        <v>0.02</v>
      </c>
    </row>
    <row r="24" spans="2:4">
      <c r="C24" s="38"/>
    </row>
    <row r="25" spans="2:4">
      <c r="B25" t="s">
        <v>118</v>
      </c>
      <c r="C25">
        <v>20</v>
      </c>
      <c r="D25" t="s">
        <v>119</v>
      </c>
    </row>
    <row r="26" spans="2:4">
      <c r="B26" t="s">
        <v>120</v>
      </c>
      <c r="C26">
        <v>25</v>
      </c>
      <c r="D26" t="s">
        <v>119</v>
      </c>
    </row>
    <row r="27" spans="2:4">
      <c r="B27" t="s">
        <v>121</v>
      </c>
      <c r="C27">
        <v>20</v>
      </c>
      <c r="D27" t="s">
        <v>119</v>
      </c>
    </row>
    <row r="29" spans="2:4">
      <c r="B29" t="s">
        <v>122</v>
      </c>
      <c r="C29" s="37">
        <v>200</v>
      </c>
    </row>
    <row r="30" spans="2:4">
      <c r="B30" t="s">
        <v>123</v>
      </c>
      <c r="C30" s="38">
        <v>0.05</v>
      </c>
    </row>
    <row r="32" spans="2:4">
      <c r="B32" t="s">
        <v>124</v>
      </c>
      <c r="C32">
        <v>28000</v>
      </c>
    </row>
    <row r="33" spans="1:4">
      <c r="B33" t="s">
        <v>125</v>
      </c>
      <c r="C33">
        <v>50000</v>
      </c>
    </row>
    <row r="37" spans="1:4">
      <c r="B37" t="s">
        <v>126</v>
      </c>
      <c r="C37" s="56">
        <f>+C29*12*(1-C20)/(C21-C30)*(1-(1+C30)^C26/(1+C21)^C26)</f>
        <v>30971.879101291695</v>
      </c>
      <c r="D37" t="s">
        <v>127</v>
      </c>
    </row>
    <row r="39" spans="1:4">
      <c r="B39" t="s">
        <v>15</v>
      </c>
      <c r="C39">
        <f>C32/C27</f>
        <v>1400</v>
      </c>
    </row>
    <row r="40" spans="1:4">
      <c r="B40" t="s">
        <v>128</v>
      </c>
      <c r="C40">
        <f>C39*C20</f>
        <v>210</v>
      </c>
    </row>
    <row r="41" spans="1:4">
      <c r="B41" t="s">
        <v>129</v>
      </c>
      <c r="C41" s="56">
        <f>C40/C21*(1-1/(1+C21)^C27)</f>
        <v>1916.9945905080435</v>
      </c>
      <c r="D41" t="s">
        <v>130</v>
      </c>
    </row>
    <row r="43" spans="1:4">
      <c r="A43" s="77">
        <v>1</v>
      </c>
      <c r="B43" s="77" t="s">
        <v>131</v>
      </c>
      <c r="C43" s="43">
        <f>C37+C41</f>
        <v>32888.873691799738</v>
      </c>
    </row>
    <row r="44" spans="1:4">
      <c r="A44" s="77"/>
    </row>
    <row r="45" spans="1:4">
      <c r="A45" s="77"/>
    </row>
    <row r="46" spans="1:4">
      <c r="A46" s="77"/>
      <c r="B46" t="s">
        <v>132</v>
      </c>
      <c r="C46" s="37">
        <f>C29*12</f>
        <v>2400</v>
      </c>
    </row>
    <row r="47" spans="1:4">
      <c r="A47" s="77"/>
      <c r="B47" t="s">
        <v>133</v>
      </c>
      <c r="C47" s="38">
        <f>C22</f>
        <v>0.08</v>
      </c>
    </row>
    <row r="48" spans="1:4">
      <c r="A48" s="77">
        <v>2</v>
      </c>
      <c r="B48" s="77" t="s">
        <v>134</v>
      </c>
      <c r="C48" s="43">
        <f>C46/C47</f>
        <v>30000</v>
      </c>
    </row>
    <row r="49" spans="1:3">
      <c r="A49" s="77"/>
    </row>
    <row r="50" spans="1:3">
      <c r="A50" s="77"/>
    </row>
    <row r="51" spans="1:3">
      <c r="A51" s="77">
        <v>3</v>
      </c>
      <c r="B51" s="42" t="s">
        <v>135</v>
      </c>
      <c r="C51" s="43">
        <f>+C33*(1+C23)^C25*C32/C33</f>
        <v>41606.527087393923</v>
      </c>
    </row>
    <row r="59" spans="1:3">
      <c r="B59" s="42"/>
      <c r="C59" s="43"/>
    </row>
    <row r="60" spans="1:3">
      <c r="B60" s="42"/>
      <c r="C60" s="43"/>
    </row>
    <row r="62" spans="1:3">
      <c r="B62" s="42"/>
      <c r="C62" s="43"/>
    </row>
    <row r="63" spans="1:3">
      <c r="B63" s="42"/>
      <c r="C63" s="43"/>
    </row>
    <row r="64" spans="1:3">
      <c r="B64" s="42"/>
      <c r="C64" s="4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7B94-CD1F-4364-9903-53CFB2227E96}">
  <sheetPr codeName="Munka1">
    <tabColor rgb="FFFFFF00"/>
  </sheetPr>
  <dimension ref="B1:K21"/>
  <sheetViews>
    <sheetView workbookViewId="0">
      <selection activeCell="I19" sqref="I19"/>
    </sheetView>
  </sheetViews>
  <sheetFormatPr defaultColWidth="8.796875" defaultRowHeight="15.6"/>
  <cols>
    <col min="2" max="2" width="19.796875" bestFit="1" customWidth="1"/>
    <col min="3" max="3" width="37.19921875" bestFit="1" customWidth="1"/>
  </cols>
  <sheetData>
    <row r="1" spans="2:3" ht="16.2" thickBot="1"/>
    <row r="2" spans="2:3" ht="18">
      <c r="B2" s="9" t="str">
        <f>+Admin!C12</f>
        <v>Date</v>
      </c>
      <c r="C2" s="35">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21" spans="11:11" ht="21">
      <c r="K21" s="3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F9109-2294-4339-96E1-62238F74142B}">
  <sheetPr>
    <tabColor rgb="FFFFFF00"/>
  </sheetPr>
  <dimension ref="B1:M33"/>
  <sheetViews>
    <sheetView workbookViewId="0"/>
  </sheetViews>
  <sheetFormatPr defaultColWidth="8.796875" defaultRowHeight="15.6"/>
  <cols>
    <col min="2" max="2" width="18.19921875" bestFit="1" customWidth="1"/>
    <col min="3" max="3" width="23.5" bestFit="1" customWidth="1"/>
    <col min="4" max="4" width="16.19921875" bestFit="1" customWidth="1"/>
    <col min="5" max="5" width="13" bestFit="1" customWidth="1"/>
    <col min="6" max="6" width="5.796875" bestFit="1" customWidth="1"/>
    <col min="7" max="7" width="7" bestFit="1" customWidth="1"/>
    <col min="8" max="8" width="11.296875" bestFit="1" customWidth="1"/>
    <col min="9" max="9" width="16.69921875" bestFit="1" customWidth="1"/>
    <col min="10" max="10" width="5.796875" bestFit="1" customWidth="1"/>
    <col min="11" max="11" width="6" bestFit="1" customWidth="1"/>
    <col min="12" max="12" width="7" bestFit="1" customWidth="1"/>
    <col min="14" max="14" width="7" bestFit="1" customWidth="1"/>
  </cols>
  <sheetData>
    <row r="1" spans="2:3" ht="16.2" thickBot="1"/>
    <row r="2" spans="2:3" ht="18">
      <c r="B2" s="9" t="str">
        <f>+Admin!C12</f>
        <v>Date</v>
      </c>
      <c r="C2" s="35">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18" spans="2:13">
      <c r="B18" t="s">
        <v>136</v>
      </c>
      <c r="C18" s="38">
        <v>0.03</v>
      </c>
    </row>
    <row r="19" spans="2:13">
      <c r="B19" t="s">
        <v>137</v>
      </c>
      <c r="C19" s="38">
        <v>0.06</v>
      </c>
    </row>
    <row r="21" spans="2:13">
      <c r="B21" s="29" t="s">
        <v>138</v>
      </c>
    </row>
    <row r="22" spans="2:13">
      <c r="B22" t="s">
        <v>88</v>
      </c>
      <c r="C22" s="30">
        <v>0.5</v>
      </c>
    </row>
    <row r="23" spans="2:13">
      <c r="B23" t="s">
        <v>89</v>
      </c>
      <c r="C23" s="30">
        <v>0.05</v>
      </c>
    </row>
    <row r="24" spans="2:13" ht="21">
      <c r="K24" s="32"/>
    </row>
    <row r="30" spans="2:13">
      <c r="C30" s="29" t="s">
        <v>139</v>
      </c>
      <c r="D30" s="29" t="s">
        <v>140</v>
      </c>
      <c r="E30" s="29" t="s">
        <v>141</v>
      </c>
      <c r="F30" s="29" t="s">
        <v>142</v>
      </c>
      <c r="G30" s="29" t="s">
        <v>90</v>
      </c>
      <c r="H30" s="29" t="s">
        <v>143</v>
      </c>
      <c r="I30" s="29" t="s">
        <v>144</v>
      </c>
      <c r="J30" s="29" t="s">
        <v>145</v>
      </c>
      <c r="K30" s="29" t="s">
        <v>89</v>
      </c>
      <c r="L30" s="29" t="s">
        <v>88</v>
      </c>
      <c r="M30" s="29"/>
    </row>
    <row r="31" spans="2:13">
      <c r="B31" s="29" t="s">
        <v>146</v>
      </c>
      <c r="C31" s="41">
        <v>10</v>
      </c>
      <c r="D31" s="41">
        <v>1000000</v>
      </c>
      <c r="E31" s="41"/>
      <c r="F31" s="38"/>
      <c r="G31" s="30">
        <v>0.11</v>
      </c>
      <c r="H31" s="41">
        <v>5000000</v>
      </c>
      <c r="J31" s="37">
        <v>0.2</v>
      </c>
      <c r="K31" s="30">
        <f>+J31*C19+C18</f>
        <v>4.1999999999999996E-2</v>
      </c>
      <c r="L31" s="44"/>
    </row>
    <row r="32" spans="2:13">
      <c r="B32" s="29" t="s">
        <v>147</v>
      </c>
      <c r="E32" s="41">
        <v>5000000</v>
      </c>
      <c r="F32" s="37">
        <v>1.4</v>
      </c>
      <c r="G32" s="30"/>
      <c r="I32" s="30">
        <v>2.8000000000000001E-2</v>
      </c>
      <c r="K32" s="30"/>
      <c r="L32" s="30">
        <v>0.4</v>
      </c>
    </row>
    <row r="33" spans="2:12">
      <c r="B33" s="29" t="s">
        <v>148</v>
      </c>
      <c r="F33" s="37">
        <v>1.2</v>
      </c>
      <c r="G33" s="30"/>
      <c r="J33">
        <v>0.15</v>
      </c>
      <c r="K33" s="30"/>
      <c r="L33" s="30">
        <v>0.2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OpeningPage</vt:lpstr>
      <vt:lpstr>Admin</vt:lpstr>
      <vt:lpstr>Task 1</vt:lpstr>
      <vt:lpstr>Task 2</vt:lpstr>
      <vt:lpstr>M&amp;A put in AYA</vt:lpstr>
      <vt:lpstr>Task 4</vt:lpstr>
      <vt:lpstr>Task 5</vt:lpstr>
      <vt:lpstr>Bonus Task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dc:creator>
  <cp:keywords/>
  <dc:description/>
  <cp:lastModifiedBy>Borja Figueroa Franco</cp:lastModifiedBy>
  <cp:revision/>
  <dcterms:created xsi:type="dcterms:W3CDTF">2014-05-14T18:27:14Z</dcterms:created>
  <dcterms:modified xsi:type="dcterms:W3CDTF">2024-12-10T12:58:46Z</dcterms:modified>
  <cp:category/>
  <cp:contentStatus/>
</cp:coreProperties>
</file>