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unka\!PUTanszek\!AppliedBusinessValuation\2022Fall\"/>
    </mc:Choice>
  </mc:AlternateContent>
  <xr:revisionPtr revIDLastSave="0" documentId="13_ncr:1_{FBDFA373-CB6D-4DA9-9C5F-086DE2DD9BC7}" xr6:coauthVersionLast="47" xr6:coauthVersionMax="47" xr10:uidLastSave="{00000000-0000-0000-0000-000000000000}"/>
  <workbookProtection workbookAlgorithmName="SHA-512" workbookHashValue="KuPWNnYYXhMsfH7Wb9fuxEXGvNpR3WkVAH1QGNsfwm6uSj5woD4dQi9NLE5I8LGdX4l5cGhRIb0LicqAB5MQbg==" workbookSaltValue="Ofze4t3ObarXPH8DjQH/WA==" workbookSpinCount="100000" lockStructure="1"/>
  <bookViews>
    <workbookView xWindow="-103" yWindow="-103" windowWidth="33120" windowHeight="18000" xr2:uid="{00000000-000D-0000-FFFF-FFFF00000000}"/>
  </bookViews>
  <sheets>
    <sheet name="OpeningPage" sheetId="5" r:id="rId1"/>
    <sheet name="Admin" sheetId="6" r:id="rId2"/>
    <sheet name="Task 1" sheetId="10" r:id="rId3"/>
    <sheet name="Task 2" sheetId="11" r:id="rId4"/>
    <sheet name="Task 3" sheetId="4" r:id="rId5"/>
    <sheet name="Task 4" sheetId="8" r:id="rId6"/>
    <sheet name="Task 5" sheetId="9" r:id="rId7"/>
  </sheets>
  <externalReferences>
    <externalReference r:id="rId8"/>
  </externalReferences>
  <definedNames>
    <definedName name="lista">OFFSET([1]DinamicValidation!$B$4,0,0,COUNTA([1]DinamicValidation!$B$4:$B$1048576),1)</definedName>
  </definedNames>
  <calcPr calcId="191029" iterateCount="10000" iterateDelta="1.0000000000000001E-1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0" i="6" l="1"/>
</calcChain>
</file>

<file path=xl/sharedStrings.xml><?xml version="1.0" encoding="utf-8"?>
<sst xmlns="http://schemas.openxmlformats.org/spreadsheetml/2006/main" count="254" uniqueCount="107">
  <si>
    <t>g</t>
  </si>
  <si>
    <t>TV</t>
  </si>
  <si>
    <t>RONIC</t>
  </si>
  <si>
    <t>K</t>
  </si>
  <si>
    <r>
      <t>r</t>
    </r>
    <r>
      <rPr>
        <vertAlign val="subscript"/>
        <sz val="12"/>
        <color rgb="FF000000"/>
        <rFont val="Times New Roman"/>
        <family val="1"/>
        <charset val="238"/>
      </rPr>
      <t>A</t>
    </r>
  </si>
  <si>
    <r>
      <t>r</t>
    </r>
    <r>
      <rPr>
        <vertAlign val="subscript"/>
        <sz val="12"/>
        <color rgb="FF000000"/>
        <rFont val="Times New Roman"/>
        <family val="1"/>
        <charset val="238"/>
      </rPr>
      <t>D</t>
    </r>
  </si>
  <si>
    <t>t</t>
  </si>
  <si>
    <t>ABCD1234</t>
  </si>
  <si>
    <t>rD</t>
  </si>
  <si>
    <t>ROIC</t>
  </si>
  <si>
    <t>dIC</t>
  </si>
  <si>
    <t>Master in Finance</t>
  </si>
  <si>
    <t>Master in Accounting</t>
  </si>
  <si>
    <t>Instructor</t>
  </si>
  <si>
    <t>Péter Juhász, PhD, CFA</t>
  </si>
  <si>
    <t>Date</t>
  </si>
  <si>
    <t>Sam Sample</t>
  </si>
  <si>
    <t>Total points achieved</t>
  </si>
  <si>
    <t>Neptun code</t>
  </si>
  <si>
    <t>Student name</t>
  </si>
  <si>
    <t>Study program</t>
  </si>
  <si>
    <t>IC boy</t>
  </si>
  <si>
    <t>Sales</t>
  </si>
  <si>
    <t>EBIT/Sales</t>
  </si>
  <si>
    <t>Corporate tax rate</t>
  </si>
  <si>
    <t>t (effective)</t>
  </si>
  <si>
    <t>g TV period</t>
  </si>
  <si>
    <t>Other income</t>
  </si>
  <si>
    <t>Material expenses</t>
  </si>
  <si>
    <t>Labour expenses</t>
  </si>
  <si>
    <t>D&amp;A</t>
  </si>
  <si>
    <t>EBIT</t>
  </si>
  <si>
    <t>Dividend received</t>
  </si>
  <si>
    <t>Interests received</t>
  </si>
  <si>
    <t>Interests paid</t>
  </si>
  <si>
    <t>Financial profit</t>
  </si>
  <si>
    <t>Profit before tax</t>
  </si>
  <si>
    <t>Corporate tax</t>
  </si>
  <si>
    <t>Profit after tax</t>
  </si>
  <si>
    <t>Dividend</t>
  </si>
  <si>
    <t>Retained earnings</t>
  </si>
  <si>
    <t>Cash</t>
  </si>
  <si>
    <t>Receivables</t>
  </si>
  <si>
    <t>Inventory</t>
  </si>
  <si>
    <t>Current assets</t>
  </si>
  <si>
    <t>Invested assets</t>
  </si>
  <si>
    <t>Total of Liabilities and Equity</t>
  </si>
  <si>
    <t>Equity</t>
  </si>
  <si>
    <t>Long term debt</t>
  </si>
  <si>
    <t>Short term liabilities</t>
  </si>
  <si>
    <t>Payables</t>
  </si>
  <si>
    <t>Short term loans</t>
  </si>
  <si>
    <t>Total of assests</t>
  </si>
  <si>
    <t>D/IC boy</t>
  </si>
  <si>
    <t>D/V boy</t>
  </si>
  <si>
    <t>Other expeneses</t>
  </si>
  <si>
    <t>of which interest on liquidity debt</t>
  </si>
  <si>
    <t>Marketable securities</t>
  </si>
  <si>
    <t>Points achieved:</t>
  </si>
  <si>
    <t>growth of Sales</t>
  </si>
  <si>
    <t>of 50</t>
  </si>
  <si>
    <t>2 November 2022</t>
  </si>
  <si>
    <t>of which non-operational cash</t>
  </si>
  <si>
    <t>of which financing debt</t>
  </si>
  <si>
    <t>TV1</t>
  </si>
  <si>
    <t>TV2</t>
  </si>
  <si>
    <t>NOPLAT</t>
  </si>
  <si>
    <t>FCFF</t>
  </si>
  <si>
    <t>IC</t>
  </si>
  <si>
    <t>D</t>
  </si>
  <si>
    <t>D*rD</t>
  </si>
  <si>
    <t>PBT</t>
  </si>
  <si>
    <t>PAT</t>
  </si>
  <si>
    <t>tax</t>
  </si>
  <si>
    <t>D*rD*t</t>
  </si>
  <si>
    <t>dD</t>
  </si>
  <si>
    <t>D boy</t>
  </si>
  <si>
    <t>BV E boy</t>
  </si>
  <si>
    <t>Noplat</t>
  </si>
  <si>
    <t>FCFE</t>
  </si>
  <si>
    <t>Tax</t>
  </si>
  <si>
    <t>WACC</t>
  </si>
  <si>
    <t>V boy</t>
  </si>
  <si>
    <t>FCFF+TS</t>
  </si>
  <si>
    <t>rE</t>
  </si>
  <si>
    <t>E boy</t>
  </si>
  <si>
    <t>Stake</t>
  </si>
  <si>
    <t>dOP cash</t>
  </si>
  <si>
    <t>dRec</t>
  </si>
  <si>
    <t>dInv</t>
  </si>
  <si>
    <t>dLiqu debt</t>
  </si>
  <si>
    <t>dPay</t>
  </si>
  <si>
    <t>Liquidity debt</t>
  </si>
  <si>
    <t>OP CF</t>
  </si>
  <si>
    <t>dInv A</t>
  </si>
  <si>
    <t>Inv CF</t>
  </si>
  <si>
    <t>Tax on inv rec</t>
  </si>
  <si>
    <t>Liq debt int</t>
  </si>
  <si>
    <t>EBIT*</t>
  </si>
  <si>
    <t>Other int</t>
  </si>
  <si>
    <t>Taxshield</t>
  </si>
  <si>
    <t>dBV E-Ret ear</t>
  </si>
  <si>
    <t>dNon-op wealth</t>
  </si>
  <si>
    <t>Non op wealth</t>
  </si>
  <si>
    <t>rA</t>
  </si>
  <si>
    <t>Applied Business Valuation</t>
  </si>
  <si>
    <t>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</si>
</sst>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@"/>
    <numFmt numFmtId="165" formatCode="dd\ mmmm\ yyyy"/>
  </numFmts>
  <fonts count="17" x14ac:knownFonts="1">
    <font>
      <sz val="12"/>
      <color theme="1"/>
      <name val="Times New Roman"/>
      <family val="2"/>
      <charset val="238"/>
    </font>
    <font>
      <sz val="12"/>
      <color theme="1"/>
      <name val="Times New Roman"/>
      <family val="2"/>
      <charset val="238"/>
    </font>
    <font>
      <b/>
      <sz val="12"/>
      <color rgb="FF000000"/>
      <name val="Times New Roman"/>
      <family val="1"/>
      <charset val="238"/>
    </font>
    <font>
      <sz val="12"/>
      <color rgb="FF00000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vertAlign val="subscript"/>
      <sz val="12"/>
      <color rgb="FF000000"/>
      <name val="Times New Roman"/>
      <family val="1"/>
      <charset val="238"/>
    </font>
    <font>
      <sz val="18"/>
      <color theme="1"/>
      <name val="Times New Roman"/>
      <family val="2"/>
      <charset val="238"/>
    </font>
    <font>
      <b/>
      <sz val="18"/>
      <color theme="1"/>
      <name val="Times New Roman"/>
      <family val="1"/>
      <charset val="238"/>
    </font>
    <font>
      <sz val="8"/>
      <name val="Times New Roman"/>
      <family val="2"/>
      <charset val="238"/>
    </font>
    <font>
      <b/>
      <sz val="28"/>
      <color theme="1"/>
      <name val="Times New Roman"/>
      <family val="1"/>
      <charset val="238"/>
    </font>
    <font>
      <sz val="14"/>
      <color theme="1"/>
      <name val="Times New Roman"/>
      <family val="2"/>
      <charset val="238"/>
    </font>
    <font>
      <b/>
      <sz val="14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i/>
      <sz val="12"/>
      <color rgb="FF000000"/>
      <name val="Times New Roman"/>
      <family val="1"/>
      <charset val="238"/>
    </font>
    <font>
      <sz val="12"/>
      <color theme="0"/>
      <name val="Times New Roman"/>
      <family val="2"/>
      <charset val="238"/>
    </font>
    <font>
      <sz val="16"/>
      <color rgb="FF000000"/>
      <name val="Times New Roman"/>
      <family val="1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10" fontId="0" fillId="0" borderId="0" xfId="1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0" fontId="3" fillId="0" borderId="0" xfId="0" applyNumberFormat="1" applyFont="1" applyAlignment="1">
      <alignment horizontal="right" vertic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Protection="1">
      <protection hidden="1"/>
    </xf>
    <xf numFmtId="0" fontId="7" fillId="2" borderId="5" xfId="0" applyFont="1" applyFill="1" applyBorder="1" applyProtection="1">
      <protection hidden="1"/>
    </xf>
    <xf numFmtId="0" fontId="10" fillId="4" borderId="6" xfId="0" applyFont="1" applyFill="1" applyBorder="1"/>
    <xf numFmtId="0" fontId="10" fillId="4" borderId="8" xfId="0" applyFont="1" applyFill="1" applyBorder="1"/>
    <xf numFmtId="164" fontId="11" fillId="4" borderId="9" xfId="0" applyNumberFormat="1" applyFont="1" applyFill="1" applyBorder="1" applyAlignment="1">
      <alignment horizontal="center"/>
    </xf>
    <xf numFmtId="0" fontId="10" fillId="4" borderId="9" xfId="0" applyFont="1" applyFill="1" applyBorder="1"/>
    <xf numFmtId="0" fontId="10" fillId="4" borderId="10" xfId="0" applyFont="1" applyFill="1" applyBorder="1"/>
    <xf numFmtId="0" fontId="10" fillId="4" borderId="4" xfId="0" applyFont="1" applyFill="1" applyBorder="1"/>
    <xf numFmtId="0" fontId="11" fillId="4" borderId="7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7" fillId="3" borderId="5" xfId="0" applyFont="1" applyFill="1" applyBorder="1" applyAlignment="1" applyProtection="1">
      <alignment horizontal="center"/>
      <protection locked="0"/>
    </xf>
    <xf numFmtId="0" fontId="13" fillId="0" borderId="0" xfId="0" applyFont="1"/>
    <xf numFmtId="4" fontId="13" fillId="0" borderId="0" xfId="0" applyNumberFormat="1" applyFont="1"/>
    <xf numFmtId="0" fontId="4" fillId="0" borderId="0" xfId="0" applyFont="1" applyAlignment="1">
      <alignment horizontal="center"/>
    </xf>
    <xf numFmtId="10" fontId="0" fillId="0" borderId="0" xfId="0" applyNumberFormat="1"/>
    <xf numFmtId="4" fontId="0" fillId="0" borderId="0" xfId="0" applyNumberFormat="1"/>
    <xf numFmtId="0" fontId="4" fillId="4" borderId="5" xfId="0" applyFont="1" applyFill="1" applyBorder="1"/>
    <xf numFmtId="0" fontId="15" fillId="0" borderId="0" xfId="0" applyFont="1"/>
    <xf numFmtId="0" fontId="16" fillId="0" borderId="0" xfId="0" applyFont="1"/>
    <xf numFmtId="0" fontId="7" fillId="0" borderId="0" xfId="0" applyFont="1" applyAlignment="1" applyProtection="1">
      <alignment horizontal="center"/>
      <protection hidden="1"/>
    </xf>
    <xf numFmtId="0" fontId="4" fillId="0" borderId="5" xfId="0" applyFont="1" applyBorder="1"/>
    <xf numFmtId="165" fontId="7" fillId="0" borderId="0" xfId="0" quotePrefix="1" applyNumberFormat="1" applyFont="1" applyAlignment="1">
      <alignment horizontal="center"/>
    </xf>
    <xf numFmtId="0" fontId="4" fillId="0" borderId="0" xfId="0" applyFont="1"/>
    <xf numFmtId="10" fontId="4" fillId="5" borderId="5" xfId="1" applyNumberFormat="1" applyFont="1" applyFill="1" applyBorder="1"/>
    <xf numFmtId="10" fontId="13" fillId="0" borderId="0" xfId="0" applyNumberFormat="1" applyFont="1"/>
    <xf numFmtId="10" fontId="0" fillId="2" borderId="0" xfId="1" applyNumberFormat="1" applyFont="1" applyFill="1"/>
    <xf numFmtId="10" fontId="3" fillId="6" borderId="0" xfId="0" applyNumberFormat="1" applyFont="1" applyFill="1" applyAlignment="1">
      <alignment horizontal="right" vertical="center"/>
    </xf>
    <xf numFmtId="4" fontId="4" fillId="0" borderId="0" xfId="0" applyNumberFormat="1" applyFont="1"/>
    <xf numFmtId="10" fontId="4" fillId="0" borderId="0" xfId="1" applyNumberFormat="1" applyFont="1"/>
    <xf numFmtId="0" fontId="13" fillId="0" borderId="0" xfId="0" applyFont="1" applyAlignment="1">
      <alignment horizontal="left" vertical="center"/>
    </xf>
    <xf numFmtId="0" fontId="13" fillId="4" borderId="3" xfId="0" applyFont="1" applyFill="1" applyBorder="1" applyAlignment="1">
      <alignment horizontal="left" vertical="center"/>
    </xf>
    <xf numFmtId="4" fontId="3" fillId="4" borderId="4" xfId="0" applyNumberFormat="1" applyFont="1" applyFill="1" applyBorder="1" applyAlignment="1">
      <alignment horizontal="right" vertical="center"/>
    </xf>
    <xf numFmtId="4" fontId="13" fillId="0" borderId="0" xfId="0" applyNumberFormat="1" applyFont="1" applyAlignment="1">
      <alignment horizontal="left" vertical="center"/>
    </xf>
    <xf numFmtId="4" fontId="1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/>
    <xf numFmtId="4" fontId="4" fillId="2" borderId="0" xfId="0" applyNumberFormat="1" applyFont="1" applyFill="1"/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0" fillId="4" borderId="0" xfId="0" applyFill="1"/>
    <xf numFmtId="4" fontId="0" fillId="4" borderId="0" xfId="0" applyNumberFormat="1" applyFill="1"/>
    <xf numFmtId="0" fontId="4" fillId="4" borderId="0" xfId="0" applyFont="1" applyFill="1" applyAlignment="1">
      <alignment horizontal="center"/>
    </xf>
    <xf numFmtId="10" fontId="0" fillId="4" borderId="0" xfId="1" applyNumberFormat="1" applyFont="1" applyFill="1"/>
    <xf numFmtId="10" fontId="0" fillId="4" borderId="0" xfId="0" applyNumberFormat="1" applyFill="1"/>
    <xf numFmtId="0" fontId="3" fillId="4" borderId="0" xfId="0" applyFont="1" applyFill="1" applyAlignment="1">
      <alignment horizontal="left" vertical="center"/>
    </xf>
    <xf numFmtId="10" fontId="3" fillId="4" borderId="0" xfId="0" applyNumberFormat="1" applyFont="1" applyFill="1" applyAlignment="1">
      <alignment horizontal="right" vertical="center"/>
    </xf>
    <xf numFmtId="0" fontId="13" fillId="4" borderId="0" xfId="0" applyFont="1" applyFill="1"/>
    <xf numFmtId="4" fontId="13" fillId="4" borderId="0" xfId="0" applyNumberFormat="1" applyFont="1" applyFill="1"/>
    <xf numFmtId="0" fontId="13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/>
    </xf>
    <xf numFmtId="4" fontId="14" fillId="4" borderId="4" xfId="0" applyNumberFormat="1" applyFont="1" applyFill="1" applyBorder="1" applyAlignment="1">
      <alignment horizontal="right" vertical="center"/>
    </xf>
    <xf numFmtId="4" fontId="2" fillId="4" borderId="4" xfId="0" applyNumberFormat="1" applyFont="1" applyFill="1" applyBorder="1" applyAlignment="1">
      <alignment horizontal="right" vertical="center"/>
    </xf>
    <xf numFmtId="0" fontId="13" fillId="4" borderId="5" xfId="0" applyFont="1" applyFill="1" applyBorder="1" applyAlignment="1">
      <alignment horizontal="left" vertical="center"/>
    </xf>
    <xf numFmtId="4" fontId="3" fillId="4" borderId="5" xfId="0" applyNumberFormat="1" applyFont="1" applyFill="1" applyBorder="1" applyAlignment="1">
      <alignment horizontal="right" vertical="center"/>
    </xf>
    <xf numFmtId="0" fontId="13" fillId="0" borderId="3" xfId="0" applyFont="1" applyFill="1" applyBorder="1" applyAlignment="1">
      <alignment horizontal="left" vertical="center"/>
    </xf>
    <xf numFmtId="4" fontId="3" fillId="0" borderId="4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0" fontId="3" fillId="7" borderId="0" xfId="0" applyNumberFormat="1" applyFont="1" applyFill="1" applyAlignment="1">
      <alignment horizontal="right" vertical="center"/>
    </xf>
    <xf numFmtId="0" fontId="0" fillId="7" borderId="0" xfId="0" applyFill="1"/>
    <xf numFmtId="0" fontId="13" fillId="7" borderId="0" xfId="0" applyFont="1" applyFill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542924</xdr:colOff>
      <xdr:row>31</xdr:row>
      <xdr:rowOff>81642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3083267" cy="61558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hu-HU" sz="1000"/>
        </a:p>
        <a:p>
          <a:pPr algn="ctr"/>
          <a:endParaRPr lang="en-US" sz="1000"/>
        </a:p>
        <a:p>
          <a:pPr algn="ctr"/>
          <a:r>
            <a:rPr lang="hu-HU" sz="8000" b="1">
              <a:solidFill>
                <a:srgbClr val="7030A0"/>
              </a:solidFill>
            </a:rPr>
            <a:t>Applied Business Valuation</a:t>
          </a:r>
        </a:p>
        <a:p>
          <a:pPr algn="ctr"/>
          <a:r>
            <a:rPr lang="hu-HU" sz="5000"/>
            <a:t>Sample Final Exam with Solutions</a:t>
          </a:r>
        </a:p>
        <a:p>
          <a:pPr algn="ctr"/>
          <a:endParaRPr lang="hu-HU" sz="5000"/>
        </a:p>
        <a:p>
          <a:pPr algn="ctr"/>
          <a:r>
            <a:rPr lang="hu-HU" sz="5000" baseline="0">
              <a:solidFill>
                <a:schemeClr val="dk1"/>
              </a:solidFill>
              <a:latin typeface="+mn-lt"/>
              <a:ea typeface="+mn-ea"/>
              <a:cs typeface="+mn-cs"/>
            </a:rPr>
            <a:t>Péter Juhász, PhD</a:t>
          </a:r>
          <a:r>
            <a:rPr lang="hu-HU" sz="5000" baseline="0"/>
            <a:t>, CFA</a:t>
          </a:r>
        </a:p>
        <a:p>
          <a:pPr algn="ctr"/>
          <a:r>
            <a:rPr lang="hu-HU" sz="3000" baseline="0"/>
            <a:t>peter.juhasz@uni-corvinus.hu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</xdr:row>
      <xdr:rowOff>66675</xdr:rowOff>
    </xdr:from>
    <xdr:to>
      <xdr:col>4</xdr:col>
      <xdr:colOff>400050</xdr:colOff>
      <xdr:row>6</xdr:row>
      <xdr:rowOff>161925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F71381D2-780C-4D85-97BE-37A5C5327D27}"/>
            </a:ext>
          </a:extLst>
        </xdr:cNvPr>
        <xdr:cNvSpPr txBox="1"/>
      </xdr:nvSpPr>
      <xdr:spPr>
        <a:xfrm>
          <a:off x="1162050" y="266700"/>
          <a:ext cx="5629275" cy="1095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Kindly</a:t>
          </a:r>
          <a:r>
            <a:rPr lang="hu-HU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save this file renaming it following the pattern below. Please hand in the file only after named properly.</a:t>
          </a:r>
        </a:p>
        <a:p>
          <a:pPr algn="ctr"/>
          <a:endParaRPr lang="hu-HU" sz="1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hu-HU" sz="1600" b="1" baseline="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ABVFinalExam_FamilyName_GivenName.xlsx</a:t>
          </a:r>
          <a:endParaRPr lang="hu-HU" sz="1600" b="1">
            <a:solidFill>
              <a:srgbClr val="7030A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15</xdr:row>
      <xdr:rowOff>38100</xdr:rowOff>
    </xdr:from>
    <xdr:to>
      <xdr:col>7</xdr:col>
      <xdr:colOff>114300</xdr:colOff>
      <xdr:row>20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95324" y="2362200"/>
          <a:ext cx="7200901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1</a:t>
          </a:r>
        </a:p>
        <a:p>
          <a:pPr algn="l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financial statements (Balance sheet, P/L, Business cash flow) of the firm using the data given and fill in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the numbers missing in the table.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1</xdr:colOff>
      <xdr:row>10</xdr:row>
      <xdr:rowOff>9525</xdr:rowOff>
    </xdr:from>
    <xdr:to>
      <xdr:col>7</xdr:col>
      <xdr:colOff>142876</xdr:colOff>
      <xdr:row>14</xdr:row>
      <xdr:rowOff>152400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685801" y="2333625"/>
          <a:ext cx="72390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600">
              <a:latin typeface="Times New Roman" panose="02020603050405020304" pitchFamily="18" charset="0"/>
              <a:cs typeface="Times New Roman" panose="02020603050405020304" pitchFamily="18" charset="0"/>
            </a:rPr>
            <a:t>Notes of</a:t>
          </a:r>
          <a:r>
            <a:rPr lang="hu-H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reviewer.</a:t>
          </a:r>
          <a:endParaRPr lang="hu-H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9524</xdr:colOff>
      <xdr:row>15</xdr:row>
      <xdr:rowOff>38100</xdr:rowOff>
    </xdr:from>
    <xdr:to>
      <xdr:col>7</xdr:col>
      <xdr:colOff>114300</xdr:colOff>
      <xdr:row>20</xdr:row>
      <xdr:rowOff>114300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68DE6F53-46CC-4C3D-A14B-BA389E5EFFAE}"/>
            </a:ext>
          </a:extLst>
        </xdr:cNvPr>
        <xdr:cNvSpPr txBox="1"/>
      </xdr:nvSpPr>
      <xdr:spPr>
        <a:xfrm>
          <a:off x="705001" y="3237290"/>
          <a:ext cx="7234918" cy="1043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1</a:t>
          </a:r>
        </a:p>
        <a:p>
          <a:pPr algn="l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financial statements (Balance sheet, P/L, Business cash flow) of the firm using the data given and fill in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the numbers missing in the table.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1</xdr:colOff>
      <xdr:row>10</xdr:row>
      <xdr:rowOff>9525</xdr:rowOff>
    </xdr:from>
    <xdr:to>
      <xdr:col>7</xdr:col>
      <xdr:colOff>142876</xdr:colOff>
      <xdr:row>14</xdr:row>
      <xdr:rowOff>152400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E9842DD4-F967-4C06-8912-1713F5B8CAD0}"/>
            </a:ext>
          </a:extLst>
        </xdr:cNvPr>
        <xdr:cNvSpPr txBox="1"/>
      </xdr:nvSpPr>
      <xdr:spPr>
        <a:xfrm>
          <a:off x="695478" y="2241096"/>
          <a:ext cx="7273017" cy="9169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600">
              <a:latin typeface="Times New Roman" panose="02020603050405020304" pitchFamily="18" charset="0"/>
              <a:cs typeface="Times New Roman" panose="02020603050405020304" pitchFamily="18" charset="0"/>
            </a:rPr>
            <a:t>Notes of</a:t>
          </a:r>
          <a:r>
            <a:rPr lang="hu-H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the reviewer.</a:t>
          </a:r>
          <a:endParaRPr lang="hu-HU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15</xdr:row>
      <xdr:rowOff>38100</xdr:rowOff>
    </xdr:from>
    <xdr:to>
      <xdr:col>9</xdr:col>
      <xdr:colOff>295274</xdr:colOff>
      <xdr:row>22</xdr:row>
      <xdr:rowOff>47625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95323" y="3362325"/>
          <a:ext cx="7219951" cy="140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2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You find the key numbers of a financial plan below. Determine the value of the firm using at least three different DCF methods for the start of 2023 assuming that projects will not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create any added value during the terminal value period.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9</xdr:col>
      <xdr:colOff>304800</xdr:colOff>
      <xdr:row>14</xdr:row>
      <xdr:rowOff>142875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685800" y="2324100"/>
          <a:ext cx="723900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Notes of the reviewer.</a:t>
          </a:r>
        </a:p>
      </xdr:txBody>
    </xdr:sp>
    <xdr:clientData/>
  </xdr:twoCellAnchor>
  <xdr:twoCellAnchor>
    <xdr:from>
      <xdr:col>1</xdr:col>
      <xdr:colOff>9523</xdr:colOff>
      <xdr:row>15</xdr:row>
      <xdr:rowOff>38100</xdr:rowOff>
    </xdr:from>
    <xdr:to>
      <xdr:col>9</xdr:col>
      <xdr:colOff>295274</xdr:colOff>
      <xdr:row>22</xdr:row>
      <xdr:rowOff>47625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853AE069-0C5D-44DE-B571-89CEE166F805}"/>
            </a:ext>
          </a:extLst>
        </xdr:cNvPr>
        <xdr:cNvSpPr txBox="1"/>
      </xdr:nvSpPr>
      <xdr:spPr>
        <a:xfrm>
          <a:off x="706209" y="3249386"/>
          <a:ext cx="8341179" cy="1381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2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You find the key numbers of a financial plan below. Determine the value of the firm using at least three different DCF methods for the start of 2023 assuming that projects will not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create any added value during the terminal value period.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9</xdr:col>
      <xdr:colOff>304800</xdr:colOff>
      <xdr:row>14</xdr:row>
      <xdr:rowOff>142875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EB196C10-07F3-4750-B9B7-7A788F3FF24F}"/>
            </a:ext>
          </a:extLst>
        </xdr:cNvPr>
        <xdr:cNvSpPr txBox="1"/>
      </xdr:nvSpPr>
      <xdr:spPr>
        <a:xfrm>
          <a:off x="696686" y="2231571"/>
          <a:ext cx="8360228" cy="926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hu-HU" sz="1400" b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Notes of the reviewer.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95324" y="2362200"/>
          <a:ext cx="7372351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3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historical business cash flow of the firm for 2020 and 2021 based on the data provided. 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Indicate any assumptions you made.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8</xdr:col>
      <xdr:colOff>9524</xdr:colOff>
      <xdr:row>17</xdr:row>
      <xdr:rowOff>19050</xdr:rowOff>
    </xdr:from>
    <xdr:to>
      <xdr:col>18</xdr:col>
      <xdr:colOff>523875</xdr:colOff>
      <xdr:row>40</xdr:row>
      <xdr:rowOff>47625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BFDAC5A9-4707-436A-B503-673577B23A49}"/>
            </a:ext>
          </a:extLst>
        </xdr:cNvPr>
        <xdr:cNvSpPr txBox="1"/>
      </xdr:nvSpPr>
      <xdr:spPr>
        <a:xfrm>
          <a:off x="8477249" y="3752850"/>
          <a:ext cx="7372351" cy="3800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List your assumptions here.</a:t>
          </a:r>
        </a:p>
      </xdr:txBody>
    </xdr:sp>
    <xdr:clientData/>
  </xdr:twoCellAnchor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E775015D-08D6-4992-95C7-36E6C83A43D5}"/>
            </a:ext>
          </a:extLst>
        </xdr:cNvPr>
        <xdr:cNvSpPr txBox="1"/>
      </xdr:nvSpPr>
      <xdr:spPr>
        <a:xfrm>
          <a:off x="706210" y="2269671"/>
          <a:ext cx="7411811" cy="105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Taks 3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Prepare the historical business cash flow of the firm for 2020 and 2021 based on the data provided. 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Indicate any assumptions you made.</a:t>
          </a:r>
          <a:b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8</xdr:col>
      <xdr:colOff>9524</xdr:colOff>
      <xdr:row>17</xdr:row>
      <xdr:rowOff>19050</xdr:rowOff>
    </xdr:from>
    <xdr:to>
      <xdr:col>18</xdr:col>
      <xdr:colOff>523875</xdr:colOff>
      <xdr:row>40</xdr:row>
      <xdr:rowOff>47625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38984E64-58E2-4D2D-93D3-528A70F8C9FE}"/>
            </a:ext>
          </a:extLst>
        </xdr:cNvPr>
        <xdr:cNvSpPr txBox="1"/>
      </xdr:nvSpPr>
      <xdr:spPr>
        <a:xfrm>
          <a:off x="8538481" y="3627664"/>
          <a:ext cx="7481208" cy="46550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List your assumptions here.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9</xdr:row>
      <xdr:rowOff>114300</xdr:rowOff>
    </xdr:from>
    <xdr:to>
      <xdr:col>9</xdr:col>
      <xdr:colOff>674914</xdr:colOff>
      <xdr:row>17</xdr:row>
      <xdr:rowOff>114299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06210" y="2149929"/>
          <a:ext cx="7594147" cy="15675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Below you find the details of the financial plan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of  a 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newly founded 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firm. What is the maximum you would pay for a technology increasing the RONIC for each year of the explicit period by 1 percentage point? The technology will have no effect afterwards and is to be paid for at the beginning of 2023.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 (Neglect any D&amp;A effect of the purchase.) Assume that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new projects will not generate any added value during the TV period. What percentage of ownership would you offer instead of a cash payment?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9524</xdr:colOff>
      <xdr:row>9</xdr:row>
      <xdr:rowOff>114300</xdr:rowOff>
    </xdr:from>
    <xdr:to>
      <xdr:col>9</xdr:col>
      <xdr:colOff>674914</xdr:colOff>
      <xdr:row>17</xdr:row>
      <xdr:rowOff>114299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51F944F3-B6F2-4960-96A7-4080B3ED41E0}"/>
            </a:ext>
          </a:extLst>
        </xdr:cNvPr>
        <xdr:cNvSpPr txBox="1"/>
      </xdr:nvSpPr>
      <xdr:spPr>
        <a:xfrm>
          <a:off x="706210" y="2149929"/>
          <a:ext cx="7414532" cy="15675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 4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Below you find the details of the financial plan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of  a 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newly founded 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firm. What is the maximum you would pay for a technology increasing the RONIC for each year of the explicit period by 1 percentage point? The technology will have no effect afterwards and is to be paid for at the beginning of 2023.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 (Neglect any D&amp;A effect of the purchase.) Assume that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new projects will not generate any added value during the TV period. What percentage of ownership would you offer instead of a cash payment?</a:t>
          </a:r>
        </a:p>
        <a:p>
          <a:pPr algn="just"/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695324" y="2362200"/>
          <a:ext cx="7372351" cy="1076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5</a:t>
          </a:r>
          <a:endParaRPr lang="hu-H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What would you check and why if you had the job to review a DCF valuation prepared by someone else?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9525</xdr:colOff>
      <xdr:row>16</xdr:row>
      <xdr:rowOff>9523</xdr:rowOff>
    </xdr:from>
    <xdr:to>
      <xdr:col>7</xdr:col>
      <xdr:colOff>285751</xdr:colOff>
      <xdr:row>35</xdr:row>
      <xdr:rowOff>48985</xdr:rowOff>
    </xdr:to>
    <xdr:sp macro="" textlink="">
      <xdr:nvSpPr>
        <xdr:cNvPr id="4" name="Szövegdoboz 3">
          <a:extLst>
            <a:ext uri="{FF2B5EF4-FFF2-40B4-BE49-F238E27FC236}">
              <a16:creationId xmlns:a16="http://schemas.microsoft.com/office/drawing/2014/main" id="{B2457B3A-23F9-459B-B509-8C0E2E7D7599}"/>
            </a:ext>
          </a:extLst>
        </xdr:cNvPr>
        <xdr:cNvSpPr txBox="1"/>
      </xdr:nvSpPr>
      <xdr:spPr>
        <a:xfrm>
          <a:off x="706211" y="3416752"/>
          <a:ext cx="7411811" cy="38222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Historical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statements corrected?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line with historical performance?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live with market and industry outlook?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All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earlier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decisions on the future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included?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Plan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CF mathing rules respected?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Yield curve correctly used?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Market risk premium realictic?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Industry beta well chosen?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RONIC &lt;&gt; WACC?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Smooth transition into TV (no huge changes in RONIC, ROIC, D/V, g)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K=g/RONIC?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g, r and CF all nominal?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Explicit period long enough?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D/V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rD-rf in line with D/V and local market standards?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All DCF methods lead to the same result?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Any calculation (discounting) mistakes?</a:t>
          </a:r>
        </a:p>
      </xdr:txBody>
    </xdr:sp>
    <xdr:clientData/>
  </xdr:twoCellAnchor>
  <xdr:twoCellAnchor>
    <xdr:from>
      <xdr:col>1</xdr:col>
      <xdr:colOff>9524</xdr:colOff>
      <xdr:row>10</xdr:row>
      <xdr:rowOff>38100</xdr:rowOff>
    </xdr:from>
    <xdr:to>
      <xdr:col>7</xdr:col>
      <xdr:colOff>285750</xdr:colOff>
      <xdr:row>15</xdr:row>
      <xdr:rowOff>114300</xdr:rowOff>
    </xdr:to>
    <xdr:sp macro="" textlink="">
      <xdr:nvSpPr>
        <xdr:cNvPr id="3" name="Szövegdoboz 2">
          <a:extLst>
            <a:ext uri="{FF2B5EF4-FFF2-40B4-BE49-F238E27FC236}">
              <a16:creationId xmlns:a16="http://schemas.microsoft.com/office/drawing/2014/main" id="{B139666F-C614-410B-B48D-87E5A0870BC7}"/>
            </a:ext>
          </a:extLst>
        </xdr:cNvPr>
        <xdr:cNvSpPr txBox="1"/>
      </xdr:nvSpPr>
      <xdr:spPr>
        <a:xfrm>
          <a:off x="706210" y="2269671"/>
          <a:ext cx="7411811" cy="105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1">
              <a:latin typeface="Times New Roman" panose="02020603050405020304" pitchFamily="18" charset="0"/>
              <a:cs typeface="Times New Roman" panose="02020603050405020304" pitchFamily="18" charset="0"/>
            </a:rPr>
            <a:t>Task</a:t>
          </a:r>
          <a:r>
            <a:rPr lang="hu-HU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5</a:t>
          </a:r>
          <a:endParaRPr lang="hu-H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What would you check and why if you had the job to review a DCF valuation prepared by someone else?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(10 points)</a:t>
          </a:r>
        </a:p>
      </xdr:txBody>
    </xdr:sp>
    <xdr:clientData/>
  </xdr:twoCellAnchor>
  <xdr:twoCellAnchor>
    <xdr:from>
      <xdr:col>1</xdr:col>
      <xdr:colOff>9525</xdr:colOff>
      <xdr:row>16</xdr:row>
      <xdr:rowOff>9523</xdr:rowOff>
    </xdr:from>
    <xdr:to>
      <xdr:col>7</xdr:col>
      <xdr:colOff>285751</xdr:colOff>
      <xdr:row>35</xdr:row>
      <xdr:rowOff>48985</xdr:rowOff>
    </xdr:to>
    <xdr:sp macro="" textlink="">
      <xdr:nvSpPr>
        <xdr:cNvPr id="5" name="Szövegdoboz 4">
          <a:extLst>
            <a:ext uri="{FF2B5EF4-FFF2-40B4-BE49-F238E27FC236}">
              <a16:creationId xmlns:a16="http://schemas.microsoft.com/office/drawing/2014/main" id="{76857CC6-2BA7-466D-BCCF-E37BA0F1E5E4}"/>
            </a:ext>
          </a:extLst>
        </xdr:cNvPr>
        <xdr:cNvSpPr txBox="1"/>
      </xdr:nvSpPr>
      <xdr:spPr>
        <a:xfrm>
          <a:off x="706211" y="3416752"/>
          <a:ext cx="7411811" cy="38222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Historical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statements corrected?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line with historical performance?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Predictions in live with market and industry outlook?</a:t>
          </a:r>
        </a:p>
        <a:p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All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earlier </a:t>
          </a:r>
          <a:r>
            <a:rPr lang="hu-HU" sz="1400" b="0">
              <a:latin typeface="Times New Roman" panose="02020603050405020304" pitchFamily="18" charset="0"/>
              <a:cs typeface="Times New Roman" panose="02020603050405020304" pitchFamily="18" charset="0"/>
            </a:rPr>
            <a:t>decisions on the future</a:t>
          </a:r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included?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Plan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CF mathing rules respected?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Yield curve correctly used?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Market risk premium realictic?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Industry beta well chosen?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RONIC &lt;&gt; WACC?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Smooth transition into TV (no huge changes in RONIC, ROIC, D/V, g)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TV K=g/RONIC?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g, r and CF all nominal?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Explicit period long enough?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D/V realistic?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rD-rf in line with D/V and local market standards?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All DCF methods lead to the same result?</a:t>
          </a:r>
        </a:p>
        <a:p>
          <a:r>
            <a:rPr lang="hu-HU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Any calculation (discounting) mistakes?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nka/!!ExcelTr&#233;ningLegfrissebb/MasterExcelTasks2019N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ning"/>
      <sheetName val="MovingAround"/>
      <sheetName val="SelectingRanges"/>
      <sheetName val="FormattingCells1"/>
      <sheetName val="FormattingCells2"/>
      <sheetName val="PasteSpecial"/>
      <sheetName val="ConditionalFormatting"/>
      <sheetName val="DataValidation"/>
      <sheetName val="FindSpecialCells"/>
      <sheetName val="FastInput"/>
      <sheetName val="Protecting&amp;Hiding sheets"/>
      <sheetName val="PricingShares"/>
      <sheetName val="Financial Planning"/>
      <sheetName val="Optimizing1FindingIRR"/>
      <sheetName val="Optimizing2GoalSeek"/>
      <sheetName val="Optimizing3Solver"/>
      <sheetName val="SensitivityAnalysis"/>
      <sheetName val="Sparklines"/>
      <sheetName val="Charts1Tornado"/>
      <sheetName val="Charts2Waterfall"/>
      <sheetName val="Charts3Combined"/>
      <sheetName val="Charts4Pictures"/>
      <sheetName val="Charts5FillingPicture"/>
      <sheetName val="Charts6PeopleChart"/>
      <sheetName val="Charts8ProportionalAppearance"/>
      <sheetName val="Charts7RadialBar"/>
      <sheetName val="Charts8Dashboard"/>
      <sheetName val="Shapes"/>
      <sheetName val="LinksAmongCells"/>
      <sheetName val="UsingNames"/>
      <sheetName val="DependentLists"/>
      <sheetName val="Trends"/>
      <sheetName val="Moving Average"/>
      <sheetName val="Seasonality"/>
      <sheetName val="DataAnalysis"/>
      <sheetName val="SubTotals&amp;Groups"/>
      <sheetName val="FunctionsDifferently"/>
      <sheetName val="Sorting"/>
      <sheetName val="AutoFilter"/>
      <sheetName val="AdvancedFiler"/>
      <sheetName val="DatabaseFunctions"/>
      <sheetName val="Tables"/>
      <sheetName val="DinamicValidation"/>
      <sheetName val="PivotTable"/>
      <sheetName val="PowerQuery"/>
      <sheetName val="ReferenceFunctions"/>
      <sheetName val="RandomSample"/>
      <sheetName val="MonteCarlo"/>
      <sheetName val="Objects1"/>
      <sheetName val="ScenarioswithObjects"/>
      <sheetName val="ChartwithObject"/>
      <sheetName val="IntroToMacros"/>
      <sheetName val="InsertCells"/>
      <sheetName val="VisualisingStatis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4">
          <cell r="B4" t="str">
            <v>KSA</v>
          </cell>
        </row>
        <row r="5">
          <cell r="B5" t="str">
            <v>Kuvait</v>
          </cell>
        </row>
        <row r="6">
          <cell r="B6" t="str">
            <v>Bahrain</v>
          </cell>
        </row>
        <row r="7">
          <cell r="B7" t="str">
            <v>Qatar</v>
          </cell>
        </row>
        <row r="8">
          <cell r="B8" t="str">
            <v>UAE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7DBD-DECA-4097-9804-D82621A13861}">
  <sheetPr codeName="Munka2">
    <tabColor rgb="FF7030A0"/>
  </sheetPr>
  <dimension ref="A1"/>
  <sheetViews>
    <sheetView showGridLines="0" tabSelected="1" workbookViewId="0">
      <selection activeCell="U24" sqref="U24"/>
    </sheetView>
  </sheetViews>
  <sheetFormatPr defaultRowHeight="15.45" x14ac:dyDescent="0.4"/>
  <sheetData/>
  <sheetProtection sheet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0D39-D3DB-4713-8991-75511A3E78C9}">
  <sheetPr codeName="Munka3"/>
  <dimension ref="C9:I20"/>
  <sheetViews>
    <sheetView showGridLines="0" workbookViewId="0">
      <selection activeCell="D13" sqref="D13"/>
    </sheetView>
  </sheetViews>
  <sheetFormatPr defaultRowHeight="15.45" x14ac:dyDescent="0.4"/>
  <cols>
    <col min="3" max="3" width="33.140625" bestFit="1" customWidth="1"/>
    <col min="4" max="4" width="32.7109375" bestFit="1" customWidth="1"/>
    <col min="9" max="9" width="25.35546875" bestFit="1" customWidth="1"/>
    <col min="10" max="10" width="12.7109375" bestFit="1" customWidth="1"/>
  </cols>
  <sheetData>
    <row r="9" spans="3:9" ht="35.15" x14ac:dyDescent="0.8">
      <c r="C9" s="48" t="s">
        <v>105</v>
      </c>
      <c r="D9" s="48"/>
      <c r="E9" s="6"/>
      <c r="F9" s="6"/>
      <c r="G9" s="6"/>
    </row>
    <row r="10" spans="3:9" ht="35.15" x14ac:dyDescent="0.8">
      <c r="C10" s="48"/>
      <c r="D10" s="48"/>
      <c r="E10" s="6"/>
      <c r="F10" s="6"/>
      <c r="G10" s="6"/>
    </row>
    <row r="11" spans="3:9" ht="22.75" x14ac:dyDescent="0.55000000000000004">
      <c r="C11" s="5"/>
      <c r="D11" s="5"/>
      <c r="G11" s="8"/>
    </row>
    <row r="12" spans="3:9" ht="22.75" x14ac:dyDescent="0.55000000000000004">
      <c r="C12" s="5" t="s">
        <v>15</v>
      </c>
      <c r="D12" s="30" t="s">
        <v>106</v>
      </c>
    </row>
    <row r="13" spans="3:9" ht="22.75" x14ac:dyDescent="0.55000000000000004">
      <c r="C13" s="5" t="s">
        <v>19</v>
      </c>
      <c r="D13" s="19" t="s">
        <v>16</v>
      </c>
      <c r="I13" s="26" t="s">
        <v>11</v>
      </c>
    </row>
    <row r="14" spans="3:9" ht="22.75" x14ac:dyDescent="0.55000000000000004">
      <c r="C14" s="5" t="s">
        <v>18</v>
      </c>
      <c r="D14" s="19" t="s">
        <v>7</v>
      </c>
      <c r="I14" s="26" t="s">
        <v>12</v>
      </c>
    </row>
    <row r="15" spans="3:9" ht="22.75" x14ac:dyDescent="0.55000000000000004">
      <c r="C15" s="5"/>
      <c r="D15" s="7"/>
      <c r="I15" s="26"/>
    </row>
    <row r="16" spans="3:9" ht="22.75" x14ac:dyDescent="0.55000000000000004">
      <c r="C16" s="5" t="s">
        <v>20</v>
      </c>
      <c r="D16" s="28" t="s">
        <v>11</v>
      </c>
    </row>
    <row r="17" spans="3:5" ht="22.75" x14ac:dyDescent="0.55000000000000004">
      <c r="C17" s="5" t="s">
        <v>13</v>
      </c>
      <c r="D17" s="8" t="s">
        <v>14</v>
      </c>
    </row>
    <row r="18" spans="3:5" ht="22.3" x14ac:dyDescent="0.5">
      <c r="D18" s="8"/>
    </row>
    <row r="19" spans="3:5" ht="22.3" x14ac:dyDescent="0.5">
      <c r="D19" s="8"/>
    </row>
    <row r="20" spans="3:5" ht="22.3" x14ac:dyDescent="0.5">
      <c r="C20" s="7" t="s">
        <v>17</v>
      </c>
      <c r="D20" s="9">
        <f>+'Task 3'!C9+'Task 4'!C9+'Task 5'!C9+'Task 1'!C9+'Task 2'!C9</f>
        <v>0</v>
      </c>
      <c r="E20" s="7" t="s">
        <v>60</v>
      </c>
    </row>
  </sheetData>
  <sheetProtection sheet="1" selectLockedCells="1"/>
  <mergeCells count="2">
    <mergeCell ref="C9:D9"/>
    <mergeCell ref="C10:D10"/>
  </mergeCells>
  <phoneticPr fontId="8" type="noConversion"/>
  <dataValidations count="1">
    <dataValidation type="list" allowBlank="1" showInputMessage="1" showErrorMessage="1" errorTitle="Ilyen csoport nincsen!" error="Kérem, a felsorolásból válasszon!" promptTitle="Válassza ki a csoportját!" sqref="D16" xr:uid="{E7C1251C-1580-42F2-91B9-E2C0C2F99FBF}">
      <formula1>$I$13:$I$14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1001-DD57-4B42-9CDC-B6256E26F6D7}">
  <sheetPr codeName="Munka5">
    <tabColor theme="9" tint="0.39997558519241921"/>
  </sheetPr>
  <dimension ref="B1:K57"/>
  <sheetViews>
    <sheetView topLeftCell="A8" zoomScale="90" zoomScaleNormal="90" workbookViewId="0">
      <selection activeCell="I17" sqref="I17"/>
    </sheetView>
  </sheetViews>
  <sheetFormatPr defaultRowHeight="15.45" x14ac:dyDescent="0.4"/>
  <cols>
    <col min="2" max="2" width="19.85546875" bestFit="1" customWidth="1"/>
    <col min="3" max="3" width="37.2109375" bestFit="1" customWidth="1"/>
  </cols>
  <sheetData>
    <row r="1" spans="2:3" ht="15.9" thickBot="1" x14ac:dyDescent="0.45"/>
    <row r="2" spans="2:3" ht="18" x14ac:dyDescent="0.45">
      <c r="B2" s="10" t="s">
        <v>15</v>
      </c>
      <c r="C2" s="16" t="s">
        <v>61</v>
      </c>
    </row>
    <row r="3" spans="2:3" ht="18" x14ac:dyDescent="0.45">
      <c r="B3" s="11" t="s">
        <v>19</v>
      </c>
      <c r="C3" s="12" t="s">
        <v>16</v>
      </c>
    </row>
    <row r="4" spans="2:3" ht="18" x14ac:dyDescent="0.45">
      <c r="B4" s="11" t="s">
        <v>18</v>
      </c>
      <c r="C4" s="12" t="s">
        <v>7</v>
      </c>
    </row>
    <row r="5" spans="2:3" ht="18" x14ac:dyDescent="0.45">
      <c r="B5" s="11"/>
      <c r="C5" s="13"/>
    </row>
    <row r="6" spans="2:3" ht="18" x14ac:dyDescent="0.45">
      <c r="B6" s="11" t="s">
        <v>20</v>
      </c>
      <c r="C6" s="13" t="s">
        <v>11</v>
      </c>
    </row>
    <row r="7" spans="2:3" ht="18.45" thickBot="1" x14ac:dyDescent="0.5">
      <c r="B7" s="14" t="s">
        <v>13</v>
      </c>
      <c r="C7" s="15" t="s">
        <v>14</v>
      </c>
    </row>
    <row r="8" spans="2:3" ht="15.9" thickBot="1" x14ac:dyDescent="0.45"/>
    <row r="9" spans="2:3" ht="20.149999999999999" thickBot="1" x14ac:dyDescent="0.5">
      <c r="B9" s="17" t="s">
        <v>58</v>
      </c>
      <c r="C9" s="18"/>
    </row>
    <row r="23" spans="3:10" x14ac:dyDescent="0.4">
      <c r="D23" s="22">
        <v>2022</v>
      </c>
      <c r="E23" s="22">
        <v>2023</v>
      </c>
      <c r="F23" s="22">
        <v>2024</v>
      </c>
      <c r="G23" s="22">
        <v>2025</v>
      </c>
      <c r="H23" s="22">
        <v>2026</v>
      </c>
      <c r="I23" s="22">
        <v>2027</v>
      </c>
      <c r="J23" s="22">
        <v>2028</v>
      </c>
    </row>
    <row r="24" spans="3:10" x14ac:dyDescent="0.4">
      <c r="C24" s="49" t="s">
        <v>22</v>
      </c>
      <c r="D24" s="50">
        <v>50000</v>
      </c>
      <c r="E24" s="51"/>
      <c r="F24" s="51"/>
      <c r="G24" s="51"/>
      <c r="H24" s="51"/>
      <c r="I24" s="51"/>
      <c r="J24" s="51"/>
    </row>
    <row r="25" spans="3:10" x14ac:dyDescent="0.4">
      <c r="C25" s="49" t="s">
        <v>59</v>
      </c>
      <c r="D25" s="50"/>
      <c r="E25" s="52">
        <v>0.12</v>
      </c>
      <c r="F25" s="52">
        <v>0.11</v>
      </c>
      <c r="G25" s="52">
        <v>0.1</v>
      </c>
      <c r="H25" s="52">
        <v>0.09</v>
      </c>
      <c r="I25" s="52">
        <v>0.08</v>
      </c>
      <c r="J25" s="52">
        <v>0.05</v>
      </c>
    </row>
    <row r="26" spans="3:10" x14ac:dyDescent="0.4">
      <c r="C26" s="49" t="s">
        <v>23</v>
      </c>
      <c r="D26" s="52">
        <v>0.01</v>
      </c>
      <c r="E26" s="52">
        <v>0.04</v>
      </c>
      <c r="F26" s="52">
        <v>7.0000000000000007E-2</v>
      </c>
      <c r="G26" s="52">
        <v>0.1</v>
      </c>
      <c r="H26" s="52">
        <v>0.13</v>
      </c>
      <c r="I26" s="52">
        <v>0.16</v>
      </c>
      <c r="J26" s="52">
        <v>0.19</v>
      </c>
    </row>
    <row r="27" spans="3:10" x14ac:dyDescent="0.4">
      <c r="C27" s="49" t="s">
        <v>24</v>
      </c>
      <c r="D27" s="53">
        <v>0.2</v>
      </c>
      <c r="E27" s="53">
        <v>0.2</v>
      </c>
      <c r="F27" s="53">
        <v>0.2</v>
      </c>
      <c r="G27" s="53">
        <v>0.2</v>
      </c>
      <c r="H27" s="53">
        <v>0.2</v>
      </c>
      <c r="I27" s="53">
        <v>0.2</v>
      </c>
      <c r="J27" s="53">
        <v>0.2</v>
      </c>
    </row>
    <row r="28" spans="3:10" x14ac:dyDescent="0.4">
      <c r="C28" s="49" t="s">
        <v>21</v>
      </c>
      <c r="D28" s="50">
        <v>40000</v>
      </c>
      <c r="E28" s="50"/>
      <c r="F28" s="50"/>
      <c r="G28" s="50"/>
      <c r="H28" s="50"/>
      <c r="I28" s="50"/>
      <c r="J28" s="50"/>
    </row>
    <row r="29" spans="3:10" x14ac:dyDescent="0.4">
      <c r="C29" s="49" t="s">
        <v>3</v>
      </c>
      <c r="D29" s="52">
        <v>0.8</v>
      </c>
      <c r="E29" s="52">
        <v>0.5</v>
      </c>
      <c r="F29" s="50"/>
      <c r="G29" s="50"/>
      <c r="H29" s="50"/>
      <c r="I29" s="50"/>
      <c r="J29" s="50"/>
    </row>
    <row r="30" spans="3:10" x14ac:dyDescent="0.4">
      <c r="C30" s="49" t="s">
        <v>10</v>
      </c>
      <c r="D30" s="50"/>
      <c r="E30" s="50"/>
      <c r="F30" s="50">
        <v>2500</v>
      </c>
      <c r="G30" s="50">
        <v>1000</v>
      </c>
      <c r="H30" s="50">
        <v>500</v>
      </c>
      <c r="I30" s="50">
        <v>3000</v>
      </c>
      <c r="J30" s="50">
        <v>700</v>
      </c>
    </row>
    <row r="31" spans="3:10" x14ac:dyDescent="0.4">
      <c r="C31" s="49" t="s">
        <v>8</v>
      </c>
      <c r="D31" s="53">
        <v>0.06</v>
      </c>
      <c r="E31" s="53">
        <v>0.05</v>
      </c>
      <c r="F31" s="53">
        <v>0.04</v>
      </c>
      <c r="G31" s="53">
        <v>0.04</v>
      </c>
      <c r="H31" s="53">
        <v>0.04</v>
      </c>
      <c r="I31" s="53">
        <v>0.04</v>
      </c>
      <c r="J31" s="53">
        <v>0.04</v>
      </c>
    </row>
    <row r="32" spans="3:10" x14ac:dyDescent="0.4">
      <c r="C32" s="49" t="s">
        <v>53</v>
      </c>
      <c r="D32" s="52">
        <v>0</v>
      </c>
      <c r="E32" s="52">
        <v>0.2</v>
      </c>
      <c r="F32" s="52">
        <v>0.25</v>
      </c>
      <c r="G32" s="52">
        <v>0.5</v>
      </c>
      <c r="H32" s="52">
        <v>0.5</v>
      </c>
      <c r="I32" s="52">
        <v>0.5</v>
      </c>
      <c r="J32" s="52">
        <v>0.5</v>
      </c>
    </row>
    <row r="33" spans="3:11" x14ac:dyDescent="0.4">
      <c r="E33" s="23"/>
      <c r="F33" s="23"/>
      <c r="G33" s="23"/>
      <c r="H33" s="23"/>
      <c r="I33" s="23"/>
      <c r="J33" s="23"/>
    </row>
    <row r="34" spans="3:11" x14ac:dyDescent="0.4">
      <c r="C34" s="29" t="s">
        <v>0</v>
      </c>
      <c r="D34" s="25"/>
      <c r="E34" s="32">
        <v>3.4800000000000013</v>
      </c>
      <c r="F34" s="32">
        <v>0.94250000000000034</v>
      </c>
      <c r="G34" s="32">
        <v>0.5714285714285714</v>
      </c>
      <c r="H34" s="32">
        <v>0.41700000000000004</v>
      </c>
      <c r="I34" s="32">
        <v>0.32923076923076944</v>
      </c>
      <c r="J34" s="32">
        <v>0.24687499999999996</v>
      </c>
    </row>
    <row r="35" spans="3:11" x14ac:dyDescent="0.4">
      <c r="C35" s="29" t="s">
        <v>3</v>
      </c>
      <c r="D35" s="25"/>
      <c r="E35" s="25"/>
      <c r="F35" s="32">
        <v>0.71819268247839652</v>
      </c>
      <c r="G35" s="32">
        <v>0.18281268281268276</v>
      </c>
      <c r="H35" s="32">
        <v>6.4506945240890165E-2</v>
      </c>
      <c r="I35" s="32">
        <v>0.2911771833790181</v>
      </c>
      <c r="J35" s="32">
        <v>5.4489297474436135E-2</v>
      </c>
    </row>
    <row r="36" spans="3:11" x14ac:dyDescent="0.4">
      <c r="C36" s="29" t="s">
        <v>9</v>
      </c>
      <c r="D36" s="32">
        <v>0.01</v>
      </c>
      <c r="E36" s="32">
        <v>4.4444444444444453E-2</v>
      </c>
      <c r="F36" s="32">
        <v>8.4456521739130472E-2</v>
      </c>
      <c r="G36" s="32">
        <v>0.12512764205325286</v>
      </c>
      <c r="H36" s="32">
        <v>0.17334071383844715</v>
      </c>
      <c r="I36" s="32">
        <v>0.22786193121019122</v>
      </c>
      <c r="J36" s="32">
        <v>0.26643768585365868</v>
      </c>
    </row>
    <row r="37" spans="3:11" x14ac:dyDescent="0.4">
      <c r="C37" s="29" t="s">
        <v>2</v>
      </c>
      <c r="D37" s="25"/>
      <c r="E37" s="32">
        <v>4.3500000000000014</v>
      </c>
      <c r="F37" s="32">
        <v>1.8850000000000007</v>
      </c>
      <c r="G37" s="32">
        <v>0.79564800000000013</v>
      </c>
      <c r="H37" s="32">
        <v>2.2810233600000012</v>
      </c>
      <c r="I37" s="32">
        <v>5.1038034432000057</v>
      </c>
      <c r="J37" s="32">
        <v>0.84785145984000032</v>
      </c>
    </row>
    <row r="38" spans="3:11" x14ac:dyDescent="0.4">
      <c r="C38" s="29" t="s">
        <v>25</v>
      </c>
      <c r="D38" s="32">
        <v>0.2</v>
      </c>
      <c r="E38" s="32">
        <v>0.2</v>
      </c>
      <c r="F38" s="32">
        <v>0.2</v>
      </c>
      <c r="G38" s="32">
        <v>0.2</v>
      </c>
      <c r="H38" s="32">
        <v>0.2</v>
      </c>
      <c r="I38" s="32">
        <v>0.2</v>
      </c>
      <c r="J38" s="32">
        <v>0.2</v>
      </c>
    </row>
    <row r="41" spans="3:11" x14ac:dyDescent="0.4">
      <c r="C41" s="31" t="s">
        <v>22</v>
      </c>
      <c r="D41" s="24">
        <v>50000</v>
      </c>
      <c r="E41" s="24">
        <v>56000.000000000007</v>
      </c>
      <c r="F41" s="24">
        <v>62160.000000000015</v>
      </c>
      <c r="G41" s="24">
        <v>68376.000000000015</v>
      </c>
      <c r="H41" s="24">
        <v>74529.840000000026</v>
      </c>
      <c r="I41" s="24">
        <v>80492.227200000038</v>
      </c>
      <c r="J41" s="24">
        <v>84516.838560000047</v>
      </c>
    </row>
    <row r="42" spans="3:11" x14ac:dyDescent="0.4">
      <c r="C42" s="31" t="s">
        <v>31</v>
      </c>
      <c r="D42" s="24">
        <v>500</v>
      </c>
      <c r="E42" s="24">
        <v>2240.0000000000005</v>
      </c>
      <c r="F42" s="24">
        <v>4351.2000000000016</v>
      </c>
      <c r="G42" s="24">
        <v>6837.6000000000022</v>
      </c>
      <c r="H42" s="24">
        <v>9688.879200000003</v>
      </c>
      <c r="I42" s="24">
        <v>12878.756352000006</v>
      </c>
      <c r="J42" s="24">
        <v>16058.199326400008</v>
      </c>
    </row>
    <row r="43" spans="3:11" x14ac:dyDescent="0.4">
      <c r="C43" s="24" t="s">
        <v>70</v>
      </c>
      <c r="D43" s="24">
        <v>0</v>
      </c>
      <c r="E43" s="24">
        <v>403.20000000000005</v>
      </c>
      <c r="F43" s="24">
        <v>412.16</v>
      </c>
      <c r="G43" s="24">
        <v>874.32</v>
      </c>
      <c r="H43" s="24">
        <v>894.32</v>
      </c>
      <c r="I43" s="24">
        <v>904.32</v>
      </c>
      <c r="J43" s="24">
        <v>964.32</v>
      </c>
    </row>
    <row r="44" spans="3:11" x14ac:dyDescent="0.4">
      <c r="C44" t="s">
        <v>71</v>
      </c>
      <c r="D44" s="24">
        <v>500</v>
      </c>
      <c r="E44" s="24">
        <v>1836.8000000000004</v>
      </c>
      <c r="F44" s="24">
        <v>3939.0400000000018</v>
      </c>
      <c r="G44" s="24">
        <v>5963.2800000000025</v>
      </c>
      <c r="H44" s="24">
        <v>8794.5592000000033</v>
      </c>
      <c r="I44" s="24">
        <v>11974.436352000006</v>
      </c>
      <c r="J44" s="24">
        <v>15093.879326400009</v>
      </c>
    </row>
    <row r="45" spans="3:11" x14ac:dyDescent="0.4">
      <c r="C45" t="s">
        <v>73</v>
      </c>
      <c r="D45" s="24">
        <v>100</v>
      </c>
      <c r="E45" s="24">
        <v>367.36000000000013</v>
      </c>
      <c r="F45" s="24">
        <v>787.80800000000045</v>
      </c>
      <c r="G45" s="24">
        <v>1192.6560000000006</v>
      </c>
      <c r="H45" s="24">
        <v>1758.9118400000007</v>
      </c>
      <c r="I45" s="24">
        <v>2394.8872704000014</v>
      </c>
      <c r="J45" s="24">
        <v>3018.7758652800021</v>
      </c>
    </row>
    <row r="46" spans="3:11" x14ac:dyDescent="0.4">
      <c r="C46" t="s">
        <v>72</v>
      </c>
      <c r="D46" s="24">
        <v>400</v>
      </c>
      <c r="E46" s="24">
        <v>1469.4400000000003</v>
      </c>
      <c r="F46" s="24">
        <v>3151.2320000000013</v>
      </c>
      <c r="G46" s="24">
        <v>4770.6240000000016</v>
      </c>
      <c r="H46" s="24">
        <v>7035.6473600000027</v>
      </c>
      <c r="I46" s="24">
        <v>9579.5490816000056</v>
      </c>
      <c r="J46" s="24">
        <v>12075.103461120007</v>
      </c>
    </row>
    <row r="48" spans="3:11" x14ac:dyDescent="0.4">
      <c r="C48" t="s">
        <v>68</v>
      </c>
      <c r="D48" s="24">
        <v>40000</v>
      </c>
      <c r="E48" s="24">
        <v>40320</v>
      </c>
      <c r="F48" s="24">
        <v>41216</v>
      </c>
      <c r="G48" s="24">
        <v>43716</v>
      </c>
      <c r="H48" s="24">
        <v>44716</v>
      </c>
      <c r="I48" s="24">
        <v>45216</v>
      </c>
      <c r="J48" s="24">
        <v>48216</v>
      </c>
      <c r="K48" s="24">
        <v>48916</v>
      </c>
    </row>
    <row r="49" spans="3:11" x14ac:dyDescent="0.4">
      <c r="C49" t="s">
        <v>69</v>
      </c>
      <c r="D49" s="24">
        <v>0</v>
      </c>
      <c r="E49" s="24">
        <v>8064</v>
      </c>
      <c r="F49" s="24">
        <v>10304</v>
      </c>
      <c r="G49" s="24">
        <v>21858</v>
      </c>
      <c r="H49" s="24">
        <v>22358</v>
      </c>
      <c r="I49" s="24">
        <v>22608</v>
      </c>
      <c r="J49" s="24">
        <v>24108</v>
      </c>
      <c r="K49" s="24">
        <v>0</v>
      </c>
    </row>
    <row r="50" spans="3:11" x14ac:dyDescent="0.4">
      <c r="D50" s="24"/>
      <c r="E50" s="24"/>
      <c r="F50" s="24"/>
      <c r="G50" s="24"/>
      <c r="H50" s="24"/>
      <c r="I50" s="24"/>
      <c r="J50" s="24"/>
      <c r="K50" s="24"/>
    </row>
    <row r="51" spans="3:11" x14ac:dyDescent="0.4">
      <c r="C51" t="s">
        <v>6</v>
      </c>
      <c r="D51" s="23">
        <v>0.2</v>
      </c>
      <c r="E51" s="23">
        <v>0.2</v>
      </c>
      <c r="F51" s="23">
        <v>0.2</v>
      </c>
      <c r="G51" s="23">
        <v>0.2</v>
      </c>
      <c r="H51" s="23">
        <v>0.2</v>
      </c>
      <c r="I51" s="23">
        <v>0.2</v>
      </c>
      <c r="J51" s="23">
        <v>0.2</v>
      </c>
    </row>
    <row r="52" spans="3:11" x14ac:dyDescent="0.4">
      <c r="C52" t="s">
        <v>66</v>
      </c>
      <c r="D52" s="24">
        <v>400</v>
      </c>
      <c r="E52" s="24">
        <v>1792.0000000000005</v>
      </c>
      <c r="F52" s="24">
        <v>3480.9600000000014</v>
      </c>
      <c r="G52" s="24">
        <v>5470.0800000000017</v>
      </c>
      <c r="H52" s="24">
        <v>7751.1033600000028</v>
      </c>
      <c r="I52" s="24">
        <v>10303.005081600006</v>
      </c>
      <c r="J52" s="24">
        <v>12846.559461120007</v>
      </c>
    </row>
    <row r="53" spans="3:11" x14ac:dyDescent="0.4">
      <c r="C53" t="s">
        <v>10</v>
      </c>
      <c r="D53" s="24">
        <v>320</v>
      </c>
      <c r="E53" s="24">
        <v>896.00000000000023</v>
      </c>
      <c r="F53" s="24">
        <v>2500</v>
      </c>
      <c r="G53" s="24">
        <v>1000</v>
      </c>
      <c r="H53" s="24">
        <v>500</v>
      </c>
      <c r="I53" s="24">
        <v>3000</v>
      </c>
      <c r="J53" s="24">
        <v>700</v>
      </c>
    </row>
    <row r="54" spans="3:11" x14ac:dyDescent="0.4">
      <c r="C54" t="s">
        <v>67</v>
      </c>
      <c r="D54" s="24">
        <v>80</v>
      </c>
      <c r="E54" s="24">
        <v>896.00000000000023</v>
      </c>
      <c r="F54" s="24">
        <v>980.9600000000014</v>
      </c>
      <c r="G54" s="24">
        <v>4470.0800000000017</v>
      </c>
      <c r="H54" s="24">
        <v>7251.1033600000028</v>
      </c>
      <c r="I54" s="24">
        <v>7303.0050816000057</v>
      </c>
      <c r="J54" s="24">
        <v>12146.559461120007</v>
      </c>
    </row>
    <row r="55" spans="3:11" x14ac:dyDescent="0.4">
      <c r="C55" t="s">
        <v>70</v>
      </c>
      <c r="D55" s="24">
        <v>0</v>
      </c>
      <c r="E55" s="24">
        <v>403.20000000000005</v>
      </c>
      <c r="F55" s="24">
        <v>412.16</v>
      </c>
      <c r="G55" s="24">
        <v>874.32</v>
      </c>
      <c r="H55" s="24">
        <v>894.32</v>
      </c>
      <c r="I55" s="24">
        <v>904.32</v>
      </c>
      <c r="J55" s="24">
        <v>964.32</v>
      </c>
    </row>
    <row r="56" spans="3:11" x14ac:dyDescent="0.4">
      <c r="C56" t="s">
        <v>74</v>
      </c>
      <c r="D56" s="24">
        <v>0</v>
      </c>
      <c r="E56" s="24">
        <v>80.640000000000015</v>
      </c>
      <c r="F56" s="24">
        <v>82.432000000000016</v>
      </c>
      <c r="G56" s="24">
        <v>174.86400000000003</v>
      </c>
      <c r="H56" s="24">
        <v>178.86400000000003</v>
      </c>
      <c r="I56" s="24">
        <v>180.86400000000003</v>
      </c>
      <c r="J56" s="24">
        <v>192.86400000000003</v>
      </c>
    </row>
    <row r="57" spans="3:11" x14ac:dyDescent="0.4">
      <c r="C57" t="s">
        <v>75</v>
      </c>
      <c r="D57" s="24">
        <v>8064</v>
      </c>
      <c r="E57" s="24">
        <v>2240</v>
      </c>
      <c r="F57" s="24">
        <v>11554</v>
      </c>
      <c r="G57" s="24">
        <v>500</v>
      </c>
      <c r="H57" s="24">
        <v>250</v>
      </c>
      <c r="I57" s="24">
        <v>1500</v>
      </c>
      <c r="J57" s="24">
        <v>-24108</v>
      </c>
    </row>
  </sheetData>
  <sheetProtection sheet="1" objects="1" scenario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A70D-9BBD-467B-9276-4356E1676819}">
  <sheetPr codeName="Munka7">
    <tabColor theme="9" tint="0.39997558519241921"/>
  </sheetPr>
  <dimension ref="B1:J69"/>
  <sheetViews>
    <sheetView topLeftCell="A6" workbookViewId="0">
      <selection activeCell="K31" sqref="K31"/>
    </sheetView>
  </sheetViews>
  <sheetFormatPr defaultRowHeight="15.45" x14ac:dyDescent="0.4"/>
  <cols>
    <col min="2" max="2" width="19.85546875" bestFit="1" customWidth="1"/>
    <col min="3" max="3" width="27.2109375" bestFit="1" customWidth="1"/>
    <col min="4" max="4" width="8.85546875" bestFit="1" customWidth="1"/>
    <col min="5" max="6" width="8.78515625" bestFit="1" customWidth="1"/>
    <col min="7" max="7" width="9.42578125" bestFit="1" customWidth="1"/>
    <col min="8" max="8" width="8.78515625" bestFit="1" customWidth="1"/>
    <col min="9" max="9" width="14" bestFit="1" customWidth="1"/>
  </cols>
  <sheetData>
    <row r="1" spans="2:3" ht="15.9" thickBot="1" x14ac:dyDescent="0.45"/>
    <row r="2" spans="2:3" ht="18" x14ac:dyDescent="0.45">
      <c r="B2" s="10" t="s">
        <v>15</v>
      </c>
      <c r="C2" s="16" t="s">
        <v>61</v>
      </c>
    </row>
    <row r="3" spans="2:3" ht="18" x14ac:dyDescent="0.45">
      <c r="B3" s="11" t="s">
        <v>19</v>
      </c>
      <c r="C3" s="12" t="s">
        <v>16</v>
      </c>
    </row>
    <row r="4" spans="2:3" ht="18" x14ac:dyDescent="0.45">
      <c r="B4" s="11" t="s">
        <v>18</v>
      </c>
      <c r="C4" s="12" t="s">
        <v>7</v>
      </c>
    </row>
    <row r="5" spans="2:3" ht="18" x14ac:dyDescent="0.45">
      <c r="B5" s="11"/>
      <c r="C5" s="13"/>
    </row>
    <row r="6" spans="2:3" ht="18" x14ac:dyDescent="0.45">
      <c r="B6" s="11" t="s">
        <v>20</v>
      </c>
      <c r="C6" s="13" t="s">
        <v>11</v>
      </c>
    </row>
    <row r="7" spans="2:3" ht="18.45" thickBot="1" x14ac:dyDescent="0.5">
      <c r="B7" s="14" t="s">
        <v>13</v>
      </c>
      <c r="C7" s="15" t="s">
        <v>14</v>
      </c>
    </row>
    <row r="8" spans="2:3" ht="15.9" thickBot="1" x14ac:dyDescent="0.45"/>
    <row r="9" spans="2:3" ht="20.149999999999999" thickBot="1" x14ac:dyDescent="0.5">
      <c r="B9" s="17" t="s">
        <v>58</v>
      </c>
      <c r="C9" s="18"/>
    </row>
    <row r="24" spans="3:9" x14ac:dyDescent="0.4">
      <c r="C24" s="20"/>
      <c r="D24" s="2">
        <v>2022</v>
      </c>
      <c r="E24" s="2">
        <v>2023</v>
      </c>
      <c r="F24" s="2">
        <v>2024</v>
      </c>
      <c r="G24" s="2">
        <v>2025</v>
      </c>
      <c r="H24" s="2">
        <v>2026</v>
      </c>
      <c r="I24" s="2" t="s">
        <v>1</v>
      </c>
    </row>
    <row r="25" spans="3:9" x14ac:dyDescent="0.4">
      <c r="C25" s="54" t="s">
        <v>6</v>
      </c>
      <c r="D25" s="55">
        <v>0.25</v>
      </c>
      <c r="E25" s="55">
        <v>0.25</v>
      </c>
      <c r="F25" s="55">
        <v>0.25</v>
      </c>
      <c r="G25" s="55">
        <v>0.25</v>
      </c>
      <c r="H25" s="55">
        <v>0.25</v>
      </c>
      <c r="I25" s="55">
        <v>0.25</v>
      </c>
    </row>
    <row r="26" spans="3:9" ht="18" x14ac:dyDescent="0.4">
      <c r="C26" s="54" t="s">
        <v>4</v>
      </c>
      <c r="D26" s="55">
        <v>0.14000000000000001</v>
      </c>
      <c r="E26" s="55">
        <v>0.13</v>
      </c>
      <c r="F26" s="55">
        <v>0.12</v>
      </c>
      <c r="G26" s="55">
        <v>0.11</v>
      </c>
      <c r="H26" s="55">
        <v>0.11</v>
      </c>
      <c r="I26" s="55">
        <v>0.11</v>
      </c>
    </row>
    <row r="27" spans="3:9" x14ac:dyDescent="0.4">
      <c r="C27" s="54" t="s">
        <v>26</v>
      </c>
      <c r="D27" s="56"/>
      <c r="E27" s="56"/>
      <c r="F27" s="56"/>
      <c r="G27" s="55"/>
      <c r="H27" s="55"/>
      <c r="I27" s="55">
        <v>0.06</v>
      </c>
    </row>
    <row r="28" spans="3:9" x14ac:dyDescent="0.4">
      <c r="C28" s="56" t="s">
        <v>21</v>
      </c>
      <c r="D28" s="57">
        <v>40000</v>
      </c>
      <c r="E28" s="56"/>
      <c r="F28" s="56"/>
      <c r="G28" s="55"/>
      <c r="H28" s="55"/>
      <c r="I28" s="55"/>
    </row>
    <row r="29" spans="3:9" x14ac:dyDescent="0.4">
      <c r="C29" s="54" t="s">
        <v>9</v>
      </c>
      <c r="D29" s="55">
        <v>0.05</v>
      </c>
      <c r="E29" s="55">
        <v>0.1</v>
      </c>
      <c r="F29" s="55"/>
      <c r="G29" s="55"/>
      <c r="H29" s="55"/>
      <c r="I29" s="55">
        <v>0.1055</v>
      </c>
    </row>
    <row r="30" spans="3:9" x14ac:dyDescent="0.4">
      <c r="C30" s="54" t="s">
        <v>2</v>
      </c>
      <c r="D30" s="55"/>
      <c r="E30" s="55"/>
      <c r="F30" s="55">
        <v>0.15</v>
      </c>
      <c r="G30" s="55">
        <v>0.13</v>
      </c>
      <c r="H30" s="55">
        <v>0.12</v>
      </c>
      <c r="I30" s="55">
        <v>0.1055</v>
      </c>
    </row>
    <row r="31" spans="3:9" x14ac:dyDescent="0.4">
      <c r="C31" s="54" t="s">
        <v>3</v>
      </c>
      <c r="D31" s="55">
        <v>0.8</v>
      </c>
      <c r="E31" s="55">
        <v>0.6</v>
      </c>
      <c r="F31" s="55">
        <v>0.5</v>
      </c>
      <c r="G31" s="55">
        <v>0.3</v>
      </c>
      <c r="H31" s="55">
        <v>0.25</v>
      </c>
      <c r="I31" s="47">
        <v>0.56872037914691942</v>
      </c>
    </row>
    <row r="32" spans="3:9" ht="18" x14ac:dyDescent="0.4">
      <c r="C32" s="54" t="s">
        <v>5</v>
      </c>
      <c r="D32" s="55">
        <v>7.0000000000000007E-2</v>
      </c>
      <c r="E32" s="55">
        <v>6.5000000000000002E-2</v>
      </c>
      <c r="F32" s="55">
        <v>0.06</v>
      </c>
      <c r="G32" s="55">
        <v>0.06</v>
      </c>
      <c r="H32" s="55">
        <v>0.06</v>
      </c>
      <c r="I32" s="55">
        <v>0.06</v>
      </c>
    </row>
    <row r="33" spans="3:10" x14ac:dyDescent="0.4">
      <c r="C33" s="3" t="s">
        <v>54</v>
      </c>
      <c r="D33" s="4">
        <v>0</v>
      </c>
      <c r="E33" s="4">
        <v>0.2075850994978701</v>
      </c>
      <c r="F33" s="4">
        <v>0.30417228916004785</v>
      </c>
      <c r="G33" s="4">
        <v>0.30077038724180249</v>
      </c>
      <c r="H33" s="4">
        <v>0.25</v>
      </c>
      <c r="I33" s="55">
        <v>0.3</v>
      </c>
    </row>
    <row r="34" spans="3:10" x14ac:dyDescent="0.4">
      <c r="C34" s="54" t="s">
        <v>53</v>
      </c>
      <c r="D34" s="55">
        <v>0</v>
      </c>
      <c r="E34" s="55">
        <v>0.2</v>
      </c>
      <c r="F34" s="55">
        <v>0.3</v>
      </c>
      <c r="G34" s="55">
        <v>0.3</v>
      </c>
      <c r="H34" s="55"/>
      <c r="I34" s="55"/>
    </row>
    <row r="35" spans="3:10" x14ac:dyDescent="0.4">
      <c r="C35" s="3" t="s">
        <v>81</v>
      </c>
      <c r="D35" s="33">
        <v>0.14000000000000001</v>
      </c>
      <c r="E35" s="33">
        <v>0.12662674213315961</v>
      </c>
      <c r="F35" s="33">
        <v>0.11543741566259928</v>
      </c>
      <c r="G35" s="33">
        <v>0.10548844419137296</v>
      </c>
      <c r="H35" s="33">
        <v>0.10625</v>
      </c>
      <c r="I35" s="33">
        <v>0.1055</v>
      </c>
    </row>
    <row r="36" spans="3:10" x14ac:dyDescent="0.4">
      <c r="C36" s="3"/>
      <c r="D36" s="2"/>
      <c r="E36" s="2"/>
      <c r="F36" s="2"/>
      <c r="G36" s="2"/>
      <c r="H36" s="2"/>
      <c r="I36" s="2"/>
    </row>
    <row r="37" spans="3:10" x14ac:dyDescent="0.4">
      <c r="C37" s="3" t="s">
        <v>21</v>
      </c>
      <c r="D37" s="24">
        <v>40000</v>
      </c>
      <c r="E37" s="24">
        <v>41600</v>
      </c>
      <c r="F37" s="24">
        <v>44096</v>
      </c>
      <c r="G37" s="24">
        <v>46363.199999999997</v>
      </c>
      <c r="H37" s="24">
        <v>47811.940799999997</v>
      </c>
      <c r="I37" s="24">
        <v>49062.687023999999</v>
      </c>
    </row>
    <row r="38" spans="3:10" x14ac:dyDescent="0.4">
      <c r="C38" s="3" t="s">
        <v>76</v>
      </c>
      <c r="D38" s="24">
        <v>0</v>
      </c>
      <c r="E38" s="24">
        <v>8320</v>
      </c>
      <c r="F38" s="24">
        <v>13228.8</v>
      </c>
      <c r="G38" s="24">
        <v>13908.96</v>
      </c>
      <c r="H38" s="24">
        <v>11935.576428474576</v>
      </c>
      <c r="I38" s="24">
        <v>14718.8061072</v>
      </c>
      <c r="J38">
        <v>15601.934473632</v>
      </c>
    </row>
    <row r="39" spans="3:10" x14ac:dyDescent="0.4">
      <c r="C39" s="3" t="s">
        <v>77</v>
      </c>
      <c r="D39" s="24">
        <v>40000</v>
      </c>
      <c r="E39" s="24">
        <v>33280</v>
      </c>
      <c r="F39" s="24">
        <v>30867.200000000001</v>
      </c>
      <c r="G39" s="24">
        <v>32454.239999999998</v>
      </c>
      <c r="H39" s="24">
        <v>35876.364371525422</v>
      </c>
      <c r="I39" s="24">
        <v>34343.880916800001</v>
      </c>
    </row>
    <row r="41" spans="3:10" x14ac:dyDescent="0.4">
      <c r="C41" s="3" t="s">
        <v>31</v>
      </c>
      <c r="D41" s="24">
        <v>2666.6666666666665</v>
      </c>
      <c r="E41" s="24">
        <v>5546.666666666667</v>
      </c>
      <c r="F41" s="24">
        <v>6045.8666666666659</v>
      </c>
      <c r="G41" s="24">
        <v>6438.847999999999</v>
      </c>
      <c r="H41" s="24">
        <v>6670.6465280000002</v>
      </c>
      <c r="I41" s="24">
        <v>6901.4846413759997</v>
      </c>
    </row>
    <row r="42" spans="3:10" x14ac:dyDescent="0.4">
      <c r="C42" t="s">
        <v>70</v>
      </c>
      <c r="D42" s="24">
        <v>0</v>
      </c>
      <c r="E42" s="24">
        <v>540.80000000000007</v>
      </c>
      <c r="F42" s="24">
        <v>793.72799999999995</v>
      </c>
      <c r="G42" s="24">
        <v>834.53759999999988</v>
      </c>
      <c r="H42" s="24">
        <v>716.13458570847456</v>
      </c>
      <c r="I42" s="24">
        <v>883.12836643200001</v>
      </c>
    </row>
    <row r="43" spans="3:10" x14ac:dyDescent="0.4">
      <c r="C43" s="3" t="s">
        <v>71</v>
      </c>
      <c r="D43" s="24">
        <v>2666.6666666666665</v>
      </c>
      <c r="E43" s="24">
        <v>5005.8666666666668</v>
      </c>
      <c r="F43" s="24">
        <v>5252.1386666666658</v>
      </c>
      <c r="G43" s="24">
        <v>5604.3103999999994</v>
      </c>
      <c r="H43" s="24">
        <v>5954.5119422915259</v>
      </c>
      <c r="I43" s="24">
        <v>6018.3562749439998</v>
      </c>
    </row>
    <row r="44" spans="3:10" x14ac:dyDescent="0.4">
      <c r="C44" s="3" t="s">
        <v>80</v>
      </c>
      <c r="D44" s="24">
        <v>666.66666666666663</v>
      </c>
      <c r="E44" s="24">
        <v>1251.4666666666667</v>
      </c>
      <c r="F44" s="24">
        <v>1313.0346666666665</v>
      </c>
      <c r="G44" s="24">
        <v>1401.0775999999998</v>
      </c>
      <c r="H44" s="24">
        <v>1488.6279855728815</v>
      </c>
      <c r="I44" s="24">
        <v>1504.5890687359999</v>
      </c>
    </row>
    <row r="45" spans="3:10" x14ac:dyDescent="0.4">
      <c r="C45" s="3" t="s">
        <v>72</v>
      </c>
      <c r="D45" s="24">
        <v>2000</v>
      </c>
      <c r="E45" s="24">
        <v>3754.4</v>
      </c>
      <c r="F45" s="24">
        <v>3939.1039999999994</v>
      </c>
      <c r="G45" s="24">
        <v>4203.2327999999998</v>
      </c>
      <c r="H45" s="24">
        <v>4465.8839567186442</v>
      </c>
      <c r="I45" s="24">
        <v>4513.7672062080001</v>
      </c>
    </row>
    <row r="47" spans="3:10" x14ac:dyDescent="0.4">
      <c r="C47" s="46" t="s">
        <v>78</v>
      </c>
      <c r="D47" s="36">
        <v>2000</v>
      </c>
      <c r="E47" s="36">
        <v>4160</v>
      </c>
      <c r="F47" s="36">
        <v>4534.3999999999996</v>
      </c>
      <c r="G47" s="36">
        <v>4829.1359999999995</v>
      </c>
      <c r="H47" s="36">
        <v>5002.9848959999999</v>
      </c>
      <c r="I47" s="36">
        <v>5176.113481032</v>
      </c>
    </row>
    <row r="48" spans="3:10" x14ac:dyDescent="0.4">
      <c r="C48" t="s">
        <v>10</v>
      </c>
      <c r="D48" s="24">
        <v>1600</v>
      </c>
      <c r="E48" s="24">
        <v>2496</v>
      </c>
      <c r="F48" s="24">
        <v>2267.1999999999998</v>
      </c>
      <c r="G48" s="24">
        <v>1448.7407999999998</v>
      </c>
      <c r="H48" s="24">
        <v>1250.746224</v>
      </c>
      <c r="I48" s="24">
        <v>2943.7612214400001</v>
      </c>
    </row>
    <row r="49" spans="3:9" x14ac:dyDescent="0.4">
      <c r="C49" t="s">
        <v>67</v>
      </c>
      <c r="D49" s="24">
        <v>400</v>
      </c>
      <c r="E49" s="24">
        <v>1664</v>
      </c>
      <c r="F49" s="24">
        <v>2267.1999999999998</v>
      </c>
      <c r="G49" s="24">
        <v>3380.3951999999999</v>
      </c>
      <c r="H49" s="24">
        <v>3752.238672</v>
      </c>
      <c r="I49" s="24">
        <v>2232.3522595919999</v>
      </c>
    </row>
    <row r="50" spans="3:9" x14ac:dyDescent="0.4">
      <c r="C50" t="s">
        <v>70</v>
      </c>
      <c r="D50" s="24">
        <v>0</v>
      </c>
      <c r="E50" s="24">
        <v>540.80000000000007</v>
      </c>
      <c r="F50" s="24">
        <v>793.72799999999995</v>
      </c>
      <c r="G50" s="24">
        <v>834.53759999999988</v>
      </c>
      <c r="H50" s="24">
        <v>716.13458570847456</v>
      </c>
      <c r="I50" s="24">
        <v>883.12836643200001</v>
      </c>
    </row>
    <row r="51" spans="3:9" x14ac:dyDescent="0.4">
      <c r="C51" t="s">
        <v>74</v>
      </c>
      <c r="D51" s="24">
        <v>0</v>
      </c>
      <c r="E51" s="24">
        <v>135.20000000000002</v>
      </c>
      <c r="F51" s="24">
        <v>198.43199999999999</v>
      </c>
      <c r="G51" s="24">
        <v>208.63439999999997</v>
      </c>
      <c r="H51" s="24">
        <v>179.03364642711864</v>
      </c>
      <c r="I51" s="24">
        <v>220.782091608</v>
      </c>
    </row>
    <row r="52" spans="3:9" x14ac:dyDescent="0.4">
      <c r="C52" t="s">
        <v>75</v>
      </c>
      <c r="D52" s="24">
        <v>8320</v>
      </c>
      <c r="E52" s="24">
        <v>4908.7999999999993</v>
      </c>
      <c r="F52" s="24">
        <v>680.15999999999985</v>
      </c>
      <c r="G52" s="24">
        <v>-1973.3835715254227</v>
      </c>
      <c r="H52" s="24">
        <v>2783.2296787254236</v>
      </c>
      <c r="I52" s="24">
        <v>883.12836643199989</v>
      </c>
    </row>
    <row r="53" spans="3:9" x14ac:dyDescent="0.4">
      <c r="C53" t="s">
        <v>79</v>
      </c>
      <c r="D53" s="24">
        <v>8720</v>
      </c>
      <c r="E53" s="24">
        <v>6167.1999999999989</v>
      </c>
      <c r="F53" s="24">
        <v>2352.0639999999994</v>
      </c>
      <c r="G53" s="24">
        <v>781.10842847457752</v>
      </c>
      <c r="H53" s="24">
        <v>5998.3674114440673</v>
      </c>
      <c r="I53" s="24">
        <v>2453.1343511999999</v>
      </c>
    </row>
    <row r="58" spans="3:9" x14ac:dyDescent="0.4">
      <c r="C58" s="36" t="s">
        <v>67</v>
      </c>
      <c r="D58" s="36">
        <v>400</v>
      </c>
      <c r="E58" s="36">
        <v>1664</v>
      </c>
      <c r="F58" s="36">
        <v>2267.1999999999998</v>
      </c>
      <c r="G58" s="36">
        <v>3380.3951999999999</v>
      </c>
      <c r="H58" s="36">
        <v>3752.238672</v>
      </c>
      <c r="I58" s="36">
        <v>2232.3522595919999</v>
      </c>
    </row>
    <row r="59" spans="3:9" x14ac:dyDescent="0.4">
      <c r="C59" t="s">
        <v>81</v>
      </c>
      <c r="D59" s="1">
        <v>0.14000000000000001</v>
      </c>
      <c r="E59" s="1">
        <v>0.12662674213315961</v>
      </c>
      <c r="F59" s="1">
        <v>0.11543741566259928</v>
      </c>
      <c r="G59" s="1">
        <v>0.10548844419137296</v>
      </c>
      <c r="H59" s="1">
        <v>0.10625</v>
      </c>
      <c r="I59" s="1">
        <v>0.1055</v>
      </c>
    </row>
    <row r="60" spans="3:9" x14ac:dyDescent="0.4">
      <c r="C60" s="44" t="s">
        <v>82</v>
      </c>
      <c r="D60" s="45">
        <v>35508.726343470124</v>
      </c>
      <c r="E60" s="45">
        <v>40079.948031555941</v>
      </c>
      <c r="F60" s="45">
        <v>43491.141275658221</v>
      </c>
      <c r="G60" s="45">
        <v>46244.446228737208</v>
      </c>
      <c r="H60" s="45">
        <v>47742.305713898306</v>
      </c>
      <c r="I60" s="45">
        <v>49062.687023999999</v>
      </c>
    </row>
    <row r="62" spans="3:9" x14ac:dyDescent="0.4">
      <c r="C62" t="s">
        <v>83</v>
      </c>
      <c r="D62" s="24">
        <v>400</v>
      </c>
      <c r="E62" s="24">
        <v>1799.2</v>
      </c>
      <c r="F62" s="24">
        <v>2465.6319999999996</v>
      </c>
      <c r="G62" s="24">
        <v>3589.0295999999998</v>
      </c>
      <c r="H62" s="24">
        <v>3931.2723184271185</v>
      </c>
      <c r="I62" s="24">
        <v>2453.1343511999999</v>
      </c>
    </row>
    <row r="63" spans="3:9" x14ac:dyDescent="0.4">
      <c r="C63" s="1" t="s">
        <v>104</v>
      </c>
      <c r="D63" s="1">
        <v>0.14000000000000001</v>
      </c>
      <c r="E63" s="1">
        <v>0.13</v>
      </c>
      <c r="F63" s="1">
        <v>0.12</v>
      </c>
      <c r="G63" s="1">
        <v>0.11</v>
      </c>
      <c r="H63" s="1">
        <v>0.11</v>
      </c>
      <c r="I63" s="1">
        <v>0.11</v>
      </c>
    </row>
    <row r="64" spans="3:9" x14ac:dyDescent="0.4">
      <c r="C64" s="44" t="s">
        <v>82</v>
      </c>
      <c r="D64" s="45">
        <v>35508.726343470109</v>
      </c>
      <c r="E64" s="45">
        <v>40079.948031555927</v>
      </c>
      <c r="F64" s="45">
        <v>43491.141275658199</v>
      </c>
      <c r="G64" s="45">
        <v>46244.446228737193</v>
      </c>
      <c r="H64" s="45">
        <v>47742.305713898291</v>
      </c>
      <c r="I64" s="45">
        <v>49062.687023999992</v>
      </c>
    </row>
    <row r="66" spans="3:9" x14ac:dyDescent="0.4">
      <c r="C66" s="24" t="s">
        <v>79</v>
      </c>
      <c r="D66" s="24">
        <v>8720</v>
      </c>
      <c r="E66" s="24">
        <v>6167.1999999999989</v>
      </c>
      <c r="F66" s="24">
        <v>2352.0639999999994</v>
      </c>
      <c r="G66" s="24">
        <v>781.10842847457752</v>
      </c>
      <c r="H66" s="24">
        <v>5998.3674114440673</v>
      </c>
      <c r="I66" s="24">
        <v>2453.1343511999999</v>
      </c>
    </row>
    <row r="67" spans="3:9" x14ac:dyDescent="0.4">
      <c r="C67" t="s">
        <v>84</v>
      </c>
      <c r="D67" s="1">
        <v>0.14000000000000001</v>
      </c>
      <c r="E67" s="1">
        <v>0.14702773567081009</v>
      </c>
      <c r="F67" s="1">
        <v>0.14622824165420545</v>
      </c>
      <c r="G67" s="1">
        <v>0.13150726898245746</v>
      </c>
      <c r="H67" s="1">
        <v>0.12666666666666668</v>
      </c>
      <c r="I67" s="1">
        <v>0.13142857142857142</v>
      </c>
    </row>
    <row r="68" spans="3:9" x14ac:dyDescent="0.4">
      <c r="C68" t="s">
        <v>85</v>
      </c>
      <c r="D68" s="24">
        <v>35508.726343470131</v>
      </c>
      <c r="E68" s="24">
        <v>31759.948031555956</v>
      </c>
      <c r="F68" s="24">
        <v>30262.341275658229</v>
      </c>
      <c r="G68" s="24">
        <v>32335.486228737213</v>
      </c>
      <c r="H68" s="24">
        <v>35806.729285423724</v>
      </c>
      <c r="I68" s="24">
        <v>34343.880916800001</v>
      </c>
    </row>
    <row r="69" spans="3:9" x14ac:dyDescent="0.4">
      <c r="C69" s="44" t="s">
        <v>82</v>
      </c>
      <c r="D69" s="45">
        <v>35508.726343470131</v>
      </c>
      <c r="E69" s="45">
        <v>40079.948031555956</v>
      </c>
      <c r="F69" s="45">
        <v>43491.141275658229</v>
      </c>
      <c r="G69" s="45">
        <v>46244.446228737215</v>
      </c>
      <c r="H69" s="45">
        <v>47742.305713898299</v>
      </c>
      <c r="I69" s="45">
        <v>49062.687023999999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24AA-CF15-465A-AA1F-31C1352C6464}">
  <sheetPr codeName="Munka4">
    <tabColor theme="9" tint="0.39997558519241921"/>
  </sheetPr>
  <dimension ref="B1:F88"/>
  <sheetViews>
    <sheetView topLeftCell="A8" workbookViewId="0">
      <selection activeCell="C39" sqref="C39"/>
    </sheetView>
  </sheetViews>
  <sheetFormatPr defaultRowHeight="15.45" x14ac:dyDescent="0.4"/>
  <cols>
    <col min="2" max="2" width="19.85546875" bestFit="1" customWidth="1"/>
    <col min="3" max="3" width="37.2109375" bestFit="1" customWidth="1"/>
  </cols>
  <sheetData>
    <row r="1" spans="2:3" ht="15.9" thickBot="1" x14ac:dyDescent="0.45"/>
    <row r="2" spans="2:3" ht="18" x14ac:dyDescent="0.45">
      <c r="B2" s="10" t="s">
        <v>15</v>
      </c>
      <c r="C2" s="16" t="s">
        <v>61</v>
      </c>
    </row>
    <row r="3" spans="2:3" ht="18" x14ac:dyDescent="0.45">
      <c r="B3" s="11" t="s">
        <v>19</v>
      </c>
      <c r="C3" s="12" t="s">
        <v>16</v>
      </c>
    </row>
    <row r="4" spans="2:3" ht="18" x14ac:dyDescent="0.45">
      <c r="B4" s="11" t="s">
        <v>18</v>
      </c>
      <c r="C4" s="12" t="s">
        <v>7</v>
      </c>
    </row>
    <row r="5" spans="2:3" ht="18" x14ac:dyDescent="0.45">
      <c r="B5" s="11"/>
      <c r="C5" s="13"/>
    </row>
    <row r="6" spans="2:3" ht="18" x14ac:dyDescent="0.45">
      <c r="B6" s="11" t="s">
        <v>20</v>
      </c>
      <c r="C6" s="13" t="s">
        <v>11</v>
      </c>
    </row>
    <row r="7" spans="2:3" ht="18.45" thickBot="1" x14ac:dyDescent="0.5">
      <c r="B7" s="14" t="s">
        <v>13</v>
      </c>
      <c r="C7" s="15" t="s">
        <v>14</v>
      </c>
    </row>
    <row r="8" spans="2:3" ht="15.9" thickBot="1" x14ac:dyDescent="0.45"/>
    <row r="9" spans="2:3" ht="20.149999999999999" thickBot="1" x14ac:dyDescent="0.5">
      <c r="B9" s="17" t="s">
        <v>58</v>
      </c>
      <c r="C9" s="18"/>
    </row>
    <row r="17" spans="3:6" ht="15.9" thickBot="1" x14ac:dyDescent="0.45"/>
    <row r="18" spans="3:6" ht="15.9" thickBot="1" x14ac:dyDescent="0.45">
      <c r="C18" s="58"/>
      <c r="D18" s="59">
        <v>2019</v>
      </c>
      <c r="E18" s="59">
        <v>2020</v>
      </c>
      <c r="F18" s="59">
        <v>2021</v>
      </c>
    </row>
    <row r="19" spans="3:6" ht="15.9" thickBot="1" x14ac:dyDescent="0.45">
      <c r="C19" s="39" t="s">
        <v>41</v>
      </c>
      <c r="D19" s="40">
        <v>400</v>
      </c>
      <c r="E19" s="40">
        <v>450</v>
      </c>
      <c r="F19" s="40">
        <v>520</v>
      </c>
    </row>
    <row r="20" spans="3:6" ht="15.9" thickBot="1" x14ac:dyDescent="0.45">
      <c r="C20" s="39" t="s">
        <v>62</v>
      </c>
      <c r="D20" s="40">
        <v>100</v>
      </c>
      <c r="E20" s="40">
        <v>110</v>
      </c>
      <c r="F20" s="40">
        <v>130</v>
      </c>
    </row>
    <row r="21" spans="3:6" ht="15.9" thickBot="1" x14ac:dyDescent="0.45">
      <c r="C21" s="65" t="s">
        <v>87</v>
      </c>
      <c r="D21" s="66">
        <v>300</v>
      </c>
      <c r="E21" s="66">
        <v>340</v>
      </c>
      <c r="F21" s="66">
        <v>390</v>
      </c>
    </row>
    <row r="22" spans="3:6" ht="15.9" thickBot="1" x14ac:dyDescent="0.45">
      <c r="C22" s="39" t="s">
        <v>57</v>
      </c>
      <c r="D22" s="40">
        <v>30</v>
      </c>
      <c r="E22" s="40">
        <v>200</v>
      </c>
      <c r="F22" s="40">
        <v>0</v>
      </c>
    </row>
    <row r="23" spans="3:6" ht="15.9" thickBot="1" x14ac:dyDescent="0.45">
      <c r="C23" s="39" t="s">
        <v>42</v>
      </c>
      <c r="D23" s="40">
        <v>300</v>
      </c>
      <c r="E23" s="40">
        <v>720</v>
      </c>
      <c r="F23" s="40">
        <v>1200</v>
      </c>
    </row>
    <row r="24" spans="3:6" ht="15.9" thickBot="1" x14ac:dyDescent="0.45">
      <c r="C24" s="39" t="s">
        <v>43</v>
      </c>
      <c r="D24" s="40">
        <v>800</v>
      </c>
      <c r="E24" s="40">
        <v>650</v>
      </c>
      <c r="F24" s="40">
        <v>750</v>
      </c>
    </row>
    <row r="25" spans="3:6" ht="15.9" thickBot="1" x14ac:dyDescent="0.45">
      <c r="C25" s="60" t="s">
        <v>44</v>
      </c>
      <c r="D25" s="61">
        <v>1530</v>
      </c>
      <c r="E25" s="61">
        <v>2020</v>
      </c>
      <c r="F25" s="61">
        <v>2470</v>
      </c>
    </row>
    <row r="26" spans="3:6" ht="15.9" thickBot="1" x14ac:dyDescent="0.45">
      <c r="C26" s="39" t="s">
        <v>45</v>
      </c>
      <c r="D26" s="40">
        <v>2000</v>
      </c>
      <c r="E26" s="40">
        <v>1900</v>
      </c>
      <c r="F26" s="40">
        <v>1850</v>
      </c>
    </row>
    <row r="27" spans="3:6" ht="15.9" thickBot="1" x14ac:dyDescent="0.45">
      <c r="C27" s="60" t="s">
        <v>52</v>
      </c>
      <c r="D27" s="62">
        <v>3530</v>
      </c>
      <c r="E27" s="62">
        <v>3920</v>
      </c>
      <c r="F27" s="62">
        <v>4320</v>
      </c>
    </row>
    <row r="28" spans="3:6" ht="15.9" thickBot="1" x14ac:dyDescent="0.45">
      <c r="C28" s="39" t="s">
        <v>51</v>
      </c>
      <c r="D28" s="40">
        <v>300</v>
      </c>
      <c r="E28" s="40">
        <v>250</v>
      </c>
      <c r="F28" s="40">
        <v>100</v>
      </c>
    </row>
    <row r="29" spans="3:6" ht="15.9" thickBot="1" x14ac:dyDescent="0.45">
      <c r="C29" s="39" t="s">
        <v>63</v>
      </c>
      <c r="D29" s="40">
        <v>100</v>
      </c>
      <c r="E29" s="40">
        <v>150</v>
      </c>
      <c r="F29" s="40">
        <v>100</v>
      </c>
    </row>
    <row r="30" spans="3:6" ht="15.9" thickBot="1" x14ac:dyDescent="0.45">
      <c r="C30" s="65" t="s">
        <v>92</v>
      </c>
      <c r="D30" s="66">
        <v>200</v>
      </c>
      <c r="E30" s="66">
        <v>100</v>
      </c>
      <c r="F30" s="66">
        <v>0</v>
      </c>
    </row>
    <row r="31" spans="3:6" ht="15.9" thickBot="1" x14ac:dyDescent="0.45">
      <c r="C31" s="39" t="s">
        <v>50</v>
      </c>
      <c r="D31" s="40">
        <v>250</v>
      </c>
      <c r="E31" s="40">
        <v>300</v>
      </c>
      <c r="F31" s="40">
        <v>450</v>
      </c>
    </row>
    <row r="32" spans="3:6" ht="15.9" thickBot="1" x14ac:dyDescent="0.45">
      <c r="C32" s="60" t="s">
        <v>49</v>
      </c>
      <c r="D32" s="62">
        <v>550</v>
      </c>
      <c r="E32" s="62">
        <v>550</v>
      </c>
      <c r="F32" s="62">
        <v>550</v>
      </c>
    </row>
    <row r="33" spans="3:6" ht="15.9" thickBot="1" x14ac:dyDescent="0.45">
      <c r="C33" s="39" t="s">
        <v>48</v>
      </c>
      <c r="D33" s="40">
        <v>500</v>
      </c>
      <c r="E33" s="40">
        <v>600</v>
      </c>
      <c r="F33" s="40">
        <v>300</v>
      </c>
    </row>
    <row r="34" spans="3:6" ht="15.9" thickBot="1" x14ac:dyDescent="0.45">
      <c r="C34" s="39" t="s">
        <v>47</v>
      </c>
      <c r="D34" s="40">
        <v>2480</v>
      </c>
      <c r="E34" s="40">
        <v>2770</v>
      </c>
      <c r="F34" s="40">
        <v>3470</v>
      </c>
    </row>
    <row r="35" spans="3:6" ht="15.9" thickBot="1" x14ac:dyDescent="0.45">
      <c r="C35" s="60" t="s">
        <v>46</v>
      </c>
      <c r="D35" s="62">
        <v>3530</v>
      </c>
      <c r="E35" s="62">
        <v>3920</v>
      </c>
      <c r="F35" s="62">
        <v>4320</v>
      </c>
    </row>
    <row r="36" spans="3:6" ht="15.9" thickBot="1" x14ac:dyDescent="0.45">
      <c r="C36" s="49"/>
      <c r="D36" s="49"/>
      <c r="E36" s="49"/>
      <c r="F36" s="49"/>
    </row>
    <row r="37" spans="3:6" ht="15.9" thickBot="1" x14ac:dyDescent="0.45">
      <c r="C37" s="58"/>
      <c r="D37" s="59">
        <v>2019</v>
      </c>
      <c r="E37" s="59">
        <v>2020</v>
      </c>
      <c r="F37" s="59">
        <v>2021</v>
      </c>
    </row>
    <row r="38" spans="3:6" x14ac:dyDescent="0.4">
      <c r="C38" s="63" t="s">
        <v>22</v>
      </c>
      <c r="D38" s="64">
        <v>14000</v>
      </c>
      <c r="E38" s="64">
        <v>15000</v>
      </c>
      <c r="F38" s="64">
        <v>16000</v>
      </c>
    </row>
    <row r="39" spans="3:6" ht="15.9" thickBot="1" x14ac:dyDescent="0.45">
      <c r="C39" s="39" t="s">
        <v>27</v>
      </c>
      <c r="D39" s="40">
        <v>200</v>
      </c>
      <c r="E39" s="40">
        <v>100</v>
      </c>
      <c r="F39" s="40">
        <v>0</v>
      </c>
    </row>
    <row r="40" spans="3:6" ht="15.9" thickBot="1" x14ac:dyDescent="0.45">
      <c r="C40" s="39" t="s">
        <v>28</v>
      </c>
      <c r="D40" s="40">
        <v>8000</v>
      </c>
      <c r="E40" s="40">
        <v>8500</v>
      </c>
      <c r="F40" s="40">
        <v>8700</v>
      </c>
    </row>
    <row r="41" spans="3:6" ht="15.9" thickBot="1" x14ac:dyDescent="0.45">
      <c r="C41" s="39" t="s">
        <v>29</v>
      </c>
      <c r="D41" s="40">
        <v>4200</v>
      </c>
      <c r="E41" s="40">
        <v>4500</v>
      </c>
      <c r="F41" s="40">
        <v>5500</v>
      </c>
    </row>
    <row r="42" spans="3:6" ht="15.9" thickBot="1" x14ac:dyDescent="0.45">
      <c r="C42" s="39" t="s">
        <v>30</v>
      </c>
      <c r="D42" s="40">
        <v>250</v>
      </c>
      <c r="E42" s="40">
        <v>150</v>
      </c>
      <c r="F42" s="40">
        <v>180</v>
      </c>
    </row>
    <row r="43" spans="3:6" ht="15.9" thickBot="1" x14ac:dyDescent="0.45">
      <c r="C43" s="39" t="s">
        <v>55</v>
      </c>
      <c r="D43" s="40">
        <v>500</v>
      </c>
      <c r="E43" s="40">
        <v>700</v>
      </c>
      <c r="F43" s="40">
        <v>1000</v>
      </c>
    </row>
    <row r="44" spans="3:6" ht="15.9" thickBot="1" x14ac:dyDescent="0.45">
      <c r="C44" s="60" t="s">
        <v>31</v>
      </c>
      <c r="D44" s="62">
        <v>1250</v>
      </c>
      <c r="E44" s="62">
        <v>1250</v>
      </c>
      <c r="F44" s="62">
        <v>620</v>
      </c>
    </row>
    <row r="45" spans="3:6" ht="15.9" thickBot="1" x14ac:dyDescent="0.45">
      <c r="C45" s="39" t="s">
        <v>32</v>
      </c>
      <c r="D45" s="40">
        <v>20</v>
      </c>
      <c r="E45" s="40">
        <v>50</v>
      </c>
      <c r="F45" s="40">
        <v>0</v>
      </c>
    </row>
    <row r="46" spans="3:6" ht="15.9" thickBot="1" x14ac:dyDescent="0.45">
      <c r="C46" s="39" t="s">
        <v>33</v>
      </c>
      <c r="D46" s="40">
        <v>0</v>
      </c>
      <c r="E46" s="40">
        <v>70</v>
      </c>
      <c r="F46" s="40">
        <v>50</v>
      </c>
    </row>
    <row r="47" spans="3:6" ht="15.9" thickBot="1" x14ac:dyDescent="0.45">
      <c r="C47" s="39" t="s">
        <v>34</v>
      </c>
      <c r="D47" s="40">
        <v>80</v>
      </c>
      <c r="E47" s="40">
        <v>85</v>
      </c>
      <c r="F47" s="40">
        <v>40</v>
      </c>
    </row>
    <row r="48" spans="3:6" ht="15.9" thickBot="1" x14ac:dyDescent="0.45">
      <c r="C48" s="39" t="s">
        <v>56</v>
      </c>
      <c r="D48" s="40">
        <v>10</v>
      </c>
      <c r="E48" s="40">
        <v>8</v>
      </c>
      <c r="F48" s="40">
        <v>12</v>
      </c>
    </row>
    <row r="49" spans="3:6" ht="15.9" thickBot="1" x14ac:dyDescent="0.45">
      <c r="C49" s="60" t="s">
        <v>35</v>
      </c>
      <c r="D49" s="62">
        <v>-60</v>
      </c>
      <c r="E49" s="62">
        <v>35</v>
      </c>
      <c r="F49" s="62">
        <v>10</v>
      </c>
    </row>
    <row r="50" spans="3:6" ht="15.9" thickBot="1" x14ac:dyDescent="0.45">
      <c r="C50" s="39" t="s">
        <v>36</v>
      </c>
      <c r="D50" s="40">
        <v>1190</v>
      </c>
      <c r="E50" s="40">
        <v>1285</v>
      </c>
      <c r="F50" s="40">
        <v>630</v>
      </c>
    </row>
    <row r="51" spans="3:6" ht="15.9" thickBot="1" x14ac:dyDescent="0.45">
      <c r="C51" s="39" t="s">
        <v>37</v>
      </c>
      <c r="D51" s="40">
        <v>23</v>
      </c>
      <c r="E51" s="40">
        <v>74</v>
      </c>
      <c r="F51" s="40">
        <v>98</v>
      </c>
    </row>
    <row r="52" spans="3:6" ht="15.9" thickBot="1" x14ac:dyDescent="0.45">
      <c r="C52" s="60" t="s">
        <v>38</v>
      </c>
      <c r="D52" s="62">
        <v>1167</v>
      </c>
      <c r="E52" s="62">
        <v>1211</v>
      </c>
      <c r="F52" s="62">
        <v>532</v>
      </c>
    </row>
    <row r="53" spans="3:6" ht="15.9" thickBot="1" x14ac:dyDescent="0.45">
      <c r="C53" s="39" t="s">
        <v>39</v>
      </c>
      <c r="D53" s="40">
        <v>500</v>
      </c>
      <c r="E53" s="40">
        <v>600</v>
      </c>
      <c r="F53" s="40">
        <v>200</v>
      </c>
    </row>
    <row r="54" spans="3:6" ht="15.9" thickBot="1" x14ac:dyDescent="0.45">
      <c r="C54" s="39" t="s">
        <v>40</v>
      </c>
      <c r="D54" s="40">
        <v>667</v>
      </c>
      <c r="E54" s="40">
        <v>611</v>
      </c>
      <c r="F54" s="40">
        <v>332</v>
      </c>
    </row>
    <row r="56" spans="3:6" x14ac:dyDescent="0.4">
      <c r="C56" s="38" t="s">
        <v>8</v>
      </c>
      <c r="E56" s="1">
        <v>0.10625</v>
      </c>
      <c r="F56" s="1">
        <v>4.7058823529411764E-2</v>
      </c>
    </row>
    <row r="57" spans="3:6" x14ac:dyDescent="0.4">
      <c r="C57" s="38" t="s">
        <v>6</v>
      </c>
      <c r="E57" s="1">
        <v>5.991902834008097E-2</v>
      </c>
      <c r="F57" s="1">
        <v>0.15555555555555556</v>
      </c>
    </row>
    <row r="58" spans="3:6" x14ac:dyDescent="0.4">
      <c r="C58" t="s">
        <v>31</v>
      </c>
      <c r="D58" s="24">
        <v>1250</v>
      </c>
      <c r="E58" s="24">
        <v>1250</v>
      </c>
      <c r="F58" s="24">
        <v>620</v>
      </c>
    </row>
    <row r="59" spans="3:6" x14ac:dyDescent="0.4">
      <c r="C59" s="38" t="s">
        <v>97</v>
      </c>
      <c r="D59" s="24"/>
      <c r="E59" s="24">
        <v>8</v>
      </c>
      <c r="F59" s="24">
        <v>12</v>
      </c>
    </row>
    <row r="60" spans="3:6" x14ac:dyDescent="0.4">
      <c r="C60" s="38" t="s">
        <v>98</v>
      </c>
      <c r="D60" s="24"/>
      <c r="E60" s="24">
        <v>1242</v>
      </c>
      <c r="F60" s="24">
        <v>608</v>
      </c>
    </row>
    <row r="61" spans="3:6" x14ac:dyDescent="0.4">
      <c r="C61" s="38" t="s">
        <v>78</v>
      </c>
      <c r="E61" s="24">
        <v>1167.5805668016194</v>
      </c>
      <c r="F61" s="24">
        <v>513.42222222222222</v>
      </c>
    </row>
    <row r="62" spans="3:6" x14ac:dyDescent="0.4">
      <c r="C62" s="41" t="s">
        <v>30</v>
      </c>
      <c r="D62" s="42">
        <v>250</v>
      </c>
      <c r="E62" s="42">
        <v>150</v>
      </c>
      <c r="F62" s="42">
        <v>180</v>
      </c>
    </row>
    <row r="63" spans="3:6" x14ac:dyDescent="0.4">
      <c r="C63" t="s">
        <v>87</v>
      </c>
      <c r="E63" s="24">
        <v>-40</v>
      </c>
      <c r="F63" s="24">
        <v>-50</v>
      </c>
    </row>
    <row r="64" spans="3:6" x14ac:dyDescent="0.4">
      <c r="C64" s="38" t="s">
        <v>88</v>
      </c>
      <c r="E64" s="24">
        <v>-420</v>
      </c>
      <c r="F64" s="24">
        <v>-480</v>
      </c>
    </row>
    <row r="65" spans="3:6" x14ac:dyDescent="0.4">
      <c r="C65" t="s">
        <v>89</v>
      </c>
      <c r="E65" s="24">
        <v>150</v>
      </c>
      <c r="F65" s="24">
        <v>-100</v>
      </c>
    </row>
    <row r="66" spans="3:6" x14ac:dyDescent="0.4">
      <c r="C66" s="38" t="s">
        <v>90</v>
      </c>
      <c r="E66" s="24">
        <v>-100</v>
      </c>
      <c r="F66" s="24">
        <v>-100</v>
      </c>
    </row>
    <row r="67" spans="3:6" x14ac:dyDescent="0.4">
      <c r="C67" t="s">
        <v>91</v>
      </c>
      <c r="E67" s="24">
        <v>50</v>
      </c>
      <c r="F67" s="24">
        <v>150</v>
      </c>
    </row>
    <row r="68" spans="3:6" x14ac:dyDescent="0.4">
      <c r="C68" s="43" t="s">
        <v>93</v>
      </c>
      <c r="D68" s="31"/>
      <c r="E68" s="36">
        <v>957.5805668016194</v>
      </c>
      <c r="F68" s="36">
        <v>113.42222222222222</v>
      </c>
    </row>
    <row r="69" spans="3:6" x14ac:dyDescent="0.4">
      <c r="C69" s="24" t="s">
        <v>30</v>
      </c>
      <c r="D69" s="24">
        <v>-250</v>
      </c>
      <c r="E69" s="24">
        <v>-150</v>
      </c>
      <c r="F69" s="24">
        <v>-180</v>
      </c>
    </row>
    <row r="70" spans="3:6" x14ac:dyDescent="0.4">
      <c r="C70" t="s">
        <v>94</v>
      </c>
      <c r="E70" s="24">
        <v>100</v>
      </c>
      <c r="F70" s="24">
        <v>50</v>
      </c>
    </row>
    <row r="71" spans="3:6" x14ac:dyDescent="0.4">
      <c r="C71" s="24" t="s">
        <v>32</v>
      </c>
      <c r="D71" s="24">
        <v>20</v>
      </c>
      <c r="E71" s="24">
        <v>50</v>
      </c>
      <c r="F71" s="24">
        <v>0</v>
      </c>
    </row>
    <row r="72" spans="3:6" x14ac:dyDescent="0.4">
      <c r="C72" s="24" t="s">
        <v>33</v>
      </c>
      <c r="D72" s="24">
        <v>0</v>
      </c>
      <c r="E72" s="24">
        <v>70</v>
      </c>
      <c r="F72" s="24">
        <v>50</v>
      </c>
    </row>
    <row r="73" spans="3:6" x14ac:dyDescent="0.4">
      <c r="C73" t="s">
        <v>96</v>
      </c>
      <c r="E73" s="24">
        <v>4.1943319838056681</v>
      </c>
      <c r="F73" s="24">
        <v>7.7777777777777777</v>
      </c>
    </row>
    <row r="74" spans="3:6" x14ac:dyDescent="0.4">
      <c r="C74" s="31" t="s">
        <v>95</v>
      </c>
      <c r="D74" s="31"/>
      <c r="E74" s="36">
        <v>65.805668016194332</v>
      </c>
      <c r="F74" s="36">
        <v>-87.777777777777771</v>
      </c>
    </row>
    <row r="75" spans="3:6" x14ac:dyDescent="0.4">
      <c r="C75" s="44" t="s">
        <v>67</v>
      </c>
      <c r="D75" s="44"/>
      <c r="E75" s="45">
        <v>1023.3862348178137</v>
      </c>
      <c r="F75" s="45">
        <v>25.644444444444446</v>
      </c>
    </row>
    <row r="76" spans="3:6" x14ac:dyDescent="0.4">
      <c r="C76" t="s">
        <v>99</v>
      </c>
      <c r="E76" s="24">
        <v>77</v>
      </c>
      <c r="F76" s="24">
        <v>28</v>
      </c>
    </row>
    <row r="77" spans="3:6" x14ac:dyDescent="0.4">
      <c r="C77" t="s">
        <v>100</v>
      </c>
      <c r="E77" s="24">
        <v>4.6137651821862349</v>
      </c>
      <c r="F77" s="24">
        <v>4.3555555555555561</v>
      </c>
    </row>
    <row r="78" spans="3:6" x14ac:dyDescent="0.4">
      <c r="C78" t="s">
        <v>75</v>
      </c>
      <c r="E78" s="24">
        <v>150</v>
      </c>
      <c r="F78" s="24">
        <v>-350</v>
      </c>
    </row>
    <row r="79" spans="3:6" x14ac:dyDescent="0.4">
      <c r="C79" s="44" t="s">
        <v>79</v>
      </c>
      <c r="D79" s="44"/>
      <c r="E79" s="45">
        <v>1101</v>
      </c>
      <c r="F79" s="45">
        <v>-348</v>
      </c>
    </row>
    <row r="80" spans="3:6" x14ac:dyDescent="0.4">
      <c r="C80" s="24" t="s">
        <v>39</v>
      </c>
      <c r="D80" s="24">
        <v>500</v>
      </c>
      <c r="E80" s="24">
        <v>600</v>
      </c>
      <c r="F80" s="24">
        <v>200</v>
      </c>
    </row>
    <row r="81" spans="3:6" x14ac:dyDescent="0.4">
      <c r="C81" t="s">
        <v>101</v>
      </c>
      <c r="E81" s="24">
        <v>-321</v>
      </c>
      <c r="F81" s="24">
        <v>368</v>
      </c>
    </row>
    <row r="82" spans="3:6" x14ac:dyDescent="0.4">
      <c r="C82" s="31" t="s">
        <v>102</v>
      </c>
      <c r="D82" s="31"/>
      <c r="E82" s="36">
        <v>180</v>
      </c>
      <c r="F82" s="36">
        <v>-180</v>
      </c>
    </row>
    <row r="85" spans="3:6" x14ac:dyDescent="0.4">
      <c r="C85" s="24" t="s">
        <v>62</v>
      </c>
      <c r="D85" s="24">
        <v>100</v>
      </c>
      <c r="E85" s="24">
        <v>110</v>
      </c>
      <c r="F85" s="24">
        <v>130</v>
      </c>
    </row>
    <row r="86" spans="3:6" x14ac:dyDescent="0.4">
      <c r="C86" s="24" t="s">
        <v>57</v>
      </c>
      <c r="D86" s="24">
        <v>30</v>
      </c>
      <c r="E86" s="24">
        <v>200</v>
      </c>
      <c r="F86" s="24">
        <v>0</v>
      </c>
    </row>
    <row r="87" spans="3:6" x14ac:dyDescent="0.4">
      <c r="C87" t="s">
        <v>103</v>
      </c>
      <c r="D87" s="24">
        <v>130</v>
      </c>
      <c r="E87" s="24">
        <v>310</v>
      </c>
      <c r="F87" s="24">
        <v>130</v>
      </c>
    </row>
    <row r="88" spans="3:6" x14ac:dyDescent="0.4">
      <c r="C88" s="31" t="s">
        <v>102</v>
      </c>
      <c r="E88" s="36">
        <v>180</v>
      </c>
      <c r="F88" s="36">
        <v>-180</v>
      </c>
    </row>
  </sheetData>
  <sheetProtection sheet="1" objects="1" scenario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83F8-C1ED-4618-BEF3-F3B796AB9621}">
  <sheetPr codeName="Munka6">
    <tabColor theme="9" tint="0.39997558519241921"/>
  </sheetPr>
  <dimension ref="B1:T51"/>
  <sheetViews>
    <sheetView topLeftCell="A9" workbookViewId="0">
      <selection activeCell="L26" sqref="L26"/>
    </sheetView>
  </sheetViews>
  <sheetFormatPr defaultRowHeight="15.45" x14ac:dyDescent="0.4"/>
  <cols>
    <col min="2" max="2" width="19.35546875" bestFit="1" customWidth="1"/>
    <col min="3" max="3" width="23.5703125" bestFit="1" customWidth="1"/>
    <col min="4" max="10" width="7.78515625" bestFit="1" customWidth="1"/>
  </cols>
  <sheetData>
    <row r="1" spans="2:3" ht="15.9" thickBot="1" x14ac:dyDescent="0.45"/>
    <row r="2" spans="2:3" ht="18" x14ac:dyDescent="0.45">
      <c r="B2" s="10" t="s">
        <v>15</v>
      </c>
      <c r="C2" s="16" t="s">
        <v>61</v>
      </c>
    </row>
    <row r="3" spans="2:3" ht="18" x14ac:dyDescent="0.45">
      <c r="B3" s="11" t="s">
        <v>19</v>
      </c>
      <c r="C3" s="12" t="s">
        <v>16</v>
      </c>
    </row>
    <row r="4" spans="2:3" ht="18" x14ac:dyDescent="0.45">
      <c r="B4" s="11" t="s">
        <v>18</v>
      </c>
      <c r="C4" s="12" t="s">
        <v>7</v>
      </c>
    </row>
    <row r="5" spans="2:3" ht="18" x14ac:dyDescent="0.45">
      <c r="B5" s="11"/>
      <c r="C5" s="13"/>
    </row>
    <row r="6" spans="2:3" ht="18" x14ac:dyDescent="0.45">
      <c r="B6" s="11" t="s">
        <v>20</v>
      </c>
      <c r="C6" s="13" t="s">
        <v>11</v>
      </c>
    </row>
    <row r="7" spans="2:3" ht="18.45" thickBot="1" x14ac:dyDescent="0.5">
      <c r="B7" s="14" t="s">
        <v>13</v>
      </c>
      <c r="C7" s="15" t="s">
        <v>14</v>
      </c>
    </row>
    <row r="8" spans="2:3" ht="15.9" thickBot="1" x14ac:dyDescent="0.45"/>
    <row r="9" spans="2:3" ht="20.149999999999999" thickBot="1" x14ac:dyDescent="0.5">
      <c r="B9" s="17" t="s">
        <v>58</v>
      </c>
      <c r="C9" s="18"/>
    </row>
    <row r="19" spans="3:20" x14ac:dyDescent="0.4">
      <c r="C19" s="20"/>
      <c r="D19" s="2">
        <v>2023</v>
      </c>
      <c r="E19" s="2">
        <v>2024</v>
      </c>
      <c r="F19" s="2">
        <v>2025</v>
      </c>
      <c r="G19" s="2">
        <v>2026</v>
      </c>
      <c r="H19" s="2">
        <v>2027</v>
      </c>
      <c r="I19" s="2" t="s">
        <v>64</v>
      </c>
      <c r="J19" s="2" t="s">
        <v>65</v>
      </c>
      <c r="M19" s="20"/>
      <c r="N19" s="2">
        <v>2023</v>
      </c>
      <c r="O19" s="2">
        <v>2024</v>
      </c>
      <c r="P19" s="2">
        <v>2025</v>
      </c>
      <c r="Q19" s="2">
        <v>2026</v>
      </c>
      <c r="R19" s="2">
        <v>2027</v>
      </c>
      <c r="S19" s="2" t="s">
        <v>64</v>
      </c>
      <c r="T19" s="2" t="s">
        <v>65</v>
      </c>
    </row>
    <row r="20" spans="3:20" x14ac:dyDescent="0.4">
      <c r="C20" s="67" t="s">
        <v>2</v>
      </c>
      <c r="D20" s="68">
        <v>0.14000000000000001</v>
      </c>
      <c r="E20" s="68">
        <v>0.14000000000000001</v>
      </c>
      <c r="F20" s="68">
        <v>0.12</v>
      </c>
      <c r="G20" s="68">
        <v>0.12</v>
      </c>
      <c r="H20" s="68">
        <v>0.1</v>
      </c>
      <c r="I20" s="68">
        <v>0.1</v>
      </c>
      <c r="J20" s="69"/>
      <c r="M20" s="3" t="s">
        <v>2</v>
      </c>
      <c r="N20" s="35">
        <v>0.15000000000000002</v>
      </c>
      <c r="O20" s="35">
        <v>0.15000000000000002</v>
      </c>
      <c r="P20" s="35">
        <v>0.13</v>
      </c>
      <c r="Q20" s="35">
        <v>0.13</v>
      </c>
      <c r="R20" s="35">
        <v>0.11</v>
      </c>
      <c r="S20" s="4">
        <v>0.1</v>
      </c>
    </row>
    <row r="21" spans="3:20" x14ac:dyDescent="0.4">
      <c r="C21" s="67" t="s">
        <v>3</v>
      </c>
      <c r="D21" s="68">
        <v>0.7</v>
      </c>
      <c r="E21" s="68">
        <v>0.5</v>
      </c>
      <c r="F21" s="68">
        <v>0.4</v>
      </c>
      <c r="G21" s="68">
        <v>0.4</v>
      </c>
      <c r="H21" s="68">
        <v>0.4</v>
      </c>
      <c r="I21" s="34">
        <v>0.6</v>
      </c>
      <c r="M21" s="3" t="s">
        <v>3</v>
      </c>
      <c r="N21" s="4">
        <v>0.7</v>
      </c>
      <c r="O21" s="4">
        <v>0.5</v>
      </c>
      <c r="P21" s="4">
        <v>0.4</v>
      </c>
      <c r="Q21" s="4">
        <v>0.4</v>
      </c>
      <c r="R21" s="4">
        <v>0.4</v>
      </c>
      <c r="S21" s="34">
        <v>0.6</v>
      </c>
    </row>
    <row r="22" spans="3:20" x14ac:dyDescent="0.4">
      <c r="C22" s="67" t="s">
        <v>26</v>
      </c>
      <c r="D22" s="70"/>
      <c r="E22" s="70"/>
      <c r="F22" s="70"/>
      <c r="G22" s="68"/>
      <c r="H22" s="68"/>
      <c r="I22" s="69"/>
      <c r="J22" s="68">
        <v>0.06</v>
      </c>
      <c r="M22" s="3" t="s">
        <v>26</v>
      </c>
      <c r="N22" s="20"/>
      <c r="O22" s="20"/>
      <c r="P22" s="20"/>
      <c r="Q22" s="4"/>
      <c r="R22" s="4"/>
      <c r="T22" s="4">
        <v>0.06</v>
      </c>
    </row>
    <row r="23" spans="3:20" x14ac:dyDescent="0.4">
      <c r="C23" s="67" t="s">
        <v>54</v>
      </c>
      <c r="D23" s="68">
        <v>0.12859912375686355</v>
      </c>
      <c r="E23" s="68">
        <v>0.15</v>
      </c>
      <c r="F23" s="68">
        <v>0.2</v>
      </c>
      <c r="G23" s="68">
        <v>0.25</v>
      </c>
      <c r="H23" s="68">
        <v>0.25</v>
      </c>
      <c r="I23" s="68">
        <v>0.25</v>
      </c>
      <c r="J23" s="69"/>
      <c r="M23" s="3" t="s">
        <v>54</v>
      </c>
      <c r="N23" s="4">
        <v>0.11799586321490416</v>
      </c>
      <c r="O23" s="4">
        <v>0.15</v>
      </c>
      <c r="P23" s="4">
        <v>0.2</v>
      </c>
      <c r="Q23" s="4">
        <v>0.25</v>
      </c>
      <c r="R23" s="4">
        <v>0.25</v>
      </c>
      <c r="S23" s="4">
        <v>0.25</v>
      </c>
    </row>
    <row r="24" spans="3:20" x14ac:dyDescent="0.4">
      <c r="C24" s="67" t="s">
        <v>53</v>
      </c>
      <c r="D24" s="68">
        <v>0.2</v>
      </c>
      <c r="E24" s="68"/>
      <c r="F24" s="68"/>
      <c r="G24" s="68"/>
      <c r="H24" s="68"/>
      <c r="I24" s="68"/>
      <c r="J24" s="69"/>
      <c r="M24" s="3" t="s">
        <v>53</v>
      </c>
      <c r="N24" s="4">
        <v>0.2</v>
      </c>
      <c r="O24" s="4"/>
      <c r="P24" s="4"/>
      <c r="Q24" s="4"/>
      <c r="R24" s="4"/>
      <c r="S24" s="4"/>
    </row>
    <row r="25" spans="3:20" ht="18" x14ac:dyDescent="0.4">
      <c r="C25" s="67" t="s">
        <v>5</v>
      </c>
      <c r="D25" s="68">
        <v>0.08</v>
      </c>
      <c r="E25" s="68">
        <v>7.0000000000000007E-2</v>
      </c>
      <c r="F25" s="68">
        <v>0.06</v>
      </c>
      <c r="G25" s="68">
        <v>0.06</v>
      </c>
      <c r="H25" s="68">
        <v>0.06</v>
      </c>
      <c r="I25" s="68">
        <v>0.06</v>
      </c>
      <c r="J25" s="69"/>
      <c r="M25" s="3" t="s">
        <v>5</v>
      </c>
      <c r="N25" s="4">
        <v>0.08</v>
      </c>
      <c r="O25" s="4">
        <v>7.0000000000000007E-2</v>
      </c>
      <c r="P25" s="4">
        <v>0.06</v>
      </c>
      <c r="Q25" s="4">
        <v>0.06</v>
      </c>
      <c r="R25" s="4">
        <v>0.06</v>
      </c>
      <c r="S25" s="4">
        <v>0.06</v>
      </c>
    </row>
    <row r="26" spans="3:20" ht="18" x14ac:dyDescent="0.4">
      <c r="C26" s="67" t="s">
        <v>4</v>
      </c>
      <c r="D26" s="68">
        <v>0.12</v>
      </c>
      <c r="E26" s="68">
        <v>0.11</v>
      </c>
      <c r="F26" s="68">
        <v>0.1</v>
      </c>
      <c r="G26" s="68">
        <v>0.1</v>
      </c>
      <c r="H26" s="68">
        <v>0.1</v>
      </c>
      <c r="I26" s="68">
        <v>0.1</v>
      </c>
      <c r="J26" s="69"/>
      <c r="M26" s="3" t="s">
        <v>4</v>
      </c>
      <c r="N26" s="4">
        <v>0.12</v>
      </c>
      <c r="O26" s="4">
        <v>0.11</v>
      </c>
      <c r="P26" s="4">
        <v>0.1</v>
      </c>
      <c r="Q26" s="4">
        <v>0.1</v>
      </c>
      <c r="R26" s="4">
        <v>0.1</v>
      </c>
      <c r="S26" s="4">
        <v>0.1</v>
      </c>
    </row>
    <row r="27" spans="3:20" x14ac:dyDescent="0.4">
      <c r="C27" s="67" t="s">
        <v>6</v>
      </c>
      <c r="D27" s="68">
        <v>0.25</v>
      </c>
      <c r="E27" s="68">
        <v>0.25</v>
      </c>
      <c r="F27" s="68">
        <v>0.25</v>
      </c>
      <c r="G27" s="68">
        <v>0.25</v>
      </c>
      <c r="H27" s="68">
        <v>0.25</v>
      </c>
      <c r="I27" s="68">
        <v>0.25</v>
      </c>
      <c r="J27" s="69"/>
      <c r="M27" s="3" t="s">
        <v>6</v>
      </c>
      <c r="N27" s="4">
        <v>0.25</v>
      </c>
      <c r="O27" s="4">
        <v>0.25</v>
      </c>
      <c r="P27" s="4">
        <v>0.25</v>
      </c>
      <c r="Q27" s="4">
        <v>0.25</v>
      </c>
      <c r="R27" s="4">
        <v>0.25</v>
      </c>
      <c r="S27" s="4">
        <v>0.25</v>
      </c>
    </row>
    <row r="28" spans="3:20" x14ac:dyDescent="0.4">
      <c r="C28" s="20"/>
      <c r="D28" s="20"/>
      <c r="E28" s="20"/>
      <c r="F28" s="20"/>
      <c r="G28" s="20"/>
      <c r="H28" s="20"/>
      <c r="I28" s="20"/>
      <c r="M28" s="20"/>
      <c r="N28" s="20"/>
      <c r="O28" s="20"/>
      <c r="P28" s="20"/>
      <c r="Q28" s="20"/>
      <c r="R28" s="20"/>
      <c r="S28" s="20"/>
    </row>
    <row r="29" spans="3:20" x14ac:dyDescent="0.4">
      <c r="C29" s="3"/>
      <c r="D29" s="2">
        <v>2023</v>
      </c>
      <c r="E29" s="2">
        <v>2024</v>
      </c>
      <c r="F29" s="2">
        <v>2025</v>
      </c>
      <c r="G29" s="2">
        <v>2026</v>
      </c>
      <c r="H29" s="2">
        <v>2027</v>
      </c>
      <c r="I29" s="2" t="s">
        <v>64</v>
      </c>
      <c r="J29" s="2" t="s">
        <v>65</v>
      </c>
      <c r="M29" s="3"/>
      <c r="N29" s="2">
        <v>2023</v>
      </c>
      <c r="O29" s="2">
        <v>2024</v>
      </c>
      <c r="P29" s="2">
        <v>2025</v>
      </c>
      <c r="Q29" s="2">
        <v>2026</v>
      </c>
      <c r="R29" s="2">
        <v>2027</v>
      </c>
      <c r="S29" s="2" t="s">
        <v>64</v>
      </c>
      <c r="T29" s="2" t="s">
        <v>65</v>
      </c>
    </row>
    <row r="30" spans="3:20" x14ac:dyDescent="0.4">
      <c r="C30" s="20" t="s">
        <v>21</v>
      </c>
      <c r="D30" s="21">
        <v>1000</v>
      </c>
      <c r="E30" s="24">
        <v>1098</v>
      </c>
      <c r="F30" s="24">
        <v>1174.8599999999999</v>
      </c>
      <c r="G30" s="24">
        <v>1240.03728</v>
      </c>
      <c r="H30" s="24">
        <v>1308.3430694399999</v>
      </c>
      <c r="I30" s="24">
        <v>1379.3810904575998</v>
      </c>
      <c r="J30" s="24">
        <v>1490.2004032450559</v>
      </c>
      <c r="M30" s="20" t="s">
        <v>21</v>
      </c>
      <c r="N30" s="21">
        <v>1000</v>
      </c>
      <c r="O30" s="24">
        <v>1105</v>
      </c>
      <c r="P30" s="24">
        <v>1187.875</v>
      </c>
      <c r="Q30" s="24">
        <v>1258.4845</v>
      </c>
      <c r="R30" s="24">
        <v>1332.7656939999999</v>
      </c>
      <c r="S30" s="24">
        <v>1410.3152605359999</v>
      </c>
      <c r="T30" s="24">
        <v>1531.29258433216</v>
      </c>
    </row>
    <row r="31" spans="3:20" x14ac:dyDescent="0.4">
      <c r="C31" s="3" t="s">
        <v>76</v>
      </c>
      <c r="D31" s="24">
        <v>200</v>
      </c>
      <c r="E31" s="24">
        <v>254.3770524278687</v>
      </c>
      <c r="F31" s="24">
        <v>360.21571790974826</v>
      </c>
      <c r="G31" s="24">
        <v>469.5043231837422</v>
      </c>
      <c r="H31" s="24">
        <v>489.07944325017741</v>
      </c>
      <c r="I31" s="24">
        <v>509.5140817814069</v>
      </c>
      <c r="J31" s="24">
        <v>0</v>
      </c>
      <c r="M31" s="3" t="s">
        <v>76</v>
      </c>
      <c r="N31" s="24">
        <v>200</v>
      </c>
      <c r="O31" s="24">
        <v>277.40574553664487</v>
      </c>
      <c r="P31" s="24">
        <v>393.0145832848562</v>
      </c>
      <c r="Q31" s="24">
        <v>512.44268482935911</v>
      </c>
      <c r="R31" s="24">
        <v>533.90984549418488</v>
      </c>
      <c r="S31" s="24">
        <v>556.21758067200017</v>
      </c>
      <c r="T31" s="24">
        <v>0</v>
      </c>
    </row>
    <row r="32" spans="3:20" x14ac:dyDescent="0.4">
      <c r="C32" s="20" t="s">
        <v>77</v>
      </c>
      <c r="D32" s="24">
        <v>800</v>
      </c>
      <c r="E32" s="24">
        <v>843.62294757213135</v>
      </c>
      <c r="F32" s="24">
        <v>814.64428209025164</v>
      </c>
      <c r="G32" s="24">
        <v>770.53295681625787</v>
      </c>
      <c r="H32" s="24">
        <v>819.2636261898225</v>
      </c>
      <c r="I32" s="24">
        <v>869.86700867619288</v>
      </c>
      <c r="J32" s="24">
        <v>1490.2004032450559</v>
      </c>
      <c r="M32" s="20" t="s">
        <v>77</v>
      </c>
      <c r="N32" s="24">
        <v>800</v>
      </c>
      <c r="O32" s="24">
        <v>827.59425446335513</v>
      </c>
      <c r="P32" s="24">
        <v>794.86041671514386</v>
      </c>
      <c r="Q32" s="24">
        <v>746.04181517064092</v>
      </c>
      <c r="R32" s="24">
        <v>798.85584850581506</v>
      </c>
      <c r="S32" s="24">
        <v>854.0976798639997</v>
      </c>
      <c r="T32" s="24">
        <v>1531.29258433216</v>
      </c>
    </row>
    <row r="34" spans="3:19" x14ac:dyDescent="0.4">
      <c r="C34" t="s">
        <v>66</v>
      </c>
      <c r="D34" s="24">
        <v>140</v>
      </c>
      <c r="E34" s="24">
        <v>153.72</v>
      </c>
      <c r="F34" s="24">
        <v>162.94319999999999</v>
      </c>
      <c r="G34" s="24">
        <v>170.7644736</v>
      </c>
      <c r="H34" s="24">
        <v>177.595052544</v>
      </c>
      <c r="I34" s="24">
        <v>184.69885464576001</v>
      </c>
      <c r="M34" t="s">
        <v>66</v>
      </c>
      <c r="N34" s="24">
        <v>150.00000000000003</v>
      </c>
      <c r="O34" s="24">
        <v>165.75000000000003</v>
      </c>
      <c r="P34" s="24">
        <v>176.52375000000004</v>
      </c>
      <c r="Q34" s="24">
        <v>185.70298500000004</v>
      </c>
      <c r="R34" s="24">
        <v>193.87391634000005</v>
      </c>
      <c r="S34" s="24">
        <v>201.62887299360005</v>
      </c>
    </row>
    <row r="35" spans="3:19" x14ac:dyDescent="0.4">
      <c r="C35" t="s">
        <v>10</v>
      </c>
      <c r="D35" s="24">
        <v>98</v>
      </c>
      <c r="E35" s="24">
        <v>76.86</v>
      </c>
      <c r="F35" s="24">
        <v>65.177279999999996</v>
      </c>
      <c r="G35" s="24">
        <v>68.305789439999998</v>
      </c>
      <c r="H35" s="24">
        <v>71.038021017600002</v>
      </c>
      <c r="I35" s="24">
        <v>110.819312787456</v>
      </c>
      <c r="M35" t="s">
        <v>10</v>
      </c>
      <c r="N35" s="24">
        <v>105.00000000000001</v>
      </c>
      <c r="O35" s="24">
        <v>82.875000000000014</v>
      </c>
      <c r="P35" s="24">
        <v>70.609500000000011</v>
      </c>
      <c r="Q35" s="24">
        <v>74.281194000000013</v>
      </c>
      <c r="R35" s="24">
        <v>77.549566536000029</v>
      </c>
      <c r="S35" s="24">
        <v>120.97732379616002</v>
      </c>
    </row>
    <row r="36" spans="3:19" x14ac:dyDescent="0.4">
      <c r="C36" t="s">
        <v>67</v>
      </c>
      <c r="D36" s="24">
        <v>42</v>
      </c>
      <c r="E36" s="24">
        <v>76.86</v>
      </c>
      <c r="F36" s="24">
        <v>97.765919999999994</v>
      </c>
      <c r="G36" s="24">
        <v>102.45868416</v>
      </c>
      <c r="H36" s="24">
        <v>106.5570315264</v>
      </c>
      <c r="I36" s="24">
        <v>73.879541858304009</v>
      </c>
      <c r="M36" t="s">
        <v>67</v>
      </c>
      <c r="N36" s="24">
        <v>45.000000000000014</v>
      </c>
      <c r="O36" s="24">
        <v>82.875000000000014</v>
      </c>
      <c r="P36" s="24">
        <v>105.91425000000002</v>
      </c>
      <c r="Q36" s="24">
        <v>111.42179100000003</v>
      </c>
      <c r="R36" s="24">
        <v>116.32434980400002</v>
      </c>
      <c r="S36" s="24">
        <v>80.651549197440033</v>
      </c>
    </row>
    <row r="37" spans="3:19" x14ac:dyDescent="0.4">
      <c r="C37" t="s">
        <v>70</v>
      </c>
      <c r="D37" s="24">
        <v>16</v>
      </c>
      <c r="E37" s="24">
        <v>17.806393669950811</v>
      </c>
      <c r="F37" s="24">
        <v>21.612943074584894</v>
      </c>
      <c r="G37" s="24">
        <v>28.17025939102453</v>
      </c>
      <c r="H37" s="24">
        <v>29.344766595010643</v>
      </c>
      <c r="I37" s="24">
        <v>30.570844906884414</v>
      </c>
      <c r="M37" t="s">
        <v>70</v>
      </c>
      <c r="N37" s="24">
        <v>16</v>
      </c>
      <c r="O37" s="24">
        <v>19.418402187565142</v>
      </c>
      <c r="P37" s="24">
        <v>23.580874997091371</v>
      </c>
      <c r="Q37" s="24">
        <v>30.746561089761546</v>
      </c>
      <c r="R37" s="24">
        <v>32.034590729651093</v>
      </c>
      <c r="S37" s="24">
        <v>33.373054840320009</v>
      </c>
    </row>
    <row r="38" spans="3:19" x14ac:dyDescent="0.4">
      <c r="C38" t="s">
        <v>74</v>
      </c>
      <c r="D38" s="24">
        <v>4</v>
      </c>
      <c r="E38" s="24">
        <v>4.4515984174877028</v>
      </c>
      <c r="F38" s="24">
        <v>5.4032357686462236</v>
      </c>
      <c r="G38" s="24">
        <v>7.0425648477561325</v>
      </c>
      <c r="H38" s="24">
        <v>7.3361916487526608</v>
      </c>
      <c r="I38" s="24">
        <v>7.6427112267211035</v>
      </c>
      <c r="M38" t="s">
        <v>74</v>
      </c>
      <c r="N38" s="24">
        <v>4</v>
      </c>
      <c r="O38" s="24">
        <v>4.8546005468912856</v>
      </c>
      <c r="P38" s="24">
        <v>5.8952187492728427</v>
      </c>
      <c r="Q38" s="24">
        <v>7.6866402724403864</v>
      </c>
      <c r="R38" s="24">
        <v>8.0086476824127732</v>
      </c>
      <c r="S38" s="24">
        <v>8.3432637100800022</v>
      </c>
    </row>
    <row r="41" spans="3:19" x14ac:dyDescent="0.4">
      <c r="C41" s="24" t="s">
        <v>67</v>
      </c>
      <c r="D41" s="24">
        <v>42</v>
      </c>
      <c r="E41" s="24">
        <v>76.86</v>
      </c>
      <c r="F41" s="24">
        <v>97.765919999999994</v>
      </c>
      <c r="G41" s="24">
        <v>102.45868416</v>
      </c>
      <c r="H41" s="24">
        <v>106.5570315264</v>
      </c>
      <c r="I41" s="24">
        <v>73.879541858304009</v>
      </c>
      <c r="M41" s="24" t="s">
        <v>67</v>
      </c>
      <c r="N41" s="24">
        <v>45.000000000000014</v>
      </c>
      <c r="O41" s="24">
        <v>82.875000000000014</v>
      </c>
      <c r="P41" s="24">
        <v>105.91425000000002</v>
      </c>
      <c r="Q41" s="24">
        <v>111.42179100000003</v>
      </c>
      <c r="R41" s="24">
        <v>116.32434980400002</v>
      </c>
      <c r="S41" s="24">
        <v>80.651549197440033</v>
      </c>
    </row>
    <row r="42" spans="3:19" x14ac:dyDescent="0.4">
      <c r="C42" t="s">
        <v>81</v>
      </c>
      <c r="D42" s="23">
        <v>0.11742801752486272</v>
      </c>
      <c r="E42" s="23">
        <v>0.107375</v>
      </c>
      <c r="F42" s="23">
        <v>9.7000000000000003E-2</v>
      </c>
      <c r="G42" s="23">
        <v>9.6250000000000002E-2</v>
      </c>
      <c r="H42" s="23">
        <v>9.6250000000000002E-2</v>
      </c>
      <c r="I42" s="23">
        <v>9.6250000000000002E-2</v>
      </c>
      <c r="M42" t="s">
        <v>81</v>
      </c>
      <c r="N42" s="23">
        <v>0.11764008273570191</v>
      </c>
      <c r="O42" s="23">
        <v>0.107375</v>
      </c>
      <c r="P42" s="23">
        <v>9.7000000000000003E-2</v>
      </c>
      <c r="Q42" s="23">
        <v>9.6250000000000002E-2</v>
      </c>
      <c r="R42" s="23">
        <v>9.6250000000000002E-2</v>
      </c>
      <c r="S42" s="23">
        <v>9.6250000000000002E-2</v>
      </c>
    </row>
    <row r="43" spans="3:19" x14ac:dyDescent="0.4">
      <c r="C43" t="s">
        <v>82</v>
      </c>
      <c r="D43" s="24">
        <v>1555.2205501658852</v>
      </c>
      <c r="E43" s="24">
        <v>1695.8470161857915</v>
      </c>
      <c r="F43" s="24">
        <v>1801.0785895487411</v>
      </c>
      <c r="G43" s="24">
        <v>1878.0172927349688</v>
      </c>
      <c r="H43" s="24">
        <v>1956.3177730007096</v>
      </c>
      <c r="I43" s="24">
        <v>2038.0563271256276</v>
      </c>
      <c r="M43" t="s">
        <v>82</v>
      </c>
      <c r="N43" s="24">
        <v>1694.9746758133626</v>
      </c>
      <c r="O43" s="24">
        <v>1849.3716369109659</v>
      </c>
      <c r="P43" s="24">
        <v>1965.0729164242809</v>
      </c>
      <c r="Q43" s="24">
        <v>2049.7707393174364</v>
      </c>
      <c r="R43" s="24">
        <v>2135.6393819767395</v>
      </c>
      <c r="S43" s="24">
        <v>2224.8703226880007</v>
      </c>
    </row>
    <row r="45" spans="3:19" x14ac:dyDescent="0.4">
      <c r="C45" t="s">
        <v>83</v>
      </c>
      <c r="D45" s="24">
        <v>46</v>
      </c>
      <c r="E45" s="24">
        <v>81.311598417487701</v>
      </c>
      <c r="F45" s="24">
        <v>103.16915576864622</v>
      </c>
      <c r="G45" s="24">
        <v>109.50124900775614</v>
      </c>
      <c r="H45" s="24">
        <v>113.89322317515266</v>
      </c>
      <c r="I45" s="24">
        <v>81.522253085025113</v>
      </c>
      <c r="M45" t="s">
        <v>83</v>
      </c>
      <c r="N45" s="24">
        <v>49.000000000000014</v>
      </c>
      <c r="O45" s="24">
        <v>87.729600546891305</v>
      </c>
      <c r="P45" s="24">
        <v>111.80946874927287</v>
      </c>
      <c r="Q45" s="24">
        <v>119.10843127244041</v>
      </c>
      <c r="R45" s="24">
        <v>124.33299748641279</v>
      </c>
      <c r="S45" s="24">
        <v>88.994812907520043</v>
      </c>
    </row>
    <row r="46" spans="3:19" x14ac:dyDescent="0.4">
      <c r="C46" t="s">
        <v>82</v>
      </c>
      <c r="D46" s="24">
        <v>1555.2205501658846</v>
      </c>
      <c r="E46" s="24">
        <v>1695.8470161857908</v>
      </c>
      <c r="F46" s="24">
        <v>1801.0785895487404</v>
      </c>
      <c r="G46" s="24">
        <v>1878.0172927349684</v>
      </c>
      <c r="H46" s="24">
        <v>1956.3177730007092</v>
      </c>
      <c r="I46" s="24">
        <v>2038.0563271256274</v>
      </c>
      <c r="M46" t="s">
        <v>82</v>
      </c>
      <c r="N46" s="24">
        <v>1694.9746758133622</v>
      </c>
      <c r="O46" s="24">
        <v>1849.3716369109659</v>
      </c>
      <c r="P46" s="24">
        <v>1965.0729164242812</v>
      </c>
      <c r="Q46" s="24">
        <v>2049.7707393174364</v>
      </c>
      <c r="R46" s="24">
        <v>2135.6393819767395</v>
      </c>
      <c r="S46" s="24">
        <v>2224.8703226880007</v>
      </c>
    </row>
    <row r="47" spans="3:19" x14ac:dyDescent="0.4">
      <c r="M47" t="s">
        <v>85</v>
      </c>
      <c r="N47" s="24">
        <v>1494.9746758133622</v>
      </c>
    </row>
    <row r="50" spans="13:14" x14ac:dyDescent="0.4">
      <c r="M50" s="31" t="s">
        <v>41</v>
      </c>
      <c r="N50" s="36">
        <v>139.75412564747762</v>
      </c>
    </row>
    <row r="51" spans="13:14" x14ac:dyDescent="0.4">
      <c r="M51" s="31" t="s">
        <v>86</v>
      </c>
      <c r="N51" s="37">
        <v>9.3482604025678498E-2</v>
      </c>
    </row>
  </sheetData>
  <sheetProtection sheet="1" objects="1" scenarios="1"/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7B94-CD1F-4364-9903-53CFB2227E96}">
  <sheetPr codeName="Munka1">
    <tabColor theme="9" tint="0.39997558519241921"/>
  </sheetPr>
  <dimension ref="B1:K21"/>
  <sheetViews>
    <sheetView workbookViewId="0">
      <selection activeCell="O29" sqref="O29"/>
    </sheetView>
  </sheetViews>
  <sheetFormatPr defaultRowHeight="15.45" x14ac:dyDescent="0.4"/>
  <cols>
    <col min="2" max="2" width="19.85546875" bestFit="1" customWidth="1"/>
    <col min="3" max="3" width="37.2109375" bestFit="1" customWidth="1"/>
  </cols>
  <sheetData>
    <row r="1" spans="2:3" ht="15.9" thickBot="1" x14ac:dyDescent="0.45"/>
    <row r="2" spans="2:3" ht="18" x14ac:dyDescent="0.45">
      <c r="B2" s="10" t="s">
        <v>15</v>
      </c>
      <c r="C2" s="16" t="s">
        <v>61</v>
      </c>
    </row>
    <row r="3" spans="2:3" ht="18" x14ac:dyDescent="0.45">
      <c r="B3" s="11" t="s">
        <v>19</v>
      </c>
      <c r="C3" s="12" t="s">
        <v>16</v>
      </c>
    </row>
    <row r="4" spans="2:3" ht="18" x14ac:dyDescent="0.45">
      <c r="B4" s="11" t="s">
        <v>18</v>
      </c>
      <c r="C4" s="12" t="s">
        <v>7</v>
      </c>
    </row>
    <row r="5" spans="2:3" ht="18" x14ac:dyDescent="0.45">
      <c r="B5" s="11"/>
      <c r="C5" s="13"/>
    </row>
    <row r="6" spans="2:3" ht="18" x14ac:dyDescent="0.45">
      <c r="B6" s="11" t="s">
        <v>20</v>
      </c>
      <c r="C6" s="13" t="s">
        <v>11</v>
      </c>
    </row>
    <row r="7" spans="2:3" ht="18.45" thickBot="1" x14ac:dyDescent="0.5">
      <c r="B7" s="14" t="s">
        <v>13</v>
      </c>
      <c r="C7" s="15" t="s">
        <v>14</v>
      </c>
    </row>
    <row r="8" spans="2:3" ht="15.9" thickBot="1" x14ac:dyDescent="0.45"/>
    <row r="9" spans="2:3" ht="20.149999999999999" thickBot="1" x14ac:dyDescent="0.5">
      <c r="B9" s="17" t="s">
        <v>58</v>
      </c>
      <c r="C9" s="18"/>
    </row>
    <row r="21" spans="11:11" ht="20.149999999999999" x14ac:dyDescent="0.5">
      <c r="K21" s="27"/>
    </row>
  </sheetData>
  <sheetProtection algorithmName="SHA-512" hashValue="+8yTWQp9n1QH6jtdYqrtn0pDLHRYRW0OnO3JySLQL1lwnz4SThRQeR5a/dM8fyS6pSAKj9vm53RpzD28C1dVRw==" saltValue="z1CFM+j/+GTnIG27i5l8qw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OpeningPage</vt:lpstr>
      <vt:lpstr>Admin</vt:lpstr>
      <vt:lpstr>Task 1</vt:lpstr>
      <vt:lpstr>Task 2</vt:lpstr>
      <vt:lpstr>Task 3</vt:lpstr>
      <vt:lpstr>Task 4</vt:lpstr>
      <vt:lpstr>Task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Juhász Péter</cp:lastModifiedBy>
  <dcterms:created xsi:type="dcterms:W3CDTF">2014-05-14T18:27:14Z</dcterms:created>
  <dcterms:modified xsi:type="dcterms:W3CDTF">2022-12-15T21:34:50Z</dcterms:modified>
</cp:coreProperties>
</file>