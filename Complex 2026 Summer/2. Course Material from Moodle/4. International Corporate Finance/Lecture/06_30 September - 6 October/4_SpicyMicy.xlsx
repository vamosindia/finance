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leyla_yusifzada_uni-corvinus_hu/Documents/icf_2024/case study/"/>
    </mc:Choice>
  </mc:AlternateContent>
  <xr:revisionPtr revIDLastSave="1" documentId="13_ncr:1_{CAB253C7-B2A0-452F-BC8E-A5FBC743D4BA}" xr6:coauthVersionLast="47" xr6:coauthVersionMax="47" xr10:uidLastSave="{E7463A1E-12E3-48CD-8C3C-A25A38631A20}"/>
  <bookViews>
    <workbookView xWindow="-120" yWindow="-120" windowWidth="29040" windowHeight="15840" xr2:uid="{00000000-000D-0000-FFFF-FFFF00000000}"/>
  </bookViews>
  <sheets>
    <sheet name="Assumptions" sheetId="1" r:id="rId1"/>
    <sheet name="Business 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C51" i="2"/>
  <c r="K20" i="2" l="1"/>
  <c r="K21" i="2"/>
  <c r="K19" i="2"/>
  <c r="K14" i="2"/>
  <c r="K15" i="2"/>
  <c r="K16" i="2"/>
  <c r="K13" i="2"/>
  <c r="B67" i="1"/>
  <c r="B55" i="1"/>
  <c r="K22" i="2" l="1"/>
  <c r="C3" i="2" l="1"/>
  <c r="K12" i="2" s="1"/>
  <c r="G12" i="1" l="1"/>
  <c r="G23" i="1" s="1"/>
  <c r="G27" i="1" s="1"/>
  <c r="B46" i="1" l="1"/>
  <c r="B51" i="1" s="1"/>
  <c r="B57" i="1" s="1"/>
  <c r="B63" i="1" s="1"/>
  <c r="B43" i="1"/>
  <c r="B35" i="1"/>
  <c r="B69" i="1" s="1"/>
  <c r="B27" i="1"/>
  <c r="B31" i="1"/>
  <c r="B12" i="1"/>
  <c r="C39" i="2" l="1"/>
  <c r="C28" i="1" l="1"/>
  <c r="B23" i="1"/>
  <c r="C3" i="1"/>
  <c r="C31" i="2"/>
  <c r="C54" i="2" s="1"/>
  <c r="D3" i="2" l="1"/>
  <c r="L12" i="2" s="1"/>
  <c r="C46" i="1"/>
  <c r="C27" i="2"/>
  <c r="D3" i="1"/>
  <c r="C35" i="1"/>
  <c r="C69" i="1" s="1"/>
  <c r="C43" i="1"/>
  <c r="C12" i="1"/>
  <c r="C23" i="1" s="1"/>
  <c r="C27" i="1" s="1"/>
  <c r="D28" i="1"/>
  <c r="E3" i="2" l="1"/>
  <c r="M12" i="2" s="1"/>
  <c r="D46" i="1"/>
  <c r="C25" i="2"/>
  <c r="C24" i="2" s="1"/>
  <c r="D12" i="1"/>
  <c r="D23" i="1" s="1"/>
  <c r="D27" i="1" s="1"/>
  <c r="E3" i="1"/>
  <c r="D31" i="2"/>
  <c r="D54" i="2" s="1"/>
  <c r="D43" i="1"/>
  <c r="D35" i="1"/>
  <c r="D69" i="1" s="1"/>
  <c r="E24" i="1"/>
  <c r="E28" i="1"/>
  <c r="F3" i="2" l="1"/>
  <c r="N12" i="2" s="1"/>
  <c r="E46" i="1"/>
  <c r="C28" i="2"/>
  <c r="F3" i="1"/>
  <c r="E12" i="1"/>
  <c r="E23" i="1" s="1"/>
  <c r="E27" i="1" s="1"/>
  <c r="E35" i="1"/>
  <c r="E69" i="1" s="1"/>
  <c r="E43" i="1"/>
  <c r="E31" i="2"/>
  <c r="E54" i="2" s="1"/>
  <c r="F28" i="1"/>
  <c r="F24" i="1"/>
  <c r="G3" i="2" l="1"/>
  <c r="O12" i="2" s="1"/>
  <c r="F46" i="1"/>
  <c r="G28" i="1"/>
  <c r="G24" i="1"/>
  <c r="F35" i="1"/>
  <c r="F69" i="1" s="1"/>
  <c r="F43" i="1"/>
  <c r="F31" i="2"/>
  <c r="F54" i="2" s="1"/>
  <c r="F12" i="1"/>
  <c r="F23" i="1" s="1"/>
  <c r="F27" i="1" s="1"/>
  <c r="G31" i="2" l="1"/>
  <c r="G54" i="2" s="1"/>
  <c r="C52" i="2" l="1"/>
  <c r="D39" i="2" l="1"/>
  <c r="D27" i="2" l="1"/>
  <c r="D25" i="2" l="1"/>
  <c r="D24" i="2" s="1"/>
  <c r="D51" i="2"/>
  <c r="D52" i="2" s="1"/>
  <c r="D28" i="2" l="1"/>
  <c r="E39" i="2" l="1"/>
  <c r="F39" i="2"/>
  <c r="G39" i="2"/>
  <c r="G51" i="2" l="1"/>
  <c r="G52" i="2" s="1"/>
  <c r="E27" i="2" l="1"/>
  <c r="F27" i="2" l="1"/>
  <c r="G27" i="2"/>
  <c r="E25" i="2"/>
  <c r="E24" i="2" s="1"/>
  <c r="E51" i="2"/>
  <c r="E52" i="2" s="1"/>
  <c r="F51" i="2"/>
  <c r="F52" i="2" s="1"/>
  <c r="E28" i="2" l="1"/>
  <c r="G25" i="2"/>
  <c r="G24" i="2" s="1"/>
  <c r="F25" i="2"/>
  <c r="F24" i="2" s="1"/>
  <c r="F28" i="2" l="1"/>
  <c r="G28" i="2"/>
</calcChain>
</file>

<file path=xl/sharedStrings.xml><?xml version="1.0" encoding="utf-8"?>
<sst xmlns="http://schemas.openxmlformats.org/spreadsheetml/2006/main" count="201" uniqueCount="101">
  <si>
    <t>Macro assumptions</t>
  </si>
  <si>
    <t>General</t>
  </si>
  <si>
    <t>TV</t>
  </si>
  <si>
    <t>Inflation (Hungary)</t>
  </si>
  <si>
    <t>Inflation (Slovakia)</t>
  </si>
  <si>
    <t>Corporate Tax</t>
  </si>
  <si>
    <t>Wage contribution</t>
  </si>
  <si>
    <t>Number of months</t>
  </si>
  <si>
    <t>Assumptions for the balance sheet &amp; income statement</t>
  </si>
  <si>
    <t>Number of days</t>
  </si>
  <si>
    <t>Accounts receivables days</t>
  </si>
  <si>
    <t>Accounts receivables</t>
  </si>
  <si>
    <t xml:space="preserve">Accounts payables days </t>
  </si>
  <si>
    <t xml:space="preserve">Accounts payables </t>
  </si>
  <si>
    <t>Inventory days</t>
  </si>
  <si>
    <t>Inventory</t>
  </si>
  <si>
    <t>Debt</t>
  </si>
  <si>
    <t>Cost of debt</t>
  </si>
  <si>
    <t xml:space="preserve">Debit </t>
  </si>
  <si>
    <t>debit interest rate</t>
  </si>
  <si>
    <t>Costs</t>
  </si>
  <si>
    <t>Monthly operating costs</t>
  </si>
  <si>
    <t>Monthly rent</t>
  </si>
  <si>
    <t>Growth</t>
  </si>
  <si>
    <t>paprika</t>
  </si>
  <si>
    <t>pepper</t>
  </si>
  <si>
    <t>herbs</t>
  </si>
  <si>
    <t>export</t>
  </si>
  <si>
    <t>net investment in the ratio of the sales</t>
  </si>
  <si>
    <t>Depreciation &amp; amortization</t>
  </si>
  <si>
    <t>DD&amp;A</t>
  </si>
  <si>
    <t>Wages</t>
  </si>
  <si>
    <t>one month wage</t>
  </si>
  <si>
    <t>New employees gross wage per month</t>
  </si>
  <si>
    <t>new employers capacity in sales</t>
  </si>
  <si>
    <t>Premium over COGS (per ton)</t>
  </si>
  <si>
    <t>export (paprika)</t>
  </si>
  <si>
    <t>Sales (ton)</t>
  </si>
  <si>
    <t>Cost of sales (per ton)</t>
  </si>
  <si>
    <t>D/IC</t>
  </si>
  <si>
    <t>Income Statement</t>
  </si>
  <si>
    <t>eFT</t>
  </si>
  <si>
    <t>Net sales</t>
  </si>
  <si>
    <t>Cost of sales</t>
  </si>
  <si>
    <t>Gross profit</t>
  </si>
  <si>
    <t>Selling, general and administrative</t>
  </si>
  <si>
    <t>operating costs</t>
  </si>
  <si>
    <t>wages</t>
  </si>
  <si>
    <t>wage contribution</t>
  </si>
  <si>
    <t>Increase in the number of employees compared to 2023</t>
  </si>
  <si>
    <t>Research and development</t>
  </si>
  <si>
    <t>Depreciation &amp; Amortization</t>
  </si>
  <si>
    <t>…</t>
  </si>
  <si>
    <t>Operating income</t>
  </si>
  <si>
    <t>Other income/expenses</t>
  </si>
  <si>
    <t>Earning before interest and taxes</t>
  </si>
  <si>
    <t>export paprika</t>
  </si>
  <si>
    <t>Interest income</t>
  </si>
  <si>
    <t>interest expense</t>
  </si>
  <si>
    <t>Cost of sales/ton</t>
  </si>
  <si>
    <t>Pretax income</t>
  </si>
  <si>
    <t>Taxes</t>
  </si>
  <si>
    <t>Net income</t>
  </si>
  <si>
    <t>Dividend</t>
  </si>
  <si>
    <t>Net sales/ton</t>
  </si>
  <si>
    <t>Retained earning</t>
  </si>
  <si>
    <t>Stockholders' equity change needed</t>
  </si>
  <si>
    <t>Common stock repurchase/issue</t>
  </si>
  <si>
    <t>Net sales - Hungary</t>
  </si>
  <si>
    <t>Balance sheet</t>
  </si>
  <si>
    <t>eFt</t>
  </si>
  <si>
    <t>Net sales - Slovakia</t>
  </si>
  <si>
    <t>Cost of sales - Hungary</t>
  </si>
  <si>
    <t>Current assets</t>
  </si>
  <si>
    <t>Cost of sales - Slovakia</t>
  </si>
  <si>
    <t>Cash (operation)</t>
  </si>
  <si>
    <t>Inventories</t>
  </si>
  <si>
    <t>Long-term assets</t>
  </si>
  <si>
    <t>Intangible assets</t>
  </si>
  <si>
    <t>Net property land and equipement</t>
  </si>
  <si>
    <t>Total assets</t>
  </si>
  <si>
    <t>Current liablities</t>
  </si>
  <si>
    <t>Accounts payables</t>
  </si>
  <si>
    <t>Notes payable/short-term debt</t>
  </si>
  <si>
    <t>Long-term liabilities</t>
  </si>
  <si>
    <t>Long-term debt</t>
  </si>
  <si>
    <t>Stockholder's equity</t>
  </si>
  <si>
    <t>Common stocks</t>
  </si>
  <si>
    <t>Common stocks repurchase/issue</t>
  </si>
  <si>
    <t>Accumulated retained earnings</t>
  </si>
  <si>
    <t>Retained earnings</t>
  </si>
  <si>
    <t>Total liabilities and Stockholders' Equity</t>
  </si>
  <si>
    <t>Check</t>
  </si>
  <si>
    <t>CF</t>
  </si>
  <si>
    <t>TV2</t>
  </si>
  <si>
    <t>EBIT</t>
  </si>
  <si>
    <t>NOPLAT</t>
  </si>
  <si>
    <t>IC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</si>
  <si>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IC</t>
    </r>
  </si>
  <si>
    <t>FCFF</t>
  </si>
  <si>
    <t>effective taxrate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</si>
</sst>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t_-;\-* #,##0.00\ _F_t_-;_-* &quot;-&quot;??\ _F_t_-;_-@_-"/>
    <numFmt numFmtId="165" formatCode="0.000%"/>
  </numFmts>
  <fonts count="3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indexed="9"/>
      <name val="Arial"/>
      <family val="2"/>
      <charset val="238"/>
    </font>
    <font>
      <b/>
      <sz val="12"/>
      <color indexed="9"/>
      <name val="Arial"/>
      <family val="2"/>
      <charset val="238"/>
    </font>
    <font>
      <sz val="10"/>
      <color indexed="9"/>
      <name val="Arial"/>
      <family val="2"/>
      <charset val="238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2"/>
      <color indexed="9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12"/>
      <name val="Calibri"/>
      <family val="2"/>
    </font>
    <font>
      <sz val="11"/>
      <color indexed="12"/>
      <name val="Calibri"/>
      <family val="2"/>
      <charset val="238"/>
    </font>
    <font>
      <i/>
      <sz val="11"/>
      <color theme="1"/>
      <name val="Calibri"/>
      <family val="2"/>
      <charset val="238"/>
      <scheme val="minor"/>
    </font>
    <font>
      <i/>
      <sz val="11"/>
      <color indexed="8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i/>
      <sz val="10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1"/>
      <name val="Symbol"/>
      <family val="1"/>
      <charset val="2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indexed="56"/>
        <bgColor indexed="19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19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 tint="-4.9989318521683403E-2"/>
        <bgColor indexed="31"/>
      </patternFill>
    </fill>
    <fill>
      <patternFill patternType="solid">
        <fgColor indexed="56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3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4" fontId="0" fillId="0" borderId="0" xfId="0" applyNumberFormat="1"/>
    <xf numFmtId="4" fontId="0" fillId="0" borderId="1" xfId="0" applyNumberFormat="1" applyBorder="1"/>
    <xf numFmtId="0" fontId="7" fillId="5" borderId="1" xfId="0" applyFont="1" applyFill="1" applyBorder="1" applyAlignment="1">
      <alignment horizontal="right"/>
    </xf>
    <xf numFmtId="0" fontId="18" fillId="6" borderId="1" xfId="0" applyFont="1" applyFill="1" applyBorder="1" applyAlignment="1">
      <alignment horizontal="right"/>
    </xf>
    <xf numFmtId="0" fontId="20" fillId="0" borderId="0" xfId="0" applyFont="1"/>
    <xf numFmtId="0" fontId="24" fillId="8" borderId="1" xfId="0" applyFont="1" applyFill="1" applyBorder="1"/>
    <xf numFmtId="3" fontId="24" fillId="8" borderId="1" xfId="0" applyNumberFormat="1" applyFont="1" applyFill="1" applyBorder="1"/>
    <xf numFmtId="0" fontId="22" fillId="0" borderId="1" xfId="0" applyFont="1" applyBorder="1" applyAlignment="1">
      <alignment horizontal="justify" vertical="center"/>
    </xf>
    <xf numFmtId="165" fontId="0" fillId="0" borderId="0" xfId="2" applyNumberFormat="1" applyFont="1"/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9" fillId="6" borderId="1" xfId="0" applyFont="1" applyFill="1" applyBorder="1"/>
    <xf numFmtId="3" fontId="0" fillId="7" borderId="1" xfId="0" applyNumberFormat="1" applyFill="1" applyBorder="1"/>
    <xf numFmtId="0" fontId="8" fillId="6" borderId="1" xfId="0" applyFont="1" applyFill="1" applyBorder="1" applyAlignment="1">
      <alignment horizontal="left"/>
    </xf>
    <xf numFmtId="3" fontId="19" fillId="7" borderId="1" xfId="0" applyNumberFormat="1" applyFont="1" applyFill="1" applyBorder="1"/>
    <xf numFmtId="0" fontId="9" fillId="6" borderId="1" xfId="0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8" fillId="8" borderId="1" xfId="0" applyFont="1" applyFill="1" applyBorder="1"/>
    <xf numFmtId="3" fontId="6" fillId="9" borderId="1" xfId="1" applyNumberFormat="1" applyFont="1" applyFill="1" applyBorder="1" applyAlignment="1" applyProtection="1">
      <alignment vertical="center" wrapText="1"/>
      <protection hidden="1"/>
    </xf>
    <xf numFmtId="3" fontId="6" fillId="7" borderId="1" xfId="1" applyNumberFormat="1" applyFont="1" applyFill="1" applyBorder="1" applyAlignment="1" applyProtection="1">
      <alignment vertical="center" wrapText="1"/>
      <protection hidden="1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7" fillId="5" borderId="1" xfId="0" applyFont="1" applyFill="1" applyBorder="1"/>
    <xf numFmtId="0" fontId="6" fillId="11" borderId="1" xfId="0" applyFont="1" applyFill="1" applyBorder="1"/>
    <xf numFmtId="3" fontId="13" fillId="0" borderId="1" xfId="1" applyNumberFormat="1" applyFont="1" applyFill="1" applyBorder="1" applyAlignment="1" applyProtection="1"/>
    <xf numFmtId="3" fontId="14" fillId="0" borderId="1" xfId="1" applyNumberFormat="1" applyFont="1" applyFill="1" applyBorder="1" applyAlignment="1" applyProtection="1"/>
    <xf numFmtId="0" fontId="10" fillId="11" borderId="1" xfId="0" applyFont="1" applyFill="1" applyBorder="1"/>
    <xf numFmtId="0" fontId="2" fillId="2" borderId="1" xfId="0" applyFont="1" applyFill="1" applyBorder="1" applyAlignment="1">
      <alignment wrapText="1"/>
    </xf>
    <xf numFmtId="3" fontId="2" fillId="2" borderId="1" xfId="1" applyNumberFormat="1" applyFont="1" applyFill="1" applyBorder="1" applyAlignment="1" applyProtection="1">
      <alignment horizontal="right" vertical="center" wrapText="1"/>
      <protection hidden="1"/>
    </xf>
    <xf numFmtId="3" fontId="14" fillId="0" borderId="1" xfId="1" applyNumberFormat="1" applyFont="1" applyFill="1" applyBorder="1" applyAlignment="1" applyProtection="1">
      <alignment vertical="center"/>
    </xf>
    <xf numFmtId="3" fontId="10" fillId="0" borderId="1" xfId="1" applyNumberFormat="1" applyFont="1" applyFill="1" applyBorder="1" applyAlignment="1" applyProtection="1">
      <alignment vertical="center"/>
    </xf>
    <xf numFmtId="0" fontId="10" fillId="11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3" fontId="10" fillId="16" borderId="1" xfId="1" applyNumberFormat="1" applyFont="1" applyFill="1" applyBorder="1" applyAlignment="1" applyProtection="1">
      <alignment vertical="center"/>
    </xf>
    <xf numFmtId="3" fontId="14" fillId="16" borderId="1" xfId="1" applyNumberFormat="1" applyFont="1" applyFill="1" applyBorder="1" applyAlignment="1" applyProtection="1"/>
    <xf numFmtId="3" fontId="6" fillId="19" borderId="1" xfId="1" applyNumberFormat="1" applyFont="1" applyFill="1" applyBorder="1" applyAlignment="1" applyProtection="1">
      <alignment vertical="center" wrapText="1"/>
      <protection hidden="1"/>
    </xf>
    <xf numFmtId="0" fontId="4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3" fontId="2" fillId="10" borderId="1" xfId="1" applyNumberFormat="1" applyFont="1" applyFill="1" applyBorder="1" applyAlignment="1" applyProtection="1">
      <alignment vertical="center" wrapText="1"/>
      <protection hidden="1"/>
    </xf>
    <xf numFmtId="3" fontId="11" fillId="7" borderId="1" xfId="1" applyNumberFormat="1" applyFont="1" applyFill="1" applyBorder="1" applyAlignment="1" applyProtection="1">
      <alignment vertical="center" wrapText="1"/>
    </xf>
    <xf numFmtId="0" fontId="25" fillId="17" borderId="1" xfId="0" applyFont="1" applyFill="1" applyBorder="1"/>
    <xf numFmtId="0" fontId="27" fillId="18" borderId="1" xfId="0" applyFont="1" applyFill="1" applyBorder="1"/>
    <xf numFmtId="3" fontId="27" fillId="18" borderId="1" xfId="0" applyNumberFormat="1" applyFont="1" applyFill="1" applyBorder="1"/>
    <xf numFmtId="0" fontId="17" fillId="0" borderId="1" xfId="0" applyFont="1" applyBorder="1"/>
    <xf numFmtId="9" fontId="17" fillId="0" borderId="1" xfId="2" applyFont="1" applyBorder="1"/>
    <xf numFmtId="0" fontId="7" fillId="12" borderId="1" xfId="0" applyFont="1" applyFill="1" applyBorder="1"/>
    <xf numFmtId="0" fontId="0" fillId="6" borderId="1" xfId="0" applyFill="1" applyBorder="1"/>
    <xf numFmtId="0" fontId="7" fillId="7" borderId="1" xfId="0" applyFont="1" applyFill="1" applyBorder="1"/>
    <xf numFmtId="0" fontId="0" fillId="14" borderId="1" xfId="0" applyFill="1" applyBorder="1"/>
    <xf numFmtId="10" fontId="15" fillId="14" borderId="1" xfId="0" applyNumberFormat="1" applyFont="1" applyFill="1" applyBorder="1"/>
    <xf numFmtId="10" fontId="16" fillId="14" borderId="1" xfId="0" applyNumberFormat="1" applyFont="1" applyFill="1" applyBorder="1"/>
    <xf numFmtId="3" fontId="16" fillId="14" borderId="1" xfId="0" applyNumberFormat="1" applyFont="1" applyFill="1" applyBorder="1"/>
    <xf numFmtId="0" fontId="0" fillId="13" borderId="1" xfId="0" applyFill="1" applyBorder="1"/>
    <xf numFmtId="0" fontId="16" fillId="13" borderId="1" xfId="0" applyFont="1" applyFill="1" applyBorder="1"/>
    <xf numFmtId="3" fontId="0" fillId="13" borderId="1" xfId="0" applyNumberFormat="1" applyFill="1" applyBorder="1"/>
    <xf numFmtId="9" fontId="16" fillId="14" borderId="1" xfId="0" applyNumberFormat="1" applyFont="1" applyFill="1" applyBorder="1"/>
    <xf numFmtId="3" fontId="21" fillId="0" borderId="1" xfId="0" applyNumberFormat="1" applyFont="1" applyBorder="1"/>
    <xf numFmtId="10" fontId="21" fillId="0" borderId="1" xfId="0" applyNumberFormat="1" applyFont="1" applyBorder="1"/>
    <xf numFmtId="9" fontId="21" fillId="0" borderId="1" xfId="0" applyNumberFormat="1" applyFont="1" applyBorder="1"/>
    <xf numFmtId="0" fontId="23" fillId="0" borderId="1" xfId="0" applyFont="1" applyBorder="1"/>
    <xf numFmtId="0" fontId="19" fillId="15" borderId="2" xfId="0" applyFont="1" applyFill="1" applyBorder="1" applyAlignment="1">
      <alignment horizontal="center"/>
    </xf>
    <xf numFmtId="0" fontId="19" fillId="15" borderId="4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topLeftCell="A19" zoomScale="90" zoomScaleNormal="90" workbookViewId="0">
      <selection activeCell="B12" sqref="B12"/>
    </sheetView>
  </sheetViews>
  <sheetFormatPr defaultRowHeight="15" x14ac:dyDescent="0.25"/>
  <cols>
    <col min="1" max="1" width="50.85546875" bestFit="1" customWidth="1"/>
    <col min="2" max="2" width="9.7109375" bestFit="1" customWidth="1"/>
    <col min="3" max="3" width="9.7109375" customWidth="1"/>
    <col min="4" max="4" width="10.7109375" customWidth="1"/>
    <col min="5" max="5" width="10.5703125" customWidth="1"/>
    <col min="6" max="6" width="10.28515625" customWidth="1"/>
    <col min="11" max="11" width="12.42578125" bestFit="1" customWidth="1"/>
    <col min="12" max="12" width="11.28515625" customWidth="1"/>
    <col min="19" max="19" width="9.140625" customWidth="1"/>
  </cols>
  <sheetData>
    <row r="1" spans="1:11" x14ac:dyDescent="0.25">
      <c r="A1" s="56" t="s">
        <v>0</v>
      </c>
      <c r="B1" s="57"/>
      <c r="C1" s="57"/>
      <c r="D1" s="57"/>
      <c r="E1" s="57"/>
      <c r="F1" s="57"/>
      <c r="G1" s="57"/>
    </row>
    <row r="2" spans="1:11" x14ac:dyDescent="0.25">
      <c r="A2" s="57"/>
      <c r="B2" s="57"/>
      <c r="C2" s="57"/>
      <c r="D2" s="57"/>
      <c r="E2" s="57"/>
      <c r="F2" s="57"/>
      <c r="G2" s="57"/>
    </row>
    <row r="3" spans="1:11" x14ac:dyDescent="0.25">
      <c r="A3" s="32" t="s">
        <v>1</v>
      </c>
      <c r="B3" s="58">
        <v>2024</v>
      </c>
      <c r="C3" s="32">
        <f>+B3+1</f>
        <v>2025</v>
      </c>
      <c r="D3" s="32">
        <f t="shared" ref="D3:F3" si="0">+C3+1</f>
        <v>2026</v>
      </c>
      <c r="E3" s="32">
        <f t="shared" si="0"/>
        <v>2027</v>
      </c>
      <c r="F3" s="32">
        <f t="shared" si="0"/>
        <v>2028</v>
      </c>
      <c r="G3" s="32" t="s">
        <v>2</v>
      </c>
    </row>
    <row r="4" spans="1:11" x14ac:dyDescent="0.25">
      <c r="A4" s="59" t="s">
        <v>3</v>
      </c>
      <c r="B4" s="60"/>
      <c r="C4" s="60"/>
      <c r="D4" s="60"/>
      <c r="E4" s="60"/>
      <c r="F4" s="60"/>
      <c r="G4" s="60"/>
    </row>
    <row r="5" spans="1:11" x14ac:dyDescent="0.25">
      <c r="A5" s="59" t="s">
        <v>4</v>
      </c>
      <c r="B5" s="60"/>
      <c r="C5" s="60"/>
      <c r="D5" s="60"/>
      <c r="E5" s="60"/>
      <c r="F5" s="60"/>
      <c r="G5" s="60"/>
    </row>
    <row r="6" spans="1:11" x14ac:dyDescent="0.25">
      <c r="A6" s="59" t="s">
        <v>5</v>
      </c>
      <c r="B6" s="61"/>
      <c r="C6" s="61"/>
      <c r="D6" s="61"/>
      <c r="E6" s="61"/>
      <c r="F6" s="61"/>
      <c r="G6" s="61"/>
    </row>
    <row r="7" spans="1:11" x14ac:dyDescent="0.25">
      <c r="A7" s="59" t="s">
        <v>6</v>
      </c>
      <c r="B7" s="61"/>
      <c r="C7" s="61"/>
      <c r="D7" s="61"/>
      <c r="E7" s="61"/>
      <c r="F7" s="61"/>
      <c r="G7" s="61"/>
    </row>
    <row r="8" spans="1:11" x14ac:dyDescent="0.25">
      <c r="A8" s="59" t="s">
        <v>7</v>
      </c>
      <c r="B8" s="62">
        <v>12</v>
      </c>
      <c r="C8" s="62">
        <v>12</v>
      </c>
      <c r="D8" s="62">
        <v>12</v>
      </c>
      <c r="E8" s="62">
        <v>12</v>
      </c>
      <c r="F8" s="62">
        <v>12</v>
      </c>
      <c r="G8" s="62">
        <v>12</v>
      </c>
    </row>
    <row r="9" spans="1:11" x14ac:dyDescent="0.25">
      <c r="A9" s="57"/>
      <c r="B9" s="57"/>
      <c r="C9" s="57"/>
      <c r="D9" s="57"/>
      <c r="E9" s="57"/>
      <c r="F9" s="57"/>
      <c r="G9" s="57"/>
      <c r="J9" s="2"/>
    </row>
    <row r="10" spans="1:11" x14ac:dyDescent="0.25">
      <c r="A10" s="56" t="s">
        <v>8</v>
      </c>
      <c r="B10" s="57"/>
      <c r="C10" s="57"/>
      <c r="D10" s="57"/>
      <c r="E10" s="57"/>
      <c r="F10" s="57"/>
      <c r="G10" s="57"/>
      <c r="J10" s="3"/>
    </row>
    <row r="11" spans="1:11" x14ac:dyDescent="0.25">
      <c r="A11" s="57"/>
      <c r="B11" s="57"/>
      <c r="C11" s="57"/>
      <c r="D11" s="57"/>
      <c r="E11" s="57"/>
      <c r="F11" s="57"/>
      <c r="G11" s="57"/>
    </row>
    <row r="12" spans="1:11" x14ac:dyDescent="0.25">
      <c r="A12" s="32" t="s">
        <v>9</v>
      </c>
      <c r="B12" s="32">
        <f>B3</f>
        <v>2024</v>
      </c>
      <c r="C12" s="32">
        <f>+C3</f>
        <v>2025</v>
      </c>
      <c r="D12" s="32">
        <f>+D3</f>
        <v>2026</v>
      </c>
      <c r="E12" s="32">
        <f>+E3</f>
        <v>2027</v>
      </c>
      <c r="F12" s="32">
        <f>+F3</f>
        <v>2028</v>
      </c>
      <c r="G12" s="32" t="str">
        <f>+G3</f>
        <v>TV</v>
      </c>
    </row>
    <row r="13" spans="1:11" x14ac:dyDescent="0.25">
      <c r="A13" s="63" t="s">
        <v>10</v>
      </c>
      <c r="B13" s="64">
        <v>30</v>
      </c>
      <c r="C13" s="64">
        <v>30</v>
      </c>
      <c r="D13" s="64">
        <v>30</v>
      </c>
      <c r="E13" s="64">
        <v>30</v>
      </c>
      <c r="F13" s="64">
        <v>30</v>
      </c>
      <c r="G13" s="64"/>
    </row>
    <row r="14" spans="1:11" x14ac:dyDescent="0.25">
      <c r="A14" s="63" t="s">
        <v>11</v>
      </c>
      <c r="B14" s="65"/>
      <c r="C14" s="65"/>
      <c r="D14" s="65"/>
      <c r="E14" s="65"/>
      <c r="F14" s="65"/>
      <c r="G14" s="65"/>
      <c r="K14" s="1"/>
    </row>
    <row r="15" spans="1:11" x14ac:dyDescent="0.25">
      <c r="A15" s="57"/>
      <c r="B15" s="4"/>
      <c r="C15" s="57"/>
      <c r="D15" s="57"/>
      <c r="E15" s="57"/>
      <c r="F15" s="57"/>
      <c r="G15" s="57"/>
    </row>
    <row r="16" spans="1:11" x14ac:dyDescent="0.25">
      <c r="A16" s="63" t="s">
        <v>12</v>
      </c>
      <c r="B16" s="64">
        <v>30</v>
      </c>
      <c r="C16" s="64">
        <v>30</v>
      </c>
      <c r="D16" s="64">
        <v>30</v>
      </c>
      <c r="E16" s="64">
        <v>30</v>
      </c>
      <c r="F16" s="64">
        <v>30</v>
      </c>
      <c r="G16" s="64"/>
    </row>
    <row r="17" spans="1:7" x14ac:dyDescent="0.25">
      <c r="A17" s="63" t="s">
        <v>13</v>
      </c>
      <c r="B17" s="65"/>
      <c r="C17" s="65"/>
      <c r="D17" s="65"/>
      <c r="E17" s="65"/>
      <c r="F17" s="65"/>
      <c r="G17" s="65"/>
    </row>
    <row r="18" spans="1:7" x14ac:dyDescent="0.25">
      <c r="A18" s="57"/>
      <c r="B18" s="4"/>
      <c r="C18" s="57"/>
      <c r="D18" s="57"/>
      <c r="E18" s="57"/>
      <c r="F18" s="57"/>
      <c r="G18" s="57"/>
    </row>
    <row r="19" spans="1:7" x14ac:dyDescent="0.25">
      <c r="A19" s="63" t="s">
        <v>14</v>
      </c>
      <c r="B19" s="64">
        <v>45</v>
      </c>
      <c r="C19" s="64">
        <v>45</v>
      </c>
      <c r="D19" s="64">
        <v>45</v>
      </c>
      <c r="E19" s="64">
        <v>45</v>
      </c>
      <c r="F19" s="64">
        <v>45</v>
      </c>
      <c r="G19" s="64"/>
    </row>
    <row r="20" spans="1:7" x14ac:dyDescent="0.25">
      <c r="A20" s="63" t="s">
        <v>15</v>
      </c>
      <c r="B20" s="65"/>
      <c r="C20" s="65"/>
      <c r="D20" s="65"/>
      <c r="E20" s="65"/>
      <c r="F20" s="65"/>
      <c r="G20" s="65"/>
    </row>
    <row r="21" spans="1:7" x14ac:dyDescent="0.25">
      <c r="A21" s="57"/>
      <c r="B21" s="57"/>
      <c r="C21" s="57"/>
      <c r="D21" s="57"/>
      <c r="E21" s="57"/>
      <c r="F21" s="57"/>
      <c r="G21" s="57"/>
    </row>
    <row r="22" spans="1:7" x14ac:dyDescent="0.25">
      <c r="A22" s="57"/>
      <c r="B22" s="57"/>
      <c r="C22" s="57"/>
      <c r="D22" s="57"/>
      <c r="E22" s="57"/>
      <c r="F22" s="57"/>
      <c r="G22" s="57"/>
    </row>
    <row r="23" spans="1:7" x14ac:dyDescent="0.25">
      <c r="A23" s="32" t="s">
        <v>16</v>
      </c>
      <c r="B23" s="32">
        <f t="shared" ref="B23:F23" si="1">+B12</f>
        <v>2024</v>
      </c>
      <c r="C23" s="32">
        <f t="shared" si="1"/>
        <v>2025</v>
      </c>
      <c r="D23" s="32">
        <f t="shared" si="1"/>
        <v>2026</v>
      </c>
      <c r="E23" s="32">
        <f t="shared" si="1"/>
        <v>2027</v>
      </c>
      <c r="F23" s="32">
        <f t="shared" si="1"/>
        <v>2028</v>
      </c>
      <c r="G23" s="32" t="str">
        <f t="shared" ref="G23" si="2">+G12</f>
        <v>TV</v>
      </c>
    </row>
    <row r="24" spans="1:7" x14ac:dyDescent="0.25">
      <c r="A24" s="59" t="s">
        <v>17</v>
      </c>
      <c r="B24" s="66">
        <v>0.15</v>
      </c>
      <c r="C24" s="66">
        <v>0.12</v>
      </c>
      <c r="D24" s="66">
        <v>0.09</v>
      </c>
      <c r="E24" s="66">
        <f t="shared" ref="E24:G24" si="3">+D24</f>
        <v>0.09</v>
      </c>
      <c r="F24" s="66">
        <f t="shared" si="3"/>
        <v>0.09</v>
      </c>
      <c r="G24" s="66">
        <f t="shared" si="3"/>
        <v>0.09</v>
      </c>
    </row>
    <row r="25" spans="1:7" x14ac:dyDescent="0.25">
      <c r="A25" s="57"/>
      <c r="B25" s="57"/>
      <c r="C25" s="57"/>
      <c r="D25" s="57"/>
      <c r="E25" s="57"/>
      <c r="F25" s="57"/>
      <c r="G25" s="57"/>
    </row>
    <row r="26" spans="1:7" x14ac:dyDescent="0.25">
      <c r="A26" s="57"/>
      <c r="B26" s="57"/>
      <c r="C26" s="57"/>
      <c r="D26" s="57"/>
      <c r="E26" s="57"/>
      <c r="F26" s="57"/>
      <c r="G26" s="57"/>
    </row>
    <row r="27" spans="1:7" x14ac:dyDescent="0.25">
      <c r="A27" s="32" t="s">
        <v>18</v>
      </c>
      <c r="B27" s="32">
        <f>B3</f>
        <v>2024</v>
      </c>
      <c r="C27" s="32">
        <f t="shared" ref="C27:F27" si="4">+C23</f>
        <v>2025</v>
      </c>
      <c r="D27" s="32">
        <f t="shared" si="4"/>
        <v>2026</v>
      </c>
      <c r="E27" s="32">
        <f t="shared" si="4"/>
        <v>2027</v>
      </c>
      <c r="F27" s="32">
        <f t="shared" si="4"/>
        <v>2028</v>
      </c>
      <c r="G27" s="32" t="str">
        <f>G23</f>
        <v>TV</v>
      </c>
    </row>
    <row r="28" spans="1:7" x14ac:dyDescent="0.25">
      <c r="A28" s="59" t="s">
        <v>19</v>
      </c>
      <c r="B28" s="61">
        <v>2.5000000000000001E-3</v>
      </c>
      <c r="C28" s="61">
        <f>+B28</f>
        <v>2.5000000000000001E-3</v>
      </c>
      <c r="D28" s="61">
        <f t="shared" ref="D28:G28" si="5">+C28</f>
        <v>2.5000000000000001E-3</v>
      </c>
      <c r="E28" s="61">
        <f t="shared" si="5"/>
        <v>2.5000000000000001E-3</v>
      </c>
      <c r="F28" s="61">
        <f t="shared" si="5"/>
        <v>2.5000000000000001E-3</v>
      </c>
      <c r="G28" s="61">
        <f t="shared" si="5"/>
        <v>2.5000000000000001E-3</v>
      </c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32" t="s">
        <v>20</v>
      </c>
      <c r="B31" s="32">
        <f>B3</f>
        <v>2024</v>
      </c>
      <c r="C31" s="5"/>
      <c r="D31" s="5"/>
      <c r="E31" s="5"/>
      <c r="F31" s="5"/>
      <c r="G31" s="5"/>
    </row>
    <row r="32" spans="1:7" x14ac:dyDescent="0.25">
      <c r="A32" s="4" t="s">
        <v>21</v>
      </c>
      <c r="B32" s="67">
        <v>700</v>
      </c>
      <c r="C32" s="5"/>
      <c r="D32" s="5"/>
      <c r="E32" s="5"/>
      <c r="F32" s="5"/>
      <c r="G32" s="5"/>
    </row>
    <row r="33" spans="1:12" x14ac:dyDescent="0.25">
      <c r="A33" s="4" t="s">
        <v>22</v>
      </c>
      <c r="B33" s="67">
        <v>6000</v>
      </c>
      <c r="C33" s="5"/>
      <c r="D33" s="5"/>
      <c r="E33" s="5"/>
      <c r="F33" s="5"/>
      <c r="G33" s="5"/>
    </row>
    <row r="34" spans="1:12" x14ac:dyDescent="0.25">
      <c r="A34" s="4"/>
      <c r="B34" s="4"/>
      <c r="C34" s="4"/>
      <c r="D34" s="4"/>
      <c r="E34" s="4"/>
      <c r="F34" s="4"/>
      <c r="G34" s="4"/>
    </row>
    <row r="35" spans="1:12" x14ac:dyDescent="0.25">
      <c r="A35" s="32" t="s">
        <v>23</v>
      </c>
      <c r="B35" s="32">
        <f>B3</f>
        <v>2024</v>
      </c>
      <c r="C35" s="32">
        <f>C3</f>
        <v>2025</v>
      </c>
      <c r="D35" s="32">
        <f>D3</f>
        <v>2026</v>
      </c>
      <c r="E35" s="32">
        <f>E3</f>
        <v>2027</v>
      </c>
      <c r="F35" s="32">
        <f>F3</f>
        <v>2028</v>
      </c>
      <c r="G35" s="32"/>
    </row>
    <row r="36" spans="1:12" x14ac:dyDescent="0.25">
      <c r="A36" s="4" t="s">
        <v>24</v>
      </c>
      <c r="B36" s="7"/>
      <c r="C36" s="68">
        <v>0.25</v>
      </c>
      <c r="D36" s="68">
        <v>0.2</v>
      </c>
      <c r="E36" s="68">
        <v>0.12</v>
      </c>
      <c r="F36" s="68">
        <v>0.05</v>
      </c>
      <c r="G36" s="7"/>
      <c r="H36" s="3"/>
    </row>
    <row r="37" spans="1:12" x14ac:dyDescent="0.25">
      <c r="A37" s="4" t="s">
        <v>25</v>
      </c>
      <c r="B37" s="7"/>
      <c r="C37" s="68">
        <v>0.25</v>
      </c>
      <c r="D37" s="68">
        <v>0.15</v>
      </c>
      <c r="E37" s="68">
        <v>0.08</v>
      </c>
      <c r="F37" s="68">
        <v>0.05</v>
      </c>
      <c r="G37" s="7"/>
      <c r="H37" s="3"/>
      <c r="L37" s="1"/>
    </row>
    <row r="38" spans="1:12" x14ac:dyDescent="0.25">
      <c r="A38" s="4" t="s">
        <v>26</v>
      </c>
      <c r="B38" s="7"/>
      <c r="C38" s="68">
        <v>0.2</v>
      </c>
      <c r="D38" s="68">
        <v>0.1</v>
      </c>
      <c r="E38" s="68">
        <v>0.05</v>
      </c>
      <c r="F38" s="68">
        <v>0.03</v>
      </c>
      <c r="G38" s="7"/>
      <c r="H38" s="3"/>
    </row>
    <row r="39" spans="1:12" x14ac:dyDescent="0.25">
      <c r="A39" s="4" t="s">
        <v>27</v>
      </c>
      <c r="B39" s="7"/>
      <c r="C39" s="68">
        <v>0.1</v>
      </c>
      <c r="D39" s="68">
        <v>0.08</v>
      </c>
      <c r="E39" s="68">
        <v>0.06</v>
      </c>
      <c r="F39" s="68">
        <v>0.04</v>
      </c>
      <c r="G39" s="7"/>
      <c r="H39" s="3"/>
    </row>
    <row r="40" spans="1:12" x14ac:dyDescent="0.25">
      <c r="A40" s="4"/>
      <c r="B40" s="7"/>
      <c r="C40" s="7"/>
      <c r="D40" s="7"/>
      <c r="E40" s="7"/>
      <c r="F40" s="7"/>
      <c r="G40" s="7"/>
      <c r="H40" s="3"/>
    </row>
    <row r="41" spans="1:12" x14ac:dyDescent="0.25">
      <c r="A41" s="4" t="s">
        <v>28</v>
      </c>
      <c r="B41" s="4"/>
      <c r="C41" s="69">
        <v>0.02</v>
      </c>
      <c r="D41" s="69">
        <v>0.02</v>
      </c>
      <c r="E41" s="69">
        <v>0.02</v>
      </c>
      <c r="F41" s="69">
        <v>0.02</v>
      </c>
      <c r="G41" s="6"/>
    </row>
    <row r="42" spans="1:12" x14ac:dyDescent="0.25">
      <c r="A42" s="4"/>
      <c r="B42" s="4"/>
      <c r="C42" s="4"/>
      <c r="D42" s="4"/>
      <c r="E42" s="4"/>
      <c r="F42" s="4"/>
      <c r="G42" s="4"/>
    </row>
    <row r="43" spans="1:12" x14ac:dyDescent="0.25">
      <c r="A43" s="32" t="s">
        <v>29</v>
      </c>
      <c r="B43" s="32">
        <f>B3</f>
        <v>2024</v>
      </c>
      <c r="C43" s="32">
        <f>C3</f>
        <v>2025</v>
      </c>
      <c r="D43" s="32">
        <f>D3</f>
        <v>2026</v>
      </c>
      <c r="E43" s="32">
        <f>E3</f>
        <v>2027</v>
      </c>
      <c r="F43" s="32">
        <f>F3</f>
        <v>2028</v>
      </c>
      <c r="G43" s="32"/>
    </row>
    <row r="44" spans="1:12" x14ac:dyDescent="0.25">
      <c r="A44" s="4" t="s">
        <v>30</v>
      </c>
      <c r="B44" s="69">
        <v>0.05</v>
      </c>
      <c r="C44" s="69">
        <v>0.05</v>
      </c>
      <c r="D44" s="69">
        <v>0.05</v>
      </c>
      <c r="E44" s="69">
        <v>0.05</v>
      </c>
      <c r="F44" s="69">
        <v>0.05</v>
      </c>
      <c r="G44" s="6"/>
    </row>
    <row r="45" spans="1:12" x14ac:dyDescent="0.25">
      <c r="A45" s="4"/>
      <c r="B45" s="4"/>
      <c r="C45" s="4"/>
      <c r="D45" s="4"/>
      <c r="E45" s="4"/>
      <c r="F45" s="4"/>
      <c r="G45" s="4"/>
    </row>
    <row r="46" spans="1:12" x14ac:dyDescent="0.25">
      <c r="A46" s="32" t="s">
        <v>31</v>
      </c>
      <c r="B46" s="32">
        <f>B3</f>
        <v>2024</v>
      </c>
      <c r="C46" s="32">
        <f t="shared" ref="C46:G46" si="6">C3</f>
        <v>2025</v>
      </c>
      <c r="D46" s="32">
        <f t="shared" si="6"/>
        <v>2026</v>
      </c>
      <c r="E46" s="32">
        <f t="shared" si="6"/>
        <v>2027</v>
      </c>
      <c r="F46" s="32">
        <f t="shared" si="6"/>
        <v>2028</v>
      </c>
      <c r="G46" s="32" t="str">
        <f t="shared" si="6"/>
        <v>TV</v>
      </c>
    </row>
    <row r="47" spans="1:12" x14ac:dyDescent="0.25">
      <c r="A47" s="4" t="s">
        <v>32</v>
      </c>
      <c r="B47" s="67">
        <v>3200</v>
      </c>
      <c r="C47" s="4"/>
      <c r="D47" s="4"/>
      <c r="E47" s="4"/>
      <c r="F47" s="4"/>
      <c r="G47" s="4"/>
    </row>
    <row r="48" spans="1:12" x14ac:dyDescent="0.25">
      <c r="A48" s="4" t="s">
        <v>33</v>
      </c>
      <c r="B48" s="67">
        <v>232</v>
      </c>
      <c r="C48" s="4"/>
      <c r="D48" s="4"/>
      <c r="E48" s="4"/>
      <c r="F48" s="4"/>
      <c r="G48" s="4"/>
    </row>
    <row r="49" spans="1:7" x14ac:dyDescent="0.25">
      <c r="A49" s="4" t="s">
        <v>34</v>
      </c>
      <c r="B49" s="67">
        <v>45000</v>
      </c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32" t="s">
        <v>35</v>
      </c>
      <c r="B51" s="32">
        <f>B46</f>
        <v>2024</v>
      </c>
      <c r="C51" s="4"/>
      <c r="D51" s="4"/>
      <c r="E51" s="4"/>
      <c r="F51" s="4"/>
      <c r="G51" s="4"/>
    </row>
    <row r="52" spans="1:7" x14ac:dyDescent="0.25">
      <c r="A52" s="4" t="s">
        <v>24</v>
      </c>
      <c r="B52" s="67">
        <v>525</v>
      </c>
      <c r="C52" s="4"/>
      <c r="D52" s="4"/>
      <c r="E52" s="4"/>
      <c r="F52" s="4"/>
      <c r="G52" s="4"/>
    </row>
    <row r="53" spans="1:7" x14ac:dyDescent="0.25">
      <c r="A53" s="4" t="s">
        <v>25</v>
      </c>
      <c r="B53" s="67">
        <v>500</v>
      </c>
      <c r="C53" s="4"/>
      <c r="D53" s="4"/>
      <c r="E53" s="4"/>
      <c r="F53" s="4"/>
      <c r="G53" s="4"/>
    </row>
    <row r="54" spans="1:7" x14ac:dyDescent="0.25">
      <c r="A54" s="4" t="s">
        <v>26</v>
      </c>
      <c r="B54" s="67">
        <v>450</v>
      </c>
      <c r="C54" s="4"/>
      <c r="D54" s="4"/>
      <c r="E54" s="4"/>
      <c r="F54" s="4"/>
      <c r="G54" s="4"/>
    </row>
    <row r="55" spans="1:7" x14ac:dyDescent="0.25">
      <c r="A55" s="4" t="s">
        <v>36</v>
      </c>
      <c r="B55" s="67">
        <f>B52*1.2</f>
        <v>630</v>
      </c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32" t="s">
        <v>37</v>
      </c>
      <c r="B57" s="32">
        <f>B51</f>
        <v>2024</v>
      </c>
      <c r="C57" s="4"/>
      <c r="D57" s="4"/>
      <c r="E57" s="4"/>
      <c r="F57" s="4"/>
      <c r="G57" s="4"/>
    </row>
    <row r="58" spans="1:7" x14ac:dyDescent="0.25">
      <c r="A58" s="4" t="s">
        <v>24</v>
      </c>
      <c r="B58" s="67">
        <v>180</v>
      </c>
      <c r="C58" s="5"/>
      <c r="D58" s="4"/>
      <c r="E58" s="4"/>
      <c r="F58" s="4"/>
      <c r="G58" s="4"/>
    </row>
    <row r="59" spans="1:7" x14ac:dyDescent="0.25">
      <c r="A59" s="4" t="s">
        <v>25</v>
      </c>
      <c r="B59" s="67">
        <v>55</v>
      </c>
      <c r="C59" s="5"/>
      <c r="D59" s="4"/>
      <c r="E59" s="4"/>
      <c r="F59" s="4"/>
      <c r="G59" s="4"/>
    </row>
    <row r="60" spans="1:7" x14ac:dyDescent="0.25">
      <c r="A60" s="4" t="s">
        <v>26</v>
      </c>
      <c r="B60" s="67">
        <v>37</v>
      </c>
      <c r="C60" s="4"/>
      <c r="D60" s="4"/>
      <c r="E60" s="4"/>
      <c r="F60" s="4"/>
      <c r="G60" s="4"/>
    </row>
    <row r="61" spans="1:7" x14ac:dyDescent="0.25">
      <c r="A61" s="4" t="s">
        <v>36</v>
      </c>
      <c r="B61" s="67">
        <v>110</v>
      </c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32" t="s">
        <v>38</v>
      </c>
      <c r="B63" s="32">
        <f>B57</f>
        <v>2024</v>
      </c>
      <c r="C63" s="70"/>
      <c r="D63" s="4"/>
      <c r="E63" s="4"/>
      <c r="F63" s="4"/>
      <c r="G63" s="4"/>
    </row>
    <row r="64" spans="1:7" x14ac:dyDescent="0.25">
      <c r="A64" s="4" t="s">
        <v>24</v>
      </c>
      <c r="B64" s="67">
        <v>1352</v>
      </c>
      <c r="C64" s="4"/>
      <c r="D64" s="4"/>
      <c r="E64" s="4"/>
      <c r="F64" s="4"/>
      <c r="G64" s="4"/>
    </row>
    <row r="65" spans="1:7" x14ac:dyDescent="0.25">
      <c r="A65" s="4" t="s">
        <v>25</v>
      </c>
      <c r="B65" s="67">
        <v>1361</v>
      </c>
      <c r="C65" s="4"/>
      <c r="D65" s="4"/>
      <c r="E65" s="4"/>
      <c r="F65" s="4"/>
      <c r="G65" s="4"/>
    </row>
    <row r="66" spans="1:7" x14ac:dyDescent="0.25">
      <c r="A66" s="4" t="s">
        <v>26</v>
      </c>
      <c r="B66" s="67">
        <v>1487</v>
      </c>
      <c r="C66" s="4"/>
      <c r="D66" s="4"/>
      <c r="E66" s="4"/>
      <c r="F66" s="4"/>
      <c r="G66" s="4"/>
    </row>
    <row r="67" spans="1:7" x14ac:dyDescent="0.25">
      <c r="A67" s="4" t="s">
        <v>36</v>
      </c>
      <c r="B67" s="67">
        <f>B64</f>
        <v>1352</v>
      </c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32" t="s">
        <v>39</v>
      </c>
      <c r="B69" s="32">
        <f>B35</f>
        <v>2024</v>
      </c>
      <c r="C69" s="32">
        <f t="shared" ref="C69:F69" si="7">C35</f>
        <v>2025</v>
      </c>
      <c r="D69" s="32">
        <f t="shared" si="7"/>
        <v>2026</v>
      </c>
      <c r="E69" s="32">
        <f t="shared" si="7"/>
        <v>2027</v>
      </c>
      <c r="F69" s="32">
        <f t="shared" si="7"/>
        <v>2028</v>
      </c>
      <c r="G69" s="32"/>
    </row>
    <row r="70" spans="1:7" x14ac:dyDescent="0.25">
      <c r="A70" s="4" t="s">
        <v>39</v>
      </c>
      <c r="B70" s="68">
        <v>0.4</v>
      </c>
      <c r="C70" s="68">
        <v>0.4</v>
      </c>
      <c r="D70" s="68">
        <v>0.4</v>
      </c>
      <c r="E70" s="68">
        <v>0.4</v>
      </c>
      <c r="F70" s="68">
        <v>0.4</v>
      </c>
      <c r="G7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10"/>
  <sheetViews>
    <sheetView zoomScale="85" zoomScaleNormal="85" workbookViewId="0">
      <selection activeCell="C3" sqref="C3"/>
    </sheetView>
  </sheetViews>
  <sheetFormatPr defaultRowHeight="15" x14ac:dyDescent="0.25"/>
  <cols>
    <col min="1" max="1" width="2.5703125" customWidth="1"/>
    <col min="2" max="2" width="39.5703125" customWidth="1"/>
    <col min="3" max="3" width="11.7109375" customWidth="1"/>
    <col min="4" max="4" width="13.7109375" bestFit="1" customWidth="1"/>
    <col min="5" max="5" width="12.7109375" customWidth="1"/>
    <col min="6" max="6" width="13.28515625" customWidth="1"/>
    <col min="7" max="7" width="12.42578125" customWidth="1"/>
    <col min="8" max="8" width="13.28515625" customWidth="1"/>
    <col min="9" max="9" width="14.28515625" customWidth="1"/>
    <col min="10" max="10" width="24.140625" bestFit="1" customWidth="1"/>
    <col min="11" max="11" width="13" bestFit="1" customWidth="1"/>
    <col min="12" max="12" width="13.7109375" bestFit="1" customWidth="1"/>
    <col min="13" max="13" width="18" bestFit="1" customWidth="1"/>
    <col min="14" max="14" width="16.42578125" bestFit="1" customWidth="1"/>
    <col min="15" max="15" width="15.28515625" customWidth="1"/>
    <col min="16" max="16" width="12.28515625" customWidth="1"/>
  </cols>
  <sheetData>
    <row r="2" spans="2:15" ht="15.75" x14ac:dyDescent="0.25">
      <c r="B2" s="29" t="s">
        <v>40</v>
      </c>
      <c r="C2" s="46" t="s">
        <v>41</v>
      </c>
      <c r="D2" s="46"/>
      <c r="E2" s="46"/>
      <c r="F2" s="46"/>
      <c r="G2" s="46"/>
      <c r="I2" s="17"/>
    </row>
    <row r="3" spans="2:15" x14ac:dyDescent="0.25">
      <c r="B3" s="47"/>
      <c r="C3" s="10">
        <f>Assumptions!B3</f>
        <v>2024</v>
      </c>
      <c r="D3" s="10">
        <f>Assumptions!C3</f>
        <v>2025</v>
      </c>
      <c r="E3" s="10">
        <f>Assumptions!D3</f>
        <v>2026</v>
      </c>
      <c r="F3" s="10">
        <f>Assumptions!E3</f>
        <v>2027</v>
      </c>
      <c r="G3" s="10">
        <f>Assumptions!F3</f>
        <v>2028</v>
      </c>
      <c r="I3" s="17"/>
    </row>
    <row r="4" spans="2:15" x14ac:dyDescent="0.25">
      <c r="B4" s="19" t="s">
        <v>42</v>
      </c>
      <c r="C4" s="20"/>
      <c r="D4" s="20"/>
      <c r="E4" s="20"/>
      <c r="F4" s="20"/>
      <c r="G4" s="20"/>
      <c r="I4" s="17"/>
    </row>
    <row r="5" spans="2:15" x14ac:dyDescent="0.25">
      <c r="B5" s="19" t="s">
        <v>43</v>
      </c>
      <c r="C5" s="20"/>
      <c r="D5" s="20"/>
      <c r="E5" s="20"/>
      <c r="F5" s="20"/>
      <c r="G5" s="20"/>
      <c r="I5" s="18"/>
      <c r="J5" s="1"/>
      <c r="K5" s="1"/>
      <c r="L5" s="1"/>
      <c r="M5" s="1"/>
    </row>
    <row r="6" spans="2:15" x14ac:dyDescent="0.25">
      <c r="B6" s="21" t="s">
        <v>44</v>
      </c>
      <c r="C6" s="22"/>
      <c r="D6" s="22"/>
      <c r="E6" s="22"/>
      <c r="F6" s="22"/>
      <c r="G6" s="22"/>
      <c r="I6" s="17"/>
      <c r="J6" s="1"/>
      <c r="K6" s="1"/>
      <c r="L6" s="1"/>
      <c r="M6" s="1"/>
    </row>
    <row r="7" spans="2:15" x14ac:dyDescent="0.25">
      <c r="B7" s="21" t="s">
        <v>45</v>
      </c>
      <c r="C7" s="22"/>
      <c r="D7" s="22"/>
      <c r="E7" s="22"/>
      <c r="F7" s="22"/>
      <c r="G7" s="22"/>
      <c r="I7" s="17"/>
      <c r="J7" s="1"/>
      <c r="K7" s="1"/>
      <c r="L7" s="1"/>
      <c r="M7" s="1"/>
    </row>
    <row r="8" spans="2:15" x14ac:dyDescent="0.25">
      <c r="B8" s="11" t="s">
        <v>46</v>
      </c>
      <c r="C8" s="20"/>
      <c r="D8" s="5"/>
      <c r="E8" s="5"/>
      <c r="F8" s="5"/>
      <c r="G8" s="5"/>
      <c r="I8" s="17"/>
      <c r="J8" s="1"/>
      <c r="K8" s="1"/>
      <c r="L8" s="1"/>
      <c r="M8" s="1"/>
    </row>
    <row r="9" spans="2:15" x14ac:dyDescent="0.25">
      <c r="B9" s="23" t="s">
        <v>47</v>
      </c>
      <c r="C9" s="20"/>
      <c r="D9" s="5"/>
      <c r="E9" s="5"/>
      <c r="F9" s="5"/>
      <c r="G9" s="5"/>
      <c r="I9" s="17"/>
      <c r="K9" s="8"/>
      <c r="L9" s="8"/>
      <c r="M9" s="8"/>
      <c r="N9" s="8"/>
      <c r="O9" s="8"/>
    </row>
    <row r="10" spans="2:15" x14ac:dyDescent="0.25">
      <c r="B10" s="23" t="s">
        <v>48</v>
      </c>
      <c r="C10" s="20"/>
      <c r="D10" s="5"/>
      <c r="E10" s="5"/>
      <c r="F10" s="5"/>
      <c r="G10" s="5"/>
      <c r="I10" s="17"/>
    </row>
    <row r="11" spans="2:15" ht="30" x14ac:dyDescent="0.25">
      <c r="B11" s="24" t="s">
        <v>49</v>
      </c>
      <c r="C11" s="9"/>
      <c r="D11" s="9"/>
      <c r="E11" s="9"/>
      <c r="F11" s="9"/>
      <c r="G11" s="9"/>
      <c r="I11" s="17"/>
      <c r="J11" s="71" t="s">
        <v>37</v>
      </c>
      <c r="K11" s="72"/>
      <c r="L11" s="72"/>
      <c r="M11" s="72"/>
      <c r="N11" s="72"/>
      <c r="O11" s="73"/>
    </row>
    <row r="12" spans="2:15" x14ac:dyDescent="0.25">
      <c r="B12" s="25" t="s">
        <v>50</v>
      </c>
      <c r="C12" s="26"/>
      <c r="D12" s="26"/>
      <c r="E12" s="26"/>
      <c r="F12" s="26"/>
      <c r="G12" s="26"/>
      <c r="I12" s="17"/>
      <c r="J12" s="10" t="s">
        <v>37</v>
      </c>
      <c r="K12" s="10">
        <f>C3</f>
        <v>2024</v>
      </c>
      <c r="L12" s="10">
        <f>D3</f>
        <v>2025</v>
      </c>
      <c r="M12" s="10">
        <f>E3</f>
        <v>2026</v>
      </c>
      <c r="N12" s="10">
        <f>F3</f>
        <v>2027</v>
      </c>
      <c r="O12" s="10">
        <f>G3</f>
        <v>2028</v>
      </c>
    </row>
    <row r="13" spans="2:15" x14ac:dyDescent="0.25">
      <c r="B13" s="25" t="s">
        <v>51</v>
      </c>
      <c r="C13" s="45">
        <v>33000</v>
      </c>
      <c r="D13" s="27"/>
      <c r="E13" s="27"/>
      <c r="F13" s="27"/>
      <c r="G13" s="27"/>
      <c r="I13" s="17"/>
      <c r="J13" s="11" t="s">
        <v>24</v>
      </c>
      <c r="K13" s="5">
        <f>Assumptions!B58</f>
        <v>180</v>
      </c>
      <c r="L13" s="9" t="s">
        <v>52</v>
      </c>
      <c r="M13" s="9" t="s">
        <v>52</v>
      </c>
      <c r="N13" s="9" t="s">
        <v>52</v>
      </c>
      <c r="O13" s="9" t="s">
        <v>52</v>
      </c>
    </row>
    <row r="14" spans="2:15" x14ac:dyDescent="0.25">
      <c r="B14" s="48" t="s">
        <v>53</v>
      </c>
      <c r="C14" s="49"/>
      <c r="D14" s="49"/>
      <c r="E14" s="49"/>
      <c r="F14" s="49"/>
      <c r="G14" s="49"/>
      <c r="J14" s="11" t="s">
        <v>25</v>
      </c>
      <c r="K14" s="5">
        <f>Assumptions!B59</f>
        <v>55</v>
      </c>
      <c r="L14" s="9" t="s">
        <v>52</v>
      </c>
      <c r="M14" s="9" t="s">
        <v>52</v>
      </c>
      <c r="N14" s="9" t="s">
        <v>52</v>
      </c>
      <c r="O14" s="9" t="s">
        <v>52</v>
      </c>
    </row>
    <row r="15" spans="2:15" x14ac:dyDescent="0.25">
      <c r="B15" s="4" t="s">
        <v>54</v>
      </c>
      <c r="C15" s="4"/>
      <c r="D15" s="4"/>
      <c r="E15" s="4"/>
      <c r="F15" s="4"/>
      <c r="G15" s="4"/>
      <c r="J15" s="11" t="s">
        <v>26</v>
      </c>
      <c r="K15" s="5">
        <f>Assumptions!B60</f>
        <v>37</v>
      </c>
      <c r="L15" s="9" t="s">
        <v>52</v>
      </c>
      <c r="M15" s="9" t="s">
        <v>52</v>
      </c>
      <c r="N15" s="9" t="s">
        <v>52</v>
      </c>
      <c r="O15" s="9" t="s">
        <v>52</v>
      </c>
    </row>
    <row r="16" spans="2:15" x14ac:dyDescent="0.25">
      <c r="B16" s="48" t="s">
        <v>55</v>
      </c>
      <c r="C16" s="49"/>
      <c r="D16" s="49"/>
      <c r="E16" s="49"/>
      <c r="F16" s="49"/>
      <c r="G16" s="49"/>
      <c r="J16" s="11" t="s">
        <v>56</v>
      </c>
      <c r="K16" s="5">
        <f>Assumptions!B61</f>
        <v>110</v>
      </c>
      <c r="L16" s="9" t="s">
        <v>52</v>
      </c>
      <c r="M16" s="9" t="s">
        <v>52</v>
      </c>
      <c r="N16" s="9" t="s">
        <v>52</v>
      </c>
      <c r="O16" s="9" t="s">
        <v>52</v>
      </c>
    </row>
    <row r="17" spans="2:15" x14ac:dyDescent="0.25">
      <c r="B17" s="11" t="s">
        <v>57</v>
      </c>
      <c r="C17" s="43">
        <v>3000</v>
      </c>
      <c r="D17" s="40"/>
      <c r="E17" s="40"/>
      <c r="F17" s="40"/>
      <c r="G17" s="40"/>
      <c r="J17" s="11"/>
      <c r="K17" s="4"/>
      <c r="L17" s="5"/>
      <c r="M17" s="5"/>
      <c r="N17" s="5"/>
      <c r="O17" s="5"/>
    </row>
    <row r="18" spans="2:15" x14ac:dyDescent="0.25">
      <c r="B18" s="11" t="s">
        <v>58</v>
      </c>
      <c r="C18" s="43">
        <v>40000</v>
      </c>
      <c r="D18" s="40"/>
      <c r="E18" s="40"/>
      <c r="F18" s="40"/>
      <c r="G18" s="40"/>
      <c r="J18" s="11" t="s">
        <v>59</v>
      </c>
      <c r="K18" s="4"/>
      <c r="L18" s="5"/>
      <c r="M18" s="5"/>
      <c r="N18" s="5"/>
      <c r="O18" s="5"/>
    </row>
    <row r="19" spans="2:15" x14ac:dyDescent="0.25">
      <c r="B19" s="48" t="s">
        <v>60</v>
      </c>
      <c r="C19" s="49"/>
      <c r="D19" s="49"/>
      <c r="E19" s="49"/>
      <c r="F19" s="49"/>
      <c r="G19" s="49"/>
      <c r="J19" s="11" t="s">
        <v>24</v>
      </c>
      <c r="K19" s="9">
        <f>Assumptions!B64</f>
        <v>1352</v>
      </c>
      <c r="L19" s="9" t="s">
        <v>52</v>
      </c>
      <c r="M19" s="9" t="s">
        <v>52</v>
      </c>
      <c r="N19" s="9" t="s">
        <v>52</v>
      </c>
      <c r="O19" s="9" t="s">
        <v>52</v>
      </c>
    </row>
    <row r="20" spans="2:15" x14ac:dyDescent="0.25">
      <c r="B20" s="25" t="s">
        <v>61</v>
      </c>
      <c r="C20" s="50"/>
      <c r="D20" s="50"/>
      <c r="E20" s="50"/>
      <c r="F20" s="50"/>
      <c r="G20" s="50"/>
      <c r="J20" s="11" t="s">
        <v>25</v>
      </c>
      <c r="K20" s="9">
        <f>Assumptions!B65</f>
        <v>1361</v>
      </c>
      <c r="L20" s="9" t="s">
        <v>52</v>
      </c>
      <c r="M20" s="9" t="s">
        <v>52</v>
      </c>
      <c r="N20" s="9" t="s">
        <v>52</v>
      </c>
      <c r="O20" s="9" t="s">
        <v>52</v>
      </c>
    </row>
    <row r="21" spans="2:15" x14ac:dyDescent="0.25">
      <c r="B21" s="48" t="s">
        <v>62</v>
      </c>
      <c r="C21" s="49"/>
      <c r="D21" s="49"/>
      <c r="E21" s="49"/>
      <c r="F21" s="49"/>
      <c r="G21" s="49"/>
      <c r="J21" s="11" t="s">
        <v>26</v>
      </c>
      <c r="K21" s="9">
        <f>Assumptions!B66</f>
        <v>1487</v>
      </c>
      <c r="L21" s="9" t="s">
        <v>52</v>
      </c>
      <c r="M21" s="9" t="s">
        <v>52</v>
      </c>
      <c r="N21" s="9" t="s">
        <v>52</v>
      </c>
      <c r="O21" s="9" t="s">
        <v>52</v>
      </c>
    </row>
    <row r="22" spans="2:15" x14ac:dyDescent="0.25">
      <c r="J22" s="11" t="s">
        <v>56</v>
      </c>
      <c r="K22" s="9">
        <f>Assumptions!B67</f>
        <v>1352</v>
      </c>
      <c r="L22" s="9" t="s">
        <v>52</v>
      </c>
      <c r="M22" s="9" t="s">
        <v>52</v>
      </c>
      <c r="N22" s="9" t="s">
        <v>52</v>
      </c>
      <c r="O22" s="9" t="s">
        <v>52</v>
      </c>
    </row>
    <row r="23" spans="2:15" ht="15.75" x14ac:dyDescent="0.25">
      <c r="J23" s="15"/>
      <c r="K23" s="4"/>
      <c r="L23" s="4"/>
      <c r="M23" s="4"/>
      <c r="N23" s="4"/>
      <c r="O23" s="4"/>
    </row>
    <row r="24" spans="2:15" x14ac:dyDescent="0.25">
      <c r="B24" s="13" t="s">
        <v>63</v>
      </c>
      <c r="C24" s="14">
        <f>C21-C25</f>
        <v>0</v>
      </c>
      <c r="D24" s="14">
        <f>D21-D25</f>
        <v>0</v>
      </c>
      <c r="E24" s="14">
        <f>E21-E25</f>
        <v>0</v>
      </c>
      <c r="F24" s="14">
        <f>F21-F25</f>
        <v>0</v>
      </c>
      <c r="G24" s="14">
        <f>G21-G25</f>
        <v>0</v>
      </c>
      <c r="J24" s="11" t="s">
        <v>64</v>
      </c>
      <c r="K24" s="9"/>
      <c r="L24" s="4"/>
      <c r="M24" s="4"/>
      <c r="N24" s="4"/>
      <c r="O24" s="4"/>
    </row>
    <row r="25" spans="2:15" x14ac:dyDescent="0.25">
      <c r="B25" s="13" t="s">
        <v>65</v>
      </c>
      <c r="C25" s="14">
        <f>IF(C21&lt;0,C21,MAX(0,MIN(C27,C21)))</f>
        <v>0</v>
      </c>
      <c r="D25" s="14">
        <f>IF(D21&lt;0,D21,MAX(0,MIN(D27,D21)))</f>
        <v>0</v>
      </c>
      <c r="E25" s="14">
        <f t="shared" ref="E25:G25" si="0">IF(E21&lt;0,E21,MAX(0,MIN(E27,E21)))</f>
        <v>0</v>
      </c>
      <c r="F25" s="14">
        <f t="shared" si="0"/>
        <v>0</v>
      </c>
      <c r="G25" s="14">
        <f t="shared" si="0"/>
        <v>0</v>
      </c>
      <c r="J25" s="11" t="s">
        <v>24</v>
      </c>
      <c r="K25" s="9" t="s">
        <v>52</v>
      </c>
      <c r="L25" s="9" t="s">
        <v>52</v>
      </c>
      <c r="M25" s="9" t="s">
        <v>52</v>
      </c>
      <c r="N25" s="9" t="s">
        <v>52</v>
      </c>
      <c r="O25" s="9" t="s">
        <v>52</v>
      </c>
    </row>
    <row r="26" spans="2:15" x14ac:dyDescent="0.25">
      <c r="B26" s="13"/>
      <c r="C26" s="14"/>
      <c r="D26" s="14"/>
      <c r="E26" s="14"/>
      <c r="F26" s="14"/>
      <c r="G26" s="14"/>
      <c r="J26" s="11" t="s">
        <v>25</v>
      </c>
      <c r="K26" s="9" t="s">
        <v>52</v>
      </c>
      <c r="L26" s="9" t="s">
        <v>52</v>
      </c>
      <c r="M26" s="9" t="s">
        <v>52</v>
      </c>
      <c r="N26" s="9" t="s">
        <v>52</v>
      </c>
      <c r="O26" s="9" t="s">
        <v>52</v>
      </c>
    </row>
    <row r="27" spans="2:15" x14ac:dyDescent="0.25">
      <c r="B27" s="13" t="s">
        <v>66</v>
      </c>
      <c r="C27" s="14">
        <f>C45-C46-C49</f>
        <v>-560000</v>
      </c>
      <c r="D27" s="14">
        <f>D45-C45</f>
        <v>0</v>
      </c>
      <c r="E27" s="14">
        <f>E45-D45</f>
        <v>0</v>
      </c>
      <c r="F27" s="14">
        <f>F45-E45</f>
        <v>0</v>
      </c>
      <c r="G27" s="14">
        <f>G45-F45</f>
        <v>0</v>
      </c>
      <c r="H27" s="28"/>
      <c r="J27" s="11" t="s">
        <v>26</v>
      </c>
      <c r="K27" s="9" t="s">
        <v>52</v>
      </c>
      <c r="L27" s="9" t="s">
        <v>52</v>
      </c>
      <c r="M27" s="9" t="s">
        <v>52</v>
      </c>
      <c r="N27" s="9" t="s">
        <v>52</v>
      </c>
      <c r="O27" s="9" t="s">
        <v>52</v>
      </c>
    </row>
    <row r="28" spans="2:15" x14ac:dyDescent="0.25">
      <c r="B28" s="13" t="s">
        <v>67</v>
      </c>
      <c r="C28" s="14">
        <f>C27-C25</f>
        <v>-560000</v>
      </c>
      <c r="D28" s="14">
        <f>D27-D25</f>
        <v>0</v>
      </c>
      <c r="E28" s="14">
        <f t="shared" ref="E28:G28" si="1">E27-E25</f>
        <v>0</v>
      </c>
      <c r="F28" s="14">
        <f t="shared" si="1"/>
        <v>0</v>
      </c>
      <c r="G28" s="14">
        <f t="shared" si="1"/>
        <v>0</v>
      </c>
      <c r="J28" s="11" t="s">
        <v>56</v>
      </c>
      <c r="K28" s="9" t="s">
        <v>52</v>
      </c>
      <c r="L28" s="9" t="s">
        <v>52</v>
      </c>
      <c r="M28" s="9" t="s">
        <v>52</v>
      </c>
      <c r="N28" s="9" t="s">
        <v>52</v>
      </c>
      <c r="O28" s="9" t="s">
        <v>52</v>
      </c>
    </row>
    <row r="29" spans="2:15" x14ac:dyDescent="0.25">
      <c r="J29" s="11" t="s">
        <v>68</v>
      </c>
      <c r="K29" s="9" t="s">
        <v>52</v>
      </c>
      <c r="L29" s="9" t="s">
        <v>52</v>
      </c>
      <c r="M29" s="9" t="s">
        <v>52</v>
      </c>
      <c r="N29" s="9" t="s">
        <v>52</v>
      </c>
      <c r="O29" s="9" t="s">
        <v>52</v>
      </c>
    </row>
    <row r="30" spans="2:15" ht="15.75" x14ac:dyDescent="0.25">
      <c r="B30" s="29" t="s">
        <v>69</v>
      </c>
      <c r="C30" s="29" t="s">
        <v>70</v>
      </c>
      <c r="D30" s="29"/>
      <c r="E30" s="29" t="s">
        <v>70</v>
      </c>
      <c r="F30" s="30"/>
      <c r="G30" s="30"/>
      <c r="J30" s="11" t="s">
        <v>71</v>
      </c>
      <c r="K30" s="9" t="s">
        <v>52</v>
      </c>
      <c r="L30" s="9" t="s">
        <v>52</v>
      </c>
      <c r="M30" s="9" t="s">
        <v>52</v>
      </c>
      <c r="N30" s="9" t="s">
        <v>52</v>
      </c>
      <c r="O30" s="9" t="s">
        <v>52</v>
      </c>
    </row>
    <row r="31" spans="2:15" x14ac:dyDescent="0.25">
      <c r="B31" s="31"/>
      <c r="C31" s="10">
        <f>+C3</f>
        <v>2024</v>
      </c>
      <c r="D31" s="10">
        <f>+D3</f>
        <v>2025</v>
      </c>
      <c r="E31" s="10">
        <f>+E3</f>
        <v>2026</v>
      </c>
      <c r="F31" s="32">
        <f>+F3</f>
        <v>2027</v>
      </c>
      <c r="G31" s="32">
        <f>+G3</f>
        <v>2028</v>
      </c>
      <c r="J31" s="11" t="s">
        <v>72</v>
      </c>
      <c r="K31" s="9" t="s">
        <v>52</v>
      </c>
      <c r="L31" s="9" t="s">
        <v>52</v>
      </c>
      <c r="M31" s="9" t="s">
        <v>52</v>
      </c>
      <c r="N31" s="9" t="s">
        <v>52</v>
      </c>
      <c r="O31" s="9" t="s">
        <v>52</v>
      </c>
    </row>
    <row r="32" spans="2:15" x14ac:dyDescent="0.25">
      <c r="B32" s="33" t="s">
        <v>73</v>
      </c>
      <c r="C32" s="34"/>
      <c r="D32" s="34"/>
      <c r="E32" s="34"/>
      <c r="F32" s="34"/>
      <c r="G32" s="34"/>
      <c r="J32" s="11" t="s">
        <v>74</v>
      </c>
      <c r="K32" s="9" t="s">
        <v>52</v>
      </c>
      <c r="L32" s="9" t="s">
        <v>52</v>
      </c>
      <c r="M32" s="9" t="s">
        <v>52</v>
      </c>
      <c r="N32" s="9" t="s">
        <v>52</v>
      </c>
      <c r="O32" s="9" t="s">
        <v>52</v>
      </c>
    </row>
    <row r="33" spans="2:15" x14ac:dyDescent="0.25">
      <c r="B33" s="4" t="s">
        <v>75</v>
      </c>
      <c r="C33" s="35"/>
      <c r="D33" s="35"/>
      <c r="E33" s="35"/>
      <c r="F33" s="35"/>
      <c r="G33" s="35"/>
      <c r="K33" s="8"/>
      <c r="L33" s="8"/>
      <c r="M33" s="8"/>
      <c r="N33" s="8"/>
      <c r="O33" s="8"/>
    </row>
    <row r="34" spans="2:15" x14ac:dyDescent="0.25">
      <c r="B34" s="4" t="s">
        <v>11</v>
      </c>
      <c r="C34" s="35"/>
      <c r="D34" s="35"/>
      <c r="E34" s="35"/>
      <c r="F34" s="35"/>
      <c r="G34" s="35"/>
      <c r="K34" s="8"/>
      <c r="L34" s="8"/>
      <c r="M34" s="8"/>
      <c r="N34" s="8"/>
    </row>
    <row r="35" spans="2:15" x14ac:dyDescent="0.25">
      <c r="B35" s="4" t="s">
        <v>76</v>
      </c>
      <c r="C35" s="35"/>
      <c r="D35" s="35"/>
      <c r="E35" s="35"/>
      <c r="F35" s="35"/>
      <c r="G35" s="35"/>
      <c r="K35" s="8"/>
      <c r="L35" s="8"/>
      <c r="M35" s="8"/>
      <c r="N35" s="8"/>
    </row>
    <row r="36" spans="2:15" x14ac:dyDescent="0.25">
      <c r="B36" s="33" t="s">
        <v>77</v>
      </c>
      <c r="C36" s="34"/>
      <c r="D36" s="34"/>
      <c r="E36" s="34"/>
      <c r="F36" s="34"/>
      <c r="G36" s="34"/>
      <c r="K36" s="8"/>
      <c r="L36" s="8"/>
      <c r="M36" s="8"/>
      <c r="N36" s="8"/>
    </row>
    <row r="37" spans="2:15" x14ac:dyDescent="0.25">
      <c r="B37" s="36" t="s">
        <v>78</v>
      </c>
      <c r="C37" s="44">
        <v>80000</v>
      </c>
      <c r="D37" s="35"/>
      <c r="E37" s="35"/>
      <c r="F37" s="35"/>
      <c r="G37" s="35"/>
      <c r="K37" s="8"/>
      <c r="L37" s="8"/>
      <c r="M37" s="8"/>
      <c r="N37" s="8"/>
    </row>
    <row r="38" spans="2:15" x14ac:dyDescent="0.25">
      <c r="B38" s="36" t="s">
        <v>79</v>
      </c>
      <c r="C38" s="44">
        <v>663468</v>
      </c>
      <c r="D38" s="35"/>
      <c r="E38" s="35"/>
      <c r="F38" s="35"/>
      <c r="G38" s="35"/>
    </row>
    <row r="39" spans="2:15" x14ac:dyDescent="0.25">
      <c r="B39" s="37" t="s">
        <v>80</v>
      </c>
      <c r="C39" s="38">
        <f>+C32+C36</f>
        <v>0</v>
      </c>
      <c r="D39" s="38">
        <f>+D32+D36</f>
        <v>0</v>
      </c>
      <c r="E39" s="38">
        <f>+E32+E36</f>
        <v>0</v>
      </c>
      <c r="F39" s="38">
        <f>+F32+F36</f>
        <v>0</v>
      </c>
      <c r="G39" s="38">
        <f>+G32+G36</f>
        <v>0</v>
      </c>
    </row>
    <row r="40" spans="2:15" x14ac:dyDescent="0.25">
      <c r="B40" s="33" t="s">
        <v>81</v>
      </c>
      <c r="C40" s="34"/>
      <c r="D40" s="34"/>
      <c r="E40" s="34"/>
      <c r="F40" s="34"/>
      <c r="G40" s="34"/>
    </row>
    <row r="41" spans="2:15" x14ac:dyDescent="0.25">
      <c r="B41" s="4" t="s">
        <v>82</v>
      </c>
      <c r="C41" s="39"/>
      <c r="D41" s="39"/>
      <c r="E41" s="39"/>
      <c r="F41" s="39"/>
      <c r="G41" s="39"/>
    </row>
    <row r="42" spans="2:15" x14ac:dyDescent="0.25">
      <c r="B42" s="4" t="s">
        <v>83</v>
      </c>
      <c r="C42" s="39"/>
      <c r="D42" s="39"/>
      <c r="E42" s="39"/>
      <c r="F42" s="39"/>
      <c r="G42" s="39"/>
    </row>
    <row r="43" spans="2:15" x14ac:dyDescent="0.25">
      <c r="B43" s="33" t="s">
        <v>84</v>
      </c>
      <c r="C43" s="34"/>
      <c r="D43" s="34"/>
      <c r="E43" s="34"/>
      <c r="F43" s="34"/>
      <c r="G43" s="34"/>
    </row>
    <row r="44" spans="2:15" x14ac:dyDescent="0.25">
      <c r="B44" s="4" t="s">
        <v>85</v>
      </c>
      <c r="C44" s="39"/>
      <c r="D44" s="39"/>
      <c r="E44" s="39"/>
      <c r="F44" s="39"/>
      <c r="G44" s="39"/>
    </row>
    <row r="45" spans="2:15" x14ac:dyDescent="0.25">
      <c r="B45" s="33" t="s">
        <v>86</v>
      </c>
      <c r="C45" s="5"/>
      <c r="D45" s="5"/>
      <c r="E45" s="5"/>
      <c r="F45" s="5"/>
      <c r="G45" s="5"/>
    </row>
    <row r="46" spans="2:15" x14ac:dyDescent="0.25">
      <c r="B46" s="4" t="s">
        <v>87</v>
      </c>
      <c r="C46" s="43">
        <v>500000</v>
      </c>
      <c r="D46" s="40"/>
      <c r="E46" s="40"/>
      <c r="F46" s="40"/>
      <c r="G46" s="40"/>
    </row>
    <row r="47" spans="2:15" x14ac:dyDescent="0.25">
      <c r="B47" s="4" t="s">
        <v>62</v>
      </c>
      <c r="C47" s="40"/>
      <c r="D47" s="40"/>
      <c r="E47" s="40"/>
      <c r="F47" s="40"/>
      <c r="G47" s="40"/>
    </row>
    <row r="48" spans="2:15" x14ac:dyDescent="0.25">
      <c r="B48" s="36" t="s">
        <v>88</v>
      </c>
      <c r="C48" s="40"/>
      <c r="D48" s="40"/>
      <c r="E48" s="40"/>
      <c r="F48" s="40"/>
      <c r="G48" s="40"/>
    </row>
    <row r="49" spans="2:9" x14ac:dyDescent="0.25">
      <c r="B49" s="41" t="s">
        <v>89</v>
      </c>
      <c r="C49" s="43">
        <v>60000</v>
      </c>
      <c r="D49" s="40"/>
      <c r="E49" s="40"/>
      <c r="F49" s="40"/>
      <c r="G49" s="40"/>
    </row>
    <row r="50" spans="2:9" x14ac:dyDescent="0.25">
      <c r="B50" s="36" t="s">
        <v>90</v>
      </c>
      <c r="C50" s="40"/>
      <c r="D50" s="40"/>
      <c r="E50" s="40"/>
      <c r="F50" s="40"/>
      <c r="G50" s="40"/>
    </row>
    <row r="51" spans="2:9" x14ac:dyDescent="0.25">
      <c r="B51" s="42" t="s">
        <v>91</v>
      </c>
      <c r="C51" s="38">
        <f>C45+C43+C40</f>
        <v>0</v>
      </c>
      <c r="D51" s="38">
        <f t="shared" ref="D51:G51" si="2">D45+D43+D40</f>
        <v>0</v>
      </c>
      <c r="E51" s="38">
        <f t="shared" si="2"/>
        <v>0</v>
      </c>
      <c r="F51" s="38">
        <f t="shared" si="2"/>
        <v>0</v>
      </c>
      <c r="G51" s="38">
        <f t="shared" si="2"/>
        <v>0</v>
      </c>
    </row>
    <row r="52" spans="2:9" x14ac:dyDescent="0.25">
      <c r="B52" s="4" t="s">
        <v>92</v>
      </c>
      <c r="C52" s="5">
        <f>C51-C39</f>
        <v>0</v>
      </c>
      <c r="D52" s="5">
        <f>D51-D39</f>
        <v>0</v>
      </c>
      <c r="E52" s="5">
        <f>E51-E39</f>
        <v>0</v>
      </c>
      <c r="F52" s="5">
        <f>F51-F39</f>
        <v>0</v>
      </c>
      <c r="G52" s="5">
        <f>G51-G39</f>
        <v>0</v>
      </c>
    </row>
    <row r="54" spans="2:9" x14ac:dyDescent="0.25">
      <c r="B54" s="51" t="s">
        <v>93</v>
      </c>
      <c r="C54" s="51">
        <f>C31</f>
        <v>2024</v>
      </c>
      <c r="D54" s="51">
        <f>D31</f>
        <v>2025</v>
      </c>
      <c r="E54" s="51">
        <f>E31</f>
        <v>2026</v>
      </c>
      <c r="F54" s="51">
        <f>F31</f>
        <v>2027</v>
      </c>
      <c r="G54" s="51">
        <f>G31</f>
        <v>2028</v>
      </c>
      <c r="H54" s="51" t="s">
        <v>2</v>
      </c>
      <c r="I54" s="51" t="s">
        <v>94</v>
      </c>
    </row>
    <row r="55" spans="2:9" x14ac:dyDescent="0.25">
      <c r="B55" s="4" t="s">
        <v>95</v>
      </c>
      <c r="C55" s="5"/>
      <c r="D55" s="5"/>
      <c r="E55" s="5"/>
      <c r="F55" s="5"/>
      <c r="G55" s="5"/>
      <c r="H55" s="5"/>
      <c r="I55" s="4"/>
    </row>
    <row r="56" spans="2:9" x14ac:dyDescent="0.25">
      <c r="B56" s="4" t="s">
        <v>96</v>
      </c>
      <c r="C56" s="5"/>
      <c r="D56" s="5"/>
      <c r="E56" s="5"/>
      <c r="F56" s="5"/>
      <c r="G56" s="5"/>
      <c r="H56" s="5"/>
      <c r="I56" s="4"/>
    </row>
    <row r="57" spans="2:9" x14ac:dyDescent="0.25">
      <c r="B57" s="4" t="s">
        <v>97</v>
      </c>
      <c r="C57" s="5"/>
      <c r="D57" s="5"/>
      <c r="E57" s="5"/>
      <c r="F57" s="5"/>
      <c r="G57" s="5"/>
      <c r="H57" s="5"/>
      <c r="I57" s="4"/>
    </row>
    <row r="58" spans="2:9" x14ac:dyDescent="0.25">
      <c r="B58" s="4" t="s">
        <v>98</v>
      </c>
      <c r="C58" s="5"/>
      <c r="D58" s="5"/>
      <c r="E58" s="5"/>
      <c r="F58" s="5"/>
      <c r="G58" s="5"/>
      <c r="H58" s="5"/>
      <c r="I58" s="4"/>
    </row>
    <row r="59" spans="2:9" x14ac:dyDescent="0.25">
      <c r="B59" s="52" t="s">
        <v>99</v>
      </c>
      <c r="C59" s="53"/>
      <c r="D59" s="53"/>
      <c r="E59" s="53"/>
      <c r="F59" s="53"/>
      <c r="G59" s="53"/>
      <c r="H59" s="53"/>
      <c r="I59" s="4"/>
    </row>
    <row r="60" spans="2:9" x14ac:dyDescent="0.25">
      <c r="B60" s="54" t="s">
        <v>100</v>
      </c>
      <c r="C60" s="55"/>
      <c r="D60" s="55"/>
      <c r="E60" s="55"/>
      <c r="F60" s="55"/>
      <c r="G60" s="55"/>
      <c r="H60" s="55"/>
      <c r="I60" s="4"/>
    </row>
    <row r="62" spans="2:9" x14ac:dyDescent="0.25">
      <c r="H62" s="1"/>
    </row>
    <row r="63" spans="2:9" x14ac:dyDescent="0.25">
      <c r="H63" s="1"/>
    </row>
    <row r="64" spans="2:9" x14ac:dyDescent="0.25">
      <c r="H64" s="1"/>
    </row>
    <row r="65" spans="8:12" x14ac:dyDescent="0.25">
      <c r="H65" s="1"/>
    </row>
    <row r="66" spans="8:12" x14ac:dyDescent="0.25">
      <c r="H66" s="1"/>
    </row>
    <row r="67" spans="8:12" x14ac:dyDescent="0.25">
      <c r="H67" s="1"/>
    </row>
    <row r="68" spans="8:12" x14ac:dyDescent="0.25">
      <c r="H68" s="1"/>
    </row>
    <row r="69" spans="8:12" x14ac:dyDescent="0.25">
      <c r="H69" s="1"/>
    </row>
    <row r="70" spans="8:12" x14ac:dyDescent="0.25">
      <c r="H70" s="1"/>
    </row>
    <row r="71" spans="8:12" x14ac:dyDescent="0.25">
      <c r="H71" s="1"/>
      <c r="J71" s="16"/>
      <c r="K71" s="16"/>
      <c r="L71" s="16"/>
    </row>
    <row r="72" spans="8:12" x14ac:dyDescent="0.25">
      <c r="H72" s="1"/>
    </row>
    <row r="73" spans="8:12" x14ac:dyDescent="0.25">
      <c r="H73" s="1"/>
    </row>
    <row r="74" spans="8:12" x14ac:dyDescent="0.25">
      <c r="H74" s="1"/>
    </row>
    <row r="75" spans="8:12" x14ac:dyDescent="0.25">
      <c r="H75" s="1"/>
    </row>
    <row r="89" spans="8:13" x14ac:dyDescent="0.25">
      <c r="M89" s="16"/>
    </row>
    <row r="94" spans="8:13" x14ac:dyDescent="0.25">
      <c r="H94" s="1"/>
    </row>
    <row r="95" spans="8:13" x14ac:dyDescent="0.25">
      <c r="H95" s="1"/>
    </row>
    <row r="96" spans="8:13" x14ac:dyDescent="0.25">
      <c r="H96" s="1"/>
    </row>
    <row r="97" spans="2:9" x14ac:dyDescent="0.25">
      <c r="H97" s="1"/>
    </row>
    <row r="98" spans="2:9" x14ac:dyDescent="0.25">
      <c r="H98" s="1"/>
    </row>
    <row r="99" spans="2:9" x14ac:dyDescent="0.25">
      <c r="H99" s="1"/>
    </row>
    <row r="100" spans="2:9" x14ac:dyDescent="0.25">
      <c r="H100" s="1"/>
    </row>
    <row r="101" spans="2:9" x14ac:dyDescent="0.25">
      <c r="H101" s="1"/>
    </row>
    <row r="102" spans="2:9" x14ac:dyDescent="0.25">
      <c r="H102" s="1"/>
    </row>
    <row r="103" spans="2:9" x14ac:dyDescent="0.25">
      <c r="H103" s="1"/>
    </row>
    <row r="109" spans="2:9" x14ac:dyDescent="0.25">
      <c r="B109" s="12"/>
      <c r="C109" s="12"/>
      <c r="D109" s="12"/>
      <c r="E109" s="12"/>
      <c r="F109" s="12"/>
      <c r="G109" s="12"/>
      <c r="H109" s="12"/>
      <c r="I109" s="12"/>
    </row>
    <row r="110" spans="2:9" x14ac:dyDescent="0.25">
      <c r="B110" s="12"/>
      <c r="C110" s="12"/>
      <c r="D110" s="12"/>
      <c r="E110" s="12"/>
      <c r="F110" s="12"/>
      <c r="G110" s="12"/>
      <c r="H110" s="12"/>
      <c r="I110" s="12"/>
    </row>
  </sheetData>
  <mergeCells count="1">
    <mergeCell ref="J11:O11"/>
  </mergeCells>
  <pageMargins left="0.7" right="0.7" top="0.75" bottom="0.75" header="0.3" footer="0.3"/>
  <pageSetup scale="88" orientation="portrait" r:id="rId1"/>
  <rowBreaks count="1" manualBreakCount="1">
    <brk id="100" max="16383" man="1"/>
  </rowBreaks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1075A32DE9D4AB88C0349236D7AF3" ma:contentTypeVersion="3" ma:contentTypeDescription="Create a new document." ma:contentTypeScope="" ma:versionID="e57c29aab18c59ecec4a106ffc8d44e7">
  <xsd:schema xmlns:xsd="http://www.w3.org/2001/XMLSchema" xmlns:xs="http://www.w3.org/2001/XMLSchema" xmlns:p="http://schemas.microsoft.com/office/2006/metadata/properties" xmlns:ns2="d6add023-c043-440d-acfb-1e6d68a0cb87" targetNamespace="http://schemas.microsoft.com/office/2006/metadata/properties" ma:root="true" ma:fieldsID="c362307486ecde805a3c7b32a5b26003" ns2:_="">
    <xsd:import namespace="d6add023-c043-440d-acfb-1e6d68a0cb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dd023-c043-440d-acfb-1e6d68a0c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114D01-B02F-4BD3-B386-6407D56E4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dd023-c043-440d-acfb-1e6d68a0cb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A1AAAA-2C0F-4874-9F4D-582E2B7368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4678F0-A148-4914-8839-6760AB4BC8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Business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</dc:creator>
  <cp:keywords/>
  <dc:description/>
  <cp:lastModifiedBy>Yusifzada Leyla</cp:lastModifiedBy>
  <cp:revision/>
  <dcterms:created xsi:type="dcterms:W3CDTF">2015-11-03T18:15:32Z</dcterms:created>
  <dcterms:modified xsi:type="dcterms:W3CDTF">2024-10-01T11:40:02Z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0x0101003481075A32DE9D4AB88C0349236D7AF3</vt:lpwstr>
  </property>
</Properties>
</file>