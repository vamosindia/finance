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ballardini_c_pg_com/Documents/6. Fem Care - Budapest Plant PFM/j. Organization/Corvinus International Finance Class/"/>
    </mc:Choice>
  </mc:AlternateContent>
  <xr:revisionPtr revIDLastSave="10" documentId="8_{862FB916-3A9F-44FC-8EE7-2B6C4445FE3A}" xr6:coauthVersionLast="47" xr6:coauthVersionMax="47" xr10:uidLastSave="{EAE8124D-2642-4BED-9504-D5AD72630658}"/>
  <bookViews>
    <workbookView xWindow="-110" yWindow="-110" windowWidth="19420" windowHeight="10420" activeTab="1" xr2:uid="{00000000-000D-0000-FFFF-FFFF00000000}"/>
  </bookViews>
  <sheets>
    <sheet name="PPA NPV" sheetId="3" r:id="rId1"/>
    <sheet name="Buy NPV" sheetId="1" r:id="rId2"/>
    <sheet name="Electricity pric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S32" i="3" l="1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E13" i="3"/>
  <c r="F12" i="3"/>
  <c r="F13" i="3" s="1"/>
  <c r="E11" i="3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E9" i="3"/>
  <c r="F29" i="1"/>
  <c r="E29" i="1"/>
  <c r="E27" i="1"/>
  <c r="E23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E17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E13" i="1"/>
  <c r="G11" i="1"/>
  <c r="H11" i="1" s="1"/>
  <c r="F11" i="1"/>
  <c r="E11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E9" i="1"/>
  <c r="G12" i="3" l="1"/>
  <c r="H12" i="3" s="1"/>
  <c r="I12" i="3"/>
  <c r="H13" i="3"/>
  <c r="G13" i="3"/>
  <c r="I11" i="1"/>
  <c r="J12" i="3" l="1"/>
  <c r="I13" i="3"/>
  <c r="J11" i="1"/>
  <c r="K12" i="3" l="1"/>
  <c r="J13" i="3"/>
  <c r="K11" i="1"/>
  <c r="L12" i="3" l="1"/>
  <c r="K13" i="3"/>
  <c r="L11" i="1"/>
  <c r="M12" i="3" l="1"/>
  <c r="L13" i="3"/>
  <c r="M11" i="1"/>
  <c r="N12" i="3" l="1"/>
  <c r="M13" i="3"/>
  <c r="N11" i="1"/>
  <c r="O12" i="3" l="1"/>
  <c r="N13" i="3"/>
  <c r="O11" i="1"/>
  <c r="P12" i="3" l="1"/>
  <c r="O13" i="3"/>
  <c r="P11" i="1"/>
  <c r="Q12" i="3" l="1"/>
  <c r="P13" i="3"/>
  <c r="Q11" i="1"/>
  <c r="R12" i="3" l="1"/>
  <c r="Q13" i="3"/>
  <c r="R11" i="1"/>
  <c r="S12" i="3" l="1"/>
  <c r="S13" i="3" s="1"/>
  <c r="R13" i="3"/>
  <c r="S11" i="1"/>
  <c r="BM7" i="2" l="1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S7" i="2"/>
  <c r="E29" i="3" l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D26" i="3"/>
  <c r="D23" i="3"/>
  <c r="D22" i="3"/>
  <c r="D27" i="3" s="1"/>
  <c r="D21" i="3"/>
  <c r="R25" i="3" s="1"/>
  <c r="R26" i="3" s="1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R22" i="3"/>
  <c r="J22" i="3"/>
  <c r="S22" i="3"/>
  <c r="Q22" i="3"/>
  <c r="P22" i="3"/>
  <c r="O22" i="3"/>
  <c r="N22" i="3"/>
  <c r="M22" i="3"/>
  <c r="L22" i="3"/>
  <c r="K22" i="3"/>
  <c r="I22" i="3"/>
  <c r="H22" i="3"/>
  <c r="G22" i="3"/>
  <c r="F22" i="3"/>
  <c r="E22" i="3"/>
  <c r="S25" i="3" l="1"/>
  <c r="S26" i="3" s="1"/>
  <c r="K25" i="3"/>
  <c r="K26" i="3" s="1"/>
  <c r="F24" i="3"/>
  <c r="F27" i="3"/>
  <c r="N24" i="3"/>
  <c r="N27" i="3"/>
  <c r="G24" i="3"/>
  <c r="G27" i="3"/>
  <c r="O24" i="3"/>
  <c r="O27" i="3"/>
  <c r="E24" i="3"/>
  <c r="E27" i="3"/>
  <c r="H24" i="3"/>
  <c r="H27" i="3"/>
  <c r="P24" i="3"/>
  <c r="P27" i="3"/>
  <c r="I24" i="3"/>
  <c r="I27" i="3"/>
  <c r="Q24" i="3"/>
  <c r="Q27" i="3"/>
  <c r="M24" i="3"/>
  <c r="M27" i="3"/>
  <c r="K27" i="3"/>
  <c r="K24" i="3"/>
  <c r="S27" i="3"/>
  <c r="S24" i="3"/>
  <c r="J27" i="3"/>
  <c r="J24" i="3"/>
  <c r="L24" i="3"/>
  <c r="L27" i="3"/>
  <c r="R27" i="3"/>
  <c r="R24" i="3"/>
  <c r="L25" i="3"/>
  <c r="L26" i="3" s="1"/>
  <c r="D24" i="3"/>
  <c r="D28" i="3" s="1"/>
  <c r="D30" i="3" s="1"/>
  <c r="E25" i="3"/>
  <c r="E26" i="3" s="1"/>
  <c r="M25" i="3"/>
  <c r="M26" i="3" s="1"/>
  <c r="F25" i="3"/>
  <c r="F26" i="3" s="1"/>
  <c r="N25" i="3"/>
  <c r="N26" i="3" s="1"/>
  <c r="G25" i="3"/>
  <c r="G26" i="3" s="1"/>
  <c r="O25" i="3"/>
  <c r="O26" i="3" s="1"/>
  <c r="H25" i="3"/>
  <c r="H26" i="3" s="1"/>
  <c r="P25" i="3"/>
  <c r="P26" i="3" s="1"/>
  <c r="I25" i="3"/>
  <c r="I26" i="3" s="1"/>
  <c r="Q25" i="3"/>
  <c r="Q26" i="3" s="1"/>
  <c r="J25" i="3"/>
  <c r="J26" i="3" s="1"/>
  <c r="S28" i="3" l="1"/>
  <c r="S30" i="3" s="1"/>
  <c r="I28" i="3"/>
  <c r="I30" i="3" s="1"/>
  <c r="O28" i="3"/>
  <c r="O30" i="3" s="1"/>
  <c r="R28" i="3"/>
  <c r="R30" i="3" s="1"/>
  <c r="K28" i="3"/>
  <c r="K30" i="3" s="1"/>
  <c r="P28" i="3"/>
  <c r="P30" i="3" s="1"/>
  <c r="G28" i="3"/>
  <c r="G30" i="3" s="1"/>
  <c r="L28" i="3"/>
  <c r="L30" i="3" s="1"/>
  <c r="M28" i="3"/>
  <c r="M30" i="3" s="1"/>
  <c r="H28" i="3"/>
  <c r="H30" i="3" s="1"/>
  <c r="N28" i="3"/>
  <c r="N30" i="3" s="1"/>
  <c r="J28" i="3"/>
  <c r="J30" i="3" s="1"/>
  <c r="Q28" i="3"/>
  <c r="Q30" i="3" s="1"/>
  <c r="E28" i="3"/>
  <c r="F28" i="3"/>
  <c r="F30" i="3" s="1"/>
  <c r="E30" i="3" l="1"/>
  <c r="C3" i="3"/>
  <c r="C2" i="3"/>
  <c r="G29" i="1" l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D26" i="1"/>
  <c r="D23" i="1"/>
  <c r="D22" i="1"/>
  <c r="D21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R25" i="1" l="1"/>
  <c r="R26" i="1" s="1"/>
  <c r="E25" i="1"/>
  <c r="E26" i="1" s="1"/>
  <c r="D27" i="1"/>
  <c r="L22" i="1"/>
  <c r="L27" i="1" s="1"/>
  <c r="O22" i="1"/>
  <c r="O24" i="1" s="1"/>
  <c r="K25" i="1"/>
  <c r="K26" i="1" s="1"/>
  <c r="S25" i="1"/>
  <c r="S26" i="1" s="1"/>
  <c r="I22" i="1"/>
  <c r="I27" i="1" s="1"/>
  <c r="Q22" i="1"/>
  <c r="Q24" i="1" s="1"/>
  <c r="J22" i="1"/>
  <c r="J24" i="1" s="1"/>
  <c r="R22" i="1"/>
  <c r="R24" i="1" s="1"/>
  <c r="K22" i="1"/>
  <c r="K24" i="1" s="1"/>
  <c r="S22" i="1"/>
  <c r="S27" i="1" s="1"/>
  <c r="F22" i="1"/>
  <c r="F24" i="1" s="1"/>
  <c r="N22" i="1"/>
  <c r="N27" i="1" s="1"/>
  <c r="G22" i="1"/>
  <c r="G24" i="1" s="1"/>
  <c r="E22" i="1"/>
  <c r="M22" i="1"/>
  <c r="H22" i="1"/>
  <c r="P22" i="1"/>
  <c r="D24" i="1"/>
  <c r="F25" i="1"/>
  <c r="F26" i="1" s="1"/>
  <c r="N25" i="1"/>
  <c r="N26" i="1" s="1"/>
  <c r="M25" i="1"/>
  <c r="M26" i="1" s="1"/>
  <c r="G25" i="1"/>
  <c r="G26" i="1" s="1"/>
  <c r="O25" i="1"/>
  <c r="O26" i="1" s="1"/>
  <c r="P25" i="1"/>
  <c r="P26" i="1" s="1"/>
  <c r="I25" i="1"/>
  <c r="I26" i="1" s="1"/>
  <c r="Q25" i="1"/>
  <c r="Q26" i="1" s="1"/>
  <c r="L25" i="1"/>
  <c r="L26" i="1" s="1"/>
  <c r="H25" i="1"/>
  <c r="H26" i="1" s="1"/>
  <c r="J25" i="1"/>
  <c r="J26" i="1" s="1"/>
  <c r="D28" i="1" l="1"/>
  <c r="L24" i="1"/>
  <c r="L28" i="1" s="1"/>
  <c r="L30" i="1" s="1"/>
  <c r="S24" i="1"/>
  <c r="S28" i="1" s="1"/>
  <c r="S30" i="1" s="1"/>
  <c r="I24" i="1"/>
  <c r="I28" i="1" s="1"/>
  <c r="I30" i="1" s="1"/>
  <c r="O27" i="1"/>
  <c r="O28" i="1" s="1"/>
  <c r="O30" i="1" s="1"/>
  <c r="G27" i="1"/>
  <c r="G28" i="1" s="1"/>
  <c r="G30" i="1" s="1"/>
  <c r="Q27" i="1"/>
  <c r="Q28" i="1" s="1"/>
  <c r="Q30" i="1" s="1"/>
  <c r="J27" i="1"/>
  <c r="J28" i="1" s="1"/>
  <c r="J30" i="1" s="1"/>
  <c r="R27" i="1"/>
  <c r="R28" i="1" s="1"/>
  <c r="R30" i="1" s="1"/>
  <c r="K27" i="1"/>
  <c r="K28" i="1" s="1"/>
  <c r="K30" i="1" s="1"/>
  <c r="N24" i="1"/>
  <c r="N28" i="1" s="1"/>
  <c r="N30" i="1" s="1"/>
  <c r="F27" i="1"/>
  <c r="F28" i="1" s="1"/>
  <c r="F30" i="1" s="1"/>
  <c r="H27" i="1"/>
  <c r="H24" i="1"/>
  <c r="P24" i="1"/>
  <c r="P27" i="1"/>
  <c r="E24" i="1"/>
  <c r="M27" i="1"/>
  <c r="M24" i="1"/>
  <c r="D30" i="1" l="1"/>
  <c r="M28" i="1"/>
  <c r="M30" i="1" s="1"/>
  <c r="P28" i="1"/>
  <c r="P30" i="1" s="1"/>
  <c r="H28" i="1"/>
  <c r="H30" i="1" s="1"/>
  <c r="C3" i="1" l="1"/>
  <c r="D32" i="1"/>
  <c r="E30" i="1"/>
  <c r="C2" i="1" s="1"/>
  <c r="P32" i="1" l="1"/>
  <c r="Q32" i="1"/>
  <c r="J32" i="1"/>
  <c r="R32" i="1"/>
  <c r="K32" i="1"/>
  <c r="M32" i="1"/>
  <c r="N32" i="1"/>
  <c r="S32" i="1"/>
  <c r="O32" i="1"/>
  <c r="L32" i="1"/>
  <c r="H32" i="1"/>
  <c r="G32" i="1"/>
  <c r="I32" i="1"/>
  <c r="E32" i="1"/>
  <c r="F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tc={0F2AFE0C-D262-455F-8E11-1CCD2606D0EA}</author>
  </authors>
  <commentList>
    <comment ref="C25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useful life in years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tc={9C46DD5A-533F-4427-B363-6C9A36AB682D}</author>
  </authors>
  <commentList>
    <comment ref="C25" authorId="0" shapeId="0" xr:uid="{9C46DD5A-533F-4427-B363-6C9A36AB682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Useful life in years</t>
      </text>
    </comment>
  </commentList>
</comments>
</file>

<file path=xl/sharedStrings.xml><?xml version="1.0" encoding="utf-8"?>
<sst xmlns="http://schemas.openxmlformats.org/spreadsheetml/2006/main" count="70" uniqueCount="31">
  <si>
    <t>NPV</t>
  </si>
  <si>
    <t>Input cells</t>
  </si>
  <si>
    <t>ROR</t>
  </si>
  <si>
    <t>Solar panels capital</t>
  </si>
  <si>
    <t>EUR</t>
  </si>
  <si>
    <t>Years</t>
  </si>
  <si>
    <t>Cost impact</t>
  </si>
  <si>
    <t>Consumed electricity from solar plant</t>
  </si>
  <si>
    <t>Yearly saving</t>
  </si>
  <si>
    <t>Yearly cost</t>
  </si>
  <si>
    <t>Cash flow impact</t>
  </si>
  <si>
    <t>Investment</t>
  </si>
  <si>
    <t>Saving</t>
  </si>
  <si>
    <t>Extra cost</t>
  </si>
  <si>
    <t>Cash Flow before tax</t>
  </si>
  <si>
    <t>Depreciation</t>
  </si>
  <si>
    <t>Depreciation tax relief</t>
  </si>
  <si>
    <t>Cash flow tax impact</t>
  </si>
  <si>
    <t>Cash flow after tax</t>
  </si>
  <si>
    <t xml:space="preserve">Weighted Average Cost of Capital (WACC) </t>
  </si>
  <si>
    <t>Cash Flow NPV</t>
  </si>
  <si>
    <t>Commodity Price</t>
  </si>
  <si>
    <t>Energy price EUR/MWh - monthly view</t>
  </si>
  <si>
    <t>Total Electricity Cost</t>
  </si>
  <si>
    <t>Transportation fee</t>
  </si>
  <si>
    <t>MWh/year</t>
  </si>
  <si>
    <t>Electricity price (Commodity + transportation fee)</t>
  </si>
  <si>
    <t>MEUR</t>
  </si>
  <si>
    <t>Land Lease</t>
  </si>
  <si>
    <t>Break-even point</t>
  </si>
  <si>
    <t>PPA price (Commodity + transportation 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</si>
</sst>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_(* #,##0.0_);_(* \(#,##0.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/>
    <xf numFmtId="3" fontId="0" fillId="3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1" fillId="4" borderId="0" xfId="0" applyFont="1" applyFill="1"/>
    <xf numFmtId="3" fontId="1" fillId="4" borderId="0" xfId="0" applyNumberFormat="1" applyFont="1" applyFill="1" applyAlignment="1">
      <alignment horizontal="center"/>
    </xf>
    <xf numFmtId="9" fontId="0" fillId="0" borderId="0" xfId="0" applyNumberFormat="1"/>
    <xf numFmtId="0" fontId="2" fillId="2" borderId="1" xfId="0" applyFont="1" applyFill="1" applyBorder="1" applyAlignment="1">
      <alignment horizontal="center"/>
    </xf>
    <xf numFmtId="3" fontId="2" fillId="0" borderId="3" xfId="0" applyNumberFormat="1" applyFont="1" applyBorder="1"/>
    <xf numFmtId="9" fontId="2" fillId="0" borderId="5" xfId="0" applyNumberFormat="1" applyFont="1" applyBorder="1"/>
    <xf numFmtId="0" fontId="1" fillId="6" borderId="2" xfId="0" applyFont="1" applyFill="1" applyBorder="1"/>
    <xf numFmtId="0" fontId="1" fillId="6" borderId="4" xfId="0" applyFont="1" applyFill="1" applyBorder="1"/>
    <xf numFmtId="0" fontId="0" fillId="2" borderId="0" xfId="0" applyFill="1"/>
    <xf numFmtId="164" fontId="4" fillId="7" borderId="6" xfId="0" applyNumberFormat="1" applyFon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5" fillId="0" borderId="0" xfId="0" applyFont="1"/>
    <xf numFmtId="0" fontId="3" fillId="0" borderId="8" xfId="0" applyFont="1" applyBorder="1"/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left" indent="1"/>
    </xf>
    <xf numFmtId="0" fontId="2" fillId="2" borderId="4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2" fillId="2" borderId="4" xfId="0" applyFont="1" applyFill="1" applyBorder="1"/>
    <xf numFmtId="0" fontId="0" fillId="0" borderId="2" xfId="0" applyBorder="1"/>
    <xf numFmtId="0" fontId="0" fillId="5" borderId="11" xfId="0" applyFill="1" applyBorder="1"/>
    <xf numFmtId="0" fontId="0" fillId="0" borderId="12" xfId="0" applyBorder="1"/>
    <xf numFmtId="0" fontId="0" fillId="5" borderId="12" xfId="0" applyFill="1" applyBorder="1"/>
    <xf numFmtId="0" fontId="2" fillId="8" borderId="11" xfId="0" applyFont="1" applyFill="1" applyBorder="1"/>
    <xf numFmtId="0" fontId="0" fillId="8" borderId="13" xfId="0" applyFill="1" applyBorder="1"/>
    <xf numFmtId="0" fontId="2" fillId="0" borderId="0" xfId="0" applyFont="1"/>
    <xf numFmtId="1" fontId="2" fillId="0" borderId="0" xfId="0" applyNumberFormat="1" applyFont="1"/>
    <xf numFmtId="1" fontId="0" fillId="9" borderId="0" xfId="0" applyNumberFormat="1" applyFill="1"/>
    <xf numFmtId="3" fontId="0" fillId="5" borderId="12" xfId="0" applyNumberFormat="1" applyFill="1" applyBorder="1"/>
    <xf numFmtId="165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6" fontId="1" fillId="4" borderId="0" xfId="1" applyNumberFormat="1" applyFont="1" applyFill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166" fontId="0" fillId="0" borderId="0" xfId="0" applyNumberFormat="1"/>
    <xf numFmtId="166" fontId="0" fillId="10" borderId="0" xfId="0" applyNumberFormat="1" applyFill="1"/>
    <xf numFmtId="0" fontId="0" fillId="0" borderId="9" xfId="0" applyFont="1" applyBorder="1" applyAlignment="1">
      <alignment horizontal="left"/>
    </xf>
    <xf numFmtId="166" fontId="0" fillId="5" borderId="0" xfId="1" applyNumberFormat="1" applyFont="1" applyFill="1"/>
    <xf numFmtId="166" fontId="0" fillId="0" borderId="0" xfId="1" applyNumberFormat="1" applyFont="1"/>
    <xf numFmtId="166" fontId="0" fillId="5" borderId="8" xfId="1" applyNumberFormat="1" applyFont="1" applyFill="1" applyBorder="1" applyAlignment="1">
      <alignment horizontal="center"/>
    </xf>
    <xf numFmtId="166" fontId="0" fillId="5" borderId="3" xfId="1" applyNumberFormat="1" applyFont="1" applyFill="1" applyBorder="1" applyAlignment="1">
      <alignment horizontal="center"/>
    </xf>
    <xf numFmtId="166" fontId="0" fillId="5" borderId="0" xfId="1" applyNumberFormat="1" applyFont="1" applyFill="1" applyBorder="1" applyAlignment="1">
      <alignment horizontal="center"/>
    </xf>
    <xf numFmtId="166" fontId="0" fillId="5" borderId="10" xfId="1" applyNumberFormat="1" applyFont="1" applyFill="1" applyBorder="1" applyAlignment="1">
      <alignment horizontal="center"/>
    </xf>
    <xf numFmtId="166" fontId="2" fillId="2" borderId="1" xfId="1" applyNumberFormat="1" applyFont="1" applyFill="1" applyBorder="1" applyAlignment="1">
      <alignment horizontal="center"/>
    </xf>
    <xf numFmtId="166" fontId="2" fillId="2" borderId="5" xfId="1" applyNumberFormat="1" applyFont="1" applyFill="1" applyBorder="1" applyAlignment="1">
      <alignment horizontal="center"/>
    </xf>
    <xf numFmtId="166" fontId="0" fillId="0" borderId="0" xfId="0" applyNumberFormat="1" applyFill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th, Erika" id="{ACFC9646-BE97-4679-A3ED-2466524D614E}" userId="S::toth.e.1@pg.com::2a2e3460-04eb-496c-ab04-c030d2c541b9" providerId="AD"/>
  <person displayName="Ballardini, Claudia" id="{0B29BEDF-AE8F-476B-933E-3C7D71F0127E}" userId="S::ballardini.c@pg.com::577ce170-ff25-42c9-bae6-47c98e451a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5" dT="2023-03-21T11:33:23.15" personId="{ACFC9646-BE97-4679-A3ED-2466524D614E}" id="{0F2AFE0C-D262-455F-8E11-1CCD2606D0EA}">
    <text>useful life in years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5" dT="2024-10-18T14:32:34.66" personId="{0B29BEDF-AE8F-476B-933E-3C7D71F0127E}" id="{9C46DD5A-533F-4427-B363-6C9A36AB682D}">
    <text>Useful life in years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2:S32"/>
  <sheetViews>
    <sheetView showGridLines="0" zoomScale="70" zoomScaleNormal="70" workbookViewId="0">
      <selection activeCell="C10" sqref="C10"/>
    </sheetView>
  </sheetViews>
  <sheetFormatPr defaultRowHeight="14.5" x14ac:dyDescent="0.35"/>
  <cols>
    <col min="2" max="2" width="37.90625" customWidth="1"/>
    <col min="3" max="3" width="9.54296875" bestFit="1" customWidth="1"/>
    <col min="4" max="4" width="9.54296875" customWidth="1"/>
    <col min="5" max="5" width="13.453125" customWidth="1"/>
    <col min="6" max="19" width="9.6328125" bestFit="1" customWidth="1"/>
  </cols>
  <sheetData>
    <row r="2" spans="2:19" x14ac:dyDescent="0.35">
      <c r="B2" s="15" t="s">
        <v>0</v>
      </c>
      <c r="C2" s="13">
        <f>SUM(D30:S30)</f>
        <v>4043.1709168754583</v>
      </c>
      <c r="J2" s="31"/>
      <c r="K2" s="32" t="s">
        <v>1</v>
      </c>
    </row>
    <row r="3" spans="2:19" x14ac:dyDescent="0.35">
      <c r="B3" s="16" t="s">
        <v>2</v>
      </c>
      <c r="C3" s="14" t="str">
        <f>IFERROR(IRR(D28:S28,1%),"n/a")</f>
        <v>n/a</v>
      </c>
    </row>
    <row r="4" spans="2:19" x14ac:dyDescent="0.35">
      <c r="C4" s="11"/>
    </row>
    <row r="5" spans="2:19" x14ac:dyDescent="0.35">
      <c r="B5" s="34" t="s">
        <v>3</v>
      </c>
      <c r="C5" s="35" t="s">
        <v>4</v>
      </c>
      <c r="D5" s="33"/>
    </row>
    <row r="7" spans="2:19" x14ac:dyDescent="0.35">
      <c r="B7" s="17"/>
      <c r="C7" s="17"/>
      <c r="D7" s="59" t="s">
        <v>5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pans="2:19" x14ac:dyDescent="0.35">
      <c r="B8" s="3" t="s">
        <v>6</v>
      </c>
      <c r="C8" s="3"/>
      <c r="D8" s="12">
        <v>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</row>
    <row r="9" spans="2:19" x14ac:dyDescent="0.35">
      <c r="B9" s="1" t="s">
        <v>7</v>
      </c>
      <c r="C9" s="2" t="s">
        <v>25</v>
      </c>
      <c r="E9" s="50">
        <f>65000*20%</f>
        <v>13000</v>
      </c>
      <c r="F9" s="50">
        <f t="shared" ref="F9:S9" si="0">65000*20%</f>
        <v>13000</v>
      </c>
      <c r="G9" s="50">
        <f t="shared" si="0"/>
        <v>13000</v>
      </c>
      <c r="H9" s="50">
        <f t="shared" si="0"/>
        <v>13000</v>
      </c>
      <c r="I9" s="50">
        <f t="shared" si="0"/>
        <v>13000</v>
      </c>
      <c r="J9" s="50">
        <f t="shared" si="0"/>
        <v>13000</v>
      </c>
      <c r="K9" s="50">
        <f t="shared" si="0"/>
        <v>13000</v>
      </c>
      <c r="L9" s="50">
        <f t="shared" si="0"/>
        <v>13000</v>
      </c>
      <c r="M9" s="50">
        <f t="shared" si="0"/>
        <v>13000</v>
      </c>
      <c r="N9" s="50">
        <f t="shared" si="0"/>
        <v>13000</v>
      </c>
      <c r="O9" s="50">
        <f t="shared" si="0"/>
        <v>13000</v>
      </c>
      <c r="P9" s="50">
        <f t="shared" si="0"/>
        <v>13000</v>
      </c>
      <c r="Q9" s="50">
        <f t="shared" si="0"/>
        <v>13000</v>
      </c>
      <c r="R9" s="50">
        <f t="shared" si="0"/>
        <v>13000</v>
      </c>
      <c r="S9" s="50">
        <f t="shared" si="0"/>
        <v>13000</v>
      </c>
    </row>
    <row r="10" spans="2:19" x14ac:dyDescent="0.35"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spans="2:19" x14ac:dyDescent="0.35">
      <c r="B11" s="30" t="s">
        <v>26</v>
      </c>
      <c r="C11" s="22"/>
      <c r="D11" s="23"/>
      <c r="E11" s="52">
        <f>('Electricity prices'!BM7)</f>
        <v>162.52480417754569</v>
      </c>
      <c r="F11" s="52">
        <f>E11</f>
        <v>162.52480417754569</v>
      </c>
      <c r="G11" s="52">
        <f t="shared" ref="G11:S11" si="1">F11</f>
        <v>162.52480417754569</v>
      </c>
      <c r="H11" s="52">
        <f t="shared" si="1"/>
        <v>162.52480417754569</v>
      </c>
      <c r="I11" s="52">
        <f t="shared" si="1"/>
        <v>162.52480417754569</v>
      </c>
      <c r="J11" s="52">
        <f t="shared" si="1"/>
        <v>162.52480417754569</v>
      </c>
      <c r="K11" s="52">
        <f t="shared" si="1"/>
        <v>162.52480417754569</v>
      </c>
      <c r="L11" s="52">
        <f t="shared" si="1"/>
        <v>162.52480417754569</v>
      </c>
      <c r="M11" s="52">
        <f t="shared" si="1"/>
        <v>162.52480417754569</v>
      </c>
      <c r="N11" s="52">
        <f t="shared" si="1"/>
        <v>162.52480417754569</v>
      </c>
      <c r="O11" s="52">
        <f t="shared" si="1"/>
        <v>162.52480417754569</v>
      </c>
      <c r="P11" s="52">
        <f t="shared" si="1"/>
        <v>162.52480417754569</v>
      </c>
      <c r="Q11" s="52">
        <f t="shared" si="1"/>
        <v>162.52480417754569</v>
      </c>
      <c r="R11" s="52">
        <f t="shared" si="1"/>
        <v>162.52480417754569</v>
      </c>
      <c r="S11" s="53">
        <f t="shared" si="1"/>
        <v>162.52480417754569</v>
      </c>
    </row>
    <row r="12" spans="2:19" x14ac:dyDescent="0.35">
      <c r="B12" s="49" t="s">
        <v>30</v>
      </c>
      <c r="C12" s="44"/>
      <c r="D12" s="45"/>
      <c r="E12" s="54">
        <v>125</v>
      </c>
      <c r="F12" s="54">
        <f>E12</f>
        <v>125</v>
      </c>
      <c r="G12" s="54">
        <f t="shared" ref="G12:S12" si="2">F12</f>
        <v>125</v>
      </c>
      <c r="H12" s="54">
        <f t="shared" si="2"/>
        <v>125</v>
      </c>
      <c r="I12" s="54">
        <f t="shared" si="2"/>
        <v>125</v>
      </c>
      <c r="J12" s="54">
        <f t="shared" si="2"/>
        <v>125</v>
      </c>
      <c r="K12" s="54">
        <f t="shared" si="2"/>
        <v>125</v>
      </c>
      <c r="L12" s="54">
        <f t="shared" si="2"/>
        <v>125</v>
      </c>
      <c r="M12" s="54">
        <f t="shared" si="2"/>
        <v>125</v>
      </c>
      <c r="N12" s="54">
        <f t="shared" si="2"/>
        <v>125</v>
      </c>
      <c r="O12" s="54">
        <f t="shared" si="2"/>
        <v>125</v>
      </c>
      <c r="P12" s="54">
        <f t="shared" si="2"/>
        <v>125</v>
      </c>
      <c r="Q12" s="54">
        <f t="shared" si="2"/>
        <v>125</v>
      </c>
      <c r="R12" s="54">
        <f t="shared" si="2"/>
        <v>125</v>
      </c>
      <c r="S12" s="55">
        <f t="shared" si="2"/>
        <v>125</v>
      </c>
    </row>
    <row r="13" spans="2:19" x14ac:dyDescent="0.35">
      <c r="B13" s="25" t="s">
        <v>8</v>
      </c>
      <c r="C13" s="3" t="s">
        <v>4</v>
      </c>
      <c r="D13" s="12"/>
      <c r="E13" s="56">
        <f>(E11-E12)*E9/1000</f>
        <v>487.822454308094</v>
      </c>
      <c r="F13" s="56">
        <f t="shared" ref="F13:S13" si="3">(F11-F12)*F9/1000</f>
        <v>487.822454308094</v>
      </c>
      <c r="G13" s="56">
        <f t="shared" si="3"/>
        <v>487.822454308094</v>
      </c>
      <c r="H13" s="56">
        <f t="shared" si="3"/>
        <v>487.822454308094</v>
      </c>
      <c r="I13" s="56">
        <f t="shared" si="3"/>
        <v>487.822454308094</v>
      </c>
      <c r="J13" s="56">
        <f t="shared" si="3"/>
        <v>487.822454308094</v>
      </c>
      <c r="K13" s="56">
        <f t="shared" si="3"/>
        <v>487.822454308094</v>
      </c>
      <c r="L13" s="56">
        <f t="shared" si="3"/>
        <v>487.822454308094</v>
      </c>
      <c r="M13" s="56">
        <f t="shared" si="3"/>
        <v>487.822454308094</v>
      </c>
      <c r="N13" s="56">
        <f t="shared" si="3"/>
        <v>487.822454308094</v>
      </c>
      <c r="O13" s="56">
        <f t="shared" si="3"/>
        <v>487.822454308094</v>
      </c>
      <c r="P13" s="56">
        <f t="shared" si="3"/>
        <v>487.822454308094</v>
      </c>
      <c r="Q13" s="56">
        <f t="shared" si="3"/>
        <v>487.822454308094</v>
      </c>
      <c r="R13" s="56">
        <f t="shared" si="3"/>
        <v>487.822454308094</v>
      </c>
      <c r="S13" s="57">
        <f t="shared" si="3"/>
        <v>487.822454308094</v>
      </c>
    </row>
    <row r="14" spans="2:19" x14ac:dyDescent="0.35">
      <c r="D14" s="4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2:19" x14ac:dyDescent="0.35">
      <c r="B15" s="26"/>
      <c r="C15" s="27"/>
      <c r="D15" s="23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3"/>
    </row>
    <row r="16" spans="2:19" x14ac:dyDescent="0.35">
      <c r="B16" s="28"/>
      <c r="D16" s="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5"/>
    </row>
    <row r="17" spans="2:19" x14ac:dyDescent="0.35">
      <c r="B17" s="29" t="s">
        <v>9</v>
      </c>
      <c r="C17" s="3" t="s">
        <v>4</v>
      </c>
      <c r="D17" s="12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7"/>
    </row>
    <row r="18" spans="2:19" x14ac:dyDescent="0.35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3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35">
      <c r="B20" s="3" t="s">
        <v>10</v>
      </c>
      <c r="C20" s="3"/>
      <c r="D20" s="12">
        <v>0</v>
      </c>
      <c r="E20" s="12">
        <v>1</v>
      </c>
      <c r="F20" s="12">
        <v>2</v>
      </c>
      <c r="G20" s="12">
        <v>3</v>
      </c>
      <c r="H20" s="12">
        <v>4</v>
      </c>
      <c r="I20" s="12">
        <v>5</v>
      </c>
      <c r="J20" s="12">
        <v>6</v>
      </c>
      <c r="K20" s="12">
        <v>7</v>
      </c>
      <c r="L20" s="12">
        <v>8</v>
      </c>
      <c r="M20" s="12">
        <v>9</v>
      </c>
      <c r="N20" s="12">
        <v>10</v>
      </c>
      <c r="O20" s="12">
        <v>11</v>
      </c>
      <c r="P20" s="12">
        <v>12</v>
      </c>
      <c r="Q20" s="12">
        <v>13</v>
      </c>
      <c r="R20" s="12">
        <v>14</v>
      </c>
      <c r="S20" s="12">
        <v>15</v>
      </c>
    </row>
    <row r="21" spans="2:19" x14ac:dyDescent="0.35">
      <c r="B21" t="s">
        <v>11</v>
      </c>
      <c r="C21" t="s">
        <v>4</v>
      </c>
      <c r="D21" s="5">
        <f>-D5</f>
        <v>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2:19" x14ac:dyDescent="0.35">
      <c r="B22" t="s">
        <v>12</v>
      </c>
      <c r="C22" t="s">
        <v>4</v>
      </c>
      <c r="D22" s="5">
        <f>D13</f>
        <v>0</v>
      </c>
      <c r="E22" s="5">
        <f>E13</f>
        <v>487.822454308094</v>
      </c>
      <c r="F22" s="5">
        <f t="shared" ref="F22:S22" si="4">F13</f>
        <v>487.822454308094</v>
      </c>
      <c r="G22" s="5">
        <f t="shared" si="4"/>
        <v>487.822454308094</v>
      </c>
      <c r="H22" s="5">
        <f t="shared" si="4"/>
        <v>487.822454308094</v>
      </c>
      <c r="I22" s="5">
        <f t="shared" si="4"/>
        <v>487.822454308094</v>
      </c>
      <c r="J22" s="5">
        <f t="shared" si="4"/>
        <v>487.822454308094</v>
      </c>
      <c r="K22" s="5">
        <f t="shared" si="4"/>
        <v>487.822454308094</v>
      </c>
      <c r="L22" s="5">
        <f t="shared" si="4"/>
        <v>487.822454308094</v>
      </c>
      <c r="M22" s="5">
        <f t="shared" si="4"/>
        <v>487.822454308094</v>
      </c>
      <c r="N22" s="5">
        <f t="shared" si="4"/>
        <v>487.822454308094</v>
      </c>
      <c r="O22" s="5">
        <f t="shared" si="4"/>
        <v>487.822454308094</v>
      </c>
      <c r="P22" s="5">
        <f t="shared" si="4"/>
        <v>487.822454308094</v>
      </c>
      <c r="Q22" s="5">
        <f t="shared" si="4"/>
        <v>487.822454308094</v>
      </c>
      <c r="R22" s="5">
        <f t="shared" si="4"/>
        <v>487.822454308094</v>
      </c>
      <c r="S22" s="5">
        <f t="shared" si="4"/>
        <v>487.822454308094</v>
      </c>
    </row>
    <row r="23" spans="2:19" x14ac:dyDescent="0.35">
      <c r="B23" t="s">
        <v>13</v>
      </c>
      <c r="C23" t="s">
        <v>4</v>
      </c>
      <c r="D23" s="5">
        <f>-D17</f>
        <v>0</v>
      </c>
      <c r="E23" s="5">
        <f>-E17</f>
        <v>0</v>
      </c>
      <c r="F23" s="5">
        <f t="shared" ref="F23:S23" si="5">-F17</f>
        <v>0</v>
      </c>
      <c r="G23" s="5">
        <f t="shared" si="5"/>
        <v>0</v>
      </c>
      <c r="H23" s="5">
        <f t="shared" si="5"/>
        <v>0</v>
      </c>
      <c r="I23" s="5">
        <f t="shared" si="5"/>
        <v>0</v>
      </c>
      <c r="J23" s="5">
        <f t="shared" si="5"/>
        <v>0</v>
      </c>
      <c r="K23" s="5">
        <f t="shared" si="5"/>
        <v>0</v>
      </c>
      <c r="L23" s="5">
        <f t="shared" si="5"/>
        <v>0</v>
      </c>
      <c r="M23" s="5">
        <f t="shared" si="5"/>
        <v>0</v>
      </c>
      <c r="N23" s="5">
        <f t="shared" si="5"/>
        <v>0</v>
      </c>
      <c r="O23" s="5">
        <f t="shared" si="5"/>
        <v>0</v>
      </c>
      <c r="P23" s="5">
        <f t="shared" si="5"/>
        <v>0</v>
      </c>
      <c r="Q23" s="5">
        <f t="shared" si="5"/>
        <v>0</v>
      </c>
      <c r="R23" s="5">
        <f t="shared" si="5"/>
        <v>0</v>
      </c>
      <c r="S23" s="5">
        <f t="shared" si="5"/>
        <v>0</v>
      </c>
    </row>
    <row r="24" spans="2:19" x14ac:dyDescent="0.35">
      <c r="B24" s="6" t="s">
        <v>14</v>
      </c>
      <c r="C24" s="6" t="s">
        <v>4</v>
      </c>
      <c r="D24" s="7">
        <f>SUM(D21:D23)</f>
        <v>0</v>
      </c>
      <c r="E24" s="7">
        <f>SUM(E21:E23)</f>
        <v>487.822454308094</v>
      </c>
      <c r="F24" s="7">
        <f t="shared" ref="F24:S24" si="6">SUM(F21:F23)</f>
        <v>487.822454308094</v>
      </c>
      <c r="G24" s="7">
        <f t="shared" si="6"/>
        <v>487.822454308094</v>
      </c>
      <c r="H24" s="7">
        <f t="shared" si="6"/>
        <v>487.822454308094</v>
      </c>
      <c r="I24" s="7">
        <f t="shared" si="6"/>
        <v>487.822454308094</v>
      </c>
      <c r="J24" s="7">
        <f t="shared" si="6"/>
        <v>487.822454308094</v>
      </c>
      <c r="K24" s="7">
        <f t="shared" si="6"/>
        <v>487.822454308094</v>
      </c>
      <c r="L24" s="7">
        <f t="shared" si="6"/>
        <v>487.822454308094</v>
      </c>
      <c r="M24" s="7">
        <f t="shared" si="6"/>
        <v>487.822454308094</v>
      </c>
      <c r="N24" s="7">
        <f t="shared" si="6"/>
        <v>487.822454308094</v>
      </c>
      <c r="O24" s="7">
        <f t="shared" si="6"/>
        <v>487.822454308094</v>
      </c>
      <c r="P24" s="7">
        <f t="shared" si="6"/>
        <v>487.822454308094</v>
      </c>
      <c r="Q24" s="7">
        <f t="shared" si="6"/>
        <v>487.822454308094</v>
      </c>
      <c r="R24" s="7">
        <f t="shared" si="6"/>
        <v>487.822454308094</v>
      </c>
      <c r="S24" s="7">
        <f t="shared" si="6"/>
        <v>487.822454308094</v>
      </c>
    </row>
    <row r="25" spans="2:19" x14ac:dyDescent="0.35">
      <c r="B25" t="s">
        <v>15</v>
      </c>
      <c r="C25">
        <v>15</v>
      </c>
      <c r="D25" s="5"/>
      <c r="E25" s="5">
        <f t="shared" ref="E25:S25" si="7">$D$21/$C$25</f>
        <v>0</v>
      </c>
      <c r="F25" s="5">
        <f t="shared" si="7"/>
        <v>0</v>
      </c>
      <c r="G25" s="5">
        <f t="shared" si="7"/>
        <v>0</v>
      </c>
      <c r="H25" s="5">
        <f t="shared" si="7"/>
        <v>0</v>
      </c>
      <c r="I25" s="5">
        <f t="shared" si="7"/>
        <v>0</v>
      </c>
      <c r="J25" s="5">
        <f t="shared" si="7"/>
        <v>0</v>
      </c>
      <c r="K25" s="5">
        <f t="shared" si="7"/>
        <v>0</v>
      </c>
      <c r="L25" s="5">
        <f t="shared" si="7"/>
        <v>0</v>
      </c>
      <c r="M25" s="5">
        <f t="shared" si="7"/>
        <v>0</v>
      </c>
      <c r="N25" s="5">
        <f t="shared" si="7"/>
        <v>0</v>
      </c>
      <c r="O25" s="5">
        <f t="shared" si="7"/>
        <v>0</v>
      </c>
      <c r="P25" s="5">
        <f t="shared" si="7"/>
        <v>0</v>
      </c>
      <c r="Q25" s="5">
        <f t="shared" si="7"/>
        <v>0</v>
      </c>
      <c r="R25" s="5">
        <f t="shared" si="7"/>
        <v>0</v>
      </c>
      <c r="S25" s="5">
        <f t="shared" si="7"/>
        <v>0</v>
      </c>
    </row>
    <row r="26" spans="2:19" x14ac:dyDescent="0.35">
      <c r="B26" t="s">
        <v>16</v>
      </c>
      <c r="C26" s="11">
        <v>0.09</v>
      </c>
      <c r="D26" s="5">
        <f>-$C$26*D25</f>
        <v>0</v>
      </c>
      <c r="E26" s="5">
        <f>-$C$26*E25</f>
        <v>0</v>
      </c>
      <c r="F26" s="5">
        <f t="shared" ref="F26:S26" si="8">-$C$26*F25</f>
        <v>0</v>
      </c>
      <c r="G26" s="5">
        <f t="shared" si="8"/>
        <v>0</v>
      </c>
      <c r="H26" s="5">
        <f t="shared" si="8"/>
        <v>0</v>
      </c>
      <c r="I26" s="5">
        <f t="shared" si="8"/>
        <v>0</v>
      </c>
      <c r="J26" s="5">
        <f t="shared" si="8"/>
        <v>0</v>
      </c>
      <c r="K26" s="5">
        <f t="shared" si="8"/>
        <v>0</v>
      </c>
      <c r="L26" s="5">
        <f t="shared" si="8"/>
        <v>0</v>
      </c>
      <c r="M26" s="5">
        <f t="shared" si="8"/>
        <v>0</v>
      </c>
      <c r="N26" s="5">
        <f t="shared" si="8"/>
        <v>0</v>
      </c>
      <c r="O26" s="5">
        <f t="shared" si="8"/>
        <v>0</v>
      </c>
      <c r="P26" s="5">
        <f t="shared" si="8"/>
        <v>0</v>
      </c>
      <c r="Q26" s="5">
        <f t="shared" si="8"/>
        <v>0</v>
      </c>
      <c r="R26" s="5">
        <f t="shared" si="8"/>
        <v>0</v>
      </c>
      <c r="S26" s="5">
        <f t="shared" si="8"/>
        <v>0</v>
      </c>
    </row>
    <row r="27" spans="2:19" x14ac:dyDescent="0.35">
      <c r="B27" t="s">
        <v>17</v>
      </c>
      <c r="D27" s="5">
        <f>-$C$26*SUM(D22:D23)</f>
        <v>0</v>
      </c>
      <c r="E27" s="5">
        <f t="shared" ref="E27:S27" si="9">-$C$26*SUM(E22:E23)</f>
        <v>-43.904020887728457</v>
      </c>
      <c r="F27" s="5">
        <f t="shared" si="9"/>
        <v>-43.904020887728457</v>
      </c>
      <c r="G27" s="5">
        <f t="shared" si="9"/>
        <v>-43.904020887728457</v>
      </c>
      <c r="H27" s="5">
        <f t="shared" si="9"/>
        <v>-43.904020887728457</v>
      </c>
      <c r="I27" s="5">
        <f t="shared" si="9"/>
        <v>-43.904020887728457</v>
      </c>
      <c r="J27" s="5">
        <f t="shared" si="9"/>
        <v>-43.904020887728457</v>
      </c>
      <c r="K27" s="5">
        <f t="shared" si="9"/>
        <v>-43.904020887728457</v>
      </c>
      <c r="L27" s="5">
        <f t="shared" si="9"/>
        <v>-43.904020887728457</v>
      </c>
      <c r="M27" s="5">
        <f t="shared" si="9"/>
        <v>-43.904020887728457</v>
      </c>
      <c r="N27" s="5">
        <f t="shared" si="9"/>
        <v>-43.904020887728457</v>
      </c>
      <c r="O27" s="5">
        <f t="shared" si="9"/>
        <v>-43.904020887728457</v>
      </c>
      <c r="P27" s="5">
        <f t="shared" si="9"/>
        <v>-43.904020887728457</v>
      </c>
      <c r="Q27" s="5">
        <f t="shared" si="9"/>
        <v>-43.904020887728457</v>
      </c>
      <c r="R27" s="5">
        <f t="shared" si="9"/>
        <v>-43.904020887728457</v>
      </c>
      <c r="S27" s="5">
        <f t="shared" si="9"/>
        <v>-43.904020887728457</v>
      </c>
    </row>
    <row r="28" spans="2:19" x14ac:dyDescent="0.35">
      <c r="B28" s="6" t="s">
        <v>18</v>
      </c>
      <c r="C28" s="6" t="s">
        <v>4</v>
      </c>
      <c r="D28" s="7">
        <f t="shared" ref="D28:S28" si="10">SUM(D24,D26:D27)</f>
        <v>0</v>
      </c>
      <c r="E28" s="7">
        <f t="shared" si="10"/>
        <v>443.91843342036555</v>
      </c>
      <c r="F28" s="7">
        <f t="shared" si="10"/>
        <v>443.91843342036555</v>
      </c>
      <c r="G28" s="7">
        <f t="shared" si="10"/>
        <v>443.91843342036555</v>
      </c>
      <c r="H28" s="7">
        <f t="shared" si="10"/>
        <v>443.91843342036555</v>
      </c>
      <c r="I28" s="7">
        <f t="shared" si="10"/>
        <v>443.91843342036555</v>
      </c>
      <c r="J28" s="7">
        <f t="shared" si="10"/>
        <v>443.91843342036555</v>
      </c>
      <c r="K28" s="7">
        <f t="shared" si="10"/>
        <v>443.91843342036555</v>
      </c>
      <c r="L28" s="7">
        <f t="shared" si="10"/>
        <v>443.91843342036555</v>
      </c>
      <c r="M28" s="7">
        <f t="shared" si="10"/>
        <v>443.91843342036555</v>
      </c>
      <c r="N28" s="7">
        <f t="shared" si="10"/>
        <v>443.91843342036555</v>
      </c>
      <c r="O28" s="7">
        <f t="shared" si="10"/>
        <v>443.91843342036555</v>
      </c>
      <c r="P28" s="7">
        <f t="shared" si="10"/>
        <v>443.91843342036555</v>
      </c>
      <c r="Q28" s="7">
        <f t="shared" si="10"/>
        <v>443.91843342036555</v>
      </c>
      <c r="R28" s="7">
        <f t="shared" si="10"/>
        <v>443.91843342036555</v>
      </c>
      <c r="S28" s="7">
        <f t="shared" si="10"/>
        <v>443.91843342036555</v>
      </c>
    </row>
    <row r="29" spans="2:19" x14ac:dyDescent="0.35">
      <c r="B29" t="s">
        <v>19</v>
      </c>
      <c r="C29" s="11">
        <v>7.0000000000000007E-2</v>
      </c>
      <c r="D29" s="4">
        <v>1</v>
      </c>
      <c r="E29" s="8">
        <f>D29*(1+$C$29)</f>
        <v>1.07</v>
      </c>
      <c r="F29" s="8">
        <f t="shared" ref="F29:S29" si="11">E29*(1+$C$29)</f>
        <v>1.1449</v>
      </c>
      <c r="G29" s="8">
        <f t="shared" si="11"/>
        <v>1.2250430000000001</v>
      </c>
      <c r="H29" s="8">
        <f t="shared" si="11"/>
        <v>1.3107960100000002</v>
      </c>
      <c r="I29" s="8">
        <f t="shared" si="11"/>
        <v>1.4025517307000004</v>
      </c>
      <c r="J29" s="8">
        <f t="shared" si="11"/>
        <v>1.5007303518490005</v>
      </c>
      <c r="K29" s="8">
        <f t="shared" si="11"/>
        <v>1.6057814764784306</v>
      </c>
      <c r="L29" s="8">
        <f t="shared" si="11"/>
        <v>1.7181861798319209</v>
      </c>
      <c r="M29" s="8">
        <f t="shared" si="11"/>
        <v>1.8384592124201555</v>
      </c>
      <c r="N29" s="8">
        <f t="shared" si="11"/>
        <v>1.9671513572895665</v>
      </c>
      <c r="O29" s="8">
        <f t="shared" si="11"/>
        <v>2.1048519522998363</v>
      </c>
      <c r="P29" s="8">
        <f t="shared" si="11"/>
        <v>2.2521915889608248</v>
      </c>
      <c r="Q29" s="8">
        <f t="shared" si="11"/>
        <v>2.4098450001880827</v>
      </c>
      <c r="R29" s="8">
        <f t="shared" si="11"/>
        <v>2.5785341502012487</v>
      </c>
      <c r="S29" s="8">
        <f t="shared" si="11"/>
        <v>2.7590315407153363</v>
      </c>
    </row>
    <row r="30" spans="2:19" x14ac:dyDescent="0.35">
      <c r="B30" s="9" t="s">
        <v>20</v>
      </c>
      <c r="C30" s="9" t="s">
        <v>4</v>
      </c>
      <c r="D30" s="10">
        <f t="shared" ref="D30:S30" si="12">D28/D29</f>
        <v>0</v>
      </c>
      <c r="E30" s="10">
        <f t="shared" si="12"/>
        <v>414.87704057978084</v>
      </c>
      <c r="F30" s="10">
        <f t="shared" si="12"/>
        <v>387.73555194372045</v>
      </c>
      <c r="G30" s="10">
        <f t="shared" si="12"/>
        <v>362.36967471375738</v>
      </c>
      <c r="H30" s="10">
        <f t="shared" si="12"/>
        <v>338.66324739603493</v>
      </c>
      <c r="I30" s="10">
        <f t="shared" si="12"/>
        <v>316.5077078467616</v>
      </c>
      <c r="J30" s="10">
        <f t="shared" si="12"/>
        <v>295.80159611846875</v>
      </c>
      <c r="K30" s="10">
        <f t="shared" si="12"/>
        <v>276.45008983034461</v>
      </c>
      <c r="L30" s="10">
        <f t="shared" si="12"/>
        <v>258.36456993490151</v>
      </c>
      <c r="M30" s="10">
        <f t="shared" si="12"/>
        <v>241.46221489243126</v>
      </c>
      <c r="N30" s="10">
        <f t="shared" si="12"/>
        <v>225.66562139479558</v>
      </c>
      <c r="O30" s="10">
        <f t="shared" si="12"/>
        <v>210.9024499016781</v>
      </c>
      <c r="P30" s="10">
        <f t="shared" si="12"/>
        <v>197.10509336605429</v>
      </c>
      <c r="Q30" s="10">
        <f t="shared" si="12"/>
        <v>184.21036763182644</v>
      </c>
      <c r="R30" s="10">
        <f t="shared" si="12"/>
        <v>172.1592220858191</v>
      </c>
      <c r="S30" s="10">
        <f t="shared" si="12"/>
        <v>160.89646923908325</v>
      </c>
    </row>
    <row r="32" spans="2:19" x14ac:dyDescent="0.35">
      <c r="B32" t="s">
        <v>29</v>
      </c>
      <c r="D32" s="47">
        <f>SUM(D30)</f>
        <v>0</v>
      </c>
      <c r="E32" s="48">
        <f>SUM(D30:E30)</f>
        <v>414.87704057978084</v>
      </c>
      <c r="F32" s="47">
        <f>SUM(D30:F30)</f>
        <v>802.61259252350123</v>
      </c>
      <c r="G32" s="47">
        <f>SUM(D30:G30)</f>
        <v>1164.9822672372586</v>
      </c>
      <c r="H32" s="47">
        <f>SUM(D30:H30)</f>
        <v>1503.6455146332935</v>
      </c>
      <c r="I32" s="47">
        <f>SUM(D30:I30)</f>
        <v>1820.1532224800551</v>
      </c>
      <c r="J32" s="47">
        <f>SUM(D30:J30)</f>
        <v>2115.9548185985241</v>
      </c>
      <c r="K32" s="47">
        <f>SUM(D30:K30)</f>
        <v>2392.4049084288686</v>
      </c>
      <c r="L32" s="47">
        <f>SUM(D30:L30)</f>
        <v>2650.7694783637698</v>
      </c>
      <c r="M32" s="58">
        <f>SUM(D30:M30)</f>
        <v>2892.2316932562012</v>
      </c>
      <c r="N32" s="47">
        <f>SUM(D30:N30)</f>
        <v>3117.8973146509966</v>
      </c>
      <c r="O32" s="47">
        <f>SUM(D30:O30)</f>
        <v>3328.7997645526748</v>
      </c>
      <c r="P32" s="47">
        <f>SUM(D30:P30)</f>
        <v>3525.9048579187292</v>
      </c>
      <c r="Q32" s="47">
        <f>SUM(D30:Q30)</f>
        <v>3710.1152255505558</v>
      </c>
      <c r="R32" s="47">
        <f>SUM(D30:R30)</f>
        <v>3882.274447636375</v>
      </c>
      <c r="S32" s="47">
        <f>SUM(D30:S30)</f>
        <v>4043.1709168754583</v>
      </c>
    </row>
  </sheetData>
  <mergeCells count="1">
    <mergeCell ref="D7:S7"/>
  </mergeCells>
  <pageMargins left="0.7" right="0.7" top="0.75" bottom="0.75" header="0.3" footer="0.3"/>
  <pageSetup paperSize="9" orientation="portrait" r:id="rId1"/>
  <headerFooter>
    <oddHeader>&amp;R&amp;"Calibri"&amp;10&amp;K000000Business Use&amp;1#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2:S32"/>
  <sheetViews>
    <sheetView showGridLines="0" tabSelected="1" zoomScale="70" zoomScaleNormal="70" workbookViewId="0">
      <selection activeCell="E29" sqref="E29"/>
    </sheetView>
  </sheetViews>
  <sheetFormatPr defaultRowHeight="14.5" x14ac:dyDescent="0.35"/>
  <cols>
    <col min="2" max="2" width="42.54296875" customWidth="1"/>
    <col min="3" max="3" width="9.54296875" bestFit="1" customWidth="1"/>
    <col min="4" max="4" width="11.81640625" bestFit="1" customWidth="1"/>
    <col min="5" max="5" width="10.1796875" bestFit="1" customWidth="1"/>
    <col min="6" max="19" width="9.26953125" customWidth="1"/>
  </cols>
  <sheetData>
    <row r="2" spans="2:19" x14ac:dyDescent="0.35">
      <c r="B2" s="15" t="s">
        <v>0</v>
      </c>
      <c r="C2" s="13">
        <f>SUM(D30:S30)</f>
        <v>4950.8536518835808</v>
      </c>
      <c r="J2" s="31"/>
      <c r="K2" s="32" t="s">
        <v>1</v>
      </c>
    </row>
    <row r="3" spans="2:19" x14ac:dyDescent="0.35">
      <c r="B3" s="16" t="s">
        <v>2</v>
      </c>
      <c r="C3" s="14">
        <f>IFERROR(IRR(D28:S28,1%),"n/a")</f>
        <v>0.18511426565564237</v>
      </c>
    </row>
    <row r="4" spans="2:19" x14ac:dyDescent="0.35">
      <c r="C4" s="11"/>
    </row>
    <row r="5" spans="2:19" x14ac:dyDescent="0.35">
      <c r="B5" s="34" t="s">
        <v>3</v>
      </c>
      <c r="C5" s="35" t="s">
        <v>27</v>
      </c>
      <c r="D5" s="39">
        <v>8000</v>
      </c>
    </row>
    <row r="7" spans="2:19" x14ac:dyDescent="0.35">
      <c r="B7" s="17"/>
      <c r="C7" s="17"/>
      <c r="D7" s="59" t="s">
        <v>5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pans="2:19" x14ac:dyDescent="0.35">
      <c r="B8" s="3" t="s">
        <v>6</v>
      </c>
      <c r="C8" s="3"/>
      <c r="D8" s="12">
        <v>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</row>
    <row r="9" spans="2:19" x14ac:dyDescent="0.35">
      <c r="B9" s="1" t="s">
        <v>7</v>
      </c>
      <c r="C9" s="2" t="s">
        <v>25</v>
      </c>
      <c r="E9" s="50">
        <f>65000*20%</f>
        <v>13000</v>
      </c>
      <c r="F9" s="50">
        <f t="shared" ref="F9:S9" si="0">65000*20%</f>
        <v>13000</v>
      </c>
      <c r="G9" s="50">
        <f t="shared" si="0"/>
        <v>13000</v>
      </c>
      <c r="H9" s="50">
        <f t="shared" si="0"/>
        <v>13000</v>
      </c>
      <c r="I9" s="50">
        <f t="shared" si="0"/>
        <v>13000</v>
      </c>
      <c r="J9" s="50">
        <f t="shared" si="0"/>
        <v>13000</v>
      </c>
      <c r="K9" s="50">
        <f t="shared" si="0"/>
        <v>13000</v>
      </c>
      <c r="L9" s="50">
        <f t="shared" si="0"/>
        <v>13000</v>
      </c>
      <c r="M9" s="50">
        <f t="shared" si="0"/>
        <v>13000</v>
      </c>
      <c r="N9" s="50">
        <f t="shared" si="0"/>
        <v>13000</v>
      </c>
      <c r="O9" s="50">
        <f t="shared" si="0"/>
        <v>13000</v>
      </c>
      <c r="P9" s="50">
        <f t="shared" si="0"/>
        <v>13000</v>
      </c>
      <c r="Q9" s="50">
        <f t="shared" si="0"/>
        <v>13000</v>
      </c>
      <c r="R9" s="50">
        <f t="shared" si="0"/>
        <v>13000</v>
      </c>
      <c r="S9" s="50">
        <f t="shared" si="0"/>
        <v>13000</v>
      </c>
    </row>
    <row r="10" spans="2:19" x14ac:dyDescent="0.35"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spans="2:19" x14ac:dyDescent="0.35">
      <c r="B11" s="30" t="s">
        <v>26</v>
      </c>
      <c r="C11" s="27"/>
      <c r="D11" s="27"/>
      <c r="E11" s="52">
        <f>('Electricity prices'!BM7)</f>
        <v>162.52480417754569</v>
      </c>
      <c r="F11" s="52">
        <f>E11</f>
        <v>162.52480417754569</v>
      </c>
      <c r="G11" s="52">
        <f t="shared" ref="G11:S11" si="1">F11</f>
        <v>162.52480417754569</v>
      </c>
      <c r="H11" s="52">
        <f t="shared" si="1"/>
        <v>162.52480417754569</v>
      </c>
      <c r="I11" s="52">
        <f t="shared" si="1"/>
        <v>162.52480417754569</v>
      </c>
      <c r="J11" s="52">
        <f t="shared" si="1"/>
        <v>162.52480417754569</v>
      </c>
      <c r="K11" s="52">
        <f t="shared" si="1"/>
        <v>162.52480417754569</v>
      </c>
      <c r="L11" s="52">
        <f t="shared" si="1"/>
        <v>162.52480417754569</v>
      </c>
      <c r="M11" s="52">
        <f t="shared" si="1"/>
        <v>162.52480417754569</v>
      </c>
      <c r="N11" s="52">
        <f t="shared" si="1"/>
        <v>162.52480417754569</v>
      </c>
      <c r="O11" s="52">
        <f t="shared" si="1"/>
        <v>162.52480417754569</v>
      </c>
      <c r="P11" s="52">
        <f t="shared" si="1"/>
        <v>162.52480417754569</v>
      </c>
      <c r="Q11" s="52">
        <f t="shared" si="1"/>
        <v>162.52480417754569</v>
      </c>
      <c r="R11" s="52">
        <f t="shared" si="1"/>
        <v>162.52480417754569</v>
      </c>
      <c r="S11" s="53">
        <f t="shared" si="1"/>
        <v>162.52480417754569</v>
      </c>
    </row>
    <row r="12" spans="2:19" x14ac:dyDescent="0.35">
      <c r="B12" s="24"/>
      <c r="C12" s="44"/>
      <c r="D12" s="45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5"/>
    </row>
    <row r="13" spans="2:19" x14ac:dyDescent="0.35">
      <c r="B13" s="25" t="s">
        <v>8</v>
      </c>
      <c r="C13" s="3" t="s">
        <v>27</v>
      </c>
      <c r="D13" s="12"/>
      <c r="E13" s="56">
        <f>E11*E9/1000</f>
        <v>2112.8224543080942</v>
      </c>
      <c r="F13" s="56">
        <f t="shared" ref="F13:S13" si="2">F11*F9/1000</f>
        <v>2112.8224543080942</v>
      </c>
      <c r="G13" s="56">
        <f t="shared" si="2"/>
        <v>2112.8224543080942</v>
      </c>
      <c r="H13" s="56">
        <f t="shared" si="2"/>
        <v>2112.8224543080942</v>
      </c>
      <c r="I13" s="56">
        <f t="shared" si="2"/>
        <v>2112.8224543080942</v>
      </c>
      <c r="J13" s="56">
        <f t="shared" si="2"/>
        <v>2112.8224543080942</v>
      </c>
      <c r="K13" s="56">
        <f t="shared" si="2"/>
        <v>2112.8224543080942</v>
      </c>
      <c r="L13" s="56">
        <f t="shared" si="2"/>
        <v>2112.8224543080942</v>
      </c>
      <c r="M13" s="56">
        <f t="shared" si="2"/>
        <v>2112.8224543080942</v>
      </c>
      <c r="N13" s="56">
        <f t="shared" si="2"/>
        <v>2112.8224543080942</v>
      </c>
      <c r="O13" s="56">
        <f t="shared" si="2"/>
        <v>2112.8224543080942</v>
      </c>
      <c r="P13" s="56">
        <f t="shared" si="2"/>
        <v>2112.8224543080942</v>
      </c>
      <c r="Q13" s="56">
        <f t="shared" si="2"/>
        <v>2112.8224543080942</v>
      </c>
      <c r="R13" s="56">
        <f t="shared" si="2"/>
        <v>2112.8224543080942</v>
      </c>
      <c r="S13" s="57">
        <f t="shared" si="2"/>
        <v>2112.8224543080942</v>
      </c>
    </row>
    <row r="14" spans="2:19" x14ac:dyDescent="0.35">
      <c r="D14" s="4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2:19" x14ac:dyDescent="0.35">
      <c r="B15" s="26" t="s">
        <v>28</v>
      </c>
      <c r="C15" s="27"/>
      <c r="D15" s="23"/>
      <c r="E15" s="52">
        <v>400</v>
      </c>
      <c r="F15" s="52">
        <v>400</v>
      </c>
      <c r="G15" s="52">
        <v>400</v>
      </c>
      <c r="H15" s="52">
        <v>400</v>
      </c>
      <c r="I15" s="52">
        <v>400</v>
      </c>
      <c r="J15" s="52">
        <v>400</v>
      </c>
      <c r="K15" s="52">
        <v>400</v>
      </c>
      <c r="L15" s="52">
        <v>400</v>
      </c>
      <c r="M15" s="52">
        <v>400</v>
      </c>
      <c r="N15" s="52">
        <v>400</v>
      </c>
      <c r="O15" s="52">
        <v>400</v>
      </c>
      <c r="P15" s="52">
        <v>400</v>
      </c>
      <c r="Q15" s="52">
        <v>400</v>
      </c>
      <c r="R15" s="52">
        <v>400</v>
      </c>
      <c r="S15" s="53">
        <v>400</v>
      </c>
    </row>
    <row r="16" spans="2:19" x14ac:dyDescent="0.35">
      <c r="B16" s="28"/>
      <c r="C16" s="46"/>
      <c r="D16" s="45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5"/>
    </row>
    <row r="17" spans="2:19" x14ac:dyDescent="0.35">
      <c r="B17" s="29" t="s">
        <v>9</v>
      </c>
      <c r="C17" s="3" t="s">
        <v>4</v>
      </c>
      <c r="D17" s="12"/>
      <c r="E17" s="56">
        <f>SUM(E15:E16)</f>
        <v>400</v>
      </c>
      <c r="F17" s="56">
        <f t="shared" ref="F17:S17" si="3">SUM(F15:F16)</f>
        <v>400</v>
      </c>
      <c r="G17" s="56">
        <f t="shared" si="3"/>
        <v>400</v>
      </c>
      <c r="H17" s="56">
        <f t="shared" si="3"/>
        <v>400</v>
      </c>
      <c r="I17" s="56">
        <f t="shared" si="3"/>
        <v>400</v>
      </c>
      <c r="J17" s="56">
        <f t="shared" si="3"/>
        <v>400</v>
      </c>
      <c r="K17" s="56">
        <f t="shared" si="3"/>
        <v>400</v>
      </c>
      <c r="L17" s="56">
        <f t="shared" si="3"/>
        <v>400</v>
      </c>
      <c r="M17" s="56">
        <f t="shared" si="3"/>
        <v>400</v>
      </c>
      <c r="N17" s="56">
        <f t="shared" si="3"/>
        <v>400</v>
      </c>
      <c r="O17" s="56">
        <f t="shared" si="3"/>
        <v>400</v>
      </c>
      <c r="P17" s="56">
        <f t="shared" si="3"/>
        <v>400</v>
      </c>
      <c r="Q17" s="56">
        <f t="shared" si="3"/>
        <v>400</v>
      </c>
      <c r="R17" s="56">
        <f t="shared" si="3"/>
        <v>400</v>
      </c>
      <c r="S17" s="57">
        <f t="shared" si="3"/>
        <v>400</v>
      </c>
    </row>
    <row r="18" spans="2:19" x14ac:dyDescent="0.35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3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35">
      <c r="B20" s="3" t="s">
        <v>10</v>
      </c>
      <c r="C20" s="3"/>
      <c r="D20" s="12">
        <v>0</v>
      </c>
      <c r="E20" s="12">
        <v>1</v>
      </c>
      <c r="F20" s="12">
        <v>2</v>
      </c>
      <c r="G20" s="12">
        <v>3</v>
      </c>
      <c r="H20" s="12">
        <v>4</v>
      </c>
      <c r="I20" s="12">
        <v>5</v>
      </c>
      <c r="J20" s="12">
        <v>6</v>
      </c>
      <c r="K20" s="12">
        <v>7</v>
      </c>
      <c r="L20" s="12">
        <v>8</v>
      </c>
      <c r="M20" s="12">
        <v>9</v>
      </c>
      <c r="N20" s="12">
        <v>10</v>
      </c>
      <c r="O20" s="12">
        <v>11</v>
      </c>
      <c r="P20" s="12">
        <v>12</v>
      </c>
      <c r="Q20" s="12">
        <v>13</v>
      </c>
      <c r="R20" s="12">
        <v>14</v>
      </c>
      <c r="S20" s="12">
        <v>15</v>
      </c>
    </row>
    <row r="21" spans="2:19" x14ac:dyDescent="0.35">
      <c r="B21" t="s">
        <v>11</v>
      </c>
      <c r="C21" t="s">
        <v>4</v>
      </c>
      <c r="D21" s="41">
        <f>-D5</f>
        <v>-8000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</row>
    <row r="22" spans="2:19" x14ac:dyDescent="0.35">
      <c r="B22" t="s">
        <v>12</v>
      </c>
      <c r="C22" t="s">
        <v>4</v>
      </c>
      <c r="D22" s="41">
        <f t="shared" ref="D22:S22" si="4">D13</f>
        <v>0</v>
      </c>
      <c r="E22" s="41">
        <f t="shared" si="4"/>
        <v>2112.8224543080942</v>
      </c>
      <c r="F22" s="41">
        <f t="shared" si="4"/>
        <v>2112.8224543080942</v>
      </c>
      <c r="G22" s="41">
        <f t="shared" si="4"/>
        <v>2112.8224543080942</v>
      </c>
      <c r="H22" s="41">
        <f t="shared" si="4"/>
        <v>2112.8224543080942</v>
      </c>
      <c r="I22" s="41">
        <f t="shared" si="4"/>
        <v>2112.8224543080942</v>
      </c>
      <c r="J22" s="41">
        <f t="shared" si="4"/>
        <v>2112.8224543080942</v>
      </c>
      <c r="K22" s="41">
        <f t="shared" si="4"/>
        <v>2112.8224543080942</v>
      </c>
      <c r="L22" s="41">
        <f t="shared" si="4"/>
        <v>2112.8224543080942</v>
      </c>
      <c r="M22" s="41">
        <f t="shared" si="4"/>
        <v>2112.8224543080942</v>
      </c>
      <c r="N22" s="41">
        <f t="shared" si="4"/>
        <v>2112.8224543080942</v>
      </c>
      <c r="O22" s="41">
        <f t="shared" si="4"/>
        <v>2112.8224543080942</v>
      </c>
      <c r="P22" s="41">
        <f t="shared" si="4"/>
        <v>2112.8224543080942</v>
      </c>
      <c r="Q22" s="41">
        <f t="shared" si="4"/>
        <v>2112.8224543080942</v>
      </c>
      <c r="R22" s="41">
        <f t="shared" si="4"/>
        <v>2112.8224543080942</v>
      </c>
      <c r="S22" s="41">
        <f t="shared" si="4"/>
        <v>2112.8224543080942</v>
      </c>
    </row>
    <row r="23" spans="2:19" x14ac:dyDescent="0.35">
      <c r="B23" t="s">
        <v>13</v>
      </c>
      <c r="C23" t="s">
        <v>4</v>
      </c>
      <c r="D23" s="41">
        <f t="shared" ref="D23:S23" si="5">-D17</f>
        <v>0</v>
      </c>
      <c r="E23" s="41">
        <f>-E17</f>
        <v>-400</v>
      </c>
      <c r="F23" s="41">
        <f t="shared" si="5"/>
        <v>-400</v>
      </c>
      <c r="G23" s="41">
        <f t="shared" si="5"/>
        <v>-400</v>
      </c>
      <c r="H23" s="41">
        <f t="shared" si="5"/>
        <v>-400</v>
      </c>
      <c r="I23" s="41">
        <f t="shared" si="5"/>
        <v>-400</v>
      </c>
      <c r="J23" s="41">
        <f t="shared" si="5"/>
        <v>-400</v>
      </c>
      <c r="K23" s="41">
        <f t="shared" si="5"/>
        <v>-400</v>
      </c>
      <c r="L23" s="41">
        <f t="shared" si="5"/>
        <v>-400</v>
      </c>
      <c r="M23" s="41">
        <f t="shared" si="5"/>
        <v>-400</v>
      </c>
      <c r="N23" s="41">
        <f t="shared" si="5"/>
        <v>-400</v>
      </c>
      <c r="O23" s="41">
        <f t="shared" si="5"/>
        <v>-400</v>
      </c>
      <c r="P23" s="41">
        <f t="shared" si="5"/>
        <v>-400</v>
      </c>
      <c r="Q23" s="41">
        <f t="shared" si="5"/>
        <v>-400</v>
      </c>
      <c r="R23" s="41">
        <f t="shared" si="5"/>
        <v>-400</v>
      </c>
      <c r="S23" s="41">
        <f t="shared" si="5"/>
        <v>-400</v>
      </c>
    </row>
    <row r="24" spans="2:19" x14ac:dyDescent="0.35">
      <c r="B24" s="6" t="s">
        <v>14</v>
      </c>
      <c r="C24" s="6" t="s">
        <v>4</v>
      </c>
      <c r="D24" s="42">
        <f>SUM(D21:D23)</f>
        <v>-8000</v>
      </c>
      <c r="E24" s="42">
        <f>SUM(E21:E23)</f>
        <v>1712.8224543080942</v>
      </c>
      <c r="F24" s="42">
        <f t="shared" ref="F24:S24" si="6">SUM(F21:F23)</f>
        <v>1712.8224543080942</v>
      </c>
      <c r="G24" s="42">
        <f t="shared" si="6"/>
        <v>1712.8224543080942</v>
      </c>
      <c r="H24" s="42">
        <f t="shared" si="6"/>
        <v>1712.8224543080942</v>
      </c>
      <c r="I24" s="42">
        <f t="shared" si="6"/>
        <v>1712.8224543080942</v>
      </c>
      <c r="J24" s="42">
        <f t="shared" si="6"/>
        <v>1712.8224543080942</v>
      </c>
      <c r="K24" s="42">
        <f t="shared" si="6"/>
        <v>1712.8224543080942</v>
      </c>
      <c r="L24" s="42">
        <f t="shared" si="6"/>
        <v>1712.8224543080942</v>
      </c>
      <c r="M24" s="42">
        <f t="shared" si="6"/>
        <v>1712.8224543080942</v>
      </c>
      <c r="N24" s="42">
        <f t="shared" si="6"/>
        <v>1712.8224543080942</v>
      </c>
      <c r="O24" s="42">
        <f t="shared" si="6"/>
        <v>1712.8224543080942</v>
      </c>
      <c r="P24" s="42">
        <f t="shared" si="6"/>
        <v>1712.8224543080942</v>
      </c>
      <c r="Q24" s="42">
        <f t="shared" si="6"/>
        <v>1712.8224543080942</v>
      </c>
      <c r="R24" s="42">
        <f t="shared" si="6"/>
        <v>1712.8224543080942</v>
      </c>
      <c r="S24" s="42">
        <f t="shared" si="6"/>
        <v>1712.8224543080942</v>
      </c>
    </row>
    <row r="25" spans="2:19" x14ac:dyDescent="0.35">
      <c r="B25" t="s">
        <v>15</v>
      </c>
      <c r="C25">
        <v>15</v>
      </c>
      <c r="D25" s="41"/>
      <c r="E25" s="41">
        <f>$D$21/$C$25</f>
        <v>-533.33333333333337</v>
      </c>
      <c r="F25" s="41">
        <f t="shared" ref="F25:S25" si="7">$D$21/$C$25</f>
        <v>-533.33333333333337</v>
      </c>
      <c r="G25" s="41">
        <f t="shared" si="7"/>
        <v>-533.33333333333337</v>
      </c>
      <c r="H25" s="41">
        <f t="shared" si="7"/>
        <v>-533.33333333333337</v>
      </c>
      <c r="I25" s="41">
        <f t="shared" si="7"/>
        <v>-533.33333333333337</v>
      </c>
      <c r="J25" s="41">
        <f t="shared" si="7"/>
        <v>-533.33333333333337</v>
      </c>
      <c r="K25" s="41">
        <f t="shared" si="7"/>
        <v>-533.33333333333337</v>
      </c>
      <c r="L25" s="41">
        <f t="shared" si="7"/>
        <v>-533.33333333333337</v>
      </c>
      <c r="M25" s="41">
        <f t="shared" si="7"/>
        <v>-533.33333333333337</v>
      </c>
      <c r="N25" s="41">
        <f t="shared" si="7"/>
        <v>-533.33333333333337</v>
      </c>
      <c r="O25" s="41">
        <f t="shared" si="7"/>
        <v>-533.33333333333337</v>
      </c>
      <c r="P25" s="41">
        <f t="shared" si="7"/>
        <v>-533.33333333333337</v>
      </c>
      <c r="Q25" s="41">
        <f t="shared" si="7"/>
        <v>-533.33333333333337</v>
      </c>
      <c r="R25" s="41">
        <f t="shared" si="7"/>
        <v>-533.33333333333337</v>
      </c>
      <c r="S25" s="41">
        <f t="shared" si="7"/>
        <v>-533.33333333333337</v>
      </c>
    </row>
    <row r="26" spans="2:19" x14ac:dyDescent="0.35">
      <c r="B26" t="s">
        <v>16</v>
      </c>
      <c r="C26" s="11">
        <v>0.09</v>
      </c>
      <c r="D26" s="41">
        <f>-$C$26*D25</f>
        <v>0</v>
      </c>
      <c r="E26" s="41">
        <f>-$C$26*E25</f>
        <v>48</v>
      </c>
      <c r="F26" s="41">
        <f t="shared" ref="F26:S26" si="8">-$C$26*F25</f>
        <v>48</v>
      </c>
      <c r="G26" s="41">
        <f t="shared" si="8"/>
        <v>48</v>
      </c>
      <c r="H26" s="41">
        <f t="shared" si="8"/>
        <v>48</v>
      </c>
      <c r="I26" s="41">
        <f t="shared" si="8"/>
        <v>48</v>
      </c>
      <c r="J26" s="41">
        <f t="shared" si="8"/>
        <v>48</v>
      </c>
      <c r="K26" s="41">
        <f t="shared" si="8"/>
        <v>48</v>
      </c>
      <c r="L26" s="41">
        <f t="shared" si="8"/>
        <v>48</v>
      </c>
      <c r="M26" s="41">
        <f t="shared" si="8"/>
        <v>48</v>
      </c>
      <c r="N26" s="41">
        <f t="shared" si="8"/>
        <v>48</v>
      </c>
      <c r="O26" s="41">
        <f t="shared" si="8"/>
        <v>48</v>
      </c>
      <c r="P26" s="41">
        <f t="shared" si="8"/>
        <v>48</v>
      </c>
      <c r="Q26" s="41">
        <f t="shared" si="8"/>
        <v>48</v>
      </c>
      <c r="R26" s="41">
        <f t="shared" si="8"/>
        <v>48</v>
      </c>
      <c r="S26" s="41">
        <f t="shared" si="8"/>
        <v>48</v>
      </c>
    </row>
    <row r="27" spans="2:19" x14ac:dyDescent="0.35">
      <c r="B27" t="s">
        <v>17</v>
      </c>
      <c r="D27" s="41">
        <f>-$C$26*SUM(D22:D23)</f>
        <v>0</v>
      </c>
      <c r="E27" s="41">
        <f>-$C$26*SUM(E22:E23)</f>
        <v>-154.15402088772848</v>
      </c>
      <c r="F27" s="41">
        <f t="shared" ref="F27:S27" si="9">-$C$26*SUM(F22:F23)</f>
        <v>-154.15402088772848</v>
      </c>
      <c r="G27" s="41">
        <f t="shared" si="9"/>
        <v>-154.15402088772848</v>
      </c>
      <c r="H27" s="41">
        <f t="shared" si="9"/>
        <v>-154.15402088772848</v>
      </c>
      <c r="I27" s="41">
        <f t="shared" si="9"/>
        <v>-154.15402088772848</v>
      </c>
      <c r="J27" s="41">
        <f t="shared" si="9"/>
        <v>-154.15402088772848</v>
      </c>
      <c r="K27" s="41">
        <f t="shared" si="9"/>
        <v>-154.15402088772848</v>
      </c>
      <c r="L27" s="41">
        <f t="shared" si="9"/>
        <v>-154.15402088772848</v>
      </c>
      <c r="M27" s="41">
        <f t="shared" si="9"/>
        <v>-154.15402088772848</v>
      </c>
      <c r="N27" s="41">
        <f t="shared" si="9"/>
        <v>-154.15402088772848</v>
      </c>
      <c r="O27" s="41">
        <f t="shared" si="9"/>
        <v>-154.15402088772848</v>
      </c>
      <c r="P27" s="41">
        <f t="shared" si="9"/>
        <v>-154.15402088772848</v>
      </c>
      <c r="Q27" s="41">
        <f t="shared" si="9"/>
        <v>-154.15402088772848</v>
      </c>
      <c r="R27" s="41">
        <f t="shared" si="9"/>
        <v>-154.15402088772848</v>
      </c>
      <c r="S27" s="41">
        <f t="shared" si="9"/>
        <v>-154.15402088772848</v>
      </c>
    </row>
    <row r="28" spans="2:19" x14ac:dyDescent="0.35">
      <c r="B28" s="6" t="s">
        <v>18</v>
      </c>
      <c r="C28" s="6" t="s">
        <v>4</v>
      </c>
      <c r="D28" s="42">
        <f t="shared" ref="D28:S28" si="10">SUM(D24,D26:D27)</f>
        <v>-8000</v>
      </c>
      <c r="E28" s="42">
        <f>SUM(E24,E26:E27)</f>
        <v>1606.6684334203658</v>
      </c>
      <c r="F28" s="42">
        <f t="shared" si="10"/>
        <v>1606.6684334203658</v>
      </c>
      <c r="G28" s="42">
        <f t="shared" si="10"/>
        <v>1606.6684334203658</v>
      </c>
      <c r="H28" s="42">
        <f t="shared" si="10"/>
        <v>1606.6684334203658</v>
      </c>
      <c r="I28" s="42">
        <f t="shared" si="10"/>
        <v>1606.6684334203658</v>
      </c>
      <c r="J28" s="42">
        <f t="shared" si="10"/>
        <v>1606.6684334203658</v>
      </c>
      <c r="K28" s="42">
        <f t="shared" si="10"/>
        <v>1606.6684334203658</v>
      </c>
      <c r="L28" s="42">
        <f t="shared" si="10"/>
        <v>1606.6684334203658</v>
      </c>
      <c r="M28" s="42">
        <f t="shared" si="10"/>
        <v>1606.6684334203658</v>
      </c>
      <c r="N28" s="42">
        <f t="shared" si="10"/>
        <v>1606.6684334203658</v>
      </c>
      <c r="O28" s="42">
        <f t="shared" si="10"/>
        <v>1606.6684334203658</v>
      </c>
      <c r="P28" s="42">
        <f t="shared" si="10"/>
        <v>1606.6684334203658</v>
      </c>
      <c r="Q28" s="42">
        <f t="shared" si="10"/>
        <v>1606.6684334203658</v>
      </c>
      <c r="R28" s="42">
        <f t="shared" si="10"/>
        <v>1606.6684334203658</v>
      </c>
      <c r="S28" s="42">
        <f t="shared" si="10"/>
        <v>1606.6684334203658</v>
      </c>
    </row>
    <row r="29" spans="2:19" x14ac:dyDescent="0.35">
      <c r="B29" t="s">
        <v>19</v>
      </c>
      <c r="C29" s="11">
        <v>0.09</v>
      </c>
      <c r="D29" s="40">
        <v>1</v>
      </c>
      <c r="E29" s="40">
        <f>D29*(1+$C$29)</f>
        <v>1.0900000000000001</v>
      </c>
      <c r="F29" s="40">
        <f>E29*(1+$C$29)</f>
        <v>1.1881000000000002</v>
      </c>
      <c r="G29" s="40">
        <f t="shared" ref="G29:S29" si="11">F29*(1+$C$29)</f>
        <v>1.2950290000000002</v>
      </c>
      <c r="H29" s="40">
        <f t="shared" si="11"/>
        <v>1.4115816100000003</v>
      </c>
      <c r="I29" s="40">
        <f t="shared" si="11"/>
        <v>1.5386239549000005</v>
      </c>
      <c r="J29" s="40">
        <f t="shared" si="11"/>
        <v>1.6771001108410006</v>
      </c>
      <c r="K29" s="40">
        <f t="shared" si="11"/>
        <v>1.8280391208166908</v>
      </c>
      <c r="L29" s="40">
        <f t="shared" si="11"/>
        <v>1.9925626416901931</v>
      </c>
      <c r="M29" s="40">
        <f t="shared" si="11"/>
        <v>2.1718932794423105</v>
      </c>
      <c r="N29" s="40">
        <f t="shared" si="11"/>
        <v>2.3673636745921187</v>
      </c>
      <c r="O29" s="40">
        <f t="shared" si="11"/>
        <v>2.5804264053054098</v>
      </c>
      <c r="P29" s="40">
        <f t="shared" si="11"/>
        <v>2.8126647817828969</v>
      </c>
      <c r="Q29" s="40">
        <f t="shared" si="11"/>
        <v>3.0658046121433578</v>
      </c>
      <c r="R29" s="40">
        <f t="shared" si="11"/>
        <v>3.34172702723626</v>
      </c>
      <c r="S29" s="40">
        <f t="shared" si="11"/>
        <v>3.6424824596875238</v>
      </c>
    </row>
    <row r="30" spans="2:19" x14ac:dyDescent="0.35">
      <c r="B30" s="9" t="s">
        <v>20</v>
      </c>
      <c r="C30" s="9" t="s">
        <v>4</v>
      </c>
      <c r="D30" s="43">
        <f t="shared" ref="D30:S30" si="12">D28/D29</f>
        <v>-8000</v>
      </c>
      <c r="E30" s="43">
        <f t="shared" si="12"/>
        <v>1474.0077370829042</v>
      </c>
      <c r="F30" s="43">
        <f t="shared" si="12"/>
        <v>1352.3006762228479</v>
      </c>
      <c r="G30" s="43">
        <f t="shared" si="12"/>
        <v>1240.6428222227962</v>
      </c>
      <c r="H30" s="43">
        <f t="shared" si="12"/>
        <v>1138.204424057611</v>
      </c>
      <c r="I30" s="43">
        <f t="shared" si="12"/>
        <v>1044.224242254689</v>
      </c>
      <c r="J30" s="43">
        <f t="shared" si="12"/>
        <v>958.00389197677885</v>
      </c>
      <c r="K30" s="43">
        <f t="shared" si="12"/>
        <v>878.90265318970523</v>
      </c>
      <c r="L30" s="43">
        <f t="shared" si="12"/>
        <v>806.33270934835343</v>
      </c>
      <c r="M30" s="43">
        <f t="shared" si="12"/>
        <v>739.75477921867287</v>
      </c>
      <c r="N30" s="43">
        <f t="shared" si="12"/>
        <v>678.67410937492912</v>
      </c>
      <c r="O30" s="43">
        <f t="shared" si="12"/>
        <v>622.63679759167803</v>
      </c>
      <c r="P30" s="43">
        <f t="shared" si="12"/>
        <v>571.22641980887886</v>
      </c>
      <c r="Q30" s="43">
        <f t="shared" si="12"/>
        <v>524.06093560447596</v>
      </c>
      <c r="R30" s="43">
        <f t="shared" si="12"/>
        <v>480.78984917841836</v>
      </c>
      <c r="S30" s="43">
        <f t="shared" si="12"/>
        <v>441.09160475084246</v>
      </c>
    </row>
    <row r="32" spans="2:19" x14ac:dyDescent="0.35">
      <c r="B32" t="s">
        <v>29</v>
      </c>
      <c r="D32" s="47">
        <f>SUM(D30)</f>
        <v>-8000</v>
      </c>
      <c r="E32" s="47">
        <f>SUM(D30:E30)</f>
        <v>-6525.992262917096</v>
      </c>
      <c r="F32" s="47">
        <f>SUM(D30:F30)</f>
        <v>-5173.6915866942481</v>
      </c>
      <c r="G32" s="47">
        <f>SUM(D30:G30)</f>
        <v>-3933.0487644714522</v>
      </c>
      <c r="H32" s="47">
        <f>SUM(D30:H30)</f>
        <v>-2794.8443404138411</v>
      </c>
      <c r="I32" s="47">
        <f>SUM(D30:I30)</f>
        <v>-1750.6200981591521</v>
      </c>
      <c r="J32" s="47">
        <f>SUM(D30:J30)</f>
        <v>-792.61620618237328</v>
      </c>
      <c r="K32" s="47">
        <f>SUM(D30:K30)</f>
        <v>86.286447007331958</v>
      </c>
      <c r="L32" s="47">
        <f>SUM(D30:L30)</f>
        <v>892.61915635568539</v>
      </c>
      <c r="M32" s="58">
        <f>SUM(D30:M30)</f>
        <v>1632.3739355743583</v>
      </c>
      <c r="N32" s="47">
        <f>SUM(D30:N30)</f>
        <v>2311.0480449492875</v>
      </c>
      <c r="O32" s="47">
        <f>SUM(D30:O30)</f>
        <v>2933.6848425409653</v>
      </c>
      <c r="P32" s="47">
        <f>SUM(D30:P30)</f>
        <v>3504.911262349844</v>
      </c>
      <c r="Q32" s="47">
        <f>SUM(D30:Q30)</f>
        <v>4028.9721979543201</v>
      </c>
      <c r="R32" s="47">
        <f>SUM(D30:R30)</f>
        <v>4509.7620471327382</v>
      </c>
      <c r="S32" s="47">
        <f>SUM(D30:S30)</f>
        <v>4950.8536518835808</v>
      </c>
    </row>
  </sheetData>
  <mergeCells count="1">
    <mergeCell ref="D7:S7"/>
  </mergeCells>
  <pageMargins left="0.7" right="0.7" top="0.75" bottom="0.75" header="0.3" footer="0.3"/>
  <pageSetup paperSize="9" orientation="portrait" r:id="rId1"/>
  <headerFooter>
    <oddHeader>&amp;R&amp;"Calibri"&amp;10&amp;K000000Business Use&amp;1#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2:BM7"/>
  <sheetViews>
    <sheetView topLeftCell="AS1" zoomScale="85" zoomScaleNormal="85" workbookViewId="0">
      <selection activeCell="BM7" sqref="BM7"/>
    </sheetView>
  </sheetViews>
  <sheetFormatPr defaultRowHeight="14.5" outlineLevelCol="1" x14ac:dyDescent="0.35"/>
  <cols>
    <col min="1" max="1" width="1.453125" customWidth="1"/>
    <col min="2" max="2" width="19.7265625" customWidth="1"/>
    <col min="3" max="44" width="8.7265625" hidden="1" customWidth="1" outlineLevel="1"/>
    <col min="45" max="45" width="8.7265625" collapsed="1"/>
  </cols>
  <sheetData>
    <row r="2" spans="2:65" x14ac:dyDescent="0.35">
      <c r="B2" s="21" t="s">
        <v>22</v>
      </c>
    </row>
    <row r="3" spans="2:65" ht="15" thickBot="1" x14ac:dyDescent="0.4"/>
    <row r="4" spans="2:65" ht="15" thickBot="1" x14ac:dyDescent="0.4">
      <c r="C4" s="18">
        <v>43647</v>
      </c>
      <c r="D4" s="18">
        <v>43678</v>
      </c>
      <c r="E4" s="18">
        <v>43709</v>
      </c>
      <c r="F4" s="18">
        <v>43739</v>
      </c>
      <c r="G4" s="18">
        <v>43770</v>
      </c>
      <c r="H4" s="18">
        <v>43800</v>
      </c>
      <c r="I4" s="18">
        <v>43831</v>
      </c>
      <c r="J4" s="18">
        <v>43862</v>
      </c>
      <c r="K4" s="18">
        <v>43891</v>
      </c>
      <c r="L4" s="18">
        <v>43922</v>
      </c>
      <c r="M4" s="18">
        <v>43952</v>
      </c>
      <c r="N4" s="18">
        <v>43983</v>
      </c>
      <c r="O4" s="18">
        <v>44013</v>
      </c>
      <c r="P4" s="18">
        <v>44044</v>
      </c>
      <c r="Q4" s="18">
        <v>44075</v>
      </c>
      <c r="R4" s="18">
        <v>44105</v>
      </c>
      <c r="S4" s="18">
        <v>44136</v>
      </c>
      <c r="T4" s="18">
        <v>44166</v>
      </c>
      <c r="U4" s="18">
        <v>44197</v>
      </c>
      <c r="V4" s="18">
        <v>44228</v>
      </c>
      <c r="W4" s="19">
        <v>44256</v>
      </c>
      <c r="X4" s="19">
        <v>44287</v>
      </c>
      <c r="Y4" s="19">
        <v>44317</v>
      </c>
      <c r="Z4" s="19">
        <v>44348</v>
      </c>
      <c r="AA4" s="19">
        <v>44378</v>
      </c>
      <c r="AB4" s="19">
        <v>44409</v>
      </c>
      <c r="AC4" s="19">
        <v>44440</v>
      </c>
      <c r="AD4" s="19">
        <v>44470</v>
      </c>
      <c r="AE4" s="19">
        <v>44501</v>
      </c>
      <c r="AF4" s="19">
        <v>44531</v>
      </c>
      <c r="AG4" s="19">
        <v>44562</v>
      </c>
      <c r="AH4" s="19">
        <v>44593</v>
      </c>
      <c r="AI4" s="19">
        <v>44621</v>
      </c>
      <c r="AJ4" s="19">
        <v>44652</v>
      </c>
      <c r="AK4" s="19">
        <v>44682</v>
      </c>
      <c r="AL4" s="19">
        <v>44713</v>
      </c>
      <c r="AM4" s="19">
        <v>44743</v>
      </c>
      <c r="AN4" s="19">
        <v>44774</v>
      </c>
      <c r="AO4" s="19">
        <v>44805</v>
      </c>
      <c r="AP4" s="19">
        <v>44835</v>
      </c>
      <c r="AQ4" s="19">
        <v>44866</v>
      </c>
      <c r="AR4" s="19">
        <v>44896</v>
      </c>
      <c r="AS4" s="19">
        <v>44927</v>
      </c>
      <c r="AT4" s="19">
        <v>44958</v>
      </c>
      <c r="AU4" s="19">
        <v>44986</v>
      </c>
      <c r="AV4" s="19">
        <v>45017</v>
      </c>
      <c r="AW4" s="19">
        <v>45047</v>
      </c>
      <c r="AX4" s="19">
        <v>45078</v>
      </c>
      <c r="AY4" s="19">
        <v>45108</v>
      </c>
      <c r="AZ4" s="19">
        <v>45139</v>
      </c>
      <c r="BA4" s="19">
        <v>45170</v>
      </c>
      <c r="BB4" s="19">
        <v>45200</v>
      </c>
      <c r="BC4" s="19">
        <v>45231</v>
      </c>
      <c r="BD4" s="19">
        <v>45261</v>
      </c>
      <c r="BE4" s="19">
        <v>45292</v>
      </c>
      <c r="BF4" s="19">
        <v>45323</v>
      </c>
      <c r="BG4" s="19">
        <v>45354</v>
      </c>
      <c r="BH4" s="19">
        <v>45386</v>
      </c>
      <c r="BI4" s="19">
        <v>45417</v>
      </c>
      <c r="BJ4" s="19">
        <v>45449</v>
      </c>
      <c r="BK4" s="19">
        <v>45480</v>
      </c>
      <c r="BL4" s="19">
        <v>45512</v>
      </c>
      <c r="BM4" s="19">
        <v>45544</v>
      </c>
    </row>
    <row r="5" spans="2:65" x14ac:dyDescent="0.35">
      <c r="B5" t="s">
        <v>21</v>
      </c>
      <c r="C5" s="20">
        <v>54.589622222222218</v>
      </c>
      <c r="D5" s="20">
        <v>54.996586111111114</v>
      </c>
      <c r="E5" s="20">
        <v>56.264955555555552</v>
      </c>
      <c r="F5" s="20">
        <v>58.260255555555553</v>
      </c>
      <c r="G5" s="20">
        <v>59.551852777777768</v>
      </c>
      <c r="H5" s="20">
        <v>59.522105555555562</v>
      </c>
      <c r="I5" s="20">
        <v>60.24861111111111</v>
      </c>
      <c r="J5" s="20">
        <v>61.427463888888887</v>
      </c>
      <c r="K5" s="20">
        <v>63.889702777777771</v>
      </c>
      <c r="L5" s="20">
        <v>54.877713888888884</v>
      </c>
      <c r="M5" s="20">
        <v>52.982894444444447</v>
      </c>
      <c r="N5" s="20">
        <v>52.493180555555554</v>
      </c>
      <c r="O5" s="20">
        <v>55.176072222222217</v>
      </c>
      <c r="P5" s="20">
        <v>56.123474999999999</v>
      </c>
      <c r="Q5" s="20">
        <v>56.116208333333333</v>
      </c>
      <c r="R5" s="20">
        <v>61.051908333333337</v>
      </c>
      <c r="S5" s="20">
        <v>58.888861111111119</v>
      </c>
      <c r="T5" s="20">
        <v>55.457183333333333</v>
      </c>
      <c r="U5" s="20">
        <v>56.758874999999996</v>
      </c>
      <c r="V5" s="20">
        <v>64.405619444444454</v>
      </c>
      <c r="W5" s="20">
        <v>64.405619444444454</v>
      </c>
      <c r="X5" s="20">
        <v>67.281725000000009</v>
      </c>
      <c r="Y5" s="20">
        <v>70.591777777777779</v>
      </c>
      <c r="Z5" s="20">
        <v>75.957433333333327</v>
      </c>
      <c r="AA5" s="20">
        <v>85.235952777777783</v>
      </c>
      <c r="AB5" s="20">
        <v>81.517130555555553</v>
      </c>
      <c r="AC5" s="20">
        <v>95.688686111111096</v>
      </c>
      <c r="AD5" s="20">
        <v>122.46572777777777</v>
      </c>
      <c r="AE5" s="20">
        <v>149.14694444444444</v>
      </c>
      <c r="AF5" s="20">
        <v>143.59106944444446</v>
      </c>
      <c r="AG5" s="20">
        <v>346.73222222222222</v>
      </c>
      <c r="AH5" s="20">
        <v>273.84154359722226</v>
      </c>
      <c r="AI5" s="20">
        <v>288.20452499999999</v>
      </c>
      <c r="AJ5" s="20">
        <v>216.97352777777778</v>
      </c>
      <c r="AK5" s="20">
        <v>235.86158333333333</v>
      </c>
      <c r="AL5" s="20">
        <v>394.23974999999996</v>
      </c>
      <c r="AM5" s="20">
        <v>366.65125</v>
      </c>
      <c r="AN5" s="20">
        <v>507.9778</v>
      </c>
      <c r="AO5" s="20">
        <v>437.37214999999998</v>
      </c>
      <c r="AP5" s="20">
        <v>210.20761249999998</v>
      </c>
      <c r="AQ5" s="20">
        <v>244.68850999999998</v>
      </c>
      <c r="AR5" s="20">
        <v>306.79874999999998</v>
      </c>
      <c r="AS5" s="20">
        <v>158.72125</v>
      </c>
      <c r="AT5" s="20">
        <v>148.4083875</v>
      </c>
      <c r="AU5" s="20">
        <v>119.18421052631578</v>
      </c>
      <c r="AV5" s="20">
        <v>116.57894736842104</v>
      </c>
      <c r="AW5" s="20">
        <v>97.198818947368409</v>
      </c>
      <c r="AX5" s="20">
        <v>100.78947368421051</v>
      </c>
      <c r="AY5" s="20">
        <v>99.2</v>
      </c>
      <c r="AZ5" s="20">
        <v>104.6</v>
      </c>
      <c r="BA5" s="20">
        <v>119.87646637191533</v>
      </c>
      <c r="BB5" s="20">
        <v>116.05881619170052</v>
      </c>
      <c r="BC5" s="20">
        <v>110.31170139947783</v>
      </c>
      <c r="BD5" s="20">
        <v>103.31391015979112</v>
      </c>
      <c r="BE5" s="20">
        <v>103.31391015979112</v>
      </c>
      <c r="BF5" s="20">
        <v>81.274756670025198</v>
      </c>
      <c r="BG5" s="20">
        <v>65</v>
      </c>
      <c r="BH5" s="20">
        <v>62</v>
      </c>
      <c r="BI5" s="20">
        <v>72</v>
      </c>
      <c r="BJ5" s="20">
        <v>92</v>
      </c>
      <c r="BK5" s="20">
        <v>149</v>
      </c>
      <c r="BL5" s="20">
        <v>128</v>
      </c>
      <c r="BM5" s="20">
        <v>109</v>
      </c>
    </row>
    <row r="6" spans="2:65" x14ac:dyDescent="0.35">
      <c r="B6" t="s">
        <v>24</v>
      </c>
      <c r="C6" s="20">
        <v>10.375</v>
      </c>
      <c r="D6" s="20">
        <v>10.375</v>
      </c>
      <c r="E6" s="20">
        <v>10.374999999999993</v>
      </c>
      <c r="F6" s="20">
        <v>10.374999999999993</v>
      </c>
      <c r="G6" s="20">
        <v>10.375</v>
      </c>
      <c r="H6" s="20">
        <v>10.374999999999993</v>
      </c>
      <c r="I6" s="20">
        <v>12.861111111111107</v>
      </c>
      <c r="J6" s="20">
        <v>12.861111111111107</v>
      </c>
      <c r="K6" s="20">
        <v>12.861111111111114</v>
      </c>
      <c r="L6" s="20">
        <v>12.861111111111107</v>
      </c>
      <c r="M6" s="20">
        <v>12.861111111111107</v>
      </c>
      <c r="N6" s="20">
        <v>12.8611111111111</v>
      </c>
      <c r="O6" s="20">
        <v>12.8611111111111</v>
      </c>
      <c r="P6" s="20">
        <v>12.861111111111128</v>
      </c>
      <c r="Q6" s="20">
        <v>12.8611111111111</v>
      </c>
      <c r="R6" s="20">
        <v>12.861111111111107</v>
      </c>
      <c r="S6" s="20">
        <v>12.861111111111107</v>
      </c>
      <c r="T6" s="20">
        <v>12.861111111111114</v>
      </c>
      <c r="U6" s="20">
        <v>12.861111111111121</v>
      </c>
      <c r="V6" s="20">
        <v>12.861111111111114</v>
      </c>
      <c r="W6" s="20">
        <v>15.527777777777771</v>
      </c>
      <c r="X6" s="20">
        <v>12.491666666666674</v>
      </c>
      <c r="Y6" s="20">
        <v>14.755555555555546</v>
      </c>
      <c r="Z6" s="20">
        <v>14.75555555555556</v>
      </c>
      <c r="AA6" s="20">
        <v>12.491666666666674</v>
      </c>
      <c r="AB6" s="20">
        <v>12.491666666666674</v>
      </c>
      <c r="AC6" s="20">
        <v>12.49166666666666</v>
      </c>
      <c r="AD6" s="20">
        <v>12.491666666666674</v>
      </c>
      <c r="AE6" s="20">
        <v>12.491666666666674</v>
      </c>
      <c r="AF6" s="20">
        <v>12.491666666666674</v>
      </c>
      <c r="AG6" s="20">
        <v>12.491666666666674</v>
      </c>
      <c r="AH6" s="20">
        <v>12.491666666666674</v>
      </c>
      <c r="AI6" s="20">
        <v>12.491666666666617</v>
      </c>
      <c r="AJ6" s="20">
        <v>12.491666666666703</v>
      </c>
      <c r="AK6" s="20">
        <v>12.491666666666646</v>
      </c>
      <c r="AL6" s="20">
        <v>11.242500000000007</v>
      </c>
      <c r="AM6" s="20">
        <v>11.242500000000064</v>
      </c>
      <c r="AN6" s="20">
        <v>34.474999999999909</v>
      </c>
      <c r="AO6" s="20">
        <v>34.475000000000023</v>
      </c>
      <c r="AP6" s="20">
        <v>34.475000000000023</v>
      </c>
      <c r="AQ6" s="20">
        <v>34.475000000000051</v>
      </c>
      <c r="AR6" s="20">
        <v>34.475000000000023</v>
      </c>
      <c r="AS6" s="20">
        <v>34.475000000000023</v>
      </c>
      <c r="AT6" s="20">
        <v>53.947368421052659</v>
      </c>
      <c r="AU6" s="20">
        <v>53.94736842105263</v>
      </c>
      <c r="AV6" s="20">
        <v>53.94736842105263</v>
      </c>
      <c r="AW6" s="20">
        <v>53.94736842105263</v>
      </c>
      <c r="AX6" s="20">
        <v>63.94736842105263</v>
      </c>
      <c r="AY6" s="20">
        <v>63.94736842105263</v>
      </c>
      <c r="AZ6" s="20">
        <v>63.94736842105263</v>
      </c>
      <c r="BA6" s="20">
        <v>63.061658408823313</v>
      </c>
      <c r="BB6" s="20">
        <v>63.061658408823313</v>
      </c>
      <c r="BC6" s="20">
        <v>63.061658408823313</v>
      </c>
      <c r="BD6" s="20">
        <v>53.52480417754569</v>
      </c>
      <c r="BE6" s="20">
        <v>53.52480417754569</v>
      </c>
      <c r="BF6" s="38">
        <v>53.52480417754569</v>
      </c>
      <c r="BG6" s="38">
        <v>53.52480417754569</v>
      </c>
      <c r="BH6" s="38">
        <v>53.52480417754569</v>
      </c>
      <c r="BI6" s="38">
        <v>53.52480417754569</v>
      </c>
      <c r="BJ6" s="38">
        <v>53.52480417754569</v>
      </c>
      <c r="BK6" s="38">
        <v>53.52480417754569</v>
      </c>
      <c r="BL6" s="38">
        <v>53.52480417754569</v>
      </c>
      <c r="BM6" s="38">
        <v>53.52480417754569</v>
      </c>
    </row>
    <row r="7" spans="2:65" s="36" customFormat="1" x14ac:dyDescent="0.35">
      <c r="B7" s="36" t="s">
        <v>23</v>
      </c>
      <c r="C7" s="37">
        <f t="shared" ref="C7:AR7" si="0">C6+C5</f>
        <v>64.964622222222218</v>
      </c>
      <c r="D7" s="37">
        <f t="shared" si="0"/>
        <v>65.371586111111114</v>
      </c>
      <c r="E7" s="37">
        <f t="shared" si="0"/>
        <v>66.639955555555545</v>
      </c>
      <c r="F7" s="37">
        <f t="shared" si="0"/>
        <v>68.635255555555545</v>
      </c>
      <c r="G7" s="37">
        <f t="shared" si="0"/>
        <v>69.926852777777768</v>
      </c>
      <c r="H7" s="37">
        <f t="shared" si="0"/>
        <v>69.897105555555555</v>
      </c>
      <c r="I7" s="37">
        <f t="shared" si="0"/>
        <v>73.109722222222217</v>
      </c>
      <c r="J7" s="37">
        <f t="shared" si="0"/>
        <v>74.288574999999994</v>
      </c>
      <c r="K7" s="37">
        <f t="shared" si="0"/>
        <v>76.750813888888885</v>
      </c>
      <c r="L7" s="37">
        <f t="shared" si="0"/>
        <v>67.738824999999991</v>
      </c>
      <c r="M7" s="37">
        <f t="shared" si="0"/>
        <v>65.844005555555555</v>
      </c>
      <c r="N7" s="37">
        <f t="shared" si="0"/>
        <v>65.354291666666654</v>
      </c>
      <c r="O7" s="37">
        <f t="shared" si="0"/>
        <v>68.037183333333317</v>
      </c>
      <c r="P7" s="37">
        <f t="shared" si="0"/>
        <v>68.984586111111128</v>
      </c>
      <c r="Q7" s="37">
        <f t="shared" si="0"/>
        <v>68.977319444444433</v>
      </c>
      <c r="R7" s="37">
        <f t="shared" si="0"/>
        <v>73.913019444444444</v>
      </c>
      <c r="S7" s="37">
        <f t="shared" si="0"/>
        <v>71.749972222222226</v>
      </c>
      <c r="T7" s="37">
        <f t="shared" si="0"/>
        <v>68.318294444444447</v>
      </c>
      <c r="U7" s="37">
        <f t="shared" si="0"/>
        <v>69.619986111111118</v>
      </c>
      <c r="V7" s="37">
        <f t="shared" si="0"/>
        <v>77.266730555555569</v>
      </c>
      <c r="W7" s="37">
        <f t="shared" si="0"/>
        <v>79.933397222222226</v>
      </c>
      <c r="X7" s="37">
        <f t="shared" si="0"/>
        <v>79.773391666666683</v>
      </c>
      <c r="Y7" s="37">
        <f t="shared" si="0"/>
        <v>85.347333333333324</v>
      </c>
      <c r="Z7" s="37">
        <f t="shared" si="0"/>
        <v>90.712988888888887</v>
      </c>
      <c r="AA7" s="37">
        <f t="shared" si="0"/>
        <v>97.727619444444457</v>
      </c>
      <c r="AB7" s="37">
        <f t="shared" si="0"/>
        <v>94.008797222222228</v>
      </c>
      <c r="AC7" s="37">
        <f t="shared" si="0"/>
        <v>108.18035277777776</v>
      </c>
      <c r="AD7" s="37">
        <f t="shared" si="0"/>
        <v>134.95739444444445</v>
      </c>
      <c r="AE7" s="37">
        <f t="shared" si="0"/>
        <v>161.63861111111112</v>
      </c>
      <c r="AF7" s="37">
        <f t="shared" si="0"/>
        <v>156.08273611111113</v>
      </c>
      <c r="AG7" s="37">
        <f t="shared" si="0"/>
        <v>359.22388888888889</v>
      </c>
      <c r="AH7" s="37">
        <f t="shared" si="0"/>
        <v>286.33321026388893</v>
      </c>
      <c r="AI7" s="37">
        <f t="shared" si="0"/>
        <v>300.69619166666661</v>
      </c>
      <c r="AJ7" s="37">
        <f t="shared" si="0"/>
        <v>229.46519444444448</v>
      </c>
      <c r="AK7" s="37">
        <f t="shared" si="0"/>
        <v>248.35324999999997</v>
      </c>
      <c r="AL7" s="37">
        <f t="shared" si="0"/>
        <v>405.48224999999996</v>
      </c>
      <c r="AM7" s="37">
        <f t="shared" si="0"/>
        <v>377.89375000000007</v>
      </c>
      <c r="AN7" s="37">
        <f t="shared" si="0"/>
        <v>542.45279999999991</v>
      </c>
      <c r="AO7" s="37">
        <f t="shared" si="0"/>
        <v>471.84715</v>
      </c>
      <c r="AP7" s="37">
        <f t="shared" si="0"/>
        <v>244.6826125</v>
      </c>
      <c r="AQ7" s="37">
        <f t="shared" si="0"/>
        <v>279.16351000000003</v>
      </c>
      <c r="AR7" s="37">
        <f t="shared" si="0"/>
        <v>341.27375000000001</v>
      </c>
      <c r="AS7" s="37">
        <f>AS6+AS5</f>
        <v>193.19625000000002</v>
      </c>
      <c r="AT7" s="37">
        <f t="shared" ref="AT7:BM7" si="1">AT6+AT5</f>
        <v>202.35575592105266</v>
      </c>
      <c r="AU7" s="37">
        <f t="shared" si="1"/>
        <v>173.13157894736841</v>
      </c>
      <c r="AV7" s="37">
        <f t="shared" si="1"/>
        <v>170.52631578947367</v>
      </c>
      <c r="AW7" s="37">
        <f t="shared" si="1"/>
        <v>151.14618736842104</v>
      </c>
      <c r="AX7" s="37">
        <f t="shared" si="1"/>
        <v>164.73684210526312</v>
      </c>
      <c r="AY7" s="37">
        <f t="shared" si="1"/>
        <v>163.14736842105265</v>
      </c>
      <c r="AZ7" s="37">
        <f t="shared" si="1"/>
        <v>168.54736842105262</v>
      </c>
      <c r="BA7" s="37">
        <f t="shared" si="1"/>
        <v>182.93812478073863</v>
      </c>
      <c r="BB7" s="37">
        <f t="shared" si="1"/>
        <v>179.12047460052383</v>
      </c>
      <c r="BC7" s="37">
        <f t="shared" si="1"/>
        <v>173.37335980830113</v>
      </c>
      <c r="BD7" s="37">
        <f t="shared" si="1"/>
        <v>156.8387143373368</v>
      </c>
      <c r="BE7" s="37">
        <f t="shared" si="1"/>
        <v>156.8387143373368</v>
      </c>
      <c r="BF7" s="37">
        <f t="shared" si="1"/>
        <v>134.79956084757089</v>
      </c>
      <c r="BG7" s="37">
        <f t="shared" si="1"/>
        <v>118.52480417754569</v>
      </c>
      <c r="BH7" s="37">
        <f t="shared" si="1"/>
        <v>115.52480417754569</v>
      </c>
      <c r="BI7" s="37">
        <f t="shared" si="1"/>
        <v>125.52480417754569</v>
      </c>
      <c r="BJ7" s="37">
        <f t="shared" si="1"/>
        <v>145.52480417754569</v>
      </c>
      <c r="BK7" s="37">
        <f t="shared" si="1"/>
        <v>202.52480417754569</v>
      </c>
      <c r="BL7" s="37">
        <f t="shared" si="1"/>
        <v>181.52480417754569</v>
      </c>
      <c r="BM7" s="37">
        <f t="shared" si="1"/>
        <v>162.52480417754569</v>
      </c>
    </row>
  </sheetData>
  <pageMargins left="0.7" right="0.7" top="0.75" bottom="0.75" header="0.3" footer="0.3"/>
  <pageSetup paperSize="9" orientation="portrait" r:id="rId1"/>
  <headerFooter>
    <oddHeader>&amp;R&amp;"Calibri"&amp;10&amp;K000000Business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PPA NPV</vt:lpstr>
      <vt:lpstr>Buy NPV</vt:lpstr>
      <vt:lpstr>Electricity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Toth, Erika</dc:creator>
  <cp:keywords/>
  <dc:description/>
  <cp:lastModifiedBy>Ballardini, Claudia</cp:lastModifiedBy>
  <cp:revision/>
  <dcterms:created xsi:type="dcterms:W3CDTF">2023-04-20T12:45:08Z</dcterms:created>
  <dcterms:modified xsi:type="dcterms:W3CDTF">2024-10-18T15:26:38Z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2023-04-21T06:30:34Z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fa092322-3e00-401b-9f69-add28dcf6af2</vt:lpwstr>
  </property>
  <property fmtid="{D5CDD505-2E9C-101B-9397-08002B2CF9AE}" pid="8" name="MSIP_Label_a518e53f-798e-43aa-978d-c3fda1f3a682_ContentBits">
    <vt:lpwstr>1</vt:lpwstr>
  </property>
</Properties>
</file>