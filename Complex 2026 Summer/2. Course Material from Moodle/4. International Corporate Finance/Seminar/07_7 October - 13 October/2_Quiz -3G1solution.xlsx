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orvinus-my.sharepoint.com/personal/leyla_yusifzada_uni-corvinus_hu/Documents/icf_2024/quiz/"/>
    </mc:Choice>
  </mc:AlternateContent>
  <xr:revisionPtr revIDLastSave="0" documentId="8_{8A6AD1FE-CF8B-48C8-A901-CF308B2321DB}" xr6:coauthVersionLast="47" xr6:coauthVersionMax="47" xr10:uidLastSave="{00000000-0000-0000-0000-000000000000}"/>
  <bookViews>
    <workbookView xWindow="8320" yWindow="1710" windowWidth="7710" windowHeight="5960" firstSheet="1" activeTab="1" xr2:uid="{00000000-000D-0000-FFFF-FFFF00000000}"/>
  </bookViews>
  <sheets>
    <sheet name="1&amp;2" sheetId="3" r:id="rId1"/>
    <sheet name="1&amp;2 sol" sheetId="7" r:id="rId2"/>
    <sheet name="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7" l="1"/>
  <c r="D26" i="7" s="1"/>
  <c r="E19" i="7" l="1"/>
  <c r="I24" i="7"/>
  <c r="F12" i="7"/>
  <c r="G12" i="7"/>
  <c r="H12" i="7"/>
  <c r="I12" i="7"/>
  <c r="J12" i="7"/>
  <c r="E12" i="7"/>
  <c r="E4" i="7" l="1"/>
  <c r="F4" i="7"/>
  <c r="G4" i="7"/>
  <c r="H4" i="7"/>
  <c r="I4" i="7"/>
  <c r="J4" i="7"/>
  <c r="F17" i="7"/>
  <c r="G17" i="7"/>
  <c r="H17" i="7"/>
  <c r="F10" i="7"/>
  <c r="G10" i="7"/>
  <c r="H10" i="7"/>
  <c r="F3" i="7"/>
  <c r="G3" i="7"/>
  <c r="H3" i="7"/>
  <c r="F5" i="7"/>
  <c r="G5" i="7"/>
  <c r="H5" i="7"/>
  <c r="G8" i="7" l="1"/>
  <c r="G23" i="7" s="1"/>
  <c r="F8" i="7"/>
  <c r="F23" i="7" s="1"/>
  <c r="H8" i="7"/>
  <c r="H23" i="7" s="1"/>
  <c r="H7" i="7"/>
  <c r="G7" i="7"/>
  <c r="G22" i="7" s="1"/>
  <c r="G24" i="7" s="1"/>
  <c r="G19" i="7" s="1"/>
  <c r="F7" i="7"/>
  <c r="F22" i="7" s="1"/>
  <c r="F24" i="7" s="1"/>
  <c r="I10" i="7"/>
  <c r="J10" i="7"/>
  <c r="E10" i="7"/>
  <c r="D11" i="7"/>
  <c r="F9" i="7" l="1"/>
  <c r="F13" i="7" s="1"/>
  <c r="F14" i="7" s="1"/>
  <c r="F15" i="7" s="1"/>
  <c r="G9" i="7"/>
  <c r="G13" i="7" s="1"/>
  <c r="G14" i="7" s="1"/>
  <c r="G15" i="7" s="1"/>
  <c r="G20" i="7" s="1"/>
  <c r="G26" i="7" s="1"/>
  <c r="H9" i="7"/>
  <c r="H13" i="7" s="1"/>
  <c r="H14" i="7" s="1"/>
  <c r="H15" i="7" s="1"/>
  <c r="H22" i="7"/>
  <c r="H24" i="7" s="1"/>
  <c r="H19" i="7" s="1"/>
  <c r="A20" i="7"/>
  <c r="D18" i="7"/>
  <c r="J17" i="7"/>
  <c r="I17" i="7"/>
  <c r="E17" i="7"/>
  <c r="D13" i="7"/>
  <c r="A8" i="7"/>
  <c r="A9" i="7" s="1"/>
  <c r="A10" i="7" s="1"/>
  <c r="A11" i="7" s="1"/>
  <c r="A12" i="7" s="1"/>
  <c r="A13" i="7" s="1"/>
  <c r="A14" i="7" s="1"/>
  <c r="A15" i="7" s="1"/>
  <c r="J5" i="7"/>
  <c r="I5" i="7"/>
  <c r="E5" i="7"/>
  <c r="J3" i="7"/>
  <c r="I3" i="7"/>
  <c r="E3" i="7"/>
  <c r="H20" i="7" l="1"/>
  <c r="H26" i="7" s="1"/>
  <c r="J8" i="7"/>
  <c r="I8" i="7"/>
  <c r="I23" i="7" s="1"/>
  <c r="E7" i="7"/>
  <c r="E22" i="7" s="1"/>
  <c r="E8" i="7"/>
  <c r="E23" i="7" s="1"/>
  <c r="D14" i="7"/>
  <c r="D15" i="7" s="1"/>
  <c r="I7" i="7"/>
  <c r="I22" i="7" s="1"/>
  <c r="J7" i="7"/>
  <c r="E24" i="7" l="1"/>
  <c r="E9" i="7"/>
  <c r="E13" i="7" s="1"/>
  <c r="J9" i="7"/>
  <c r="J13" i="7" s="1"/>
  <c r="I9" i="7"/>
  <c r="I13" i="7" s="1"/>
  <c r="I19" i="7" l="1"/>
  <c r="F19" i="7"/>
  <c r="F20" i="7" s="1"/>
  <c r="F26" i="7" s="1"/>
  <c r="E14" i="7"/>
  <c r="E15" i="7" s="1"/>
  <c r="J19" i="7"/>
  <c r="J20" i="7" s="1"/>
  <c r="I14" i="7"/>
  <c r="I15" i="7" s="1"/>
  <c r="J14" i="7"/>
  <c r="J15" i="7" s="1"/>
  <c r="J26" i="7" l="1"/>
  <c r="I20" i="7"/>
  <c r="I26" i="7" s="1"/>
  <c r="E20" i="7"/>
  <c r="E26" i="7" s="1"/>
  <c r="D27" i="7" l="1"/>
</calcChain>
</file>

<file path=xl/sharedStrings.xml><?xml version="1.0" encoding="utf-8"?>
<sst xmlns="http://schemas.openxmlformats.org/spreadsheetml/2006/main" count="39" uniqueCount="39">
  <si>
    <t>Year</t>
  </si>
  <si>
    <t>0</t>
  </si>
  <si>
    <t>Units Sold (in 000s)</t>
  </si>
  <si>
    <t>Sale Price</t>
  </si>
  <si>
    <t>Production cost</t>
  </si>
  <si>
    <t>Incremental Earnings Forecast ($000s)</t>
  </si>
  <si>
    <t>Sales</t>
  </si>
  <si>
    <t>Unit sold</t>
  </si>
  <si>
    <t>Cost of Goods Sold</t>
  </si>
  <si>
    <t>Price</t>
  </si>
  <si>
    <t>Gross Profit</t>
  </si>
  <si>
    <t>Eng.design cost</t>
  </si>
  <si>
    <t>Selling, General, and Administrative</t>
  </si>
  <si>
    <t>Cost</t>
  </si>
  <si>
    <t>Research and Development</t>
  </si>
  <si>
    <t>R&amp;D</t>
  </si>
  <si>
    <t>Depreciation</t>
  </si>
  <si>
    <t>EBIT</t>
  </si>
  <si>
    <t>New equipment</t>
  </si>
  <si>
    <t>Income Tax at 40%</t>
  </si>
  <si>
    <t>lifetime</t>
  </si>
  <si>
    <t>NOPLAT</t>
  </si>
  <si>
    <t>Marketing cost</t>
  </si>
  <si>
    <t>Free Cash Flow ($000s)</t>
  </si>
  <si>
    <t>tax</t>
  </si>
  <si>
    <t>Plus:  Depreciation</t>
  </si>
  <si>
    <t>Less:  Capital Expenditures</t>
  </si>
  <si>
    <t>Less:  Increases in NWC</t>
  </si>
  <si>
    <t>Free Cash Flow</t>
  </si>
  <si>
    <t>Account Receivables</t>
  </si>
  <si>
    <t>AR</t>
  </si>
  <si>
    <t>Account Payables</t>
  </si>
  <si>
    <t>AP</t>
  </si>
  <si>
    <t>NWC</t>
  </si>
  <si>
    <t>r</t>
  </si>
  <si>
    <t>PV (FCFF)</t>
  </si>
  <si>
    <t>NPV</t>
  </si>
  <si>
    <t>highligh</t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</si>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</sst>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Ft&quot;_-;\-* #,##0.00\ &quot;Ft&quot;_-;_-* &quot;-&quot;??\ &quot;Ft&quot;_-;_-@_-"/>
    <numFmt numFmtId="165" formatCode="_-* #,##0.00_-;\-* #,##0.00_-;_-* &quot;-&quot;??_-;_-@_-"/>
    <numFmt numFmtId="166" formatCode="_(&quot;$ &quot;#,##0_);_(&quot;$ &quot;\(#,##0\)"/>
    <numFmt numFmtId="167" formatCode="_(&quot;$ &quot;#,##0.00_);_(&quot;$ &quot;\(#,##0.00\)"/>
  </numFmts>
  <fonts count="13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</font>
    <font>
      <sz val="11"/>
      <name val="Calibri"/>
      <family val="2"/>
    </font>
    <font>
      <sz val="14"/>
      <name val="Times New Roman"/>
      <family val="1"/>
    </font>
    <font>
      <i/>
      <sz val="14"/>
      <name val="Times New Roman"/>
      <family val="1"/>
      <charset val="238"/>
    </font>
    <font>
      <sz val="1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b/>
      <sz val="14"/>
      <name val="Times New Roman"/>
      <family val="1"/>
    </font>
    <font>
      <b/>
      <i/>
      <sz val="14"/>
      <color rgb="FFFF0000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37" fontId="2" fillId="0" borderId="0" xfId="0" applyNumberFormat="1" applyFont="1"/>
    <xf numFmtId="10" fontId="0" fillId="0" borderId="0" xfId="2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vertical="top"/>
    </xf>
    <xf numFmtId="166" fontId="6" fillId="0" borderId="0" xfId="0" applyNumberFormat="1" applyFont="1" applyAlignment="1">
      <alignment horizontal="right" vertical="top"/>
    </xf>
    <xf numFmtId="37" fontId="4" fillId="0" borderId="0" xfId="0" applyNumberFormat="1" applyFont="1" applyAlignment="1">
      <alignment horizontal="right" vertical="top"/>
    </xf>
    <xf numFmtId="37" fontId="6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165" fontId="0" fillId="0" borderId="0" xfId="1" applyFont="1"/>
    <xf numFmtId="166" fontId="0" fillId="0" borderId="0" xfId="0" applyNumberFormat="1"/>
    <xf numFmtId="167" fontId="4" fillId="0" borderId="0" xfId="0" applyNumberFormat="1" applyFont="1" applyAlignment="1">
      <alignment horizontal="right" vertical="top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1" xfId="0" applyBorder="1"/>
    <xf numFmtId="0" fontId="7" fillId="4" borderId="1" xfId="0" applyFont="1" applyFill="1" applyBorder="1" applyAlignment="1">
      <alignment vertical="top"/>
    </xf>
    <xf numFmtId="0" fontId="7" fillId="4" borderId="1" xfId="0" quotePrefix="1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3" fontId="8" fillId="4" borderId="1" xfId="3" quotePrefix="1" applyNumberFormat="1" applyFont="1" applyFill="1" applyBorder="1" applyAlignment="1">
      <alignment vertical="top"/>
    </xf>
    <xf numFmtId="3" fontId="8" fillId="4" borderId="1" xfId="1" applyNumberFormat="1" applyFont="1" applyFill="1" applyBorder="1" applyAlignment="1">
      <alignment vertical="top"/>
    </xf>
    <xf numFmtId="3" fontId="8" fillId="4" borderId="1" xfId="3" applyNumberFormat="1" applyFont="1" applyFill="1" applyBorder="1" applyAlignment="1">
      <alignment vertical="top"/>
    </xf>
    <xf numFmtId="0" fontId="11" fillId="4" borderId="1" xfId="0" applyFont="1" applyFill="1" applyBorder="1" applyAlignment="1">
      <alignment horizontal="left" vertical="top"/>
    </xf>
    <xf numFmtId="0" fontId="9" fillId="0" borderId="1" xfId="0" applyFont="1" applyBorder="1"/>
    <xf numFmtId="3" fontId="10" fillId="0" borderId="1" xfId="0" applyNumberFormat="1" applyFont="1" applyBorder="1"/>
    <xf numFmtId="3" fontId="12" fillId="4" borderId="1" xfId="3" quotePrefix="1" applyNumberFormat="1" applyFont="1" applyFill="1" applyBorder="1" applyAlignment="1">
      <alignment vertical="top"/>
    </xf>
    <xf numFmtId="0" fontId="11" fillId="4" borderId="1" xfId="0" applyFont="1" applyFill="1" applyBorder="1" applyAlignment="1">
      <alignment vertical="top"/>
    </xf>
    <xf numFmtId="9" fontId="10" fillId="0" borderId="1" xfId="0" applyNumberFormat="1" applyFont="1" applyBorder="1"/>
    <xf numFmtId="3" fontId="12" fillId="5" borderId="1" xfId="3" quotePrefix="1" applyNumberFormat="1" applyFont="1" applyFill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center" vertical="top"/>
    </xf>
    <xf numFmtId="0" fontId="7" fillId="4" borderId="3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left" vertical="top"/>
    </xf>
    <xf numFmtId="0" fontId="7" fillId="4" borderId="3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/>
    </xf>
    <xf numFmtId="0" fontId="0" fillId="0" borderId="0" xfId="0" applyAlignmen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283842</xdr:colOff>
      <xdr:row>1</xdr:row>
      <xdr:rowOff>25804</xdr:rowOff>
    </xdr:from>
    <xdr:to>
      <xdr:col>9</xdr:col>
      <xdr:colOff>158750</xdr:colOff>
      <xdr:row>16</xdr:row>
      <xdr:rowOff>182880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83842" y="223924"/>
          <a:ext cx="10474328" cy="3128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Data:</a:t>
          </a:r>
          <a:endParaRPr lang="en-US">
            <a:effectLst/>
          </a:endParaRP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$300,000 on a feasibility study (already spent)</a:t>
          </a:r>
          <a:endParaRPr lang="en-US">
            <a:effectLst/>
          </a:endParaRP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forecast: 200,000 unit per year</a:t>
          </a:r>
          <a:endParaRPr lang="en-US">
            <a:effectLst/>
          </a:endParaRP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will have a six years life</a:t>
          </a:r>
          <a:endParaRPr lang="en-US">
            <a:effectLst/>
          </a:endParaRP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Wholesale price: $350</a:t>
          </a:r>
          <a:endParaRPr lang="en-US">
            <a:effectLst/>
          </a:endParaRP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R&amp;D cost: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$25 mil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lion in year 0.</a:t>
          </a:r>
          <a:endParaRPr lang="en-US">
            <a:effectLst/>
          </a:endParaRP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 of one product: $250</a:t>
          </a: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Upfront investment in a new equipment: $6.3 million. Lifetime of the equipment is 6 years. Use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straight line depreciation</a:t>
          </a:r>
          <a:endParaRPr lang="en-US">
            <a:effectLst/>
          </a:endParaRP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Marketing cost on a yearly basis: $4 million.</a:t>
          </a:r>
        </a:p>
        <a:p>
          <a:pPr rtl="0" eaLnBrk="1" latinLnBrk="0" hangingPunct="1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 is 25% of annual sales, and AP is 25%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annual COGS.</a:t>
          </a:r>
        </a:p>
        <a:p>
          <a:pPr rtl="0" eaLnBrk="1" latinLnBrk="0" hangingPunct="1"/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the end of the sixth year the NWC is being sold on book value. </a:t>
          </a:r>
        </a:p>
        <a:p>
          <a:pPr rtl="0" eaLnBrk="1" latinLnBrk="0" hangingPunct="1"/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r=12%</a:t>
          </a:r>
        </a:p>
        <a:p>
          <a:pPr rtl="0" eaLnBrk="1" latinLnBrk="0" hangingPunct="1"/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Tax rate is 40%.</a:t>
          </a:r>
          <a:endParaRPr lang="en-US">
            <a:effectLst/>
          </a:endParaRPr>
        </a:p>
        <a:p>
          <a:pPr rtl="0" eaLnBrk="1" latinLnBrk="0" hangingPunct="1"/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1: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incremental 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FCFF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the project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 2. Calculate the NPV of the project.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endParaRPr lang="en-US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177801</xdr:colOff>
      <xdr:row>0</xdr:row>
      <xdr:rowOff>101601</xdr:rowOff>
    </xdr:from>
    <xdr:to>
      <xdr:col>8</xdr:col>
      <xdr:colOff>311728</xdr:colOff>
      <xdr:row>6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77801" y="101601"/>
          <a:ext cx="6941127" cy="12572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/>
            <a:t>Exercise</a:t>
          </a:r>
          <a:r>
            <a:rPr lang="en-GB" sz="1400"/>
            <a:t> 3</a:t>
          </a:r>
          <a:r>
            <a:rPr lang="hu-HU" sz="1400"/>
            <a:t>.</a:t>
          </a:r>
          <a:r>
            <a:rPr lang="en-US" sz="1400"/>
            <a:t> Give an example for a:</a:t>
          </a:r>
        </a:p>
        <a:p>
          <a:r>
            <a:rPr lang="en-US" sz="1400"/>
            <a:t>1.</a:t>
          </a:r>
          <a:r>
            <a:rPr lang="en-US" sz="1400" baseline="0"/>
            <a:t> </a:t>
          </a:r>
          <a:r>
            <a:rPr lang="en-US" sz="1400"/>
            <a:t>negative project</a:t>
          </a:r>
          <a:r>
            <a:rPr lang="en-US" sz="1400" baseline="0"/>
            <a:t> externality: cannibalization</a:t>
          </a:r>
        </a:p>
        <a:p>
          <a:r>
            <a:rPr lang="en-US" sz="1400" baseline="0"/>
            <a:t>2. positive project externality: sale of complementary products</a:t>
          </a:r>
          <a:endParaRPr lang="hu-HU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S38"/>
  <sheetViews>
    <sheetView zoomScaleNormal="100" workbookViewId="0">
      <selection activeCell="B19" sqref="B19"/>
    </sheetView>
  </sheetViews>
  <sheetFormatPr defaultColWidth="11" defaultRowHeight="15.6"/>
  <cols>
    <col min="1" max="1" width="34.875" customWidth="1"/>
    <col min="2" max="2" width="21.875" customWidth="1"/>
    <col min="4" max="4" width="16.5" bestFit="1" customWidth="1"/>
    <col min="12" max="12" width="71.5" customWidth="1"/>
    <col min="13" max="15" width="10.625" bestFit="1" customWidth="1"/>
    <col min="17" max="17" width="129.5" bestFit="1" customWidth="1"/>
    <col min="18" max="19" width="10.625" bestFit="1" customWidth="1"/>
  </cols>
  <sheetData>
    <row r="5" spans="1:19">
      <c r="L5" s="36"/>
      <c r="M5" s="37"/>
      <c r="N5" s="46"/>
      <c r="O5" s="46"/>
      <c r="Q5" s="6"/>
      <c r="R5" s="7"/>
      <c r="S5" s="7"/>
    </row>
    <row r="6" spans="1:19">
      <c r="L6" s="46"/>
      <c r="M6" s="8"/>
      <c r="N6" s="8"/>
      <c r="O6" s="8"/>
      <c r="Q6" s="9"/>
    </row>
    <row r="7" spans="1:19">
      <c r="B7" s="20"/>
      <c r="C7" s="21"/>
      <c r="L7" s="10"/>
      <c r="M7" s="11"/>
      <c r="N7" s="11"/>
      <c r="O7" s="11"/>
      <c r="Q7" s="12"/>
      <c r="R7" s="13"/>
      <c r="S7" s="13"/>
    </row>
    <row r="8" spans="1:19">
      <c r="A8" s="1"/>
      <c r="B8" s="1"/>
      <c r="C8" s="1"/>
      <c r="D8" s="1"/>
      <c r="E8" s="1"/>
      <c r="L8" s="10"/>
      <c r="M8" s="14"/>
      <c r="N8" s="14"/>
      <c r="O8" s="14"/>
      <c r="Q8" s="12"/>
      <c r="R8" s="15"/>
      <c r="S8" s="15"/>
    </row>
    <row r="9" spans="1:19">
      <c r="A9" s="1"/>
      <c r="B9" s="1"/>
      <c r="C9" s="1"/>
      <c r="D9" s="1"/>
      <c r="E9" s="1"/>
      <c r="L9" s="10"/>
      <c r="M9" s="14"/>
      <c r="N9" s="14"/>
      <c r="O9" s="14"/>
      <c r="Q9" s="12"/>
      <c r="R9" s="15"/>
      <c r="S9" s="15"/>
    </row>
    <row r="10" spans="1:19">
      <c r="A10" s="1"/>
      <c r="B10" s="1"/>
      <c r="C10" s="1"/>
      <c r="D10" s="1"/>
      <c r="E10" s="1"/>
      <c r="L10" s="16"/>
      <c r="Q10" s="12"/>
      <c r="R10" s="15"/>
      <c r="S10" s="15"/>
    </row>
    <row r="11" spans="1:19">
      <c r="A11" s="1"/>
      <c r="B11" s="1"/>
      <c r="C11" s="1"/>
      <c r="D11" s="1"/>
      <c r="E11" s="1"/>
      <c r="L11" s="10"/>
      <c r="M11" s="14"/>
      <c r="N11" s="14"/>
      <c r="O11" s="14"/>
      <c r="Q11" s="12"/>
      <c r="R11" s="15"/>
      <c r="S11" s="15"/>
    </row>
    <row r="12" spans="1:19">
      <c r="A12" s="1"/>
      <c r="B12" s="1"/>
      <c r="C12" s="1"/>
      <c r="D12" s="1"/>
      <c r="E12" s="1"/>
      <c r="L12" s="10"/>
      <c r="M12" s="14"/>
      <c r="N12" s="14"/>
      <c r="O12" s="14"/>
      <c r="Q12" s="12"/>
      <c r="R12" s="15"/>
      <c r="S12" s="15"/>
    </row>
    <row r="13" spans="1:19">
      <c r="A13" s="1"/>
      <c r="B13" s="1"/>
      <c r="C13" s="1"/>
      <c r="D13" s="1"/>
      <c r="E13" s="1"/>
      <c r="L13" s="10"/>
      <c r="M13" s="14"/>
      <c r="N13" s="14"/>
      <c r="O13" s="14"/>
      <c r="Q13" s="12"/>
      <c r="R13" s="15"/>
      <c r="S13" s="15"/>
    </row>
    <row r="14" spans="1:19">
      <c r="A14" s="1"/>
      <c r="B14" s="1"/>
      <c r="C14" s="1"/>
      <c r="D14" s="1"/>
      <c r="E14" s="1"/>
      <c r="L14" s="10"/>
      <c r="M14" s="14"/>
      <c r="N14" s="14"/>
      <c r="O14" s="14"/>
      <c r="Q14" s="9"/>
    </row>
    <row r="15" spans="1:19">
      <c r="A15" s="1"/>
      <c r="B15" s="1"/>
      <c r="C15" s="1"/>
      <c r="D15" s="1"/>
      <c r="E15" s="1"/>
      <c r="L15" s="10"/>
      <c r="M15" s="14"/>
      <c r="N15" s="14"/>
      <c r="O15" s="14"/>
      <c r="Q15" s="12"/>
      <c r="R15" s="15"/>
      <c r="S15" s="15"/>
    </row>
    <row r="16" spans="1:19">
      <c r="A16" s="1"/>
      <c r="B16" s="1"/>
      <c r="C16" s="1"/>
      <c r="D16" s="1"/>
      <c r="E16" s="1"/>
      <c r="L16" s="10"/>
      <c r="M16" s="14"/>
      <c r="N16" s="14"/>
      <c r="O16" s="14"/>
      <c r="Q16" s="12"/>
      <c r="R16" s="15"/>
      <c r="S16" s="15"/>
    </row>
    <row r="17" spans="1:19">
      <c r="A17" s="1"/>
      <c r="B17" s="1"/>
      <c r="C17" s="1"/>
      <c r="D17" s="1"/>
      <c r="E17" s="1"/>
      <c r="L17" s="10"/>
      <c r="M17" s="14"/>
      <c r="N17" s="14"/>
      <c r="O17" s="14"/>
      <c r="Q17" s="12"/>
      <c r="R17" s="15"/>
      <c r="S17" s="15"/>
    </row>
    <row r="18" spans="1:19">
      <c r="B18" s="18"/>
      <c r="L18" s="10"/>
      <c r="M18" s="11"/>
      <c r="N18" s="11"/>
      <c r="O18" s="11"/>
      <c r="Q18" s="12"/>
      <c r="R18" s="15"/>
      <c r="S18" s="15"/>
    </row>
    <row r="19" spans="1:19">
      <c r="L19" s="16"/>
      <c r="Q19" s="12"/>
      <c r="R19" s="15"/>
      <c r="S19" s="15"/>
    </row>
    <row r="20" spans="1:19">
      <c r="L20" s="10"/>
      <c r="M20" s="19"/>
      <c r="N20" s="19"/>
      <c r="O20" s="19"/>
      <c r="Q20" s="9"/>
    </row>
    <row r="21" spans="1:19">
      <c r="A21" s="1"/>
      <c r="B21" s="5"/>
      <c r="L21" s="10"/>
      <c r="M21" s="19"/>
      <c r="N21" s="19"/>
      <c r="O21" s="19"/>
      <c r="Q21" s="12"/>
      <c r="R21" s="15"/>
      <c r="S21" s="15"/>
    </row>
    <row r="22" spans="1:19">
      <c r="B22" s="17"/>
      <c r="L22" s="16"/>
      <c r="Q22" s="12"/>
      <c r="R22" s="15"/>
      <c r="S22" s="15"/>
    </row>
    <row r="23" spans="1:19" ht="18" customHeight="1">
      <c r="L23" s="10"/>
      <c r="M23" s="14"/>
      <c r="N23" s="14"/>
      <c r="O23" s="14"/>
      <c r="Q23" s="12"/>
      <c r="R23" s="15"/>
      <c r="S23" s="15"/>
    </row>
    <row r="24" spans="1:19">
      <c r="L24" s="10"/>
      <c r="M24" s="14"/>
      <c r="N24" s="14"/>
      <c r="O24" s="14"/>
      <c r="Q24" s="12"/>
      <c r="R24" s="15"/>
      <c r="S24" s="15"/>
    </row>
    <row r="25" spans="1:19">
      <c r="L25" s="10"/>
      <c r="Q25" s="12"/>
      <c r="R25" s="15"/>
      <c r="S25" s="15"/>
    </row>
    <row r="26" spans="1:19">
      <c r="L26" s="10"/>
      <c r="M26" s="11"/>
      <c r="N26" s="11"/>
      <c r="O26" s="11"/>
      <c r="Q26" s="12"/>
      <c r="R26" s="15"/>
      <c r="S26" s="15"/>
    </row>
    <row r="27" spans="1:19">
      <c r="L27" s="10"/>
      <c r="M27" s="14"/>
      <c r="N27" s="14"/>
      <c r="O27" s="14"/>
      <c r="Q27" s="9"/>
    </row>
    <row r="28" spans="1:19">
      <c r="L28" s="10"/>
      <c r="Q28" s="12"/>
      <c r="R28" s="15"/>
      <c r="S28" s="15"/>
    </row>
    <row r="29" spans="1:19">
      <c r="L29" s="10"/>
      <c r="M29" s="14"/>
      <c r="N29" s="14"/>
      <c r="O29" s="14"/>
      <c r="Q29" s="12"/>
      <c r="R29" s="15"/>
      <c r="S29" s="15"/>
    </row>
    <row r="30" spans="1:19">
      <c r="L30" s="10"/>
      <c r="M30" s="11"/>
      <c r="N30" s="11"/>
      <c r="O30" s="11"/>
      <c r="Q30" s="12"/>
      <c r="R30" s="15"/>
      <c r="S30" s="15"/>
    </row>
    <row r="31" spans="1:19">
      <c r="Q31" s="12"/>
      <c r="R31" s="15"/>
      <c r="S31" s="15"/>
    </row>
    <row r="32" spans="1:19">
      <c r="Q32" s="12"/>
      <c r="R32" s="12"/>
      <c r="S32" s="12"/>
    </row>
    <row r="33" spans="17:19">
      <c r="Q33" s="9"/>
    </row>
    <row r="34" spans="17:19">
      <c r="Q34" s="12"/>
      <c r="R34" s="15"/>
      <c r="S34" s="15"/>
    </row>
    <row r="35" spans="17:19">
      <c r="Q35" s="12"/>
      <c r="R35" s="15"/>
      <c r="S35" s="15"/>
    </row>
    <row r="36" spans="17:19">
      <c r="Q36" s="12"/>
      <c r="R36" s="15"/>
      <c r="S36" s="15"/>
    </row>
    <row r="37" spans="17:19">
      <c r="Q37" s="12"/>
      <c r="R37" s="15"/>
      <c r="S37" s="15"/>
    </row>
    <row r="38" spans="17:19">
      <c r="Q38" s="12"/>
      <c r="R38" s="13"/>
      <c r="S38" s="13"/>
    </row>
  </sheetData>
  <mergeCells count="2">
    <mergeCell ref="L5:L6"/>
    <mergeCell ref="M5:O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27"/>
  <sheetViews>
    <sheetView tabSelected="1" topLeftCell="A14" zoomScale="70" zoomScaleNormal="70" workbookViewId="0">
      <selection activeCell="D21" sqref="D21"/>
    </sheetView>
  </sheetViews>
  <sheetFormatPr defaultRowHeight="15.6"/>
  <cols>
    <col min="1" max="1" width="4.375" customWidth="1"/>
    <col min="2" max="2" width="14.375" customWidth="1"/>
    <col min="3" max="3" width="21.5" customWidth="1"/>
    <col min="4" max="4" width="9.375" customWidth="1"/>
    <col min="5" max="8" width="8.875" customWidth="1"/>
    <col min="9" max="9" width="10.625" customWidth="1"/>
    <col min="10" max="10" width="10.5" customWidth="1"/>
    <col min="12" max="12" width="3.625" customWidth="1"/>
    <col min="13" max="13" width="17.5" customWidth="1"/>
    <col min="14" max="14" width="13" customWidth="1"/>
  </cols>
  <sheetData>
    <row r="2" spans="1:14" ht="18">
      <c r="A2" s="23"/>
      <c r="B2" s="39" t="s">
        <v>0</v>
      </c>
      <c r="C2" s="40"/>
      <c r="D2" s="24" t="s">
        <v>1</v>
      </c>
      <c r="E2" s="25">
        <v>1</v>
      </c>
      <c r="F2" s="25">
        <v>2</v>
      </c>
      <c r="G2" s="25">
        <v>3</v>
      </c>
      <c r="H2" s="25">
        <v>4</v>
      </c>
      <c r="I2" s="25">
        <v>5</v>
      </c>
      <c r="J2" s="25">
        <v>6</v>
      </c>
      <c r="K2" s="25">
        <v>7</v>
      </c>
    </row>
    <row r="3" spans="1:14" ht="18">
      <c r="A3" s="23"/>
      <c r="B3" s="41" t="s">
        <v>2</v>
      </c>
      <c r="C3" s="42"/>
      <c r="D3" s="26"/>
      <c r="E3" s="27">
        <f>$N$7/1000</f>
        <v>200</v>
      </c>
      <c r="F3" s="27">
        <f t="shared" ref="F3:H3" si="0">$N$7/1000</f>
        <v>200</v>
      </c>
      <c r="G3" s="27">
        <f t="shared" si="0"/>
        <v>200</v>
      </c>
      <c r="H3" s="27">
        <f t="shared" si="0"/>
        <v>200</v>
      </c>
      <c r="I3" s="27">
        <f>$N$7/1000</f>
        <v>200</v>
      </c>
      <c r="J3" s="27">
        <f>$N$7/1000</f>
        <v>200</v>
      </c>
      <c r="K3" s="28"/>
    </row>
    <row r="4" spans="1:14" ht="18">
      <c r="A4" s="23"/>
      <c r="B4" s="41" t="s">
        <v>3</v>
      </c>
      <c r="C4" s="42"/>
      <c r="D4" s="26"/>
      <c r="E4" s="28">
        <f>$N$8</f>
        <v>350</v>
      </c>
      <c r="F4" s="28">
        <f t="shared" ref="F4:H4" si="1">$N$8</f>
        <v>350</v>
      </c>
      <c r="G4" s="28">
        <f t="shared" si="1"/>
        <v>350</v>
      </c>
      <c r="H4" s="28">
        <f t="shared" si="1"/>
        <v>350</v>
      </c>
      <c r="I4" s="28">
        <f>$N$8</f>
        <v>350</v>
      </c>
      <c r="J4" s="28">
        <f>$N$8</f>
        <v>350</v>
      </c>
      <c r="K4" s="28"/>
    </row>
    <row r="5" spans="1:14" ht="18">
      <c r="A5" s="23"/>
      <c r="B5" s="41" t="s">
        <v>4</v>
      </c>
      <c r="C5" s="42"/>
      <c r="D5" s="26"/>
      <c r="E5" s="28">
        <f>$N$10</f>
        <v>250</v>
      </c>
      <c r="F5" s="28">
        <f t="shared" ref="F5:H5" si="2">$N$10</f>
        <v>250</v>
      </c>
      <c r="G5" s="28">
        <f t="shared" si="2"/>
        <v>250</v>
      </c>
      <c r="H5" s="28">
        <f t="shared" si="2"/>
        <v>250</v>
      </c>
      <c r="I5" s="28">
        <f>$N$10</f>
        <v>250</v>
      </c>
      <c r="J5" s="28">
        <f>$N$10</f>
        <v>250</v>
      </c>
      <c r="K5" s="28"/>
    </row>
    <row r="6" spans="1:14" ht="18">
      <c r="A6" s="23" t="s">
        <v>5</v>
      </c>
      <c r="B6" s="23"/>
      <c r="C6" s="23"/>
      <c r="D6" s="26"/>
      <c r="E6" s="28"/>
      <c r="F6" s="28"/>
      <c r="G6" s="28"/>
      <c r="H6" s="28"/>
      <c r="I6" s="28"/>
      <c r="J6" s="28"/>
      <c r="K6" s="28"/>
    </row>
    <row r="7" spans="1:14" ht="18">
      <c r="A7" s="23">
        <v>1</v>
      </c>
      <c r="B7" s="38" t="s">
        <v>6</v>
      </c>
      <c r="C7" s="38"/>
      <c r="D7" s="26"/>
      <c r="E7" s="28">
        <f>E3*E4-$N$21*E3*$N$19</f>
        <v>70000</v>
      </c>
      <c r="F7" s="28">
        <f t="shared" ref="F7:H7" si="3">F3*F4-$N$21*F3*$N$19</f>
        <v>70000</v>
      </c>
      <c r="G7" s="28">
        <f t="shared" si="3"/>
        <v>70000</v>
      </c>
      <c r="H7" s="28">
        <f t="shared" si="3"/>
        <v>70000</v>
      </c>
      <c r="I7" s="28">
        <f>I3*I4-$N$21*I3*$N$19</f>
        <v>70000</v>
      </c>
      <c r="J7" s="28">
        <f>J3*J4-$N$21*J3*$N$19</f>
        <v>70000</v>
      </c>
      <c r="K7" s="28"/>
      <c r="M7" s="30" t="s">
        <v>7</v>
      </c>
      <c r="N7" s="31">
        <v>200000</v>
      </c>
    </row>
    <row r="8" spans="1:14" ht="18">
      <c r="A8" s="23">
        <f>A7+1</f>
        <v>2</v>
      </c>
      <c r="B8" s="38" t="s">
        <v>8</v>
      </c>
      <c r="C8" s="38"/>
      <c r="D8" s="26"/>
      <c r="E8" s="28">
        <f>-(E3*E5-$N$21*$N$20*E3)</f>
        <v>-50000</v>
      </c>
      <c r="F8" s="28">
        <f t="shared" ref="F8:H8" si="4">-(F3*F5-$N$21*$N$20*F3)</f>
        <v>-50000</v>
      </c>
      <c r="G8" s="28">
        <f t="shared" si="4"/>
        <v>-50000</v>
      </c>
      <c r="H8" s="28">
        <f t="shared" si="4"/>
        <v>-50000</v>
      </c>
      <c r="I8" s="28">
        <f>-(I3*I5-$N$21*$N$20*I3)</f>
        <v>-50000</v>
      </c>
      <c r="J8" s="28">
        <f>-(J3*J5-$N$21*$N$20*J3)</f>
        <v>-50000</v>
      </c>
      <c r="K8" s="28"/>
      <c r="M8" s="30" t="s">
        <v>9</v>
      </c>
      <c r="N8" s="31">
        <v>350</v>
      </c>
    </row>
    <row r="9" spans="1:14" ht="18">
      <c r="A9" s="23">
        <f t="shared" ref="A9:A14" si="5">A8+1</f>
        <v>3</v>
      </c>
      <c r="B9" s="43" t="s">
        <v>10</v>
      </c>
      <c r="C9" s="43"/>
      <c r="D9" s="26"/>
      <c r="E9" s="28">
        <f>SUM(E7:E8)</f>
        <v>20000</v>
      </c>
      <c r="F9" s="28">
        <f t="shared" ref="F9:H9" si="6">SUM(F7:F8)</f>
        <v>20000</v>
      </c>
      <c r="G9" s="28">
        <f t="shared" si="6"/>
        <v>20000</v>
      </c>
      <c r="H9" s="28">
        <f t="shared" si="6"/>
        <v>20000</v>
      </c>
      <c r="I9" s="28">
        <f t="shared" ref="I9:J9" si="7">SUM(I7:I8)</f>
        <v>20000</v>
      </c>
      <c r="J9" s="28">
        <f t="shared" si="7"/>
        <v>20000</v>
      </c>
      <c r="K9" s="28"/>
      <c r="M9" s="30" t="s">
        <v>11</v>
      </c>
      <c r="N9" s="31">
        <v>5000000</v>
      </c>
    </row>
    <row r="10" spans="1:14" ht="18">
      <c r="A10" s="23">
        <f t="shared" si="5"/>
        <v>4</v>
      </c>
      <c r="B10" s="44" t="s">
        <v>12</v>
      </c>
      <c r="C10" s="44"/>
      <c r="D10" s="26"/>
      <c r="E10" s="28">
        <f>-$N$15/1000</f>
        <v>-4000</v>
      </c>
      <c r="F10" s="28">
        <f t="shared" ref="F10:H10" si="8">-$N$15/1000</f>
        <v>-4000</v>
      </c>
      <c r="G10" s="28">
        <f t="shared" si="8"/>
        <v>-4000</v>
      </c>
      <c r="H10" s="28">
        <f t="shared" si="8"/>
        <v>-4000</v>
      </c>
      <c r="I10" s="28">
        <f t="shared" ref="I10:J10" si="9">-$N$15/1000</f>
        <v>-4000</v>
      </c>
      <c r="J10" s="28">
        <f t="shared" si="9"/>
        <v>-4000</v>
      </c>
      <c r="K10" s="28"/>
      <c r="M10" s="30" t="s">
        <v>13</v>
      </c>
      <c r="N10" s="31">
        <v>250</v>
      </c>
    </row>
    <row r="11" spans="1:14" ht="18">
      <c r="A11" s="23">
        <f t="shared" si="5"/>
        <v>5</v>
      </c>
      <c r="B11" s="38" t="s">
        <v>14</v>
      </c>
      <c r="C11" s="38"/>
      <c r="D11" s="26">
        <f>-N11/1000</f>
        <v>-25000</v>
      </c>
      <c r="E11" s="26"/>
      <c r="F11" s="26"/>
      <c r="G11" s="26"/>
      <c r="H11" s="26"/>
      <c r="I11" s="26"/>
      <c r="J11" s="26"/>
      <c r="K11" s="28"/>
      <c r="M11" s="30" t="s">
        <v>15</v>
      </c>
      <c r="N11" s="31">
        <v>25000000</v>
      </c>
    </row>
    <row r="12" spans="1:14" ht="18">
      <c r="A12" s="23">
        <f t="shared" si="5"/>
        <v>6</v>
      </c>
      <c r="B12" s="38" t="s">
        <v>16</v>
      </c>
      <c r="C12" s="38"/>
      <c r="D12" s="26"/>
      <c r="E12" s="28">
        <f>-$N$13/6/1000</f>
        <v>-1050</v>
      </c>
      <c r="F12" s="28">
        <f t="shared" ref="F12:J12" si="10">-$N$13/6/1000</f>
        <v>-1050</v>
      </c>
      <c r="G12" s="28">
        <f t="shared" si="10"/>
        <v>-1050</v>
      </c>
      <c r="H12" s="28">
        <f t="shared" si="10"/>
        <v>-1050</v>
      </c>
      <c r="I12" s="28">
        <f t="shared" si="10"/>
        <v>-1050</v>
      </c>
      <c r="J12" s="28">
        <f t="shared" si="10"/>
        <v>-1050</v>
      </c>
      <c r="K12" s="28"/>
      <c r="M12" s="30"/>
      <c r="N12" s="31"/>
    </row>
    <row r="13" spans="1:14" ht="18">
      <c r="A13" s="23">
        <f>A12+1</f>
        <v>7</v>
      </c>
      <c r="B13" s="43" t="s">
        <v>17</v>
      </c>
      <c r="C13" s="43"/>
      <c r="D13" s="26">
        <f t="shared" ref="D13:J13" si="11">SUM(D9:D12)</f>
        <v>-25000</v>
      </c>
      <c r="E13" s="26">
        <f t="shared" si="11"/>
        <v>14950</v>
      </c>
      <c r="F13" s="26">
        <f t="shared" si="11"/>
        <v>14950</v>
      </c>
      <c r="G13" s="26">
        <f t="shared" si="11"/>
        <v>14950</v>
      </c>
      <c r="H13" s="26">
        <f t="shared" si="11"/>
        <v>14950</v>
      </c>
      <c r="I13" s="26">
        <f t="shared" si="11"/>
        <v>14950</v>
      </c>
      <c r="J13" s="26">
        <f t="shared" si="11"/>
        <v>14950</v>
      </c>
      <c r="K13" s="26"/>
      <c r="M13" s="30" t="s">
        <v>18</v>
      </c>
      <c r="N13" s="31">
        <v>6300000</v>
      </c>
    </row>
    <row r="14" spans="1:14" ht="18">
      <c r="A14" s="23">
        <f t="shared" si="5"/>
        <v>8</v>
      </c>
      <c r="B14" s="38" t="s">
        <v>19</v>
      </c>
      <c r="C14" s="38"/>
      <c r="D14" s="26">
        <f>-D13*$N$16</f>
        <v>10000</v>
      </c>
      <c r="E14" s="26">
        <f>-E13*$N$16</f>
        <v>-5980</v>
      </c>
      <c r="F14" s="26">
        <f t="shared" ref="F14:H14" si="12">-F13*$N$16</f>
        <v>-5980</v>
      </c>
      <c r="G14" s="26">
        <f t="shared" si="12"/>
        <v>-5980</v>
      </c>
      <c r="H14" s="26">
        <f t="shared" si="12"/>
        <v>-5980</v>
      </c>
      <c r="I14" s="26">
        <f>-I13*$N$16</f>
        <v>-5980</v>
      </c>
      <c r="J14" s="26">
        <f>-J13*$N$16</f>
        <v>-5980</v>
      </c>
      <c r="K14" s="26"/>
      <c r="M14" s="30" t="s">
        <v>20</v>
      </c>
      <c r="N14" s="31">
        <v>10</v>
      </c>
    </row>
    <row r="15" spans="1:14" ht="18">
      <c r="A15" s="23">
        <f>A14+1</f>
        <v>9</v>
      </c>
      <c r="B15" s="43" t="s">
        <v>21</v>
      </c>
      <c r="C15" s="43"/>
      <c r="D15" s="32">
        <f>SUM(D13:D14)</f>
        <v>-15000</v>
      </c>
      <c r="E15" s="32">
        <f t="shared" ref="E15:J15" si="13">SUM(E13:E14)</f>
        <v>8970</v>
      </c>
      <c r="F15" s="32">
        <f t="shared" ref="F15:H15" si="14">SUM(F13:F14)</f>
        <v>8970</v>
      </c>
      <c r="G15" s="32">
        <f t="shared" si="14"/>
        <v>8970</v>
      </c>
      <c r="H15" s="32">
        <f t="shared" si="14"/>
        <v>8970</v>
      </c>
      <c r="I15" s="32">
        <f t="shared" si="13"/>
        <v>8970</v>
      </c>
      <c r="J15" s="32">
        <f t="shared" si="13"/>
        <v>8970</v>
      </c>
      <c r="K15" s="32"/>
      <c r="M15" s="30" t="s">
        <v>22</v>
      </c>
      <c r="N15" s="31">
        <v>4000000</v>
      </c>
    </row>
    <row r="16" spans="1:14" ht="18">
      <c r="A16" s="33" t="s">
        <v>23</v>
      </c>
      <c r="B16" s="29"/>
      <c r="C16" s="29"/>
      <c r="D16" s="26"/>
      <c r="E16" s="28"/>
      <c r="F16" s="28"/>
      <c r="G16" s="28"/>
      <c r="H16" s="28"/>
      <c r="I16" s="28"/>
      <c r="J16" s="28"/>
      <c r="K16" s="28"/>
      <c r="M16" s="30" t="s">
        <v>24</v>
      </c>
      <c r="N16" s="34">
        <v>0.4</v>
      </c>
    </row>
    <row r="17" spans="1:14" ht="18">
      <c r="A17" s="23">
        <v>10</v>
      </c>
      <c r="B17" s="38" t="s">
        <v>25</v>
      </c>
      <c r="C17" s="38"/>
      <c r="D17" s="26"/>
      <c r="E17" s="28">
        <f t="shared" ref="E17:J17" si="15">-E12</f>
        <v>1050</v>
      </c>
      <c r="F17" s="28">
        <f t="shared" si="15"/>
        <v>1050</v>
      </c>
      <c r="G17" s="28">
        <f t="shared" si="15"/>
        <v>1050</v>
      </c>
      <c r="H17" s="28">
        <f t="shared" si="15"/>
        <v>1050</v>
      </c>
      <c r="I17" s="28">
        <f t="shared" si="15"/>
        <v>1050</v>
      </c>
      <c r="J17" s="28">
        <f t="shared" si="15"/>
        <v>1050</v>
      </c>
      <c r="K17" s="28"/>
      <c r="M17" s="22"/>
      <c r="N17" s="22"/>
    </row>
    <row r="18" spans="1:14" ht="18">
      <c r="A18" s="23">
        <v>11</v>
      </c>
      <c r="B18" s="38" t="s">
        <v>26</v>
      </c>
      <c r="C18" s="38"/>
      <c r="D18" s="26">
        <f>-N13/1000</f>
        <v>-6300</v>
      </c>
      <c r="E18" s="28"/>
      <c r="F18" s="28"/>
      <c r="G18" s="28"/>
      <c r="H18" s="28"/>
      <c r="I18" s="28"/>
      <c r="J18" s="28"/>
      <c r="K18" s="28"/>
      <c r="M18" s="30"/>
      <c r="N18" s="31"/>
    </row>
    <row r="19" spans="1:14" ht="18">
      <c r="A19" s="23">
        <v>12</v>
      </c>
      <c r="B19" s="38" t="s">
        <v>27</v>
      </c>
      <c r="C19" s="38"/>
      <c r="D19" s="26"/>
      <c r="E19" s="28">
        <f>-(E24-D24)</f>
        <v>-5000</v>
      </c>
      <c r="F19" s="28">
        <f t="shared" ref="F19:H19" si="16">-(F24-E24)</f>
        <v>0</v>
      </c>
      <c r="G19" s="28">
        <f t="shared" si="16"/>
        <v>0</v>
      </c>
      <c r="H19" s="28">
        <f t="shared" si="16"/>
        <v>0</v>
      </c>
      <c r="I19" s="28">
        <f>-(I24-E24)</f>
        <v>0</v>
      </c>
      <c r="J19" s="28">
        <f>-(J24-I24)</f>
        <v>5000</v>
      </c>
      <c r="K19" s="28"/>
      <c r="M19" s="30"/>
      <c r="N19" s="31"/>
    </row>
    <row r="20" spans="1:14" ht="18">
      <c r="A20" s="23">
        <f>A19+1</f>
        <v>13</v>
      </c>
      <c r="B20" s="43" t="s">
        <v>28</v>
      </c>
      <c r="C20" s="43"/>
      <c r="D20" s="32">
        <f>SUM(D15:D19)</f>
        <v>-21300</v>
      </c>
      <c r="E20" s="32">
        <f t="shared" ref="D20:J20" si="17">SUM(E15:E19)</f>
        <v>5020</v>
      </c>
      <c r="F20" s="32">
        <f t="shared" si="17"/>
        <v>10020</v>
      </c>
      <c r="G20" s="32">
        <f t="shared" si="17"/>
        <v>10020</v>
      </c>
      <c r="H20" s="32">
        <f t="shared" si="17"/>
        <v>10020</v>
      </c>
      <c r="I20" s="32">
        <f t="shared" si="17"/>
        <v>10020</v>
      </c>
      <c r="J20" s="32">
        <f t="shared" si="17"/>
        <v>15020</v>
      </c>
      <c r="K20" s="28"/>
      <c r="M20" s="30"/>
      <c r="N20" s="31"/>
    </row>
    <row r="21" spans="1:14">
      <c r="M21" s="30"/>
      <c r="N21" s="34"/>
    </row>
    <row r="22" spans="1:14" ht="18">
      <c r="C22" s="26" t="s">
        <v>29</v>
      </c>
      <c r="D22" s="26"/>
      <c r="E22" s="26">
        <f>$N$22*E7</f>
        <v>17500</v>
      </c>
      <c r="F22" s="26">
        <f>$N$22*F7</f>
        <v>17500</v>
      </c>
      <c r="G22" s="26">
        <f>$N$22*G7</f>
        <v>17500</v>
      </c>
      <c r="H22" s="26">
        <f>$N$22*H7</f>
        <v>17500</v>
      </c>
      <c r="I22" s="26">
        <f>$N$22*I7</f>
        <v>17500</v>
      </c>
      <c r="J22" s="26">
        <v>0</v>
      </c>
      <c r="K22" s="26"/>
      <c r="M22" s="30" t="s">
        <v>30</v>
      </c>
      <c r="N22" s="34">
        <v>0.25</v>
      </c>
    </row>
    <row r="23" spans="1:14" ht="18">
      <c r="C23" s="26" t="s">
        <v>31</v>
      </c>
      <c r="D23" s="26"/>
      <c r="E23" s="26">
        <f>$N$23*E8</f>
        <v>-12500</v>
      </c>
      <c r="F23" s="26">
        <f>$N$23*F8</f>
        <v>-12500</v>
      </c>
      <c r="G23" s="26">
        <f>$N$23*G8</f>
        <v>-12500</v>
      </c>
      <c r="H23" s="26">
        <f>$N$23*H8</f>
        <v>-12500</v>
      </c>
      <c r="I23" s="26">
        <f>$N$23*I8</f>
        <v>-12500</v>
      </c>
      <c r="J23" s="26">
        <v>0</v>
      </c>
      <c r="K23" s="26"/>
      <c r="M23" s="30" t="s">
        <v>32</v>
      </c>
      <c r="N23" s="34">
        <v>0.25</v>
      </c>
    </row>
    <row r="24" spans="1:14" ht="18">
      <c r="C24" s="26" t="s">
        <v>33</v>
      </c>
      <c r="D24" s="26"/>
      <c r="E24" s="26">
        <f>SUM(E22:E23)</f>
        <v>5000</v>
      </c>
      <c r="F24" s="26">
        <f t="shared" ref="F24:H24" si="18">SUM(F22:F23)</f>
        <v>5000</v>
      </c>
      <c r="G24" s="26">
        <f t="shared" si="18"/>
        <v>5000</v>
      </c>
      <c r="H24" s="26">
        <f t="shared" si="18"/>
        <v>5000</v>
      </c>
      <c r="I24" s="26">
        <f>SUM(I22:I23)</f>
        <v>5000</v>
      </c>
      <c r="J24" s="26">
        <v>0</v>
      </c>
      <c r="K24" s="26"/>
      <c r="M24" s="22"/>
      <c r="N24" s="22"/>
    </row>
    <row r="25" spans="1:14">
      <c r="M25" s="30" t="s">
        <v>34</v>
      </c>
      <c r="N25" s="34">
        <v>0.12</v>
      </c>
    </row>
    <row r="26" spans="1:14" ht="18">
      <c r="A26" s="23"/>
      <c r="B26" s="38" t="s">
        <v>35</v>
      </c>
      <c r="C26" s="38"/>
      <c r="D26" s="26">
        <f>D20/(1+$N$25)^D2</f>
        <v>-21300</v>
      </c>
      <c r="E26" s="26">
        <f t="shared" ref="D26:J26" si="19">E20/(1+$N$25)^E2</f>
        <v>4482.1428571428569</v>
      </c>
      <c r="F26" s="26">
        <f t="shared" si="19"/>
        <v>7987.8826530612232</v>
      </c>
      <c r="G26" s="26">
        <f t="shared" si="19"/>
        <v>7132.0380830903769</v>
      </c>
      <c r="H26" s="26">
        <f t="shared" si="19"/>
        <v>6367.8911456164087</v>
      </c>
      <c r="I26" s="26">
        <f t="shared" si="19"/>
        <v>5685.6170943003644</v>
      </c>
      <c r="J26" s="26">
        <f t="shared" si="19"/>
        <v>7609.5994400833561</v>
      </c>
      <c r="K26" s="26"/>
    </row>
    <row r="27" spans="1:14" ht="18">
      <c r="A27" s="23"/>
      <c r="B27" s="45" t="s">
        <v>36</v>
      </c>
      <c r="C27" s="45"/>
      <c r="D27" s="35">
        <f>SUM(D26:K26)</f>
        <v>17965.171273294585</v>
      </c>
      <c r="E27" s="32"/>
      <c r="F27" s="32"/>
      <c r="G27" s="32"/>
      <c r="H27" s="32"/>
      <c r="I27" s="32"/>
      <c r="J27" s="32"/>
      <c r="K27" s="32"/>
    </row>
  </sheetData>
  <mergeCells count="19">
    <mergeCell ref="B14:C14"/>
    <mergeCell ref="B27:C27"/>
    <mergeCell ref="B15:C15"/>
    <mergeCell ref="B17:C17"/>
    <mergeCell ref="B18:C18"/>
    <mergeCell ref="B19:C19"/>
    <mergeCell ref="B20:C20"/>
    <mergeCell ref="B26:C26"/>
    <mergeCell ref="B9:C9"/>
    <mergeCell ref="B10:C10"/>
    <mergeCell ref="B11:C11"/>
    <mergeCell ref="B12:C12"/>
    <mergeCell ref="B13:C13"/>
    <mergeCell ref="B8:C8"/>
    <mergeCell ref="B2:C2"/>
    <mergeCell ref="B3:C3"/>
    <mergeCell ref="B4:C4"/>
    <mergeCell ref="B5:C5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U7"/>
  <sheetViews>
    <sheetView zoomScaleNormal="100" workbookViewId="0">
      <selection activeCell="E10" sqref="E10"/>
    </sheetView>
  </sheetViews>
  <sheetFormatPr defaultColWidth="11" defaultRowHeight="15.6"/>
  <cols>
    <col min="2" max="2" width="12.375" bestFit="1" customWidth="1"/>
  </cols>
  <sheetData>
    <row r="2" spans="3:21">
      <c r="T2" s="3"/>
      <c r="U2" t="s">
        <v>37</v>
      </c>
    </row>
    <row r="3" spans="3:21">
      <c r="T3" s="2"/>
      <c r="U3" t="s">
        <v>38</v>
      </c>
    </row>
    <row r="7" spans="3:21">
      <c r="C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EDU_XWPH_9862@diakoffice.onmicrosoft.com</dc:creator>
  <cp:keywords/>
  <dc:description/>
  <cp:lastModifiedBy/>
  <cp:revision/>
  <dcterms:created xsi:type="dcterms:W3CDTF">2019-09-24T20:10:59Z</dcterms:created>
  <dcterms:modified xsi:type="dcterms:W3CDTF">2024-10-22T13:19:26Z</dcterms:modified>
  <cp:category/>
  <cp:contentStatus/>
</cp:coreProperties>
</file>