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User\Desktop\Fundamentals\"/>
    </mc:Choice>
  </mc:AlternateContent>
  <xr:revisionPtr revIDLastSave="0" documentId="13_ncr:1_{6AAFD2E1-E3EE-4B87-93C3-8A6461E31845}" xr6:coauthVersionLast="47" xr6:coauthVersionMax="47" xr10:uidLastSave="{00000000-0000-0000-0000-000000000000}"/>
  <bookViews>
    <workbookView xWindow="-105" yWindow="0" windowWidth="14265" windowHeight="15585" xr2:uid="{00000000-000D-0000-FFFF-FFFF00000000}"/>
  </bookViews>
  <sheets>
    <sheet name="Formulae" sheetId="1" r:id="rId1"/>
    <sheet name="Solutions" sheetId="2" r:id="rId2"/>
  </sheets>
  <definedNames>
    <definedName name="solver_adj" localSheetId="1" hidden="1">Solutions!$D$4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Solutions!$E$10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2" l="1"/>
  <c r="C73" i="2"/>
  <c r="E60" i="2"/>
  <c r="E59" i="2"/>
  <c r="E58" i="2"/>
  <c r="E57" i="2"/>
  <c r="E43" i="2"/>
  <c r="C48" i="2"/>
  <c r="C46" i="2"/>
  <c r="C43" i="2"/>
  <c r="M8" i="2"/>
  <c r="M7" i="2"/>
  <c r="M6" i="2"/>
  <c r="L10" i="2" s="1"/>
  <c r="M10" i="2" s="1"/>
  <c r="H33" i="2" l="1"/>
  <c r="H32" i="2"/>
  <c r="C33" i="2"/>
  <c r="C32" i="2"/>
  <c r="B22" i="2"/>
  <c r="C17" i="2"/>
  <c r="B17" i="2"/>
  <c r="B8" i="2"/>
  <c r="B7" i="2"/>
  <c r="C83" i="2"/>
  <c r="E81" i="2"/>
  <c r="E82" i="2"/>
  <c r="E83" i="2"/>
  <c r="E84" i="2"/>
  <c r="E85" i="2"/>
  <c r="E86" i="2"/>
  <c r="E87" i="2"/>
  <c r="E79" i="2"/>
  <c r="E80" i="2"/>
  <c r="C81" i="2"/>
  <c r="C82" i="2"/>
  <c r="C84" i="2"/>
  <c r="C85" i="2"/>
  <c r="C86" i="2"/>
  <c r="C87" i="2"/>
  <c r="C88" i="2"/>
  <c r="C80" i="2"/>
  <c r="E73" i="2"/>
  <c r="E72" i="2"/>
  <c r="D67" i="2"/>
  <c r="C67" i="2"/>
  <c r="E56" i="2"/>
  <c r="D58" i="2"/>
  <c r="D57" i="2"/>
  <c r="C44" i="2"/>
  <c r="C45" i="2"/>
  <c r="D33" i="2"/>
  <c r="D32" i="2"/>
  <c r="C18" i="2"/>
  <c r="C19" i="2"/>
  <c r="C20" i="2"/>
  <c r="C21" i="2"/>
  <c r="C22" i="2"/>
  <c r="B18" i="2"/>
  <c r="B19" i="2"/>
  <c r="B20" i="2"/>
  <c r="B21" i="2"/>
  <c r="C8" i="2"/>
  <c r="C7" i="2"/>
  <c r="D59" i="2" l="1"/>
  <c r="D21" i="2"/>
  <c r="E32" i="2"/>
  <c r="D22" i="2"/>
  <c r="D20" i="2"/>
  <c r="E33" i="2"/>
  <c r="D7" i="2"/>
  <c r="D19" i="2"/>
  <c r="D8" i="2"/>
  <c r="D18" i="2"/>
  <c r="I32" i="2"/>
  <c r="I35" i="2" s="1"/>
  <c r="J35" i="2" s="1"/>
  <c r="D17" i="2"/>
  <c r="I33" i="2"/>
  <c r="D10" i="2" l="1"/>
  <c r="E10" i="2" s="1"/>
  <c r="E35" i="2"/>
  <c r="D60" i="2"/>
  <c r="E61" i="2" s="1"/>
  <c r="D24" i="2"/>
  <c r="E24" i="2" s="1"/>
</calcChain>
</file>

<file path=xl/sharedStrings.xml><?xml version="1.0" encoding="utf-8"?>
<sst xmlns="http://schemas.openxmlformats.org/spreadsheetml/2006/main" count="97" uniqueCount="63">
  <si>
    <t>We know the cashflow of the bond and we know the price of the bond. What is the yield to maturity (YTM) ?</t>
  </si>
  <si>
    <t>Usually quoted as continuosly compounding.</t>
  </si>
  <si>
    <t>We know the yield curve. We know the coupon frequency and the maturity. What is the par yield for this maturity?</t>
  </si>
  <si>
    <t>Par yield = the coupon rate that causes the bond price to equal its par value (face value, principal value, notional)</t>
  </si>
  <si>
    <t>c = (1-DF_T) * m / A</t>
  </si>
  <si>
    <t xml:space="preserve">where DF_T is the discount factor at maturity, m is the coupon frequency, and A is the annuity. </t>
  </si>
  <si>
    <t>Annuity = sum of all discount factors</t>
  </si>
  <si>
    <t>We know the cash flows and the prices for bonds with increasing maturities. Compute the yield curve.</t>
  </si>
  <si>
    <t>Starting from the shortest maturity, using the bond pricing formula in terms of discount factors,</t>
  </si>
  <si>
    <t>we calculate discount factors one after the other.</t>
  </si>
  <si>
    <t>From the discount factors, we compute the yield curve.</t>
  </si>
  <si>
    <t>N</t>
  </si>
  <si>
    <t>coupon</t>
  </si>
  <si>
    <t>Bond price</t>
  </si>
  <si>
    <t>T</t>
  </si>
  <si>
    <t>Problem 2.1</t>
  </si>
  <si>
    <t>CF</t>
  </si>
  <si>
    <t>yield</t>
  </si>
  <si>
    <t>DF</t>
  </si>
  <si>
    <t>PV(CF)</t>
  </si>
  <si>
    <t>theoretical price</t>
  </si>
  <si>
    <t>yield?</t>
  </si>
  <si>
    <t>error</t>
  </si>
  <si>
    <t>Problem 2.2</t>
  </si>
  <si>
    <t>coup rate</t>
  </si>
  <si>
    <t>m</t>
  </si>
  <si>
    <t>theor price</t>
  </si>
  <si>
    <t>Problem 2.3</t>
  </si>
  <si>
    <t xml:space="preserve">coup rate </t>
  </si>
  <si>
    <t>r(cont)</t>
  </si>
  <si>
    <t>bond price</t>
  </si>
  <si>
    <t>required</t>
  </si>
  <si>
    <t>realized return</t>
  </si>
  <si>
    <t>returns</t>
  </si>
  <si>
    <t>theor bond price</t>
  </si>
  <si>
    <t>Problem 2.4</t>
  </si>
  <si>
    <t>Annuity</t>
  </si>
  <si>
    <t>par yield</t>
  </si>
  <si>
    <t>Problem 2.6</t>
  </si>
  <si>
    <t>price</t>
  </si>
  <si>
    <t>We know the yield curve today (spot rates). What are the forward rates?</t>
  </si>
  <si>
    <t>With continuous compounding, the formula is</t>
  </si>
  <si>
    <t>f(T1, T2) = (T2 * r(T2) - T1 * r(T1)) / (T2 - T1)</t>
  </si>
  <si>
    <t>With other compounding rules, convert back and forth...</t>
  </si>
  <si>
    <t>Problem 2.7</t>
  </si>
  <si>
    <t>DF(1,2)</t>
  </si>
  <si>
    <t>f(1,2) (cont)</t>
  </si>
  <si>
    <t>f(1,T)</t>
  </si>
  <si>
    <t>Problems 2.8, 2.11</t>
  </si>
  <si>
    <t>r(T) next year, according to the pure expectations hypothesis</t>
  </si>
  <si>
    <t>A bigger example</t>
  </si>
  <si>
    <t>f(0,5,T)</t>
  </si>
  <si>
    <t>r(T) in 6 months</t>
  </si>
  <si>
    <t>r(T) spot</t>
  </si>
  <si>
    <t>saved result</t>
  </si>
  <si>
    <t>We can solve numerically with:</t>
  </si>
  <si>
    <t>or with</t>
  </si>
  <si>
    <t>Data -&gt; What-If-Analysis -&gt; Goal Seek</t>
  </si>
  <si>
    <t>Data -&gt; Solver</t>
  </si>
  <si>
    <t>OR with excel function IRR:</t>
  </si>
  <si>
    <t>IRR (it gives result with annual compounding)</t>
  </si>
  <si>
    <t>r(semiann)</t>
  </si>
  <si>
    <t xml:space="preserve">YTM = the (time-independent) yield at which the calculated bond price matches the given price.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</si>
</sst>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4" borderId="0" xfId="0" applyNumberFormat="1" applyFill="1"/>
    <xf numFmtId="10" fontId="0" fillId="5" borderId="0" xfId="1" applyNumberFormat="1" applyFont="1" applyFill="1"/>
    <xf numFmtId="10" fontId="0" fillId="5" borderId="0" xfId="0" applyNumberFormat="1" applyFill="1"/>
    <xf numFmtId="10" fontId="0" fillId="0" borderId="0" xfId="0" applyNumberFormat="1"/>
    <xf numFmtId="10" fontId="0" fillId="4" borderId="0" xfId="0" applyNumberFormat="1" applyFill="1"/>
    <xf numFmtId="164" fontId="0" fillId="0" borderId="0" xfId="0" applyNumberFormat="1"/>
    <xf numFmtId="2" fontId="0" fillId="4" borderId="0" xfId="1" applyNumberFormat="1" applyFont="1" applyFill="1"/>
    <xf numFmtId="164" fontId="0" fillId="5" borderId="0" xfId="0" applyNumberFormat="1" applyFill="1"/>
    <xf numFmtId="10" fontId="0" fillId="0" borderId="0" xfId="1" applyNumberFormat="1" applyFont="1"/>
    <xf numFmtId="9" fontId="0" fillId="5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Solutions!$E$55</c:f>
              <c:strCache>
                <c:ptCount val="1"/>
                <c:pt idx="0">
                  <c:v>r(cont)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Solutions!$A$56:$A$61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</c:numCache>
            </c:numRef>
          </c:xVal>
          <c:yVal>
            <c:numRef>
              <c:f>Solutions!$E$56:$E$61</c:f>
              <c:numCache>
                <c:formatCode>0.00%</c:formatCode>
                <c:ptCount val="6"/>
                <c:pt idx="0">
                  <c:v>0.12375080743617506</c:v>
                </c:pt>
                <c:pt idx="1">
                  <c:v>0.12375080743617506</c:v>
                </c:pt>
                <c:pt idx="2">
                  <c:v>0.11653381625595151</c:v>
                </c:pt>
                <c:pt idx="3">
                  <c:v>0.11501570697846779</c:v>
                </c:pt>
                <c:pt idx="4">
                  <c:v>0.11298861636472714</c:v>
                </c:pt>
                <c:pt idx="5">
                  <c:v>0.11298861636472714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9-48AF-A606-1B9E430C2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6800"/>
        <c:axId val="61418880"/>
      </c:scatterChart>
      <c:valAx>
        <c:axId val="614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418880"/>
        <c:crosses val="autoZero"/>
        <c:crossBetween val="midCat"/>
      </c:valAx>
      <c:valAx>
        <c:axId val="61418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41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Solutions!$B$78</c:f>
              <c:strCache>
                <c:ptCount val="1"/>
                <c:pt idx="0">
                  <c:v>r(T) spot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Solutions!$A$79:$A$88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Solutions!$B$79:$B$88</c:f>
              <c:numCache>
                <c:formatCode>0.00%</c:formatCode>
                <c:ptCount val="10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7.3999999999999996E-2</c:v>
                </c:pt>
                <c:pt idx="6">
                  <c:v>7.8E-2</c:v>
                </c:pt>
                <c:pt idx="7">
                  <c:v>8.1000000000000003E-2</c:v>
                </c:pt>
                <c:pt idx="8">
                  <c:v>8.3000000000000004E-2</c:v>
                </c:pt>
                <c:pt idx="9">
                  <c:v>8.4000000000000005E-2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0-40D5-810E-C8C20CEDF565}"/>
            </c:ext>
          </c:extLst>
        </c:ser>
        <c:ser>
          <c:idx val="1"/>
          <c:order val="1"/>
          <c:tx>
            <c:strRef>
              <c:f>Solutions!$E$78</c:f>
              <c:strCache>
                <c:ptCount val="1"/>
                <c:pt idx="0">
                  <c:v>r(T) in 6 months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Solutions!$A$79:$A$88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Solutions!$E$79:$E$88</c:f>
              <c:numCache>
                <c:formatCode>0.00%</c:formatCode>
                <c:ptCount val="10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7.8799999999999995E-2</c:v>
                </c:pt>
                <c:pt idx="5">
                  <c:v>8.266666666666668E-2</c:v>
                </c:pt>
                <c:pt idx="6">
                  <c:v>8.5428571428571423E-2</c:v>
                </c:pt>
                <c:pt idx="7">
                  <c:v>8.7124999999999994E-2</c:v>
                </c:pt>
                <c:pt idx="8">
                  <c:v>8.7777777777777788E-2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80-40D5-810E-C8C20CEDF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728304"/>
        <c:axId val="1170741616"/>
      </c:scatterChart>
      <c:valAx>
        <c:axId val="117072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70741616"/>
        <c:crosses val="autoZero"/>
        <c:crossBetween val="midCat"/>
      </c:valAx>
      <c:valAx>
        <c:axId val="11707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7072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91588</xdr:colOff>
      <xdr:row>45</xdr:row>
      <xdr:rowOff>64477</xdr:rowOff>
    </xdr:from>
    <xdr:to>
      <xdr:col>14</xdr:col>
      <xdr:colOff>406645</xdr:colOff>
      <xdr:row>59</xdr:row>
      <xdr:rowOff>140677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958A3-3DF2-A289-0789-949C5140B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75</xdr:row>
      <xdr:rowOff>189034</xdr:rowOff>
    </xdr:from>
    <xdr:to>
      <xdr:col>13</xdr:col>
      <xdr:colOff>362683</xdr:colOff>
      <xdr:row>90</xdr:row>
      <xdr:rowOff>74734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8BA66C-CC77-17A2-561A-7BF16A635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3"/>
  <sheetViews>
    <sheetView tabSelected="1" zoomScale="130" zoomScaleNormal="130" workbookViewId="0">
      <selection activeCell="C6" sqref="C6"/>
    </sheetView>
  </sheetViews>
  <sheetFormatPr defaultRowHeight="15" x14ac:dyDescent="0.25"/>
  <sheetData>
    <row r="2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2" t="s">
        <v>62</v>
      </c>
      <c r="B3" s="2"/>
      <c r="C3" s="2"/>
      <c r="D3" s="2"/>
      <c r="E3" s="2"/>
      <c r="F3" s="2"/>
      <c r="G3" s="2"/>
      <c r="H3" s="2"/>
      <c r="I3" s="2"/>
      <c r="J3" s="2"/>
    </row>
    <row r="4" spans="1:11" x14ac:dyDescent="0.25">
      <c r="A4" s="2" t="s">
        <v>1</v>
      </c>
      <c r="B4" s="2"/>
      <c r="C4" s="2"/>
      <c r="D4" s="2"/>
      <c r="E4" s="2"/>
    </row>
    <row r="7" spans="1:11" x14ac:dyDescent="0.25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3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4</v>
      </c>
      <c r="B9" s="2"/>
    </row>
    <row r="10" spans="1:11" x14ac:dyDescent="0.25">
      <c r="A10" s="2" t="s">
        <v>5</v>
      </c>
      <c r="B10" s="2"/>
      <c r="C10" s="2"/>
      <c r="D10" s="2"/>
      <c r="E10" s="2"/>
      <c r="F10" s="2"/>
      <c r="G10" s="2"/>
      <c r="H10" s="2"/>
      <c r="I10" s="2"/>
    </row>
    <row r="11" spans="1:11" x14ac:dyDescent="0.25">
      <c r="A11" s="2" t="s">
        <v>6</v>
      </c>
      <c r="B11" s="2"/>
      <c r="C11" s="2"/>
      <c r="D11" s="2"/>
    </row>
    <row r="14" spans="1:11" x14ac:dyDescent="0.25">
      <c r="A14" s="1" t="s">
        <v>7</v>
      </c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A15" s="2" t="s">
        <v>8</v>
      </c>
      <c r="B15" s="2"/>
      <c r="C15" s="2"/>
      <c r="D15" s="2"/>
      <c r="E15" s="2"/>
      <c r="F15" s="2"/>
      <c r="G15" s="2"/>
      <c r="H15" s="2"/>
      <c r="I15" s="2"/>
    </row>
    <row r="16" spans="1:11" x14ac:dyDescent="0.25">
      <c r="A16" s="2" t="s">
        <v>9</v>
      </c>
      <c r="B16" s="2"/>
      <c r="C16" s="2"/>
      <c r="D16" s="2"/>
      <c r="E16" s="2"/>
      <c r="F16" s="2"/>
      <c r="G16" s="2"/>
      <c r="H16" s="2"/>
      <c r="I16" s="2"/>
    </row>
    <row r="17" spans="1:8" x14ac:dyDescent="0.25">
      <c r="A17" s="2" t="s">
        <v>10</v>
      </c>
      <c r="B17" s="2"/>
      <c r="C17" s="2"/>
      <c r="D17" s="2"/>
      <c r="E17" s="2"/>
      <c r="F17" s="2"/>
    </row>
    <row r="20" spans="1:8" x14ac:dyDescent="0.25">
      <c r="A20" s="1" t="s">
        <v>40</v>
      </c>
      <c r="B20" s="1"/>
      <c r="C20" s="1"/>
      <c r="D20" s="1"/>
      <c r="E20" s="1"/>
      <c r="F20" s="1"/>
      <c r="G20" s="1"/>
      <c r="H20" s="1"/>
    </row>
    <row r="21" spans="1:8" x14ac:dyDescent="0.25">
      <c r="A21" s="2" t="s">
        <v>41</v>
      </c>
      <c r="B21" s="2"/>
      <c r="C21" s="2"/>
      <c r="D21" s="2"/>
      <c r="E21" s="2"/>
    </row>
    <row r="22" spans="1:8" x14ac:dyDescent="0.25">
      <c r="A22" s="2" t="s">
        <v>42</v>
      </c>
      <c r="B22" s="2"/>
      <c r="C22" s="2"/>
      <c r="D22" s="2"/>
      <c r="E22" s="2"/>
    </row>
    <row r="23" spans="1:8" x14ac:dyDescent="0.25">
      <c r="A23" s="2" t="s">
        <v>43</v>
      </c>
      <c r="B23" s="2"/>
      <c r="C23" s="2"/>
      <c r="D23" s="2"/>
      <c r="E23" s="2"/>
      <c r="F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6982-0A85-4CB6-8D15-9CFCA8BDF4F4}">
  <dimension ref="A2:P88"/>
  <sheetViews>
    <sheetView topLeftCell="A67" zoomScale="130" zoomScaleNormal="130" workbookViewId="0">
      <selection activeCell="E76" sqref="E76"/>
    </sheetView>
  </sheetViews>
  <sheetFormatPr defaultRowHeight="15" x14ac:dyDescent="0.25"/>
  <cols>
    <col min="10" max="10" width="13.5703125" bestFit="1" customWidth="1"/>
  </cols>
  <sheetData>
    <row r="2" spans="1:16" x14ac:dyDescent="0.25">
      <c r="A2" t="s">
        <v>15</v>
      </c>
    </row>
    <row r="3" spans="1:16" x14ac:dyDescent="0.25">
      <c r="A3" t="s">
        <v>11</v>
      </c>
      <c r="B3" t="s">
        <v>12</v>
      </c>
      <c r="C3" t="s">
        <v>13</v>
      </c>
      <c r="D3" t="s">
        <v>21</v>
      </c>
      <c r="E3" s="2" t="s">
        <v>54</v>
      </c>
      <c r="G3" s="2" t="s">
        <v>55</v>
      </c>
      <c r="H3" s="2"/>
      <c r="I3" s="2"/>
      <c r="L3" s="2" t="s">
        <v>59</v>
      </c>
      <c r="M3" s="2"/>
      <c r="N3" s="2"/>
    </row>
    <row r="4" spans="1:16" x14ac:dyDescent="0.25">
      <c r="A4" s="3">
        <v>1000</v>
      </c>
      <c r="B4" s="3">
        <v>100</v>
      </c>
      <c r="C4" s="3">
        <v>1000</v>
      </c>
      <c r="D4" s="6">
        <v>0.05</v>
      </c>
      <c r="E4" s="6">
        <v>9.5310240884288522E-2</v>
      </c>
      <c r="G4" s="2" t="s">
        <v>57</v>
      </c>
      <c r="H4" s="2"/>
      <c r="I4" s="2"/>
      <c r="J4" s="2"/>
    </row>
    <row r="5" spans="1:16" x14ac:dyDescent="0.25">
      <c r="G5" s="2" t="s">
        <v>56</v>
      </c>
      <c r="L5" t="s">
        <v>14</v>
      </c>
      <c r="M5" t="s">
        <v>16</v>
      </c>
    </row>
    <row r="6" spans="1:16" x14ac:dyDescent="0.25">
      <c r="A6" t="s">
        <v>14</v>
      </c>
      <c r="B6" t="s">
        <v>16</v>
      </c>
      <c r="C6" t="s">
        <v>18</v>
      </c>
      <c r="D6" t="s">
        <v>19</v>
      </c>
      <c r="G6" s="2" t="s">
        <v>58</v>
      </c>
      <c r="H6" s="2"/>
      <c r="L6">
        <v>0</v>
      </c>
      <c r="M6">
        <f>-C4</f>
        <v>-1000</v>
      </c>
    </row>
    <row r="7" spans="1:16" x14ac:dyDescent="0.25">
      <c r="A7">
        <v>1</v>
      </c>
      <c r="B7">
        <f>B4</f>
        <v>100</v>
      </c>
      <c r="C7">
        <f>EXP(-$D$4*A7)</f>
        <v>0.95122942450071402</v>
      </c>
      <c r="D7">
        <f>B7*C7</f>
        <v>95.122942450071406</v>
      </c>
      <c r="L7">
        <v>1</v>
      </c>
      <c r="M7">
        <f>B7</f>
        <v>100</v>
      </c>
    </row>
    <row r="8" spans="1:16" x14ac:dyDescent="0.25">
      <c r="A8">
        <v>2</v>
      </c>
      <c r="B8">
        <f>A4+B4</f>
        <v>1100</v>
      </c>
      <c r="C8">
        <f>EXP(-$D$4*A8)</f>
        <v>0.90483741803595952</v>
      </c>
      <c r="D8">
        <f>B8*C8</f>
        <v>995.32115983955543</v>
      </c>
      <c r="L8">
        <v>2</v>
      </c>
      <c r="M8">
        <f>B8</f>
        <v>1100</v>
      </c>
    </row>
    <row r="9" spans="1:16" x14ac:dyDescent="0.25">
      <c r="D9" t="s">
        <v>20</v>
      </c>
      <c r="E9" t="s">
        <v>22</v>
      </c>
      <c r="L9" s="2" t="s">
        <v>60</v>
      </c>
      <c r="M9" s="2"/>
      <c r="N9" s="2"/>
      <c r="O9" s="2"/>
      <c r="P9" s="2"/>
    </row>
    <row r="10" spans="1:16" x14ac:dyDescent="0.25">
      <c r="D10">
        <f>SUM(D7:D8)</f>
        <v>1090.4441022896269</v>
      </c>
      <c r="E10" s="1">
        <f>D10-C4</f>
        <v>90.444102289626926</v>
      </c>
      <c r="L10" s="8">
        <f>IRR(M6:M8,10%)</f>
        <v>9.9999999999999867E-2</v>
      </c>
      <c r="M10" s="6">
        <f>LN(1+L10)</f>
        <v>9.5310179804324741E-2</v>
      </c>
    </row>
    <row r="12" spans="1:16" x14ac:dyDescent="0.25">
      <c r="A12" t="s">
        <v>23</v>
      </c>
    </row>
    <row r="13" spans="1:16" x14ac:dyDescent="0.25">
      <c r="A13" t="s">
        <v>11</v>
      </c>
      <c r="B13" t="s">
        <v>24</v>
      </c>
      <c r="C13" t="s">
        <v>25</v>
      </c>
      <c r="D13" t="s">
        <v>13</v>
      </c>
      <c r="E13" t="s">
        <v>21</v>
      </c>
      <c r="F13" s="2" t="s">
        <v>54</v>
      </c>
    </row>
    <row r="14" spans="1:16" x14ac:dyDescent="0.25">
      <c r="A14" s="3">
        <v>100</v>
      </c>
      <c r="B14" s="5">
        <v>0.08</v>
      </c>
      <c r="C14" s="3">
        <v>2</v>
      </c>
      <c r="D14" s="3">
        <v>104</v>
      </c>
      <c r="E14" s="6">
        <v>0.05</v>
      </c>
      <c r="F14" s="6">
        <v>6.4069319475423547E-2</v>
      </c>
    </row>
    <row r="16" spans="1:16" x14ac:dyDescent="0.25">
      <c r="A16" t="s">
        <v>14</v>
      </c>
      <c r="B16" t="s">
        <v>16</v>
      </c>
      <c r="C16" t="s">
        <v>18</v>
      </c>
      <c r="D16" t="s">
        <v>19</v>
      </c>
    </row>
    <row r="17" spans="1:9" x14ac:dyDescent="0.25">
      <c r="A17">
        <v>0.5</v>
      </c>
      <c r="B17">
        <f>$A$14*$B$14/$C$14</f>
        <v>4</v>
      </c>
      <c r="C17">
        <f>EXP(-$E$14*A17)</f>
        <v>0.97530991202833262</v>
      </c>
      <c r="D17">
        <f>B17*C17</f>
        <v>3.9012396481133305</v>
      </c>
    </row>
    <row r="18" spans="1:9" x14ac:dyDescent="0.25">
      <c r="A18">
        <v>1</v>
      </c>
      <c r="B18">
        <f t="shared" ref="B18:B21" si="0">$A$14*$B$14/$C$14</f>
        <v>4</v>
      </c>
      <c r="C18">
        <f t="shared" ref="C18:C22" si="1">EXP(-$E$14*A18)</f>
        <v>0.95122942450071402</v>
      </c>
      <c r="D18">
        <f t="shared" ref="D18:D22" si="2">B18*C18</f>
        <v>3.8049176980028561</v>
      </c>
    </row>
    <row r="19" spans="1:9" x14ac:dyDescent="0.25">
      <c r="A19">
        <v>1.5</v>
      </c>
      <c r="B19">
        <f t="shared" si="0"/>
        <v>4</v>
      </c>
      <c r="C19">
        <f t="shared" si="1"/>
        <v>0.92774348632855286</v>
      </c>
      <c r="D19">
        <f t="shared" si="2"/>
        <v>3.7109739453142114</v>
      </c>
    </row>
    <row r="20" spans="1:9" x14ac:dyDescent="0.25">
      <c r="A20">
        <v>2</v>
      </c>
      <c r="B20">
        <f t="shared" si="0"/>
        <v>4</v>
      </c>
      <c r="C20">
        <f t="shared" si="1"/>
        <v>0.90483741803595952</v>
      </c>
      <c r="D20">
        <f t="shared" si="2"/>
        <v>3.6193496721438381</v>
      </c>
    </row>
    <row r="21" spans="1:9" x14ac:dyDescent="0.25">
      <c r="A21">
        <v>2.5</v>
      </c>
      <c r="B21">
        <f t="shared" si="0"/>
        <v>4</v>
      </c>
      <c r="C21">
        <f t="shared" si="1"/>
        <v>0.88249690258459546</v>
      </c>
      <c r="D21">
        <f t="shared" si="2"/>
        <v>3.5299876103383818</v>
      </c>
    </row>
    <row r="22" spans="1:9" x14ac:dyDescent="0.25">
      <c r="A22">
        <v>3</v>
      </c>
      <c r="B22">
        <f>$A$14*$B$14/$C$14+$A$14</f>
        <v>104</v>
      </c>
      <c r="C22">
        <f t="shared" si="1"/>
        <v>0.86070797642505781</v>
      </c>
      <c r="D22">
        <f t="shared" si="2"/>
        <v>89.513629548206012</v>
      </c>
    </row>
    <row r="23" spans="1:9" x14ac:dyDescent="0.25">
      <c r="D23" t="s">
        <v>26</v>
      </c>
      <c r="E23" t="s">
        <v>22</v>
      </c>
    </row>
    <row r="24" spans="1:9" x14ac:dyDescent="0.25">
      <c r="D24">
        <f>SUM(D17:D22)</f>
        <v>108.08009812211863</v>
      </c>
      <c r="E24" s="1">
        <f>D24-D14</f>
        <v>4.0800981221186277</v>
      </c>
    </row>
    <row r="27" spans="1:9" x14ac:dyDescent="0.25">
      <c r="A27" t="s">
        <v>27</v>
      </c>
    </row>
    <row r="28" spans="1:9" x14ac:dyDescent="0.25">
      <c r="A28" t="s">
        <v>11</v>
      </c>
      <c r="B28" t="s">
        <v>28</v>
      </c>
      <c r="H28" t="s">
        <v>17</v>
      </c>
      <c r="I28" s="2" t="s">
        <v>54</v>
      </c>
    </row>
    <row r="29" spans="1:9" x14ac:dyDescent="0.25">
      <c r="A29" s="3">
        <v>100</v>
      </c>
      <c r="B29" s="5">
        <v>0.09</v>
      </c>
      <c r="C29" s="2" t="s">
        <v>32</v>
      </c>
      <c r="D29" s="2"/>
      <c r="H29" s="7">
        <v>0.05</v>
      </c>
      <c r="I29" s="7">
        <v>7.9570105674026018E-2</v>
      </c>
    </row>
    <row r="31" spans="1:9" x14ac:dyDescent="0.25">
      <c r="A31" t="s">
        <v>14</v>
      </c>
      <c r="B31" t="s">
        <v>29</v>
      </c>
      <c r="C31" t="s">
        <v>18</v>
      </c>
      <c r="D31" t="s">
        <v>16</v>
      </c>
      <c r="E31" t="s">
        <v>19</v>
      </c>
      <c r="G31" t="s">
        <v>14</v>
      </c>
      <c r="H31" t="s">
        <v>18</v>
      </c>
      <c r="I31" t="s">
        <v>19</v>
      </c>
    </row>
    <row r="32" spans="1:9" x14ac:dyDescent="0.25">
      <c r="A32" s="3">
        <v>1</v>
      </c>
      <c r="B32" s="5">
        <v>7.0000000000000007E-2</v>
      </c>
      <c r="C32">
        <f>EXP(-B32*A32)</f>
        <v>0.93239381990594827</v>
      </c>
      <c r="D32">
        <f>$A$29*$B$29</f>
        <v>9</v>
      </c>
      <c r="E32">
        <f>D32*C32</f>
        <v>8.3915443791535349</v>
      </c>
      <c r="G32">
        <v>1</v>
      </c>
      <c r="H32">
        <f>EXP(-$H$29*G32)</f>
        <v>0.95122942450071402</v>
      </c>
      <c r="I32">
        <f>H32*D32</f>
        <v>8.5610648205064255</v>
      </c>
    </row>
    <row r="33" spans="1:10" x14ac:dyDescent="0.25">
      <c r="A33" s="3">
        <v>2</v>
      </c>
      <c r="B33" s="5">
        <v>0.08</v>
      </c>
      <c r="C33">
        <f>EXP(-B33*A33)</f>
        <v>0.85214378896621135</v>
      </c>
      <c r="D33">
        <f>$A$29*$B$29+$A$29</f>
        <v>109</v>
      </c>
      <c r="E33">
        <f>D33*C33</f>
        <v>92.883672997317035</v>
      </c>
      <c r="G33">
        <v>2</v>
      </c>
      <c r="H33">
        <f>EXP(-$H$29*G33)</f>
        <v>0.90483741803595952</v>
      </c>
      <c r="I33">
        <f>H33*D33</f>
        <v>98.627278565919582</v>
      </c>
    </row>
    <row r="34" spans="1:10" x14ac:dyDescent="0.25">
      <c r="B34" s="2" t="s">
        <v>31</v>
      </c>
      <c r="E34" t="s">
        <v>30</v>
      </c>
      <c r="I34" t="s">
        <v>34</v>
      </c>
      <c r="J34" t="s">
        <v>22</v>
      </c>
    </row>
    <row r="35" spans="1:10" x14ac:dyDescent="0.25">
      <c r="B35" s="2" t="s">
        <v>33</v>
      </c>
      <c r="E35" s="4">
        <f>SUM(E32:E33)</f>
        <v>101.27521737647056</v>
      </c>
      <c r="I35">
        <f>SUM(I32:I33)</f>
        <v>107.18834338642601</v>
      </c>
      <c r="J35" s="1">
        <f>I35-E35</f>
        <v>5.9131260099554481</v>
      </c>
    </row>
    <row r="38" spans="1:10" x14ac:dyDescent="0.25">
      <c r="A38" t="s">
        <v>35</v>
      </c>
    </row>
    <row r="39" spans="1:10" x14ac:dyDescent="0.25">
      <c r="A39" t="s">
        <v>25</v>
      </c>
    </row>
    <row r="40" spans="1:10" x14ac:dyDescent="0.25">
      <c r="A40" s="3">
        <v>2</v>
      </c>
    </row>
    <row r="42" spans="1:10" x14ac:dyDescent="0.25">
      <c r="A42" t="s">
        <v>14</v>
      </c>
      <c r="B42" t="s">
        <v>61</v>
      </c>
      <c r="C42" t="s">
        <v>18</v>
      </c>
      <c r="E42" t="s">
        <v>37</v>
      </c>
    </row>
    <row r="43" spans="1:10" x14ac:dyDescent="0.25">
      <c r="A43" s="3">
        <v>0.5</v>
      </c>
      <c r="B43" s="5">
        <v>0.05</v>
      </c>
      <c r="C43">
        <f>(1+B43/$A$40)^(-$A$40*A43)</f>
        <v>0.97560975609756106</v>
      </c>
      <c r="E43" s="6">
        <f>(1-C46)*A40/C48</f>
        <v>6.952529785838385E-2</v>
      </c>
    </row>
    <row r="44" spans="1:10" x14ac:dyDescent="0.25">
      <c r="A44" s="3">
        <v>1</v>
      </c>
      <c r="B44" s="5">
        <v>0.06</v>
      </c>
      <c r="C44">
        <f t="shared" ref="C44:C46" si="3">(1+B44/$A$40)^(-$A$40*A44)</f>
        <v>0.94259590913375435</v>
      </c>
    </row>
    <row r="45" spans="1:10" x14ac:dyDescent="0.25">
      <c r="A45" s="3">
        <v>1.5</v>
      </c>
      <c r="B45" s="9">
        <v>6.5000000000000002E-2</v>
      </c>
      <c r="C45">
        <f t="shared" si="3"/>
        <v>0.90851022394109848</v>
      </c>
    </row>
    <row r="46" spans="1:10" x14ac:dyDescent="0.25">
      <c r="A46" s="3">
        <v>2</v>
      </c>
      <c r="B46" s="5">
        <v>7.0000000000000007E-2</v>
      </c>
      <c r="C46" s="4">
        <f>(1+B46/$A$40)^(-$A$40*A46)</f>
        <v>0.87144222769857238</v>
      </c>
    </row>
    <row r="47" spans="1:10" x14ac:dyDescent="0.25">
      <c r="C47" t="s">
        <v>36</v>
      </c>
    </row>
    <row r="48" spans="1:10" x14ac:dyDescent="0.25">
      <c r="C48" s="4">
        <f>SUM(C43:C46)</f>
        <v>3.6981581168709865</v>
      </c>
    </row>
    <row r="51" spans="1:5" x14ac:dyDescent="0.25">
      <c r="A51" t="s">
        <v>38</v>
      </c>
    </row>
    <row r="52" spans="1:5" x14ac:dyDescent="0.25">
      <c r="A52" t="s">
        <v>11</v>
      </c>
    </row>
    <row r="53" spans="1:5" x14ac:dyDescent="0.25">
      <c r="A53">
        <v>100</v>
      </c>
    </row>
    <row r="55" spans="1:5" x14ac:dyDescent="0.25">
      <c r="A55" t="s">
        <v>14</v>
      </c>
      <c r="B55" t="s">
        <v>12</v>
      </c>
      <c r="C55" t="s">
        <v>39</v>
      </c>
      <c r="D55" t="s">
        <v>18</v>
      </c>
      <c r="E55" t="s">
        <v>29</v>
      </c>
    </row>
    <row r="56" spans="1:5" x14ac:dyDescent="0.25">
      <c r="A56">
        <v>0</v>
      </c>
      <c r="E56" s="8">
        <f>E57</f>
        <v>0.12375080743617506</v>
      </c>
    </row>
    <row r="57" spans="1:5" x14ac:dyDescent="0.25">
      <c r="A57" s="3">
        <v>0.5</v>
      </c>
      <c r="B57" s="3">
        <v>0</v>
      </c>
      <c r="C57" s="11">
        <v>94</v>
      </c>
      <c r="D57" s="10">
        <f>C57/$A$53</f>
        <v>0.94</v>
      </c>
      <c r="E57" s="6">
        <f>-LN(D57)/A57</f>
        <v>0.12375080743617506</v>
      </c>
    </row>
    <row r="58" spans="1:5" x14ac:dyDescent="0.25">
      <c r="A58" s="3">
        <v>1</v>
      </c>
      <c r="B58" s="3">
        <v>0</v>
      </c>
      <c r="C58" s="11">
        <v>89</v>
      </c>
      <c r="D58" s="10">
        <f>C58/$A$53</f>
        <v>0.89</v>
      </c>
      <c r="E58" s="6">
        <f>-LN(D58)/A58</f>
        <v>0.11653381625595151</v>
      </c>
    </row>
    <row r="59" spans="1:5" x14ac:dyDescent="0.25">
      <c r="A59" s="3">
        <v>1.5</v>
      </c>
      <c r="B59" s="3">
        <v>4</v>
      </c>
      <c r="C59" s="11">
        <v>94.84</v>
      </c>
      <c r="D59" s="10">
        <f>(C59-D57*B59-D58*B59)/($A$53+B59)</f>
        <v>0.84153846153846146</v>
      </c>
      <c r="E59" s="6">
        <f>-LN(D59)/A59</f>
        <v>0.11501570697846779</v>
      </c>
    </row>
    <row r="60" spans="1:5" x14ac:dyDescent="0.25">
      <c r="A60" s="3">
        <v>2</v>
      </c>
      <c r="B60" s="3">
        <v>5</v>
      </c>
      <c r="C60" s="11">
        <v>97.12</v>
      </c>
      <c r="D60" s="10">
        <f>(C60-D57*B60-D58*B60-D59*B60)/($A$53+B60)</f>
        <v>0.79773626373626372</v>
      </c>
      <c r="E60" s="6">
        <f>-LN(D60)/A60</f>
        <v>0.11298861636472714</v>
      </c>
    </row>
    <row r="61" spans="1:5" x14ac:dyDescent="0.25">
      <c r="A61">
        <v>3</v>
      </c>
      <c r="E61" s="8">
        <f>E60</f>
        <v>0.11298861636472714</v>
      </c>
    </row>
    <row r="64" spans="1:5" x14ac:dyDescent="0.25">
      <c r="A64" t="s">
        <v>44</v>
      </c>
    </row>
    <row r="65" spans="1:5" x14ac:dyDescent="0.25">
      <c r="A65" t="s">
        <v>14</v>
      </c>
      <c r="B65" t="s">
        <v>18</v>
      </c>
      <c r="C65" t="s">
        <v>45</v>
      </c>
      <c r="D65" t="s">
        <v>46</v>
      </c>
    </row>
    <row r="66" spans="1:5" x14ac:dyDescent="0.25">
      <c r="A66" s="3">
        <v>1</v>
      </c>
      <c r="B66" s="3">
        <v>0.94340000000000002</v>
      </c>
    </row>
    <row r="67" spans="1:5" x14ac:dyDescent="0.25">
      <c r="A67" s="3">
        <v>2</v>
      </c>
      <c r="B67" s="3">
        <v>0.84989999999999999</v>
      </c>
      <c r="C67" s="12">
        <f>B67/B66</f>
        <v>0.90089039643841418</v>
      </c>
      <c r="D67" s="13">
        <f>-LN(C67)/(A67-A66)</f>
        <v>0.10437167534558081</v>
      </c>
    </row>
    <row r="70" spans="1:5" x14ac:dyDescent="0.25">
      <c r="A70" t="s">
        <v>48</v>
      </c>
    </row>
    <row r="71" spans="1:5" x14ac:dyDescent="0.25">
      <c r="A71" t="s">
        <v>14</v>
      </c>
      <c r="B71" t="s">
        <v>53</v>
      </c>
      <c r="C71" t="s">
        <v>47</v>
      </c>
      <c r="E71" t="s">
        <v>49</v>
      </c>
    </row>
    <row r="72" spans="1:5" x14ac:dyDescent="0.25">
      <c r="A72" s="3">
        <v>1</v>
      </c>
      <c r="B72" s="5">
        <v>0.1</v>
      </c>
      <c r="E72" s="14">
        <f>C73</f>
        <v>0.12</v>
      </c>
    </row>
    <row r="73" spans="1:5" x14ac:dyDescent="0.25">
      <c r="A73" s="3">
        <v>2</v>
      </c>
      <c r="B73" s="5">
        <v>0.11</v>
      </c>
      <c r="C73" s="6">
        <f>(A73*B73-$A$72*$B$72)/(A73-$A$72)</f>
        <v>0.12</v>
      </c>
      <c r="E73" s="14">
        <f>C74</f>
        <v>0.13</v>
      </c>
    </row>
    <row r="74" spans="1:5" x14ac:dyDescent="0.25">
      <c r="A74" s="3">
        <v>3</v>
      </c>
      <c r="B74" s="5">
        <v>0.12</v>
      </c>
      <c r="C74" s="6">
        <f>(A74*B74-$A$72*$B$72)/(A74-$A$72)</f>
        <v>0.13</v>
      </c>
    </row>
    <row r="77" spans="1:5" x14ac:dyDescent="0.25">
      <c r="A77" t="s">
        <v>50</v>
      </c>
    </row>
    <row r="78" spans="1:5" x14ac:dyDescent="0.25">
      <c r="A78" t="s">
        <v>14</v>
      </c>
      <c r="B78" t="s">
        <v>53</v>
      </c>
      <c r="C78" t="s">
        <v>51</v>
      </c>
      <c r="E78" t="s">
        <v>52</v>
      </c>
    </row>
    <row r="79" spans="1:5" x14ac:dyDescent="0.25">
      <c r="A79" s="3">
        <v>0.5</v>
      </c>
      <c r="B79" s="9">
        <v>0.05</v>
      </c>
      <c r="E79" s="7">
        <f>C80</f>
        <v>0.06</v>
      </c>
    </row>
    <row r="80" spans="1:5" x14ac:dyDescent="0.25">
      <c r="A80" s="3">
        <v>1</v>
      </c>
      <c r="B80" s="9">
        <v>5.5E-2</v>
      </c>
      <c r="C80" s="6">
        <f>(A80*B80-$A$79*$B$79)/(A80-$A$79)</f>
        <v>0.06</v>
      </c>
      <c r="E80" s="7">
        <f>C81</f>
        <v>6.5000000000000002E-2</v>
      </c>
    </row>
    <row r="81" spans="1:5" x14ac:dyDescent="0.25">
      <c r="A81" s="3">
        <v>1.5</v>
      </c>
      <c r="B81" s="9">
        <v>0.06</v>
      </c>
      <c r="C81" s="6">
        <f t="shared" ref="C81:C88" si="4">(A81*B81-$A$79*$B$79)/(A81-$A$79)</f>
        <v>6.5000000000000002E-2</v>
      </c>
      <c r="E81" s="7">
        <f t="shared" ref="E81:E87" si="5">C82</f>
        <v>7.0000000000000007E-2</v>
      </c>
    </row>
    <row r="82" spans="1:5" x14ac:dyDescent="0.25">
      <c r="A82" s="3">
        <v>2</v>
      </c>
      <c r="B82" s="9">
        <v>6.5000000000000002E-2</v>
      </c>
      <c r="C82" s="6">
        <f t="shared" si="4"/>
        <v>7.0000000000000007E-2</v>
      </c>
      <c r="E82" s="7">
        <f t="shared" si="5"/>
        <v>7.5000000000000011E-2</v>
      </c>
    </row>
    <row r="83" spans="1:5" x14ac:dyDescent="0.25">
      <c r="A83" s="3">
        <v>2.5</v>
      </c>
      <c r="B83" s="9">
        <v>7.0000000000000007E-2</v>
      </c>
      <c r="C83" s="6">
        <f>(A83*B83-$A$79*$B$79)/(A83-$A$79)</f>
        <v>7.5000000000000011E-2</v>
      </c>
      <c r="E83" s="7">
        <f t="shared" si="5"/>
        <v>7.8799999999999995E-2</v>
      </c>
    </row>
    <row r="84" spans="1:5" x14ac:dyDescent="0.25">
      <c r="A84" s="3">
        <v>3</v>
      </c>
      <c r="B84" s="9">
        <v>7.3999999999999996E-2</v>
      </c>
      <c r="C84" s="6">
        <f t="shared" si="4"/>
        <v>7.8799999999999995E-2</v>
      </c>
      <c r="E84" s="7">
        <f t="shared" si="5"/>
        <v>8.266666666666668E-2</v>
      </c>
    </row>
    <row r="85" spans="1:5" x14ac:dyDescent="0.25">
      <c r="A85" s="3">
        <v>3.5</v>
      </c>
      <c r="B85" s="9">
        <v>7.8E-2</v>
      </c>
      <c r="C85" s="6">
        <f t="shared" si="4"/>
        <v>8.266666666666668E-2</v>
      </c>
      <c r="E85" s="7">
        <f t="shared" si="5"/>
        <v>8.5428571428571423E-2</v>
      </c>
    </row>
    <row r="86" spans="1:5" x14ac:dyDescent="0.25">
      <c r="A86" s="3">
        <v>4</v>
      </c>
      <c r="B86" s="9">
        <v>8.1000000000000003E-2</v>
      </c>
      <c r="C86" s="6">
        <f t="shared" si="4"/>
        <v>8.5428571428571423E-2</v>
      </c>
      <c r="E86" s="7">
        <f t="shared" si="5"/>
        <v>8.7124999999999994E-2</v>
      </c>
    </row>
    <row r="87" spans="1:5" x14ac:dyDescent="0.25">
      <c r="A87" s="3">
        <v>4.5</v>
      </c>
      <c r="B87" s="9">
        <v>8.3000000000000004E-2</v>
      </c>
      <c r="C87" s="6">
        <f t="shared" si="4"/>
        <v>8.7124999999999994E-2</v>
      </c>
      <c r="E87" s="7">
        <f t="shared" si="5"/>
        <v>8.7777777777777788E-2</v>
      </c>
    </row>
    <row r="88" spans="1:5" x14ac:dyDescent="0.25">
      <c r="A88" s="3">
        <v>5</v>
      </c>
      <c r="B88" s="9">
        <v>8.4000000000000005E-2</v>
      </c>
      <c r="C88" s="6">
        <f t="shared" si="4"/>
        <v>8.7777777777777788E-2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Formulae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Bihary  Zsolt</cp:lastModifiedBy>
  <dcterms:created xsi:type="dcterms:W3CDTF">2015-06-05T18:17:20Z</dcterms:created>
  <dcterms:modified xsi:type="dcterms:W3CDTF">2023-09-25T09:02:00Z</dcterms:modified>
</cp:coreProperties>
</file>