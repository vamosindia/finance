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undamentals\"/>
    </mc:Choice>
  </mc:AlternateContent>
  <xr:revisionPtr revIDLastSave="0" documentId="13_ncr:1_{D112AC4F-1ACB-4321-B180-D781FD7FBB53}" xr6:coauthVersionLast="47" xr6:coauthVersionMax="47" xr10:uidLastSave="{00000000-0000-0000-0000-000000000000}"/>
  <bookViews>
    <workbookView xWindow="-120" yWindow="525" windowWidth="15705" windowHeight="14640" xr2:uid="{B341BF0B-0307-4EB8-AFE7-AE37582C8D8B}"/>
  </bookViews>
  <sheets>
    <sheet name="Formulae" sheetId="1" r:id="rId1"/>
    <sheet name="Solu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1" l="1"/>
  <c r="I62" i="2"/>
  <c r="H62" i="2"/>
  <c r="F62" i="2"/>
  <c r="E62" i="2"/>
  <c r="G62" i="2" s="1"/>
  <c r="D54" i="2"/>
  <c r="F46" i="2"/>
  <c r="F47" i="2"/>
  <c r="G47" i="2" s="1"/>
  <c r="F45" i="2"/>
  <c r="E47" i="2"/>
  <c r="E46" i="2"/>
  <c r="G46" i="2" s="1"/>
  <c r="E45" i="2"/>
  <c r="G45" i="2" s="1"/>
  <c r="C38" i="2"/>
  <c r="C40" i="2" s="1"/>
  <c r="D40" i="2" s="1"/>
  <c r="F40" i="2" s="1"/>
  <c r="C31" i="2"/>
  <c r="D31" i="2"/>
  <c r="D29" i="2"/>
  <c r="B33" i="2" s="1"/>
  <c r="C33" i="2" s="1"/>
  <c r="D16" i="2"/>
  <c r="D17" i="2"/>
  <c r="D15" i="2"/>
  <c r="C23" i="2"/>
  <c r="C24" i="2"/>
  <c r="C22" i="2"/>
  <c r="E7" i="2"/>
  <c r="E10" i="2"/>
  <c r="E4" i="2"/>
  <c r="O20" i="1"/>
  <c r="P15" i="1"/>
  <c r="P10" i="1"/>
  <c r="Q5" i="1"/>
  <c r="C20" i="1"/>
  <c r="D10" i="1"/>
  <c r="D15" i="1"/>
  <c r="G49" i="2" l="1"/>
</calcChain>
</file>

<file path=xl/sharedStrings.xml><?xml version="1.0" encoding="utf-8"?>
<sst xmlns="http://schemas.openxmlformats.org/spreadsheetml/2006/main" count="150" uniqueCount="53">
  <si>
    <t>interest rate</t>
  </si>
  <si>
    <t>r</t>
  </si>
  <si>
    <t>compounding frequency</t>
  </si>
  <si>
    <t>m</t>
  </si>
  <si>
    <t>time of investment period</t>
  </si>
  <si>
    <t>T</t>
  </si>
  <si>
    <t>initial investment</t>
  </si>
  <si>
    <t>M0</t>
  </si>
  <si>
    <t>Payout/payoff/final cashflow</t>
  </si>
  <si>
    <t>MT</t>
  </si>
  <si>
    <t>MT = M0 * (1+r/m)^(m*T)</t>
  </si>
  <si>
    <t>maturity</t>
  </si>
  <si>
    <t>discount factor</t>
  </si>
  <si>
    <t>DF</t>
  </si>
  <si>
    <t>DF = (1+r/m)^( -m*T)</t>
  </si>
  <si>
    <t>We invest M0 for time T at interest rate r (continuous compounding). What will be our final payout?</t>
  </si>
  <si>
    <t>MT = M0 * exp(r * T)</t>
  </si>
  <si>
    <t>We invest M0 for time T at interest rate r (compounding frequency m). What will be our final payout?</t>
  </si>
  <si>
    <t>The interest rate is r (compounding frequency m) for maturity T. What is the discount factor for this maturity?</t>
  </si>
  <si>
    <t>The interest rate is r (continuous compounding) for maturity T. What is the discount factor for this maturity?</t>
  </si>
  <si>
    <t>DF = exp( -r*T)</t>
  </si>
  <si>
    <t>What if the question is the interest rate?</t>
  </si>
  <si>
    <t>r = m *( (MT/M0) ^(1/(m*T)) -1)</t>
  </si>
  <si>
    <t>r = ln(MT/M0) / T</t>
  </si>
  <si>
    <t>r = m *( DF ^( -1/(m*T)) -1)</t>
  </si>
  <si>
    <t>r = - ln(DF) / T</t>
  </si>
  <si>
    <t>Problem 1.1</t>
  </si>
  <si>
    <t>a)</t>
  </si>
  <si>
    <t>b)</t>
  </si>
  <si>
    <t>c)</t>
  </si>
  <si>
    <t>Problem 1.2</t>
  </si>
  <si>
    <t>r(annual)</t>
  </si>
  <si>
    <t>Problem 1.3</t>
  </si>
  <si>
    <t>r(cont)</t>
  </si>
  <si>
    <t>Problem 1.4</t>
  </si>
  <si>
    <t>Problem 1.5</t>
  </si>
  <si>
    <t>r(quarterly)</t>
  </si>
  <si>
    <t>interest</t>
  </si>
  <si>
    <t>N</t>
  </si>
  <si>
    <t>couprate</t>
  </si>
  <si>
    <t>CF</t>
  </si>
  <si>
    <t>PV(CF)</t>
  </si>
  <si>
    <t>Fixed coupon bond pricing</t>
  </si>
  <si>
    <t>Floating rate bond pricing</t>
  </si>
  <si>
    <t>LIBOR</t>
  </si>
  <si>
    <t>?</t>
  </si>
  <si>
    <t>?+100</t>
  </si>
  <si>
    <t>Hmmm... Seems impossible...</t>
  </si>
  <si>
    <t>BUT!</t>
  </si>
  <si>
    <t>LIBOR FIXED</t>
  </si>
  <si>
    <t>Value of bond after coupon payment</t>
  </si>
  <si>
    <t>Effective CF</t>
  </si>
  <si>
    <t>Bond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</si>
</sst>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" fontId="0" fillId="0" borderId="0" xfId="0" applyNumberFormat="1"/>
    <xf numFmtId="10" fontId="0" fillId="4" borderId="0" xfId="1" applyNumberFormat="1" applyFont="1" applyFill="1"/>
    <xf numFmtId="9" fontId="0" fillId="2" borderId="0" xfId="0" applyNumberFormat="1" applyFill="1"/>
    <xf numFmtId="164" fontId="0" fillId="4" borderId="0" xfId="0" applyNumberFormat="1" applyFill="1"/>
    <xf numFmtId="164" fontId="0" fillId="2" borderId="0" xfId="0" applyNumberFormat="1" applyFill="1"/>
    <xf numFmtId="2" fontId="0" fillId="4" borderId="0" xfId="0" applyNumberFormat="1" applyFill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5D26-39C8-4B55-9504-B04B05905B03}">
  <dimension ref="A2:V20"/>
  <sheetViews>
    <sheetView tabSelected="1" zoomScale="130" zoomScaleNormal="130" workbookViewId="0">
      <selection activeCell="F10" sqref="F10"/>
    </sheetView>
  </sheetViews>
  <sheetFormatPr defaultRowHeight="15" x14ac:dyDescent="0.25"/>
  <sheetData>
    <row r="2" spans="1:22" x14ac:dyDescent="0.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M2" s="4" t="s">
        <v>21</v>
      </c>
      <c r="N2" s="4"/>
      <c r="O2" s="4"/>
      <c r="P2" s="4"/>
    </row>
    <row r="3" spans="1:22" x14ac:dyDescent="0.25">
      <c r="A3" t="s">
        <v>0</v>
      </c>
      <c r="B3" t="s">
        <v>2</v>
      </c>
      <c r="C3" t="s">
        <v>4</v>
      </c>
      <c r="D3" t="s">
        <v>6</v>
      </c>
      <c r="E3" t="s">
        <v>8</v>
      </c>
    </row>
    <row r="4" spans="1:22" x14ac:dyDescent="0.25">
      <c r="A4" t="s">
        <v>1</v>
      </c>
      <c r="B4" t="s">
        <v>3</v>
      </c>
      <c r="C4" t="s">
        <v>5</v>
      </c>
      <c r="D4" t="s">
        <v>7</v>
      </c>
      <c r="E4" t="s">
        <v>9</v>
      </c>
      <c r="M4" t="s">
        <v>3</v>
      </c>
      <c r="N4" t="s">
        <v>5</v>
      </c>
      <c r="O4" t="s">
        <v>7</v>
      </c>
      <c r="P4" t="s">
        <v>9</v>
      </c>
      <c r="Q4" t="s">
        <v>1</v>
      </c>
    </row>
    <row r="5" spans="1:22" x14ac:dyDescent="0.25">
      <c r="A5" s="1">
        <v>0.1</v>
      </c>
      <c r="B5" s="1">
        <v>2</v>
      </c>
      <c r="C5" s="1">
        <v>3</v>
      </c>
      <c r="D5" s="1">
        <v>100</v>
      </c>
      <c r="E5" s="3">
        <f>D5*(1+A5/B5)^(B5*C5)</f>
        <v>134.0095640625</v>
      </c>
      <c r="G5" s="2" t="s">
        <v>10</v>
      </c>
      <c r="H5" s="2"/>
      <c r="I5" s="2"/>
      <c r="M5" s="1">
        <v>2</v>
      </c>
      <c r="N5" s="1">
        <v>3</v>
      </c>
      <c r="O5" s="1">
        <v>100</v>
      </c>
      <c r="P5" s="1">
        <v>134.01</v>
      </c>
      <c r="Q5" s="3">
        <f>M5*((P5/O5)^(1/(M5*N5))-1)</f>
        <v>0.10000113855991755</v>
      </c>
      <c r="S5" s="2" t="s">
        <v>22</v>
      </c>
      <c r="T5" s="2"/>
      <c r="U5" s="2"/>
      <c r="V5" s="2"/>
    </row>
    <row r="7" spans="1:22" x14ac:dyDescent="0.25">
      <c r="A7" s="4" t="s">
        <v>15</v>
      </c>
      <c r="B7" s="4"/>
      <c r="C7" s="4"/>
      <c r="D7" s="4"/>
      <c r="E7" s="4"/>
      <c r="F7" s="4"/>
      <c r="G7" s="4"/>
      <c r="H7" s="4"/>
      <c r="I7" s="4"/>
      <c r="J7" s="4"/>
      <c r="M7" s="4" t="s">
        <v>21</v>
      </c>
      <c r="N7" s="4"/>
      <c r="O7" s="4"/>
      <c r="P7" s="4"/>
    </row>
    <row r="8" spans="1:22" x14ac:dyDescent="0.25">
      <c r="A8" t="s">
        <v>0</v>
      </c>
      <c r="B8" t="s">
        <v>4</v>
      </c>
      <c r="C8" t="s">
        <v>6</v>
      </c>
      <c r="D8" t="s">
        <v>8</v>
      </c>
    </row>
    <row r="9" spans="1:22" x14ac:dyDescent="0.25">
      <c r="A9" t="s">
        <v>1</v>
      </c>
      <c r="B9" t="s">
        <v>5</v>
      </c>
      <c r="C9" t="s">
        <v>7</v>
      </c>
      <c r="D9" t="s">
        <v>9</v>
      </c>
      <c r="M9" t="s">
        <v>5</v>
      </c>
      <c r="N9" t="s">
        <v>7</v>
      </c>
      <c r="O9" t="s">
        <v>9</v>
      </c>
      <c r="P9" t="s">
        <v>1</v>
      </c>
    </row>
    <row r="10" spans="1:22" x14ac:dyDescent="0.25">
      <c r="A10" s="1">
        <v>0.1</v>
      </c>
      <c r="B10" s="1">
        <v>2</v>
      </c>
      <c r="C10" s="1">
        <v>400</v>
      </c>
      <c r="D10" s="3">
        <f>C10*EXP(A10*B10)</f>
        <v>488.56110326406792</v>
      </c>
      <c r="G10" s="2" t="s">
        <v>16</v>
      </c>
      <c r="H10" s="2"/>
      <c r="I10" s="2"/>
      <c r="M10" s="1">
        <v>2</v>
      </c>
      <c r="N10" s="1">
        <v>400</v>
      </c>
      <c r="O10" s="1">
        <v>488.56110326406792</v>
      </c>
      <c r="P10" s="3">
        <f>LN(O10/N10)/M10</f>
        <v>0.1</v>
      </c>
      <c r="S10" s="2" t="s">
        <v>23</v>
      </c>
      <c r="T10" s="2"/>
      <c r="U10" s="2"/>
      <c r="V10" s="2"/>
    </row>
    <row r="12" spans="1:22" x14ac:dyDescent="0.25">
      <c r="A12" s="4" t="s">
        <v>18</v>
      </c>
      <c r="B12" s="4"/>
      <c r="C12" s="4"/>
      <c r="D12" s="4"/>
      <c r="E12" s="4"/>
      <c r="F12" s="4"/>
      <c r="G12" s="4"/>
      <c r="H12" s="4"/>
      <c r="I12" s="4"/>
      <c r="J12" s="4"/>
      <c r="K12" s="4"/>
      <c r="M12" s="4" t="s">
        <v>21</v>
      </c>
      <c r="N12" s="4"/>
      <c r="O12" s="4"/>
      <c r="P12" s="4"/>
    </row>
    <row r="13" spans="1:22" x14ac:dyDescent="0.25">
      <c r="A13" t="s">
        <v>0</v>
      </c>
      <c r="B13" t="s">
        <v>2</v>
      </c>
      <c r="C13" t="s">
        <v>11</v>
      </c>
      <c r="D13" t="s">
        <v>12</v>
      </c>
    </row>
    <row r="14" spans="1:22" x14ac:dyDescent="0.25">
      <c r="A14" t="s">
        <v>1</v>
      </c>
      <c r="B14" t="s">
        <v>3</v>
      </c>
      <c r="C14" t="s">
        <v>5</v>
      </c>
      <c r="D14" t="s">
        <v>13</v>
      </c>
      <c r="M14" t="s">
        <v>3</v>
      </c>
      <c r="N14" t="s">
        <v>5</v>
      </c>
      <c r="O14" t="s">
        <v>13</v>
      </c>
      <c r="P14" t="s">
        <v>1</v>
      </c>
    </row>
    <row r="15" spans="1:22" x14ac:dyDescent="0.25">
      <c r="A15" s="1">
        <v>0.1</v>
      </c>
      <c r="B15" s="1">
        <v>2</v>
      </c>
      <c r="C15" s="1">
        <v>3</v>
      </c>
      <c r="D15" s="3">
        <f>(1+A15/B15)^(-B15*C15)</f>
        <v>0.74621539663662761</v>
      </c>
      <c r="G15" s="2" t="s">
        <v>14</v>
      </c>
      <c r="H15" s="2"/>
      <c r="I15" s="2"/>
      <c r="M15" s="1">
        <v>2</v>
      </c>
      <c r="N15" s="1">
        <v>3</v>
      </c>
      <c r="O15" s="1">
        <v>0.74621539663662761</v>
      </c>
      <c r="P15" s="3">
        <f>M15*(O15^(-1/(M15*N15)) -1)</f>
        <v>0.10000000000000009</v>
      </c>
      <c r="S15" s="2" t="s">
        <v>24</v>
      </c>
      <c r="T15" s="2"/>
      <c r="U15" s="2"/>
      <c r="V15" s="2"/>
    </row>
    <row r="17" spans="1:22" x14ac:dyDescent="0.25">
      <c r="A17" s="4" t="s">
        <v>19</v>
      </c>
      <c r="B17" s="4"/>
      <c r="C17" s="4"/>
      <c r="D17" s="4"/>
      <c r="E17" s="4"/>
      <c r="F17" s="4"/>
      <c r="G17" s="4"/>
      <c r="H17" s="4"/>
      <c r="I17" s="4"/>
      <c r="J17" s="4"/>
      <c r="K17" s="4"/>
      <c r="M17" s="4" t="s">
        <v>21</v>
      </c>
      <c r="N17" s="4"/>
      <c r="O17" s="4"/>
      <c r="P17" s="4"/>
    </row>
    <row r="18" spans="1:22" x14ac:dyDescent="0.25">
      <c r="A18" t="s">
        <v>0</v>
      </c>
      <c r="B18" t="s">
        <v>2</v>
      </c>
      <c r="C18" t="s">
        <v>11</v>
      </c>
      <c r="D18" t="s">
        <v>12</v>
      </c>
    </row>
    <row r="19" spans="1:22" x14ac:dyDescent="0.25">
      <c r="A19" t="s">
        <v>1</v>
      </c>
      <c r="B19" t="s">
        <v>5</v>
      </c>
      <c r="C19" t="s">
        <v>13</v>
      </c>
      <c r="M19" t="s">
        <v>5</v>
      </c>
      <c r="N19" t="s">
        <v>13</v>
      </c>
      <c r="O19" t="s">
        <v>1</v>
      </c>
    </row>
    <row r="20" spans="1:22" x14ac:dyDescent="0.25">
      <c r="A20" s="1">
        <v>0.1</v>
      </c>
      <c r="B20" s="1">
        <v>5</v>
      </c>
      <c r="C20" s="3">
        <f>EXP(-A20*B20)</f>
        <v>0.60653065971263342</v>
      </c>
      <c r="G20" s="2" t="s">
        <v>20</v>
      </c>
      <c r="H20" s="2"/>
      <c r="I20" s="2"/>
      <c r="M20" s="1">
        <v>5</v>
      </c>
      <c r="N20" s="1">
        <v>0.60653065971263342</v>
      </c>
      <c r="O20" s="3">
        <f>-LN(N20)/M20</f>
        <v>0.1</v>
      </c>
      <c r="S20" s="2" t="s">
        <v>25</v>
      </c>
      <c r="T20" s="2"/>
      <c r="U20" s="2"/>
      <c r="V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0F41-ED95-45AB-9A9D-B73667F790BA}">
  <dimension ref="A2:J62"/>
  <sheetViews>
    <sheetView topLeftCell="A22" zoomScale="130" zoomScaleNormal="130" workbookViewId="0">
      <selection activeCell="F40" sqref="F40"/>
    </sheetView>
  </sheetViews>
  <sheetFormatPr defaultRowHeight="15" x14ac:dyDescent="0.25"/>
  <cols>
    <col min="5" max="5" width="13.140625" bestFit="1" customWidth="1"/>
  </cols>
  <sheetData>
    <row r="2" spans="1:10" x14ac:dyDescent="0.25">
      <c r="A2" s="5" t="s">
        <v>26</v>
      </c>
      <c r="C2" t="s">
        <v>27</v>
      </c>
    </row>
    <row r="3" spans="1:10" x14ac:dyDescent="0.25">
      <c r="A3" t="s">
        <v>3</v>
      </c>
      <c r="B3" t="s">
        <v>5</v>
      </c>
      <c r="C3" t="s">
        <v>7</v>
      </c>
      <c r="D3" t="s">
        <v>9</v>
      </c>
      <c r="E3" t="s">
        <v>1</v>
      </c>
    </row>
    <row r="4" spans="1:10" x14ac:dyDescent="0.25">
      <c r="A4" s="1">
        <v>1</v>
      </c>
      <c r="B4" s="1">
        <v>1</v>
      </c>
      <c r="C4" s="1">
        <v>1000</v>
      </c>
      <c r="D4" s="1">
        <v>1100</v>
      </c>
      <c r="E4" s="6">
        <f>A4*((D4/C4)^(1/(A4*B4))-1)</f>
        <v>0.10000000000000009</v>
      </c>
      <c r="G4" s="2" t="s">
        <v>22</v>
      </c>
      <c r="H4" s="2"/>
      <c r="I4" s="2"/>
      <c r="J4" s="2"/>
    </row>
    <row r="5" spans="1:10" x14ac:dyDescent="0.25">
      <c r="C5" t="s">
        <v>28</v>
      </c>
    </row>
    <row r="6" spans="1:10" x14ac:dyDescent="0.25">
      <c r="A6" t="s">
        <v>3</v>
      </c>
      <c r="B6" t="s">
        <v>5</v>
      </c>
      <c r="C6" t="s">
        <v>7</v>
      </c>
      <c r="D6" t="s">
        <v>9</v>
      </c>
      <c r="E6" t="s">
        <v>1</v>
      </c>
    </row>
    <row r="7" spans="1:10" x14ac:dyDescent="0.25">
      <c r="A7" s="1">
        <v>12</v>
      </c>
      <c r="B7" s="1">
        <v>1</v>
      </c>
      <c r="C7" s="1">
        <v>1000</v>
      </c>
      <c r="D7" s="1">
        <v>1100</v>
      </c>
      <c r="E7" s="6">
        <f>A7*((D7/C7)^(1/(A7*B7))-1)</f>
        <v>9.5689685146845171E-2</v>
      </c>
      <c r="G7" s="2" t="s">
        <v>22</v>
      </c>
      <c r="H7" s="2"/>
      <c r="I7" s="2"/>
      <c r="J7" s="2"/>
    </row>
    <row r="8" spans="1:10" x14ac:dyDescent="0.25">
      <c r="C8" t="s">
        <v>29</v>
      </c>
    </row>
    <row r="9" spans="1:10" x14ac:dyDescent="0.25">
      <c r="A9" t="s">
        <v>5</v>
      </c>
      <c r="B9" t="s">
        <v>7</v>
      </c>
      <c r="C9" t="s">
        <v>9</v>
      </c>
      <c r="E9" t="s">
        <v>1</v>
      </c>
    </row>
    <row r="10" spans="1:10" x14ac:dyDescent="0.25">
      <c r="A10" s="1">
        <v>1</v>
      </c>
      <c r="B10" s="1">
        <v>1000</v>
      </c>
      <c r="C10" s="1">
        <v>1100</v>
      </c>
      <c r="E10" s="6">
        <f>LN(C10/B10)/A10</f>
        <v>9.5310179804324935E-2</v>
      </c>
      <c r="G10" s="2" t="s">
        <v>23</v>
      </c>
      <c r="H10" s="2"/>
      <c r="I10" s="2"/>
      <c r="J10" s="2"/>
    </row>
    <row r="13" spans="1:10" x14ac:dyDescent="0.25">
      <c r="A13" t="s">
        <v>30</v>
      </c>
    </row>
    <row r="14" spans="1:10" x14ac:dyDescent="0.25">
      <c r="A14" t="s">
        <v>31</v>
      </c>
      <c r="B14" t="s">
        <v>3</v>
      </c>
      <c r="C14" t="s">
        <v>5</v>
      </c>
      <c r="D14" t="s">
        <v>13</v>
      </c>
    </row>
    <row r="15" spans="1:10" x14ac:dyDescent="0.25">
      <c r="A15" s="7">
        <v>0.05</v>
      </c>
      <c r="B15" s="1">
        <v>1</v>
      </c>
      <c r="C15" s="1">
        <v>1</v>
      </c>
      <c r="D15" s="8">
        <f>(1+A15/B15)^(-B15*C15)</f>
        <v>0.95238095238095233</v>
      </c>
      <c r="G15" s="2" t="s">
        <v>14</v>
      </c>
      <c r="H15" s="2"/>
      <c r="I15" s="2"/>
    </row>
    <row r="16" spans="1:10" x14ac:dyDescent="0.25">
      <c r="A16" s="7">
        <v>0.06</v>
      </c>
      <c r="B16" s="1">
        <v>1</v>
      </c>
      <c r="C16" s="1">
        <v>2</v>
      </c>
      <c r="D16" s="8">
        <f t="shared" ref="D16:D17" si="0">(1+A16/B16)^(-B16*C16)</f>
        <v>0.88999644001423983</v>
      </c>
    </row>
    <row r="17" spans="1:9" x14ac:dyDescent="0.25">
      <c r="A17" s="7">
        <v>7.0000000000000007E-2</v>
      </c>
      <c r="B17" s="1">
        <v>1</v>
      </c>
      <c r="C17" s="1">
        <v>3</v>
      </c>
      <c r="D17" s="8">
        <f t="shared" si="0"/>
        <v>0.81629787689085187</v>
      </c>
    </row>
    <row r="20" spans="1:9" x14ac:dyDescent="0.25">
      <c r="A20" t="s">
        <v>32</v>
      </c>
    </row>
    <row r="21" spans="1:9" x14ac:dyDescent="0.25">
      <c r="A21" t="s">
        <v>5</v>
      </c>
      <c r="B21" t="s">
        <v>13</v>
      </c>
      <c r="C21" t="s">
        <v>33</v>
      </c>
    </row>
    <row r="22" spans="1:9" x14ac:dyDescent="0.25">
      <c r="A22" s="1">
        <v>1</v>
      </c>
      <c r="B22" s="1">
        <v>0.94</v>
      </c>
      <c r="C22" s="6">
        <f>-LN(B22)/A22</f>
        <v>6.1875403718087529E-2</v>
      </c>
      <c r="G22" s="2" t="s">
        <v>25</v>
      </c>
      <c r="H22" s="2"/>
      <c r="I22" s="2"/>
    </row>
    <row r="23" spans="1:9" x14ac:dyDescent="0.25">
      <c r="A23" s="1">
        <v>2</v>
      </c>
      <c r="B23" s="1">
        <v>0.89</v>
      </c>
      <c r="C23" s="6">
        <f>-LN(B23)/A23</f>
        <v>5.8266908127975754E-2</v>
      </c>
    </row>
    <row r="24" spans="1:9" x14ac:dyDescent="0.25">
      <c r="A24" s="1">
        <v>3</v>
      </c>
      <c r="B24" s="1">
        <v>0.84</v>
      </c>
      <c r="C24" s="6">
        <f t="shared" ref="C24" si="1">-LN(B24)/A24</f>
        <v>5.8117795714925931E-2</v>
      </c>
    </row>
    <row r="27" spans="1:9" x14ac:dyDescent="0.25">
      <c r="A27" t="s">
        <v>34</v>
      </c>
    </row>
    <row r="28" spans="1:9" x14ac:dyDescent="0.25">
      <c r="A28" t="s">
        <v>36</v>
      </c>
      <c r="B28" t="s">
        <v>3</v>
      </c>
      <c r="C28" t="s">
        <v>5</v>
      </c>
      <c r="D28" t="s">
        <v>13</v>
      </c>
    </row>
    <row r="29" spans="1:9" x14ac:dyDescent="0.25">
      <c r="A29" s="7">
        <v>7.0000000000000007E-2</v>
      </c>
      <c r="B29" s="1">
        <v>4</v>
      </c>
      <c r="C29" s="1">
        <v>1</v>
      </c>
      <c r="D29" s="8">
        <f>(1+A29/B29)^(-B29*C29)</f>
        <v>0.93295850555772986</v>
      </c>
    </row>
    <row r="30" spans="1:9" x14ac:dyDescent="0.25">
      <c r="A30" t="s">
        <v>3</v>
      </c>
      <c r="B30" t="s">
        <v>5</v>
      </c>
      <c r="C30" t="s">
        <v>13</v>
      </c>
      <c r="D30" t="s">
        <v>31</v>
      </c>
    </row>
    <row r="31" spans="1:9" x14ac:dyDescent="0.25">
      <c r="A31" s="1">
        <v>1</v>
      </c>
      <c r="B31" s="1">
        <v>1</v>
      </c>
      <c r="C31" s="9">
        <f>D29</f>
        <v>0.93295850555772986</v>
      </c>
      <c r="D31" s="6">
        <f>A31*(C31^(-1/(A31*B31)) -1)</f>
        <v>7.1859031289062791E-2</v>
      </c>
    </row>
    <row r="32" spans="1:9" x14ac:dyDescent="0.25">
      <c r="A32" t="s">
        <v>5</v>
      </c>
      <c r="B32" t="s">
        <v>13</v>
      </c>
      <c r="C32" t="s">
        <v>33</v>
      </c>
    </row>
    <row r="33" spans="1:7" x14ac:dyDescent="0.25">
      <c r="A33" s="1">
        <v>1</v>
      </c>
      <c r="B33" s="9">
        <f>D29</f>
        <v>0.93295850555772986</v>
      </c>
      <c r="C33" s="6">
        <f>-LN(B33)/A33</f>
        <v>6.939455333845225E-2</v>
      </c>
    </row>
    <row r="36" spans="1:7" x14ac:dyDescent="0.25">
      <c r="A36" t="s">
        <v>35</v>
      </c>
    </row>
    <row r="37" spans="1:7" x14ac:dyDescent="0.25">
      <c r="A37" t="s">
        <v>33</v>
      </c>
      <c r="B37" t="s">
        <v>5</v>
      </c>
      <c r="C37" t="s">
        <v>13</v>
      </c>
    </row>
    <row r="38" spans="1:7" x14ac:dyDescent="0.25">
      <c r="A38" s="7">
        <v>0.12</v>
      </c>
      <c r="B38" s="1">
        <v>1</v>
      </c>
      <c r="C38" s="8">
        <f>EXP(-A38*B38)</f>
        <v>0.88692043671715748</v>
      </c>
    </row>
    <row r="39" spans="1:7" x14ac:dyDescent="0.25">
      <c r="A39" t="s">
        <v>3</v>
      </c>
      <c r="B39" t="s">
        <v>5</v>
      </c>
      <c r="C39" t="s">
        <v>13</v>
      </c>
      <c r="D39" t="s">
        <v>1</v>
      </c>
      <c r="E39" t="s">
        <v>7</v>
      </c>
      <c r="F39" t="s">
        <v>37</v>
      </c>
    </row>
    <row r="40" spans="1:7" x14ac:dyDescent="0.25">
      <c r="A40" s="1">
        <v>4</v>
      </c>
      <c r="B40" s="1">
        <v>1</v>
      </c>
      <c r="C40" s="9">
        <f>C38</f>
        <v>0.88692043671715748</v>
      </c>
      <c r="D40" s="6">
        <f>A40*(C40^(-1/(A40*B40)) -1)</f>
        <v>0.12181813581406775</v>
      </c>
      <c r="E40" s="1">
        <v>10000</v>
      </c>
      <c r="F40" s="10">
        <f>D40/A40*E40</f>
        <v>304.54533953516938</v>
      </c>
    </row>
    <row r="43" spans="1:7" x14ac:dyDescent="0.25">
      <c r="A43" t="s">
        <v>42</v>
      </c>
    </row>
    <row r="44" spans="1:7" x14ac:dyDescent="0.25">
      <c r="A44" t="s">
        <v>38</v>
      </c>
      <c r="B44" t="s">
        <v>39</v>
      </c>
      <c r="C44" t="s">
        <v>5</v>
      </c>
      <c r="D44" t="s">
        <v>31</v>
      </c>
      <c r="E44" t="s">
        <v>40</v>
      </c>
      <c r="F44" t="s">
        <v>13</v>
      </c>
      <c r="G44" t="s">
        <v>41</v>
      </c>
    </row>
    <row r="45" spans="1:7" x14ac:dyDescent="0.25">
      <c r="A45">
        <v>100</v>
      </c>
      <c r="B45" s="11">
        <v>0.09</v>
      </c>
      <c r="C45" s="1">
        <v>1</v>
      </c>
      <c r="D45" s="7">
        <v>0.05</v>
      </c>
      <c r="E45">
        <f>$A$45*$B$45</f>
        <v>9</v>
      </c>
      <c r="F45">
        <f>(1+D45)^(-C45)</f>
        <v>0.95238095238095233</v>
      </c>
      <c r="G45">
        <f>E45*F45</f>
        <v>8.5714285714285712</v>
      </c>
    </row>
    <row r="46" spans="1:7" x14ac:dyDescent="0.25">
      <c r="C46" s="1">
        <v>2</v>
      </c>
      <c r="D46" s="7">
        <v>0.06</v>
      </c>
      <c r="E46">
        <f t="shared" ref="E46" si="2">$A$45*$B$45</f>
        <v>9</v>
      </c>
      <c r="F46">
        <f t="shared" ref="F46:F47" si="3">(1+D46)^(-C46)</f>
        <v>0.88999644001423983</v>
      </c>
      <c r="G46">
        <f t="shared" ref="G46:G47" si="4">E46*F46</f>
        <v>8.0099679601281579</v>
      </c>
    </row>
    <row r="47" spans="1:7" x14ac:dyDescent="0.25">
      <c r="C47" s="1">
        <v>3</v>
      </c>
      <c r="D47" s="7">
        <v>7.0000000000000007E-2</v>
      </c>
      <c r="E47">
        <f>$A$45*$B$45+$A$45</f>
        <v>109</v>
      </c>
      <c r="F47">
        <f t="shared" si="3"/>
        <v>0.81629787689085187</v>
      </c>
      <c r="G47">
        <f t="shared" si="4"/>
        <v>88.97646858110285</v>
      </c>
    </row>
    <row r="48" spans="1:7" x14ac:dyDescent="0.25">
      <c r="G48" t="s">
        <v>52</v>
      </c>
    </row>
    <row r="49" spans="1:9" x14ac:dyDescent="0.25">
      <c r="G49" s="3">
        <f>SUM(G45:G47)</f>
        <v>105.55786511265958</v>
      </c>
    </row>
    <row r="51" spans="1:9" x14ac:dyDescent="0.25">
      <c r="A51" t="s">
        <v>43</v>
      </c>
    </row>
    <row r="52" spans="1:9" x14ac:dyDescent="0.25">
      <c r="A52" t="s">
        <v>38</v>
      </c>
      <c r="B52" t="s">
        <v>5</v>
      </c>
      <c r="C52" t="s">
        <v>44</v>
      </c>
      <c r="D52" t="s">
        <v>40</v>
      </c>
    </row>
    <row r="53" spans="1:9" x14ac:dyDescent="0.25">
      <c r="A53" s="1">
        <v>100</v>
      </c>
      <c r="B53" s="1">
        <v>0</v>
      </c>
      <c r="C53" s="7">
        <v>0.04</v>
      </c>
      <c r="D53">
        <v>0</v>
      </c>
    </row>
    <row r="54" spans="1:9" x14ac:dyDescent="0.25">
      <c r="B54" s="1">
        <v>0.5</v>
      </c>
      <c r="C54" t="s">
        <v>45</v>
      </c>
      <c r="D54" s="3">
        <f>A53*C53*0.5</f>
        <v>2</v>
      </c>
      <c r="F54" t="s">
        <v>47</v>
      </c>
    </row>
    <row r="55" spans="1:9" x14ac:dyDescent="0.25">
      <c r="B55" s="1">
        <v>1</v>
      </c>
      <c r="C55" t="s">
        <v>45</v>
      </c>
      <c r="D55" t="s">
        <v>45</v>
      </c>
    </row>
    <row r="56" spans="1:9" x14ac:dyDescent="0.25">
      <c r="B56" s="1">
        <v>1.5</v>
      </c>
      <c r="C56" t="s">
        <v>45</v>
      </c>
      <c r="D56" t="s">
        <v>45</v>
      </c>
    </row>
    <row r="57" spans="1:9" x14ac:dyDescent="0.25">
      <c r="B57" s="1">
        <v>2</v>
      </c>
      <c r="D57" t="s">
        <v>46</v>
      </c>
    </row>
    <row r="59" spans="1:9" x14ac:dyDescent="0.25">
      <c r="A59" t="s">
        <v>48</v>
      </c>
    </row>
    <row r="60" spans="1:9" x14ac:dyDescent="0.25">
      <c r="A60" t="s">
        <v>38</v>
      </c>
      <c r="B60" t="s">
        <v>49</v>
      </c>
    </row>
    <row r="61" spans="1:9" x14ac:dyDescent="0.25">
      <c r="A61">
        <v>100</v>
      </c>
      <c r="B61" s="11">
        <v>0.04</v>
      </c>
      <c r="C61" t="s">
        <v>5</v>
      </c>
      <c r="D61" t="s">
        <v>1</v>
      </c>
      <c r="E61" t="s">
        <v>40</v>
      </c>
      <c r="F61" t="s">
        <v>50</v>
      </c>
      <c r="G61" t="s">
        <v>51</v>
      </c>
      <c r="H61" t="s">
        <v>13</v>
      </c>
      <c r="I61" t="s">
        <v>52</v>
      </c>
    </row>
    <row r="62" spans="1:9" x14ac:dyDescent="0.25">
      <c r="C62">
        <v>0.25</v>
      </c>
      <c r="D62" s="11">
        <v>0.02</v>
      </c>
      <c r="E62">
        <f>A61*B61*0.5</f>
        <v>2</v>
      </c>
      <c r="F62">
        <f>A61</f>
        <v>100</v>
      </c>
      <c r="G62">
        <f>E62+F62</f>
        <v>102</v>
      </c>
      <c r="H62">
        <f>(1+D62)^(-C62)</f>
        <v>0.99506157747984325</v>
      </c>
      <c r="I62" s="3">
        <f>G62*H62</f>
        <v>101.49628090294401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Formulae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Bihary  Zsolt</cp:lastModifiedBy>
  <dcterms:created xsi:type="dcterms:W3CDTF">2022-09-10T07:43:57Z</dcterms:created>
  <dcterms:modified xsi:type="dcterms:W3CDTF">2023-09-11T07:09:24Z</dcterms:modified>
</cp:coreProperties>
</file>