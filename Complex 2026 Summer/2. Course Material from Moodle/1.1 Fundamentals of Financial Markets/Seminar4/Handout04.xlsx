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corle\Desktop\FF\Week4\"/>
    </mc:Choice>
  </mc:AlternateContent>
  <xr:revisionPtr revIDLastSave="0" documentId="13_ncr:1_{D61D1265-475E-4CDB-AAB9-8608ED8F34CA}" xr6:coauthVersionLast="47" xr6:coauthVersionMax="47" xr10:uidLastSave="{00000000-0000-0000-0000-000000000000}"/>
  <bookViews>
    <workbookView xWindow="-110" yWindow="-110" windowWidth="19420" windowHeight="10300" firstSheet="3" activeTab="8" xr2:uid="{00000000-000D-0000-FFFF-FFFF00000000}"/>
  </bookViews>
  <sheets>
    <sheet name="Problem4.1" sheetId="8" r:id="rId1"/>
    <sheet name="Problem4.2" sheetId="9" r:id="rId2"/>
    <sheet name="Problem4.3" sheetId="12" r:id="rId3"/>
    <sheet name="Problem4.4" sheetId="10" r:id="rId4"/>
    <sheet name="Problem4.5" sheetId="13" r:id="rId5"/>
    <sheet name="Problem4.6" sheetId="15" r:id="rId6"/>
    <sheet name="Problem4.7" sheetId="16" r:id="rId7"/>
    <sheet name="Problem4.8" sheetId="14" r:id="rId8"/>
    <sheet name="Problem4.9" sheetId="1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7" l="1"/>
  <c r="B38" i="17"/>
  <c r="F32" i="17"/>
  <c r="H13" i="17"/>
  <c r="D14" i="17"/>
  <c r="C15" i="17"/>
  <c r="D15" i="17" s="1"/>
  <c r="D18" i="17" s="1"/>
  <c r="C13" i="17"/>
  <c r="D13" i="17" s="1"/>
  <c r="C14" i="17"/>
  <c r="C12" i="17"/>
  <c r="D12" i="17" s="1"/>
  <c r="B15" i="17"/>
  <c r="G13" i="17"/>
  <c r="I13" i="17" s="1"/>
  <c r="H12" i="17"/>
  <c r="G12" i="17"/>
  <c r="I12" i="17" s="1"/>
  <c r="F25" i="17"/>
  <c r="C28" i="17"/>
  <c r="G25" i="17" s="1"/>
  <c r="C27" i="17"/>
  <c r="G24" i="17" s="1"/>
  <c r="H24" i="17" s="1"/>
  <c r="C26" i="17"/>
  <c r="G32" i="17" s="1"/>
  <c r="F11" i="16"/>
  <c r="C25" i="16"/>
  <c r="C24" i="16"/>
  <c r="C16" i="16"/>
  <c r="C15" i="16"/>
  <c r="C14" i="16"/>
  <c r="F11" i="15"/>
  <c r="I16" i="17" l="1"/>
  <c r="G23" i="17"/>
  <c r="H23" i="17" s="1"/>
  <c r="C19" i="16"/>
  <c r="C22" i="16" s="1"/>
  <c r="G11" i="16" s="1"/>
  <c r="H11" i="16" s="1"/>
  <c r="H14" i="16" s="1"/>
  <c r="H32" i="17"/>
  <c r="H35" i="17" s="1"/>
  <c r="J35" i="17" s="1"/>
  <c r="H25" i="17"/>
  <c r="H28" i="17" s="1"/>
  <c r="J28" i="17" s="1"/>
  <c r="C18" i="16"/>
  <c r="C21" i="16" s="1"/>
  <c r="C12" i="15"/>
  <c r="C14" i="15" s="1"/>
  <c r="C16" i="15" s="1"/>
  <c r="G11" i="15" s="1"/>
  <c r="C66" i="14"/>
  <c r="C65" i="14"/>
  <c r="C60" i="14"/>
  <c r="C63" i="14" s="1"/>
  <c r="G53" i="14" s="1"/>
  <c r="C59" i="14"/>
  <c r="C62" i="14" s="1"/>
  <c r="C57" i="14"/>
  <c r="C56" i="14"/>
  <c r="C55" i="14"/>
  <c r="J62" i="14"/>
  <c r="C40" i="14"/>
  <c r="C44" i="14" s="1"/>
  <c r="C48" i="14" s="1"/>
  <c r="C39" i="14"/>
  <c r="C43" i="14" s="1"/>
  <c r="C47" i="14" s="1"/>
  <c r="G36" i="14" s="1"/>
  <c r="C38" i="14"/>
  <c r="C42" i="14" s="1"/>
  <c r="C46" i="14" s="1"/>
  <c r="G28" i="14"/>
  <c r="J24" i="14"/>
  <c r="J38" i="14" s="1"/>
  <c r="J55" i="14" s="1"/>
  <c r="G22" i="14"/>
  <c r="G21" i="14"/>
  <c r="H14" i="14"/>
  <c r="H13" i="14"/>
  <c r="G14" i="14"/>
  <c r="G13" i="14"/>
  <c r="J31" i="14" s="1"/>
  <c r="J45" i="14" s="1"/>
  <c r="C14" i="14"/>
  <c r="C15" i="14"/>
  <c r="C13" i="14"/>
  <c r="B15" i="14"/>
  <c r="F22" i="14" s="1"/>
  <c r="B14" i="14"/>
  <c r="F21" i="14" s="1"/>
  <c r="B13" i="14"/>
  <c r="D13" i="14" s="1"/>
  <c r="G18" i="13"/>
  <c r="I18" i="13" s="1"/>
  <c r="C18" i="13"/>
  <c r="G15" i="13"/>
  <c r="E15" i="13"/>
  <c r="C15" i="13"/>
  <c r="E25" i="12"/>
  <c r="E26" i="12"/>
  <c r="E20" i="12"/>
  <c r="E21" i="12"/>
  <c r="G21" i="12" s="1"/>
  <c r="F26" i="12"/>
  <c r="F25" i="12"/>
  <c r="F21" i="12"/>
  <c r="F20" i="12"/>
  <c r="F15" i="12"/>
  <c r="E15" i="12"/>
  <c r="G15" i="12" s="1"/>
  <c r="C8" i="12"/>
  <c r="D8" i="12" s="1"/>
  <c r="F16" i="12"/>
  <c r="C9" i="12"/>
  <c r="B9" i="12"/>
  <c r="E16" i="12" s="1"/>
  <c r="G16" i="12" s="1"/>
  <c r="C7" i="12"/>
  <c r="D7" i="12" s="1"/>
  <c r="G17" i="10"/>
  <c r="D15" i="10"/>
  <c r="D14" i="10"/>
  <c r="D7" i="10"/>
  <c r="D11" i="10" s="1"/>
  <c r="C9" i="10"/>
  <c r="D9" i="10" s="1"/>
  <c r="C8" i="10"/>
  <c r="D8" i="10" s="1"/>
  <c r="C7" i="10"/>
  <c r="B9" i="10"/>
  <c r="C15" i="10" s="1"/>
  <c r="B8" i="10"/>
  <c r="C14" i="10" s="1"/>
  <c r="B7" i="10"/>
  <c r="F22" i="9"/>
  <c r="F18" i="9"/>
  <c r="F14" i="9"/>
  <c r="E14" i="9"/>
  <c r="G14" i="9" s="1"/>
  <c r="C8" i="9"/>
  <c r="C7" i="9"/>
  <c r="D7" i="9" s="1"/>
  <c r="B8" i="9"/>
  <c r="E18" i="9" s="1"/>
  <c r="B8" i="8"/>
  <c r="B7" i="8"/>
  <c r="G27" i="8"/>
  <c r="G26" i="8"/>
  <c r="G28" i="8" s="1"/>
  <c r="J25" i="8" s="1"/>
  <c r="G21" i="8"/>
  <c r="G20" i="8"/>
  <c r="G22" i="8" s="1"/>
  <c r="J19" i="8" s="1"/>
  <c r="G15" i="8"/>
  <c r="G14" i="8"/>
  <c r="G16" i="8" s="1"/>
  <c r="J13" i="8" s="1"/>
  <c r="C8" i="8"/>
  <c r="D8" i="8" s="1"/>
  <c r="C7" i="8"/>
  <c r="F36" i="14" l="1"/>
  <c r="F53" i="14" s="1"/>
  <c r="H22" i="14"/>
  <c r="H21" i="14"/>
  <c r="H24" i="14" s="1"/>
  <c r="F35" i="14"/>
  <c r="G35" i="14"/>
  <c r="G42" i="14"/>
  <c r="H36" i="14"/>
  <c r="I19" i="12"/>
  <c r="G26" i="12"/>
  <c r="E15" i="10"/>
  <c r="I13" i="14"/>
  <c r="D15" i="14"/>
  <c r="D7" i="8"/>
  <c r="I14" i="14"/>
  <c r="F28" i="14"/>
  <c r="E14" i="10"/>
  <c r="H11" i="15"/>
  <c r="H14" i="15" s="1"/>
  <c r="D8" i="9"/>
  <c r="E22" i="9"/>
  <c r="G22" i="9" s="1"/>
  <c r="H53" i="14"/>
  <c r="G52" i="14"/>
  <c r="G59" i="14"/>
  <c r="D14" i="14"/>
  <c r="D17" i="14" s="1"/>
  <c r="G25" i="12"/>
  <c r="G20" i="12"/>
  <c r="D9" i="12"/>
  <c r="D11" i="12" s="1"/>
  <c r="G18" i="9"/>
  <c r="D10" i="9"/>
  <c r="I13" i="9" s="1"/>
  <c r="D10" i="8"/>
  <c r="E10" i="8" s="1"/>
  <c r="F42" i="14" l="1"/>
  <c r="H28" i="14"/>
  <c r="H31" i="14" s="1"/>
  <c r="L31" i="14" s="1"/>
  <c r="H35" i="14"/>
  <c r="H38" i="14" s="1"/>
  <c r="L38" i="14" s="1"/>
  <c r="F52" i="14"/>
  <c r="H52" i="14" s="1"/>
  <c r="H55" i="14" s="1"/>
  <c r="L55" i="14" s="1"/>
  <c r="I17" i="9"/>
  <c r="J17" i="9" s="1"/>
  <c r="I17" i="14"/>
  <c r="L24" i="14"/>
  <c r="E17" i="10"/>
  <c r="I17" i="10" s="1"/>
  <c r="I24" i="12"/>
  <c r="I21" i="9"/>
  <c r="J21" i="9" s="1"/>
  <c r="I14" i="12"/>
  <c r="J19" i="12" s="1"/>
  <c r="F59" i="14" l="1"/>
  <c r="H59" i="14" s="1"/>
  <c r="H62" i="14" s="1"/>
  <c r="L62" i="14" s="1"/>
  <c r="H42" i="14"/>
  <c r="H45" i="14" s="1"/>
  <c r="L45" i="14" s="1"/>
  <c r="J24" i="12"/>
</calcChain>
</file>

<file path=xl/sharedStrings.xml><?xml version="1.0" encoding="utf-8"?>
<sst xmlns="http://schemas.openxmlformats.org/spreadsheetml/2006/main" count="413" uniqueCount="121">
  <si>
    <t>holding period return</t>
  </si>
  <si>
    <t>T</t>
  </si>
  <si>
    <t>-</t>
  </si>
  <si>
    <t>CF</t>
  </si>
  <si>
    <t>DF</t>
  </si>
  <si>
    <t>b)</t>
  </si>
  <si>
    <t>a)</t>
  </si>
  <si>
    <t>coupon</t>
  </si>
  <si>
    <t>Bond price</t>
  </si>
  <si>
    <t>PV(CF)</t>
  </si>
  <si>
    <t>theoretical price</t>
  </si>
  <si>
    <t>error</t>
  </si>
  <si>
    <t>Par value</t>
  </si>
  <si>
    <t>1-year interest rate next year</t>
  </si>
  <si>
    <t>c)</t>
  </si>
  <si>
    <t>realized compound yield to maturity</t>
  </si>
  <si>
    <t>Future value at maturity</t>
  </si>
  <si>
    <t>yield to maturity on 1-year zero-coupon bonds next year</t>
  </si>
  <si>
    <t>YTM (continous)</t>
  </si>
  <si>
    <t>YTM (annual)</t>
  </si>
  <si>
    <t>Coupon payment</t>
  </si>
  <si>
    <t>T-t</t>
  </si>
  <si>
    <t>Face value</t>
  </si>
  <si>
    <t>P0</t>
  </si>
  <si>
    <t>t</t>
  </si>
  <si>
    <t>P2</t>
  </si>
  <si>
    <t>time to maturity</t>
  </si>
  <si>
    <t>price</t>
  </si>
  <si>
    <t>Bond A</t>
  </si>
  <si>
    <t>Bond B</t>
  </si>
  <si>
    <t>yield curve next year</t>
  </si>
  <si>
    <t>y3 (3)</t>
  </si>
  <si>
    <t>a) the yield curve will be the same as today?</t>
  </si>
  <si>
    <t>b) the whole yield curve (continuos compounding) will increase 5%?</t>
  </si>
  <si>
    <t>c) if the expectations theory of the yield curve is correct?</t>
  </si>
  <si>
    <t>What will be the 1-year holding period return (after coupon payment)</t>
  </si>
  <si>
    <t>First we have to solve a bond pricing problem</t>
  </si>
  <si>
    <t>We have to wright down the pricing equation and have to given equal to the price</t>
  </si>
  <si>
    <t>If the bond price equal to the par value, the YTM equals the coupon rate (if the compoundig rules are consistent)</t>
  </si>
  <si>
    <t>based on a reinvestment rate</t>
  </si>
  <si>
    <t>reinvestment rate equal to the yield to maturity if the realized compound return equals yield to maturity.</t>
  </si>
  <si>
    <t>higher reinvestment rate --&gt; higher realited compound yield to maturity</t>
  </si>
  <si>
    <t>opposite relationship between the next year' YTM and the HPR</t>
  </si>
  <si>
    <t>yield to maturity on 1-year zero-coupon bond is basically the next year's discount factor</t>
  </si>
  <si>
    <t>Longer bonds are more sensitive if the YTM change during the holding period</t>
  </si>
  <si>
    <t>The dynamics of YTM is the main driver of the holding period return</t>
  </si>
  <si>
    <t>Coupon payment is during the holding period so we have to add  to the price change</t>
  </si>
  <si>
    <t>During the holding period the bond change it will be shorter and shorter…</t>
  </si>
  <si>
    <t>We purchased a 5 year bond one year ago</t>
  </si>
  <si>
    <t>Now this bond is a 4 year bond</t>
  </si>
  <si>
    <t>When we sell the bond will be a 3 year zero- coupon bond</t>
  </si>
  <si>
    <t>Different bonds reacts on different ways if the yield curva change ---&gt; the holding period returns will be distinct</t>
  </si>
  <si>
    <t>Now this is a 2 year bond</t>
  </si>
  <si>
    <t>If the yield curve increase then HPR will decrease</t>
  </si>
  <si>
    <t>A bond is longer --&gt; more sensitive to yield curve changing</t>
  </si>
  <si>
    <t>I have to calculate the yield curve</t>
  </si>
  <si>
    <t>The HPR will be equal on different bonds if and only if the yield cruve dynamics is based on implied forward rates</t>
  </si>
  <si>
    <t>If i expect the expectations theory of the yield curve is correct it doesn't matter which one i buy</t>
  </si>
  <si>
    <t>Why is the holding period return exactly 25%</t>
  </si>
  <si>
    <t>It's the one year yield with annual compounding</t>
  </si>
  <si>
    <t xml:space="preserve">If the expectations theory of the yield curve is correct all bond's HPR will be equal 1-year zero-coupon bond's  the the yield to maturity </t>
  </si>
  <si>
    <t>An increase in the bond’s yield acts to reduce its price, which reduces the holding period return.</t>
  </si>
  <si>
    <t xml:space="preserve">Conversely, a decline in yield will result in a holding-period return greater than the initial yield. </t>
  </si>
  <si>
    <t>realized compound yield to maturity depends on the reinvestment rate</t>
  </si>
  <si>
    <t>In contrast YTM depends only on the bond’s coupon, current price, and par value at maturity.</t>
  </si>
  <si>
    <t>continous</t>
  </si>
  <si>
    <r>
      <t>YTM</t>
    </r>
    <r>
      <rPr>
        <vertAlign val="subscript"/>
        <sz val="11"/>
        <color theme="1"/>
        <rFont val="Calibri"/>
        <family val="2"/>
        <charset val="238"/>
        <scheme val="minor"/>
      </rPr>
      <t>1</t>
    </r>
  </si>
  <si>
    <r>
      <t>YTM</t>
    </r>
    <r>
      <rPr>
        <vertAlign val="subscript"/>
        <sz val="11"/>
        <color theme="1"/>
        <rFont val="Calibri"/>
        <family val="2"/>
        <charset val="238"/>
        <scheme val="minor"/>
      </rPr>
      <t>2</t>
    </r>
  </si>
  <si>
    <r>
      <t>DF</t>
    </r>
    <r>
      <rPr>
        <vertAlign val="subscript"/>
        <sz val="11"/>
        <color theme="1"/>
        <rFont val="Calibri"/>
        <family val="2"/>
        <charset val="238"/>
        <scheme val="minor"/>
      </rPr>
      <t>1</t>
    </r>
    <r>
      <rPr>
        <sz val="11"/>
        <color theme="1"/>
        <rFont val="Calibri"/>
        <family val="2"/>
        <charset val="238"/>
        <scheme val="minor"/>
      </rPr>
      <t xml:space="preserve"> (1)</t>
    </r>
  </si>
  <si>
    <r>
      <t>DF</t>
    </r>
    <r>
      <rPr>
        <vertAlign val="subscript"/>
        <sz val="11"/>
        <color theme="1"/>
        <rFont val="Calibri"/>
        <family val="2"/>
        <charset val="238"/>
        <scheme val="minor"/>
      </rPr>
      <t>2</t>
    </r>
    <r>
      <rPr>
        <sz val="11"/>
        <color theme="1"/>
        <rFont val="Calibri"/>
        <family val="2"/>
        <charset val="238"/>
        <scheme val="minor"/>
      </rPr>
      <t xml:space="preserve"> (1)</t>
    </r>
  </si>
  <si>
    <r>
      <t>DF</t>
    </r>
    <r>
      <rPr>
        <vertAlign val="subscript"/>
        <sz val="11"/>
        <color theme="1"/>
        <rFont val="Calibri"/>
        <family val="2"/>
        <charset val="238"/>
        <scheme val="minor"/>
      </rPr>
      <t>3</t>
    </r>
    <r>
      <rPr>
        <sz val="11"/>
        <color theme="1"/>
        <rFont val="Calibri"/>
        <family val="2"/>
        <charset val="238"/>
        <scheme val="minor"/>
      </rPr>
      <t xml:space="preserve"> (1)</t>
    </r>
  </si>
  <si>
    <r>
      <t>DF</t>
    </r>
    <r>
      <rPr>
        <vertAlign val="subscript"/>
        <sz val="11"/>
        <color theme="1"/>
        <rFont val="Calibri"/>
        <family val="2"/>
        <charset val="238"/>
        <scheme val="minor"/>
      </rPr>
      <t>1</t>
    </r>
    <r>
      <rPr>
        <sz val="11"/>
        <color theme="1"/>
        <rFont val="Calibri"/>
        <family val="2"/>
        <charset val="238"/>
        <scheme val="minor"/>
      </rPr>
      <t xml:space="preserve"> (2)</t>
    </r>
  </si>
  <si>
    <r>
      <t>DF</t>
    </r>
    <r>
      <rPr>
        <vertAlign val="subscript"/>
        <sz val="11"/>
        <color theme="1"/>
        <rFont val="Calibri"/>
        <family val="2"/>
        <charset val="238"/>
        <scheme val="minor"/>
      </rPr>
      <t>2</t>
    </r>
    <r>
      <rPr>
        <sz val="11"/>
        <color theme="1"/>
        <rFont val="Calibri"/>
        <family val="2"/>
        <charset val="238"/>
        <scheme val="minor"/>
      </rPr>
      <t xml:space="preserve"> (2)</t>
    </r>
  </si>
  <si>
    <r>
      <t>DF</t>
    </r>
    <r>
      <rPr>
        <vertAlign val="subscript"/>
        <sz val="11"/>
        <color theme="1"/>
        <rFont val="Calibri"/>
        <family val="2"/>
        <charset val="238"/>
        <scheme val="minor"/>
      </rPr>
      <t>3</t>
    </r>
    <r>
      <rPr>
        <sz val="11"/>
        <color theme="1"/>
        <rFont val="Calibri"/>
        <family val="2"/>
        <charset val="238"/>
        <scheme val="minor"/>
      </rPr>
      <t xml:space="preserve"> (2)</t>
    </r>
  </si>
  <si>
    <r>
      <t>DF</t>
    </r>
    <r>
      <rPr>
        <vertAlign val="subscript"/>
        <sz val="11"/>
        <color theme="1"/>
        <rFont val="Calibri"/>
        <family val="2"/>
        <charset val="238"/>
        <scheme val="minor"/>
      </rPr>
      <t>1</t>
    </r>
    <r>
      <rPr>
        <sz val="11"/>
        <color theme="1"/>
        <rFont val="Calibri"/>
        <family val="2"/>
        <charset val="238"/>
        <scheme val="minor"/>
      </rPr>
      <t xml:space="preserve"> (0)</t>
    </r>
  </si>
  <si>
    <r>
      <t>DF</t>
    </r>
    <r>
      <rPr>
        <vertAlign val="subscript"/>
        <sz val="11"/>
        <color theme="1"/>
        <rFont val="Calibri"/>
        <family val="2"/>
        <charset val="238"/>
        <scheme val="minor"/>
      </rPr>
      <t>2</t>
    </r>
    <r>
      <rPr>
        <sz val="11"/>
        <color theme="1"/>
        <rFont val="Calibri"/>
        <family val="2"/>
        <charset val="238"/>
        <scheme val="minor"/>
      </rPr>
      <t xml:space="preserve"> (0)</t>
    </r>
  </si>
  <si>
    <r>
      <t>DF</t>
    </r>
    <r>
      <rPr>
        <vertAlign val="subscript"/>
        <sz val="11"/>
        <color theme="1"/>
        <rFont val="Calibri"/>
        <family val="2"/>
        <charset val="238"/>
        <scheme val="minor"/>
      </rPr>
      <t>3</t>
    </r>
    <r>
      <rPr>
        <sz val="11"/>
        <color theme="1"/>
        <rFont val="Calibri"/>
        <family val="2"/>
        <charset val="238"/>
        <scheme val="minor"/>
      </rPr>
      <t xml:space="preserve"> (0)</t>
    </r>
  </si>
  <si>
    <r>
      <t>y</t>
    </r>
    <r>
      <rPr>
        <vertAlign val="subscript"/>
        <sz val="11"/>
        <color theme="1"/>
        <rFont val="Calibri"/>
        <family val="2"/>
        <charset val="238"/>
        <scheme val="minor"/>
      </rPr>
      <t>1</t>
    </r>
    <r>
      <rPr>
        <sz val="11"/>
        <color theme="1"/>
        <rFont val="Calibri"/>
        <family val="2"/>
        <charset val="238"/>
        <scheme val="minor"/>
      </rPr>
      <t xml:space="preserve"> (1)</t>
    </r>
  </si>
  <si>
    <r>
      <t>y</t>
    </r>
    <r>
      <rPr>
        <vertAlign val="subscript"/>
        <sz val="11"/>
        <color theme="1"/>
        <rFont val="Calibri"/>
        <family val="2"/>
        <charset val="238"/>
        <scheme val="minor"/>
      </rPr>
      <t>2</t>
    </r>
    <r>
      <rPr>
        <sz val="11"/>
        <color theme="1"/>
        <rFont val="Calibri"/>
        <family val="2"/>
        <charset val="238"/>
        <scheme val="minor"/>
      </rPr>
      <t xml:space="preserve"> (1)</t>
    </r>
  </si>
  <si>
    <r>
      <t>y</t>
    </r>
    <r>
      <rPr>
        <vertAlign val="subscript"/>
        <sz val="11"/>
        <color theme="1"/>
        <rFont val="Calibri"/>
        <family val="2"/>
        <charset val="238"/>
        <scheme val="minor"/>
      </rPr>
      <t>3</t>
    </r>
    <r>
      <rPr>
        <sz val="11"/>
        <color theme="1"/>
        <rFont val="Calibri"/>
        <family val="2"/>
        <charset val="238"/>
        <scheme val="minor"/>
      </rPr>
      <t xml:space="preserve"> (1)</t>
    </r>
  </si>
  <si>
    <r>
      <t>y</t>
    </r>
    <r>
      <rPr>
        <vertAlign val="subscript"/>
        <sz val="11"/>
        <color theme="1"/>
        <rFont val="Calibri"/>
        <family val="2"/>
        <charset val="238"/>
        <scheme val="minor"/>
      </rPr>
      <t>1</t>
    </r>
    <r>
      <rPr>
        <sz val="11"/>
        <color theme="1"/>
        <rFont val="Calibri"/>
        <family val="2"/>
        <charset val="238"/>
        <scheme val="minor"/>
      </rPr>
      <t>(0) + 5%</t>
    </r>
  </si>
  <si>
    <r>
      <t>y</t>
    </r>
    <r>
      <rPr>
        <vertAlign val="subscript"/>
        <sz val="11"/>
        <color theme="1"/>
        <rFont val="Calibri"/>
        <family val="2"/>
        <charset val="238"/>
        <scheme val="minor"/>
      </rPr>
      <t>2</t>
    </r>
    <r>
      <rPr>
        <sz val="11"/>
        <color theme="1"/>
        <rFont val="Calibri"/>
        <family val="2"/>
        <charset val="238"/>
        <scheme val="minor"/>
      </rPr>
      <t>(0) + 5%</t>
    </r>
  </si>
  <si>
    <r>
      <t>y</t>
    </r>
    <r>
      <rPr>
        <vertAlign val="subscript"/>
        <sz val="11"/>
        <color theme="1"/>
        <rFont val="Calibri"/>
        <family val="2"/>
        <charset val="238"/>
        <scheme val="minor"/>
      </rPr>
      <t>3</t>
    </r>
    <r>
      <rPr>
        <sz val="11"/>
        <color theme="1"/>
        <rFont val="Calibri"/>
        <family val="2"/>
        <charset val="238"/>
        <scheme val="minor"/>
      </rPr>
      <t>(0) + 5%</t>
    </r>
  </si>
  <si>
    <r>
      <t>y</t>
    </r>
    <r>
      <rPr>
        <vertAlign val="subscript"/>
        <sz val="11"/>
        <color theme="1"/>
        <rFont val="Calibri"/>
        <family val="2"/>
        <charset val="238"/>
        <scheme val="minor"/>
      </rPr>
      <t>1</t>
    </r>
    <r>
      <rPr>
        <sz val="11"/>
        <color theme="1"/>
        <rFont val="Calibri"/>
        <family val="2"/>
        <charset val="238"/>
        <scheme val="minor"/>
      </rPr>
      <t xml:space="preserve"> (0)</t>
    </r>
  </si>
  <si>
    <r>
      <t>y</t>
    </r>
    <r>
      <rPr>
        <vertAlign val="subscript"/>
        <sz val="11"/>
        <color theme="1"/>
        <rFont val="Calibri"/>
        <family val="2"/>
        <charset val="238"/>
        <scheme val="minor"/>
      </rPr>
      <t>2</t>
    </r>
    <r>
      <rPr>
        <sz val="11"/>
        <color theme="1"/>
        <rFont val="Calibri"/>
        <family val="2"/>
        <charset val="238"/>
        <scheme val="minor"/>
      </rPr>
      <t xml:space="preserve"> (0)</t>
    </r>
  </si>
  <si>
    <r>
      <t>y</t>
    </r>
    <r>
      <rPr>
        <vertAlign val="subscript"/>
        <sz val="11"/>
        <color theme="1"/>
        <rFont val="Calibri"/>
        <family val="2"/>
        <charset val="238"/>
        <scheme val="minor"/>
      </rPr>
      <t>3</t>
    </r>
    <r>
      <rPr>
        <sz val="11"/>
        <color theme="1"/>
        <rFont val="Calibri"/>
        <family val="2"/>
        <charset val="238"/>
        <scheme val="minor"/>
      </rPr>
      <t xml:space="preserve"> (0)</t>
    </r>
  </si>
  <si>
    <r>
      <t>y</t>
    </r>
    <r>
      <rPr>
        <vertAlign val="subscript"/>
        <sz val="11"/>
        <color theme="1"/>
        <rFont val="Calibri"/>
        <family val="2"/>
        <charset val="238"/>
        <scheme val="minor"/>
      </rPr>
      <t>2</t>
    </r>
    <r>
      <rPr>
        <sz val="11"/>
        <color theme="1"/>
        <rFont val="Calibri"/>
        <family val="2"/>
        <charset val="238"/>
        <scheme val="minor"/>
      </rPr>
      <t xml:space="preserve"> (2)</t>
    </r>
  </si>
  <si>
    <r>
      <rPr>
        <vertAlign val="subscript"/>
        <sz val="11"/>
        <color theme="1"/>
        <rFont val="Calibri"/>
        <family val="2"/>
        <charset val="238"/>
        <scheme val="minor"/>
      </rPr>
      <t>1</t>
    </r>
    <r>
      <rPr>
        <sz val="11"/>
        <color theme="1"/>
        <rFont val="Calibri"/>
        <family val="2"/>
        <charset val="238"/>
        <scheme val="minor"/>
      </rPr>
      <t>f</t>
    </r>
    <r>
      <rPr>
        <vertAlign val="subscript"/>
        <sz val="11"/>
        <color theme="1"/>
        <rFont val="Calibri"/>
        <family val="2"/>
        <charset val="238"/>
        <scheme val="minor"/>
      </rPr>
      <t>2</t>
    </r>
  </si>
  <si>
    <r>
      <rPr>
        <vertAlign val="subscript"/>
        <sz val="11"/>
        <color theme="1"/>
        <rFont val="Calibri"/>
        <family val="2"/>
        <charset val="238"/>
        <scheme val="minor"/>
      </rPr>
      <t>1</t>
    </r>
    <r>
      <rPr>
        <sz val="11"/>
        <color theme="1"/>
        <rFont val="Calibri"/>
        <family val="2"/>
        <charset val="238"/>
        <scheme val="minor"/>
      </rPr>
      <t>f</t>
    </r>
    <r>
      <rPr>
        <vertAlign val="subscript"/>
        <sz val="11"/>
        <color theme="1"/>
        <rFont val="Calibri"/>
        <family val="2"/>
        <charset val="238"/>
        <scheme val="minor"/>
      </rPr>
      <t>3</t>
    </r>
  </si>
  <si>
    <t>expectations theory of the yield curve is correct</t>
  </si>
  <si>
    <r>
      <rPr>
        <vertAlign val="subscript"/>
        <sz val="11"/>
        <color theme="1"/>
        <rFont val="Calibri"/>
        <family val="2"/>
        <charset val="238"/>
        <scheme val="minor"/>
      </rPr>
      <t>1</t>
    </r>
    <r>
      <rPr>
        <sz val="11"/>
        <color theme="1"/>
        <rFont val="Calibri"/>
        <family val="2"/>
        <charset val="238"/>
        <scheme val="minor"/>
      </rPr>
      <t>f</t>
    </r>
    <r>
      <rPr>
        <vertAlign val="subscript"/>
        <sz val="11"/>
        <color theme="1"/>
        <rFont val="Calibri"/>
        <family val="2"/>
        <charset val="238"/>
        <scheme val="minor"/>
      </rPr>
      <t>4</t>
    </r>
  </si>
  <si>
    <t>P1</t>
  </si>
  <si>
    <r>
      <t>YTM</t>
    </r>
    <r>
      <rPr>
        <vertAlign val="subscript"/>
        <sz val="11"/>
        <color theme="1"/>
        <rFont val="Calibri"/>
        <family val="2"/>
        <charset val="238"/>
        <scheme val="minor"/>
      </rPr>
      <t>3</t>
    </r>
  </si>
  <si>
    <r>
      <t>YTM</t>
    </r>
    <r>
      <rPr>
        <vertAlign val="subscript"/>
        <sz val="11"/>
        <color theme="1"/>
        <rFont val="Calibri"/>
        <family val="2"/>
        <charset val="238"/>
        <scheme val="minor"/>
      </rPr>
      <t>4</t>
    </r>
  </si>
  <si>
    <t>b) if the expectations theory of the yield curve is correct?</t>
  </si>
  <si>
    <t xml:space="preserve">What will be the 1-year holding period return </t>
  </si>
  <si>
    <r>
      <t>YTM</t>
    </r>
    <r>
      <rPr>
        <vertAlign val="subscript"/>
        <sz val="11"/>
        <color theme="1"/>
        <rFont val="Calibri"/>
        <family val="2"/>
        <charset val="238"/>
        <scheme val="minor"/>
      </rPr>
      <t>1</t>
    </r>
    <r>
      <rPr>
        <sz val="11"/>
        <color theme="1"/>
        <rFont val="Calibri"/>
        <family val="2"/>
        <charset val="238"/>
        <scheme val="minor"/>
      </rPr>
      <t xml:space="preserve"> (1)</t>
    </r>
  </si>
  <si>
    <r>
      <t>YTM</t>
    </r>
    <r>
      <rPr>
        <vertAlign val="subscript"/>
        <sz val="11"/>
        <color theme="1"/>
        <rFont val="Calibri"/>
        <family val="2"/>
        <charset val="238"/>
        <scheme val="minor"/>
      </rPr>
      <t xml:space="preserve">2 </t>
    </r>
    <r>
      <rPr>
        <sz val="11"/>
        <color theme="1"/>
        <rFont val="Calibri"/>
        <family val="2"/>
        <charset val="238"/>
        <scheme val="minor"/>
      </rPr>
      <t>(1)</t>
    </r>
  </si>
  <si>
    <r>
      <t>YTM</t>
    </r>
    <r>
      <rPr>
        <vertAlign val="subscript"/>
        <sz val="11"/>
        <color theme="1"/>
        <rFont val="Calibri"/>
        <family val="2"/>
        <charset val="238"/>
        <scheme val="minor"/>
      </rPr>
      <t xml:space="preserve">3 </t>
    </r>
    <r>
      <rPr>
        <sz val="11"/>
        <color theme="1"/>
        <rFont val="Calibri"/>
        <family val="2"/>
        <charset val="238"/>
        <scheme val="minor"/>
      </rPr>
      <t>(1)</t>
    </r>
  </si>
  <si>
    <r>
      <t>YTM</t>
    </r>
    <r>
      <rPr>
        <vertAlign val="subscript"/>
        <sz val="11"/>
        <color theme="1"/>
        <rFont val="Calibri"/>
        <family val="2"/>
        <charset val="238"/>
        <scheme val="minor"/>
      </rPr>
      <t xml:space="preserve">4 </t>
    </r>
    <r>
      <rPr>
        <sz val="11"/>
        <color theme="1"/>
        <rFont val="Calibri"/>
        <family val="2"/>
        <charset val="238"/>
        <scheme val="minor"/>
      </rPr>
      <t>(1)</t>
    </r>
  </si>
  <si>
    <t>Main message:</t>
  </si>
  <si>
    <t>If the reinvestment rate equal to the yield to maturity, the realized compound return equals yield to maturity.</t>
  </si>
  <si>
    <t>If the yield to maturity change during the holding period, the YTM and HPR will be different</t>
  </si>
  <si>
    <t xml:space="preserve">When the yield to maturity is unchanged over the holding period, the rate of return on the bond will equal be that yield. </t>
  </si>
  <si>
    <t>timeline</t>
  </si>
  <si>
    <t xml:space="preserve">When the yield to maturity is decreased over the holding period, the rate of return on the bond will be higher. </t>
  </si>
  <si>
    <t>yield to maturity on 2-year zero-coupon bond is basically the next year's discount factors</t>
  </si>
  <si>
    <t>yield to maturity on 2-year zero-coupon bonds next year</t>
  </si>
  <si>
    <t>YTM on 2-year zero-coupon bonds next year</t>
  </si>
  <si>
    <t>Coupon payment will be at the end of the holding period so we have to add  to the price change</t>
  </si>
  <si>
    <t>If I purchase a bond and I sell it later the holding period return depends on the yield curve change</t>
  </si>
  <si>
    <t>Yield curve change basically mean how the discount factor change vector during the holding period</t>
  </si>
  <si>
    <t>We have to solve a bond pricing problem with the future YTM!</t>
  </si>
  <si>
    <t xml:space="preserve">yield to maturity on 1-year zero-coupon bonds next year </t>
  </si>
  <si>
    <t>If the expectations theory of the yield curve is correct the YTMs for next year will be equals today implied forward rates!</t>
  </si>
  <si>
    <t>If the expectation theory of the yield curve is correct the dynamics of the yields curve and the future value of the bond (the dynamics of discount factors) are based on todays forward curve (forward discount factors)</t>
  </si>
  <si>
    <t>If the expectation theory of the yield curve is correct the dynamics of the yields and the future value of the bond are based on todays forward rates</t>
  </si>
  <si>
    <t>The HPR will be equal on different bonds if and only if the yield curve dynamics is based on implied forward rates</t>
  </si>
  <si>
    <t>Now this is a 1 year bond</t>
  </si>
  <si>
    <t>Now this is a 3 year bond</t>
  </si>
  <si>
    <t>If the yield curve is upward sloping and the yield curve doesn't change during the holding period the return on longer bonds will be higher then short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</si>
</sst>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9" x14ac:knownFonts="1">
    <font>
      <sz val="11"/>
      <color theme="1"/>
      <name val="Calibri"/>
      <family val="2"/>
      <charset val="238"/>
      <scheme val="minor"/>
    </font>
    <font>
      <sz val="11"/>
      <color theme="1"/>
      <name val="Calibri"/>
      <family val="2"/>
      <scheme val="minor"/>
    </font>
    <font>
      <b/>
      <sz val="11"/>
      <color rgb="FFFF0000"/>
      <name val="Calibri"/>
      <family val="2"/>
      <charset val="238"/>
      <scheme val="minor"/>
    </font>
    <font>
      <i/>
      <sz val="11"/>
      <color theme="1"/>
      <name val="Calibri"/>
      <family val="2"/>
      <charset val="238"/>
      <scheme val="minor"/>
    </font>
    <font>
      <sz val="11"/>
      <color rgb="FF7030A0"/>
      <name val="Calibri"/>
      <family val="2"/>
      <charset val="238"/>
      <scheme val="minor"/>
    </font>
    <font>
      <sz val="11"/>
      <color rgb="FF00B050"/>
      <name val="Calibri"/>
      <family val="2"/>
      <charset val="238"/>
      <scheme val="minor"/>
    </font>
    <font>
      <vertAlign val="subscript"/>
      <sz val="11"/>
      <color theme="1"/>
      <name val="Calibri"/>
      <family val="2"/>
      <charset val="238"/>
      <scheme val="minor"/>
    </font>
    <font>
      <b/>
      <sz val="11"/>
      <color rgb="FF00B050"/>
      <name val="Calibri"/>
      <family val="2"/>
      <charset val="238"/>
      <scheme val="minor"/>
    </font>
    <font>
      <b/>
      <sz val="12"/>
      <color rgb="FF00B050"/>
      <name val="Calibri"/>
      <family val="2"/>
      <charset val="238"/>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right/>
      <top style="thin">
        <color indexed="64"/>
      </top>
      <bottom/>
      <diagonal/>
    </border>
  </borders>
  <cellStyleXfs count="3">
    <xf numFmtId="0" fontId="0" fillId="0" borderId="0"/>
    <xf numFmtId="0" fontId="1" fillId="0" borderId="0"/>
    <xf numFmtId="9" fontId="1" fillId="0" borderId="0" applyFont="0" applyFill="0" applyBorder="0" applyAlignment="0" applyProtection="0"/>
  </cellStyleXfs>
  <cellXfs count="42">
    <xf numFmtId="0" fontId="0" fillId="0" borderId="0" xfId="0"/>
    <xf numFmtId="0" fontId="1" fillId="0" borderId="0" xfId="1"/>
    <xf numFmtId="0" fontId="1" fillId="2" borderId="0" xfId="1" applyFill="1"/>
    <xf numFmtId="0" fontId="1" fillId="0" borderId="0" xfId="1" applyAlignment="1">
      <alignment horizontal="center"/>
    </xf>
    <xf numFmtId="10" fontId="1" fillId="0" borderId="0" xfId="2" applyNumberFormat="1" applyFont="1" applyFill="1"/>
    <xf numFmtId="2" fontId="1" fillId="0" borderId="0" xfId="1" applyNumberFormat="1"/>
    <xf numFmtId="9" fontId="0" fillId="2" borderId="0" xfId="0" applyNumberFormat="1" applyFill="1" applyAlignment="1">
      <alignment horizontal="center"/>
    </xf>
    <xf numFmtId="0" fontId="0" fillId="0" borderId="1" xfId="0" applyBorder="1"/>
    <xf numFmtId="10" fontId="2" fillId="3" borderId="0" xfId="2" applyNumberFormat="1" applyFont="1" applyFill="1"/>
    <xf numFmtId="0" fontId="1" fillId="2" borderId="0" xfId="1" applyFill="1" applyAlignment="1">
      <alignment horizontal="center"/>
    </xf>
    <xf numFmtId="9" fontId="1" fillId="2" borderId="0" xfId="1" applyNumberFormat="1" applyFill="1" applyAlignment="1">
      <alignment horizontal="center"/>
    </xf>
    <xf numFmtId="0" fontId="0" fillId="0" borderId="0" xfId="0" applyAlignment="1">
      <alignment horizontal="center"/>
    </xf>
    <xf numFmtId="0" fontId="0" fillId="2" borderId="0" xfId="0" applyFill="1" applyAlignment="1">
      <alignment horizontal="center"/>
    </xf>
    <xf numFmtId="165" fontId="1" fillId="0" borderId="0" xfId="1" applyNumberFormat="1" applyAlignment="1">
      <alignment horizontal="center"/>
    </xf>
    <xf numFmtId="165" fontId="0" fillId="0" borderId="0" xfId="0" applyNumberFormat="1"/>
    <xf numFmtId="2" fontId="0" fillId="0" borderId="0" xfId="0" applyNumberFormat="1"/>
    <xf numFmtId="0" fontId="1" fillId="0" borderId="0" xfId="1" applyAlignment="1">
      <alignment horizontal="left"/>
    </xf>
    <xf numFmtId="10" fontId="2" fillId="3" borderId="0" xfId="2" applyNumberFormat="1" applyFont="1" applyFill="1" applyAlignment="1">
      <alignment horizontal="center"/>
    </xf>
    <xf numFmtId="9" fontId="0" fillId="0" borderId="0" xfId="0" applyNumberFormat="1" applyAlignment="1">
      <alignment horizontal="center"/>
    </xf>
    <xf numFmtId="165" fontId="1" fillId="0" borderId="0" xfId="1" applyNumberFormat="1" applyAlignment="1">
      <alignment horizontal="right"/>
    </xf>
    <xf numFmtId="165" fontId="0" fillId="0" borderId="0" xfId="0" applyNumberFormat="1" applyAlignment="1">
      <alignment horizontal="right"/>
    </xf>
    <xf numFmtId="10" fontId="2" fillId="0" borderId="0" xfId="2" applyNumberFormat="1" applyFont="1" applyFill="1"/>
    <xf numFmtId="10" fontId="0" fillId="0" borderId="0" xfId="0" applyNumberFormat="1"/>
    <xf numFmtId="10" fontId="3" fillId="0" borderId="0" xfId="0" applyNumberFormat="1" applyFont="1"/>
    <xf numFmtId="0" fontId="0" fillId="2" borderId="0" xfId="0" applyFill="1"/>
    <xf numFmtId="9" fontId="0" fillId="2" borderId="0" xfId="0" applyNumberFormat="1" applyFill="1"/>
    <xf numFmtId="0" fontId="0" fillId="0" borderId="0" xfId="0" applyAlignment="1">
      <alignment horizontal="left"/>
    </xf>
    <xf numFmtId="9" fontId="1" fillId="2" borderId="0" xfId="1" applyNumberFormat="1" applyFill="1"/>
    <xf numFmtId="164" fontId="0" fillId="0" borderId="0" xfId="0" applyNumberFormat="1"/>
    <xf numFmtId="0" fontId="4" fillId="0" borderId="0" xfId="0" applyFont="1"/>
    <xf numFmtId="0" fontId="5" fillId="0" borderId="0" xfId="0" applyFont="1"/>
    <xf numFmtId="0" fontId="2" fillId="0" borderId="0" xfId="0" applyFont="1"/>
    <xf numFmtId="165" fontId="0" fillId="0" borderId="0" xfId="0" applyNumberFormat="1" applyAlignment="1">
      <alignment horizontal="center"/>
    </xf>
    <xf numFmtId="2" fontId="0" fillId="0" borderId="0" xfId="0" applyNumberFormat="1" applyAlignment="1">
      <alignment horizontal="center"/>
    </xf>
    <xf numFmtId="2" fontId="2" fillId="0" borderId="0" xfId="0" applyNumberFormat="1" applyFont="1" applyAlignment="1">
      <alignment horizontal="center"/>
    </xf>
    <xf numFmtId="0" fontId="2" fillId="0" borderId="0" xfId="1" applyFont="1" applyAlignment="1">
      <alignment horizontal="center"/>
    </xf>
    <xf numFmtId="10" fontId="0" fillId="0" borderId="0" xfId="0" applyNumberFormat="1" applyAlignment="1">
      <alignment horizontal="center"/>
    </xf>
    <xf numFmtId="164" fontId="0" fillId="0" borderId="0" xfId="0" applyNumberFormat="1" applyAlignment="1">
      <alignment horizontal="center"/>
    </xf>
    <xf numFmtId="9" fontId="1" fillId="0" borderId="0" xfId="1" applyNumberFormat="1" applyAlignment="1">
      <alignment horizontal="center"/>
    </xf>
    <xf numFmtId="0" fontId="7" fillId="0" borderId="0" xfId="0" applyFont="1"/>
    <xf numFmtId="0" fontId="8" fillId="0" borderId="0" xfId="0" applyFont="1"/>
    <xf numFmtId="2" fontId="1" fillId="0" borderId="0" xfId="1" applyNumberFormat="1" applyAlignment="1">
      <alignment horizontal="center"/>
    </xf>
  </cellXfs>
  <cellStyles count="3">
    <cellStyle name="Normál" xfId="0" builtinId="0"/>
    <cellStyle name="Normál 2" xfId="1" xr:uid="{00000000-0005-0000-0000-000001000000}"/>
    <cellStyle name="Százalék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workbookViewId="0">
      <selection activeCell="J13" sqref="J13"/>
    </sheetView>
  </sheetViews>
  <sheetFormatPr defaultRowHeight="14.5" x14ac:dyDescent="0.35"/>
  <cols>
    <col min="3" max="3" width="9.54296875" bestFit="1" customWidth="1"/>
    <col min="4" max="4" width="14.7265625" customWidth="1"/>
  </cols>
  <sheetData>
    <row r="1" spans="1:12" ht="15.5" x14ac:dyDescent="0.35">
      <c r="C1" s="40" t="s">
        <v>100</v>
      </c>
      <c r="E1" s="40" t="s">
        <v>101</v>
      </c>
    </row>
    <row r="3" spans="1:12" x14ac:dyDescent="0.35">
      <c r="A3" s="1" t="s">
        <v>12</v>
      </c>
      <c r="B3" s="1" t="s">
        <v>7</v>
      </c>
      <c r="C3" s="1" t="s">
        <v>8</v>
      </c>
      <c r="D3" s="3" t="s">
        <v>1</v>
      </c>
      <c r="E3" s="16" t="s">
        <v>19</v>
      </c>
    </row>
    <row r="4" spans="1:12" x14ac:dyDescent="0.35">
      <c r="A4" s="2">
        <v>1000</v>
      </c>
      <c r="B4" s="2">
        <v>100</v>
      </c>
      <c r="C4" s="2">
        <v>1000</v>
      </c>
      <c r="D4" s="9">
        <v>2</v>
      </c>
      <c r="E4" s="8">
        <v>0.11</v>
      </c>
    </row>
    <row r="6" spans="1:12" x14ac:dyDescent="0.35">
      <c r="A6" s="3" t="s">
        <v>21</v>
      </c>
      <c r="B6" s="3" t="s">
        <v>3</v>
      </c>
      <c r="C6" s="3" t="s">
        <v>4</v>
      </c>
      <c r="D6" s="1" t="s">
        <v>9</v>
      </c>
      <c r="E6" s="1"/>
    </row>
    <row r="7" spans="1:12" x14ac:dyDescent="0.35">
      <c r="A7" s="3">
        <v>1</v>
      </c>
      <c r="B7" s="3">
        <f>B4</f>
        <v>100</v>
      </c>
      <c r="C7" s="13">
        <f>1/(1+E4)^A7</f>
        <v>0.9009009009009008</v>
      </c>
      <c r="D7" s="5">
        <f>B7*C7</f>
        <v>90.090090090090087</v>
      </c>
      <c r="E7" s="1"/>
      <c r="G7" s="29" t="s">
        <v>36</v>
      </c>
    </row>
    <row r="8" spans="1:12" x14ac:dyDescent="0.35">
      <c r="A8" s="3">
        <v>2</v>
      </c>
      <c r="B8" s="3">
        <f>B4+A4</f>
        <v>1100</v>
      </c>
      <c r="C8" s="13">
        <f>1/(1+E4)^A8</f>
        <v>0.8116224332440547</v>
      </c>
      <c r="D8" s="5">
        <f>B8*C8</f>
        <v>892.78467656846021</v>
      </c>
      <c r="E8" s="1"/>
      <c r="G8" s="29" t="s">
        <v>37</v>
      </c>
    </row>
    <row r="9" spans="1:12" x14ac:dyDescent="0.35">
      <c r="A9" s="1"/>
      <c r="B9" s="1"/>
      <c r="C9" s="1"/>
      <c r="D9" s="1" t="s">
        <v>10</v>
      </c>
      <c r="E9" s="1" t="s">
        <v>11</v>
      </c>
      <c r="G9" s="29" t="s">
        <v>38</v>
      </c>
    </row>
    <row r="10" spans="1:12" x14ac:dyDescent="0.35">
      <c r="A10" s="1"/>
      <c r="B10" s="1"/>
      <c r="C10" s="1"/>
      <c r="D10" s="5">
        <f>SUM(D7:D8)</f>
        <v>982.87476665855024</v>
      </c>
      <c r="E10" s="1">
        <f>D10-C4</f>
        <v>-17.125233341449757</v>
      </c>
    </row>
    <row r="12" spans="1:12" x14ac:dyDescent="0.35">
      <c r="B12" s="24" t="s">
        <v>13</v>
      </c>
      <c r="J12" s="31" t="s">
        <v>15</v>
      </c>
    </row>
    <row r="13" spans="1:12" x14ac:dyDescent="0.35">
      <c r="A13" t="s">
        <v>6</v>
      </c>
      <c r="B13" s="6">
        <v>0.08</v>
      </c>
      <c r="D13" s="3" t="s">
        <v>21</v>
      </c>
      <c r="E13" s="3" t="s">
        <v>3</v>
      </c>
      <c r="G13" t="s">
        <v>16</v>
      </c>
      <c r="J13" s="8">
        <f>(G16/C4)^(1/D15)-1</f>
        <v>9.9090533122726976E-2</v>
      </c>
    </row>
    <row r="14" spans="1:12" x14ac:dyDescent="0.35">
      <c r="D14" s="3">
        <v>1</v>
      </c>
      <c r="E14" s="3">
        <v>100</v>
      </c>
      <c r="G14">
        <f>E14*(1+B13)</f>
        <v>108</v>
      </c>
      <c r="H14" s="29" t="s">
        <v>39</v>
      </c>
      <c r="L14" s="29" t="s">
        <v>63</v>
      </c>
    </row>
    <row r="15" spans="1:12" x14ac:dyDescent="0.35">
      <c r="D15" s="3">
        <v>2</v>
      </c>
      <c r="E15" s="3">
        <v>1100</v>
      </c>
      <c r="G15">
        <f>E15</f>
        <v>1100</v>
      </c>
      <c r="L15" s="29" t="s">
        <v>64</v>
      </c>
    </row>
    <row r="16" spans="1:12" x14ac:dyDescent="0.35">
      <c r="G16" s="7">
        <f>G14+G15</f>
        <v>1208</v>
      </c>
    </row>
    <row r="18" spans="1:12" x14ac:dyDescent="0.35">
      <c r="B18" t="s">
        <v>13</v>
      </c>
      <c r="J18" s="31" t="s">
        <v>15</v>
      </c>
    </row>
    <row r="19" spans="1:12" x14ac:dyDescent="0.35">
      <c r="A19" t="s">
        <v>5</v>
      </c>
      <c r="B19" s="6">
        <v>0.1</v>
      </c>
      <c r="D19" s="3" t="s">
        <v>21</v>
      </c>
      <c r="E19" s="3" t="s">
        <v>3</v>
      </c>
      <c r="G19" t="s">
        <v>16</v>
      </c>
      <c r="J19" s="8">
        <f>(G22/C4)^(1/D21)-1</f>
        <v>0.10000000000000009</v>
      </c>
      <c r="L19" s="29" t="s">
        <v>40</v>
      </c>
    </row>
    <row r="20" spans="1:12" x14ac:dyDescent="0.35">
      <c r="D20" s="3">
        <v>1</v>
      </c>
      <c r="E20" s="3">
        <v>100</v>
      </c>
      <c r="G20">
        <f>E20*(1+B19)</f>
        <v>110.00000000000001</v>
      </c>
      <c r="J20" s="4"/>
    </row>
    <row r="21" spans="1:12" x14ac:dyDescent="0.35">
      <c r="D21" s="3">
        <v>2</v>
      </c>
      <c r="E21" s="3">
        <v>1100</v>
      </c>
      <c r="G21">
        <f>E21</f>
        <v>1100</v>
      </c>
    </row>
    <row r="22" spans="1:12" x14ac:dyDescent="0.35">
      <c r="G22" s="7">
        <f>G20+G21</f>
        <v>1210</v>
      </c>
    </row>
    <row r="24" spans="1:12" x14ac:dyDescent="0.35">
      <c r="B24" t="s">
        <v>13</v>
      </c>
      <c r="J24" s="31" t="s">
        <v>15</v>
      </c>
    </row>
    <row r="25" spans="1:12" x14ac:dyDescent="0.35">
      <c r="A25" t="s">
        <v>14</v>
      </c>
      <c r="B25" s="6">
        <v>0.12</v>
      </c>
      <c r="D25" s="3" t="s">
        <v>21</v>
      </c>
      <c r="E25" s="3" t="s">
        <v>3</v>
      </c>
      <c r="G25" t="s">
        <v>16</v>
      </c>
      <c r="J25" s="8">
        <f>(G28/C4)^(1/D27)-1</f>
        <v>0.10090871556183068</v>
      </c>
      <c r="L25" s="29" t="s">
        <v>41</v>
      </c>
    </row>
    <row r="26" spans="1:12" x14ac:dyDescent="0.35">
      <c r="D26" s="3">
        <v>1</v>
      </c>
      <c r="E26" s="3">
        <v>100</v>
      </c>
      <c r="G26">
        <f>E26*(1+B25)</f>
        <v>112.00000000000001</v>
      </c>
      <c r="J26" s="4"/>
    </row>
    <row r="27" spans="1:12" x14ac:dyDescent="0.35">
      <c r="D27" s="3">
        <v>2</v>
      </c>
      <c r="E27" s="3">
        <v>1100</v>
      </c>
      <c r="G27">
        <f>E27</f>
        <v>1100</v>
      </c>
    </row>
    <row r="28" spans="1:12" x14ac:dyDescent="0.35">
      <c r="G28" s="7">
        <f>G26+G27</f>
        <v>1212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workbookViewId="0">
      <selection activeCell="I13" sqref="I13"/>
    </sheetView>
  </sheetViews>
  <sheetFormatPr defaultRowHeight="14.5" x14ac:dyDescent="0.35"/>
  <sheetData>
    <row r="1" spans="1:12" ht="15.5" x14ac:dyDescent="0.35">
      <c r="C1" s="40" t="s">
        <v>100</v>
      </c>
      <c r="E1" s="39" t="s">
        <v>102</v>
      </c>
    </row>
    <row r="2" spans="1:12" x14ac:dyDescent="0.35">
      <c r="E2" s="39" t="s">
        <v>103</v>
      </c>
    </row>
    <row r="3" spans="1:12" x14ac:dyDescent="0.35">
      <c r="A3" s="1" t="s">
        <v>12</v>
      </c>
      <c r="B3" s="1" t="s">
        <v>7</v>
      </c>
      <c r="C3" s="11" t="s">
        <v>1</v>
      </c>
      <c r="D3" s="1" t="s">
        <v>18</v>
      </c>
      <c r="E3" s="1"/>
    </row>
    <row r="4" spans="1:12" x14ac:dyDescent="0.35">
      <c r="A4" s="2">
        <v>100</v>
      </c>
      <c r="B4" s="9" t="s">
        <v>2</v>
      </c>
      <c r="C4" s="12">
        <v>2</v>
      </c>
      <c r="D4" s="10">
        <v>0.06</v>
      </c>
      <c r="E4" s="4"/>
    </row>
    <row r="6" spans="1:12" x14ac:dyDescent="0.35">
      <c r="A6" s="3" t="s">
        <v>21</v>
      </c>
      <c r="B6" s="3" t="s">
        <v>3</v>
      </c>
      <c r="C6" s="3" t="s">
        <v>4</v>
      </c>
      <c r="D6" s="1" t="s">
        <v>9</v>
      </c>
      <c r="E6" s="1"/>
    </row>
    <row r="7" spans="1:12" x14ac:dyDescent="0.35">
      <c r="A7" s="3">
        <v>1</v>
      </c>
      <c r="B7" s="3">
        <v>0</v>
      </c>
      <c r="C7" s="13">
        <f>EXP(-A7*$D$4)</f>
        <v>0.94176453358424872</v>
      </c>
      <c r="D7" s="5">
        <f>B7*C7</f>
        <v>0</v>
      </c>
      <c r="E7" s="1"/>
      <c r="F7" s="29" t="s">
        <v>36</v>
      </c>
    </row>
    <row r="8" spans="1:12" x14ac:dyDescent="0.35">
      <c r="A8" s="3">
        <v>2</v>
      </c>
      <c r="B8" s="3">
        <f>A4</f>
        <v>100</v>
      </c>
      <c r="C8" s="13">
        <f>EXP(-A8*$D$4)</f>
        <v>0.88692043671715748</v>
      </c>
      <c r="D8" s="5">
        <f>B8*C8</f>
        <v>88.692043671715751</v>
      </c>
      <c r="E8" s="1"/>
    </row>
    <row r="9" spans="1:12" x14ac:dyDescent="0.35">
      <c r="A9" s="1"/>
      <c r="B9" s="1"/>
      <c r="C9" s="1"/>
      <c r="D9" s="1" t="s">
        <v>10</v>
      </c>
      <c r="E9" s="1"/>
    </row>
    <row r="10" spans="1:12" x14ac:dyDescent="0.35">
      <c r="A10" s="1"/>
      <c r="B10" s="1"/>
      <c r="C10" s="1"/>
      <c r="D10" s="5">
        <f>SUM(D7:D8)</f>
        <v>88.692043671715751</v>
      </c>
      <c r="E10" s="1"/>
    </row>
    <row r="11" spans="1:12" x14ac:dyDescent="0.35">
      <c r="F11" s="29" t="s">
        <v>43</v>
      </c>
    </row>
    <row r="12" spans="1:12" x14ac:dyDescent="0.35">
      <c r="B12" t="s">
        <v>17</v>
      </c>
      <c r="I12" s="31" t="s">
        <v>0</v>
      </c>
    </row>
    <row r="13" spans="1:12" x14ac:dyDescent="0.35">
      <c r="A13" t="s">
        <v>6</v>
      </c>
      <c r="B13" s="6">
        <v>0.06</v>
      </c>
      <c r="D13" s="3" t="s">
        <v>21</v>
      </c>
      <c r="E13" s="3" t="s">
        <v>3</v>
      </c>
      <c r="F13" s="3" t="s">
        <v>4</v>
      </c>
      <c r="G13" s="1" t="s">
        <v>9</v>
      </c>
      <c r="I13" s="8">
        <f>LN(G14/$D$10)</f>
        <v>6.0000000000000019E-2</v>
      </c>
      <c r="L13" s="29" t="s">
        <v>103</v>
      </c>
    </row>
    <row r="14" spans="1:12" x14ac:dyDescent="0.35">
      <c r="D14" s="11">
        <v>1</v>
      </c>
      <c r="E14" s="11">
        <f>B8</f>
        <v>100</v>
      </c>
      <c r="F14" s="14">
        <f>EXP(-B13*D14)</f>
        <v>0.94176453358424872</v>
      </c>
      <c r="G14" s="15">
        <f>E14*F14</f>
        <v>94.176453358424865</v>
      </c>
    </row>
    <row r="16" spans="1:12" x14ac:dyDescent="0.35">
      <c r="B16" t="s">
        <v>17</v>
      </c>
      <c r="I16" s="31" t="s">
        <v>0</v>
      </c>
    </row>
    <row r="17" spans="1:12" x14ac:dyDescent="0.35">
      <c r="A17" t="s">
        <v>6</v>
      </c>
      <c r="B17" s="6">
        <v>0.04</v>
      </c>
      <c r="D17" s="3" t="s">
        <v>21</v>
      </c>
      <c r="E17" s="3" t="s">
        <v>3</v>
      </c>
      <c r="F17" s="3" t="s">
        <v>4</v>
      </c>
      <c r="G17" s="1" t="s">
        <v>9</v>
      </c>
      <c r="I17" s="8">
        <f>LN(G18/$D$10)</f>
        <v>7.9999999999999877E-2</v>
      </c>
      <c r="J17" s="23">
        <f>I17-I13</f>
        <v>1.9999999999999858E-2</v>
      </c>
      <c r="L17" s="29" t="s">
        <v>105</v>
      </c>
    </row>
    <row r="18" spans="1:12" x14ac:dyDescent="0.35">
      <c r="D18" s="11">
        <v>1</v>
      </c>
      <c r="E18" s="11">
        <f>B8</f>
        <v>100</v>
      </c>
      <c r="F18" s="14">
        <f>EXP(-B17*D18)</f>
        <v>0.96078943915232318</v>
      </c>
      <c r="G18" s="15">
        <f>E18*F18</f>
        <v>96.078943915232315</v>
      </c>
    </row>
    <row r="20" spans="1:12" x14ac:dyDescent="0.35">
      <c r="B20" t="s">
        <v>17</v>
      </c>
      <c r="I20" s="31" t="s">
        <v>0</v>
      </c>
    </row>
    <row r="21" spans="1:12" x14ac:dyDescent="0.35">
      <c r="A21" t="s">
        <v>6</v>
      </c>
      <c r="B21" s="6">
        <v>0.08</v>
      </c>
      <c r="D21" s="3" t="s">
        <v>21</v>
      </c>
      <c r="E21" s="3" t="s">
        <v>3</v>
      </c>
      <c r="F21" s="3" t="s">
        <v>4</v>
      </c>
      <c r="G21" s="1" t="s">
        <v>9</v>
      </c>
      <c r="I21" s="8">
        <f>LN(G22/$D$10)</f>
        <v>3.9999999999999987E-2</v>
      </c>
      <c r="J21" s="23">
        <f>I21-I13</f>
        <v>-2.0000000000000032E-2</v>
      </c>
      <c r="L21" s="29" t="s">
        <v>42</v>
      </c>
    </row>
    <row r="22" spans="1:12" x14ac:dyDescent="0.35">
      <c r="D22" s="11">
        <v>1</v>
      </c>
      <c r="E22" s="11">
        <f>B8</f>
        <v>100</v>
      </c>
      <c r="F22" s="14">
        <f>EXP(-B21*D22)</f>
        <v>0.92311634638663576</v>
      </c>
      <c r="G22" s="15">
        <f>E22*F22</f>
        <v>92.311634638663577</v>
      </c>
    </row>
    <row r="23" spans="1:12" x14ac:dyDescent="0.35">
      <c r="L23" s="29" t="s">
        <v>61</v>
      </c>
    </row>
    <row r="24" spans="1:12" x14ac:dyDescent="0.35">
      <c r="L24" s="29"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workbookViewId="0">
      <selection activeCell="I14" sqref="I14"/>
    </sheetView>
  </sheetViews>
  <sheetFormatPr defaultRowHeight="14.5" x14ac:dyDescent="0.35"/>
  <sheetData>
    <row r="1" spans="1:12" ht="15.5" x14ac:dyDescent="0.35">
      <c r="C1" s="40" t="s">
        <v>100</v>
      </c>
      <c r="E1" s="40" t="s">
        <v>44</v>
      </c>
    </row>
    <row r="3" spans="1:12" x14ac:dyDescent="0.35">
      <c r="A3" s="1" t="s">
        <v>12</v>
      </c>
      <c r="B3" s="1" t="s">
        <v>7</v>
      </c>
      <c r="C3" s="11" t="s">
        <v>1</v>
      </c>
      <c r="D3" s="1" t="s">
        <v>18</v>
      </c>
      <c r="E3" s="1"/>
    </row>
    <row r="4" spans="1:12" x14ac:dyDescent="0.35">
      <c r="A4" s="2">
        <v>100</v>
      </c>
      <c r="B4" s="9" t="s">
        <v>2</v>
      </c>
      <c r="C4" s="12">
        <v>3</v>
      </c>
      <c r="D4" s="10">
        <v>0.06</v>
      </c>
      <c r="E4" s="4"/>
    </row>
    <row r="6" spans="1:12" x14ac:dyDescent="0.35">
      <c r="A6" s="3" t="s">
        <v>21</v>
      </c>
      <c r="B6" s="3" t="s">
        <v>3</v>
      </c>
      <c r="C6" s="3" t="s">
        <v>4</v>
      </c>
      <c r="D6" s="1" t="s">
        <v>9</v>
      </c>
      <c r="E6" s="1"/>
    </row>
    <row r="7" spans="1:12" x14ac:dyDescent="0.35">
      <c r="A7" s="3">
        <v>1</v>
      </c>
      <c r="B7" s="3">
        <v>0</v>
      </c>
      <c r="C7" s="13">
        <f>EXP(-A7*$D$4)</f>
        <v>0.94176453358424872</v>
      </c>
      <c r="D7" s="5">
        <f>B7*C7</f>
        <v>0</v>
      </c>
      <c r="E7" s="1"/>
      <c r="F7" s="29" t="s">
        <v>36</v>
      </c>
    </row>
    <row r="8" spans="1:12" x14ac:dyDescent="0.35">
      <c r="A8" s="3">
        <v>2</v>
      </c>
      <c r="B8" s="3">
        <v>0</v>
      </c>
      <c r="C8" s="13">
        <f>EXP(-A8*$D$4)</f>
        <v>0.88692043671715748</v>
      </c>
      <c r="D8" s="5">
        <f>B8*C8</f>
        <v>0</v>
      </c>
      <c r="E8" s="1"/>
    </row>
    <row r="9" spans="1:12" x14ac:dyDescent="0.35">
      <c r="A9" s="3">
        <v>3</v>
      </c>
      <c r="B9" s="3">
        <f>A4</f>
        <v>100</v>
      </c>
      <c r="C9" s="13">
        <f>EXP(-A9*$D$4)</f>
        <v>0.835270211411272</v>
      </c>
      <c r="D9" s="5">
        <f>B9*C9</f>
        <v>83.527021141127193</v>
      </c>
      <c r="E9" s="1"/>
    </row>
    <row r="10" spans="1:12" x14ac:dyDescent="0.35">
      <c r="A10" s="1"/>
      <c r="B10" s="1"/>
      <c r="C10" s="1"/>
      <c r="D10" s="1" t="s">
        <v>10</v>
      </c>
      <c r="E10" s="1"/>
    </row>
    <row r="11" spans="1:12" x14ac:dyDescent="0.35">
      <c r="A11" s="1"/>
      <c r="B11" s="1"/>
      <c r="C11" s="1"/>
      <c r="D11" s="5">
        <f>SUM(D7:D9)</f>
        <v>83.527021141127193</v>
      </c>
      <c r="E11" s="1"/>
    </row>
    <row r="12" spans="1:12" x14ac:dyDescent="0.35">
      <c r="B12" s="29" t="s">
        <v>106</v>
      </c>
    </row>
    <row r="13" spans="1:12" x14ac:dyDescent="0.35">
      <c r="B13" t="s">
        <v>107</v>
      </c>
      <c r="I13" s="31" t="s">
        <v>0</v>
      </c>
    </row>
    <row r="14" spans="1:12" x14ac:dyDescent="0.35">
      <c r="A14" t="s">
        <v>6</v>
      </c>
      <c r="B14" s="6">
        <v>0.06</v>
      </c>
      <c r="D14" s="3" t="s">
        <v>21</v>
      </c>
      <c r="E14" s="3" t="s">
        <v>3</v>
      </c>
      <c r="F14" s="3" t="s">
        <v>4</v>
      </c>
      <c r="G14" s="1" t="s">
        <v>9</v>
      </c>
      <c r="I14" s="8">
        <f>LN(G16/$D$11)</f>
        <v>6.0000000000000019E-2</v>
      </c>
      <c r="L14" s="29" t="s">
        <v>103</v>
      </c>
    </row>
    <row r="15" spans="1:12" x14ac:dyDescent="0.35">
      <c r="B15" s="18"/>
      <c r="D15" s="3">
        <v>1</v>
      </c>
      <c r="E15" s="3">
        <f>B8</f>
        <v>0</v>
      </c>
      <c r="F15" s="19">
        <f>EXP(-B14*D15)</f>
        <v>0.94176453358424872</v>
      </c>
      <c r="G15" s="15">
        <f>E15*F15</f>
        <v>0</v>
      </c>
      <c r="I15" s="21"/>
    </row>
    <row r="16" spans="1:12" x14ac:dyDescent="0.35">
      <c r="D16" s="11">
        <v>2</v>
      </c>
      <c r="E16" s="11">
        <f>B9</f>
        <v>100</v>
      </c>
      <c r="F16" s="20">
        <f>EXP(-B14*D16)</f>
        <v>0.88692043671715748</v>
      </c>
      <c r="G16" s="15">
        <f>E16*F16</f>
        <v>88.692043671715751</v>
      </c>
    </row>
    <row r="18" spans="1:12" x14ac:dyDescent="0.35">
      <c r="B18" t="s">
        <v>107</v>
      </c>
      <c r="I18" s="31" t="s">
        <v>0</v>
      </c>
      <c r="L18" s="29" t="s">
        <v>105</v>
      </c>
    </row>
    <row r="19" spans="1:12" x14ac:dyDescent="0.35">
      <c r="A19" t="s">
        <v>6</v>
      </c>
      <c r="B19" s="6">
        <v>0.04</v>
      </c>
      <c r="D19" s="3" t="s">
        <v>21</v>
      </c>
      <c r="E19" s="3" t="s">
        <v>3</v>
      </c>
      <c r="F19" s="3" t="s">
        <v>4</v>
      </c>
      <c r="G19" s="1" t="s">
        <v>9</v>
      </c>
      <c r="I19" s="8">
        <f>LN(G21/$D$11)</f>
        <v>0.10000000000000007</v>
      </c>
      <c r="J19" s="23">
        <f>I19-I14</f>
        <v>4.0000000000000056E-2</v>
      </c>
      <c r="L19" s="29" t="s">
        <v>44</v>
      </c>
    </row>
    <row r="20" spans="1:12" x14ac:dyDescent="0.35">
      <c r="B20" s="18"/>
      <c r="D20" s="3">
        <v>1</v>
      </c>
      <c r="E20" s="3">
        <f>B8</f>
        <v>0</v>
      </c>
      <c r="F20" s="19">
        <f>EXP(-B19*D20)</f>
        <v>0.96078943915232318</v>
      </c>
      <c r="G20" s="15">
        <f>E20*F20</f>
        <v>0</v>
      </c>
      <c r="I20" s="21"/>
    </row>
    <row r="21" spans="1:12" x14ac:dyDescent="0.35">
      <c r="D21" s="11">
        <v>2</v>
      </c>
      <c r="E21" s="11">
        <f>B9</f>
        <v>100</v>
      </c>
      <c r="F21" s="20">
        <f>EXP(-B19*D21)</f>
        <v>0.92311634638663576</v>
      </c>
      <c r="G21" s="15">
        <f>E21*F21</f>
        <v>92.311634638663577</v>
      </c>
    </row>
    <row r="23" spans="1:12" x14ac:dyDescent="0.35">
      <c r="B23" t="s">
        <v>107</v>
      </c>
      <c r="I23" s="31" t="s">
        <v>0</v>
      </c>
      <c r="L23" s="29" t="s">
        <v>42</v>
      </c>
    </row>
    <row r="24" spans="1:12" x14ac:dyDescent="0.35">
      <c r="A24" t="s">
        <v>6</v>
      </c>
      <c r="B24" s="6">
        <v>0.08</v>
      </c>
      <c r="D24" s="3" t="s">
        <v>21</v>
      </c>
      <c r="E24" s="3" t="s">
        <v>3</v>
      </c>
      <c r="F24" s="3" t="s">
        <v>4</v>
      </c>
      <c r="G24" s="1" t="s">
        <v>9</v>
      </c>
      <c r="I24" s="8">
        <f>LN(G26/$D$11)</f>
        <v>1.9999999999999966E-2</v>
      </c>
      <c r="J24" s="23">
        <f>I24-I14</f>
        <v>-4.0000000000000049E-2</v>
      </c>
    </row>
    <row r="25" spans="1:12" x14ac:dyDescent="0.35">
      <c r="B25" s="18"/>
      <c r="D25" s="3">
        <v>1</v>
      </c>
      <c r="E25" s="3">
        <f>B8</f>
        <v>0</v>
      </c>
      <c r="F25" s="19">
        <f>EXP(-B24*D25)</f>
        <v>0.92311634638663576</v>
      </c>
      <c r="G25" s="15">
        <f>E25*F25</f>
        <v>0</v>
      </c>
      <c r="I25" s="21"/>
    </row>
    <row r="26" spans="1:12" x14ac:dyDescent="0.35">
      <c r="D26" s="11">
        <v>2</v>
      </c>
      <c r="E26" s="11">
        <f>B9</f>
        <v>100</v>
      </c>
      <c r="F26" s="20">
        <f>EXP(-B24*D26)</f>
        <v>0.85214378896621135</v>
      </c>
      <c r="G26" s="15">
        <f>E26*F26</f>
        <v>85.214378896621128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
  <sheetViews>
    <sheetView workbookViewId="0">
      <selection activeCell="I17" sqref="I17"/>
    </sheetView>
  </sheetViews>
  <sheetFormatPr defaultRowHeight="14.5" x14ac:dyDescent="0.35"/>
  <sheetData>
    <row r="1" spans="1:9" ht="15.5" x14ac:dyDescent="0.35">
      <c r="C1" s="40" t="s">
        <v>100</v>
      </c>
      <c r="D1" s="40"/>
      <c r="E1" s="40" t="s">
        <v>45</v>
      </c>
    </row>
    <row r="3" spans="1:9" x14ac:dyDescent="0.35">
      <c r="A3" s="1" t="s">
        <v>12</v>
      </c>
      <c r="B3" s="1" t="s">
        <v>7</v>
      </c>
      <c r="C3" s="11" t="s">
        <v>1</v>
      </c>
      <c r="D3" s="1" t="s">
        <v>19</v>
      </c>
      <c r="E3" t="s">
        <v>108</v>
      </c>
    </row>
    <row r="4" spans="1:9" x14ac:dyDescent="0.35">
      <c r="A4" s="2">
        <v>1000</v>
      </c>
      <c r="B4" s="10">
        <v>0.1</v>
      </c>
      <c r="C4" s="12">
        <v>3</v>
      </c>
      <c r="D4" s="10">
        <v>7.0000000000000007E-2</v>
      </c>
      <c r="E4" s="6">
        <v>0.08</v>
      </c>
    </row>
    <row r="6" spans="1:9" x14ac:dyDescent="0.35">
      <c r="A6" s="3" t="s">
        <v>21</v>
      </c>
      <c r="B6" s="3" t="s">
        <v>3</v>
      </c>
      <c r="C6" s="3" t="s">
        <v>4</v>
      </c>
      <c r="D6" s="1" t="s">
        <v>9</v>
      </c>
    </row>
    <row r="7" spans="1:9" x14ac:dyDescent="0.35">
      <c r="A7" s="3">
        <v>1</v>
      </c>
      <c r="B7" s="3">
        <f>A4*B4</f>
        <v>100</v>
      </c>
      <c r="C7" s="13">
        <f>1/(1+$D$4)^A7</f>
        <v>0.93457943925233644</v>
      </c>
      <c r="D7" s="5">
        <f>B7*C7</f>
        <v>93.45794392523365</v>
      </c>
      <c r="F7" s="29" t="s">
        <v>36</v>
      </c>
    </row>
    <row r="8" spans="1:9" x14ac:dyDescent="0.35">
      <c r="A8" s="3">
        <v>2</v>
      </c>
      <c r="B8" s="3">
        <f>A4*B4</f>
        <v>100</v>
      </c>
      <c r="C8" s="13">
        <f>1/(1+$D$4)^A8</f>
        <v>0.87343872827321156</v>
      </c>
      <c r="D8" s="5">
        <f t="shared" ref="D8:D9" si="0">B8*C8</f>
        <v>87.34387282732115</v>
      </c>
    </row>
    <row r="9" spans="1:9" x14ac:dyDescent="0.35">
      <c r="A9" s="3">
        <v>3</v>
      </c>
      <c r="B9" s="3">
        <f>A4*B4+A4</f>
        <v>1100</v>
      </c>
      <c r="C9" s="13">
        <f>1/(1+$D$4)^A9</f>
        <v>0.81629787689085187</v>
      </c>
      <c r="D9" s="5">
        <f t="shared" si="0"/>
        <v>897.92766457993707</v>
      </c>
    </row>
    <row r="10" spans="1:9" x14ac:dyDescent="0.35">
      <c r="A10" s="1"/>
      <c r="B10" s="1"/>
      <c r="C10" s="1"/>
      <c r="D10" s="1" t="s">
        <v>10</v>
      </c>
    </row>
    <row r="11" spans="1:9" x14ac:dyDescent="0.35">
      <c r="D11" s="5">
        <f>SUM(D7:D9)</f>
        <v>1078.7294813324918</v>
      </c>
    </row>
    <row r="13" spans="1:9" x14ac:dyDescent="0.35">
      <c r="B13" s="3" t="s">
        <v>21</v>
      </c>
      <c r="C13" s="3" t="s">
        <v>3</v>
      </c>
      <c r="D13" s="3" t="s">
        <v>4</v>
      </c>
      <c r="E13" s="1" t="s">
        <v>9</v>
      </c>
      <c r="G13" s="3"/>
    </row>
    <row r="14" spans="1:9" x14ac:dyDescent="0.35">
      <c r="B14" s="3">
        <v>1</v>
      </c>
      <c r="C14" s="11">
        <f>B8</f>
        <v>100</v>
      </c>
      <c r="D14" s="14">
        <f>1/(1+$E$4)^B14</f>
        <v>0.92592592592592582</v>
      </c>
      <c r="E14" s="15">
        <f>C14*D14</f>
        <v>92.592592592592581</v>
      </c>
      <c r="G14" s="29" t="s">
        <v>109</v>
      </c>
    </row>
    <row r="15" spans="1:9" x14ac:dyDescent="0.35">
      <c r="B15" s="3">
        <v>2</v>
      </c>
      <c r="C15" s="11">
        <f>B9</f>
        <v>1100</v>
      </c>
      <c r="D15" s="14">
        <f>1/(1+$E$4)^B15</f>
        <v>0.85733882030178321</v>
      </c>
      <c r="E15" s="15">
        <f>C15*D15</f>
        <v>943.07270233196152</v>
      </c>
    </row>
    <row r="16" spans="1:9" x14ac:dyDescent="0.35">
      <c r="E16" s="1" t="s">
        <v>10</v>
      </c>
      <c r="G16" t="s">
        <v>20</v>
      </c>
      <c r="I16" s="31" t="s">
        <v>0</v>
      </c>
    </row>
    <row r="17" spans="5:11" x14ac:dyDescent="0.35">
      <c r="E17" s="15">
        <f>E14+E15</f>
        <v>1035.665294924554</v>
      </c>
      <c r="G17">
        <f>B7</f>
        <v>100</v>
      </c>
      <c r="I17" s="17">
        <f>((E17+G17)/D11)^(A9-B15)-1</f>
        <v>5.2780437150686588E-2</v>
      </c>
      <c r="K17" s="29"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2"/>
  <sheetViews>
    <sheetView workbookViewId="0">
      <selection activeCell="I18" sqref="I18"/>
    </sheetView>
  </sheetViews>
  <sheetFormatPr defaultRowHeight="14.5" x14ac:dyDescent="0.35"/>
  <cols>
    <col min="9" max="9" width="9.54296875" bestFit="1" customWidth="1"/>
  </cols>
  <sheetData>
    <row r="1" spans="1:9" ht="15.5" x14ac:dyDescent="0.35">
      <c r="C1" s="40" t="s">
        <v>100</v>
      </c>
      <c r="E1" s="40" t="s">
        <v>110</v>
      </c>
    </row>
    <row r="2" spans="1:9" ht="15.5" x14ac:dyDescent="0.35">
      <c r="E2" s="40" t="s">
        <v>111</v>
      </c>
    </row>
    <row r="3" spans="1:9" ht="16.5" x14ac:dyDescent="0.45">
      <c r="A3" s="11" t="s">
        <v>68</v>
      </c>
      <c r="B3" s="6">
        <v>0.92</v>
      </c>
      <c r="C3" s="11" t="s">
        <v>1</v>
      </c>
      <c r="D3" s="1" t="s">
        <v>22</v>
      </c>
      <c r="E3" s="11" t="s">
        <v>23</v>
      </c>
    </row>
    <row r="4" spans="1:9" ht="16.5" x14ac:dyDescent="0.45">
      <c r="A4" s="11" t="s">
        <v>69</v>
      </c>
      <c r="B4" s="6">
        <v>0.81</v>
      </c>
      <c r="C4" s="12">
        <v>5</v>
      </c>
      <c r="D4" s="9">
        <v>1000</v>
      </c>
      <c r="E4" s="12">
        <v>500</v>
      </c>
      <c r="G4" s="30"/>
      <c r="I4" s="29"/>
    </row>
    <row r="5" spans="1:9" ht="16.5" x14ac:dyDescent="0.45">
      <c r="A5" s="11" t="s">
        <v>70</v>
      </c>
      <c r="B5" s="6">
        <v>0.7</v>
      </c>
      <c r="I5" s="29"/>
    </row>
    <row r="6" spans="1:9" x14ac:dyDescent="0.35">
      <c r="B6" s="11"/>
    </row>
    <row r="7" spans="1:9" ht="16.5" x14ac:dyDescent="0.45">
      <c r="A7" s="11" t="s">
        <v>71</v>
      </c>
      <c r="B7" s="6">
        <v>0.92</v>
      </c>
    </row>
    <row r="8" spans="1:9" ht="16.5" x14ac:dyDescent="0.45">
      <c r="A8" s="11" t="s">
        <v>72</v>
      </c>
      <c r="B8" s="6">
        <v>0.81</v>
      </c>
    </row>
    <row r="9" spans="1:9" ht="16.5" x14ac:dyDescent="0.45">
      <c r="A9" s="11" t="s">
        <v>73</v>
      </c>
      <c r="B9" s="6">
        <v>0.7</v>
      </c>
    </row>
    <row r="11" spans="1:9" x14ac:dyDescent="0.35">
      <c r="B11" s="11" t="s">
        <v>104</v>
      </c>
      <c r="C11" s="11" t="s">
        <v>24</v>
      </c>
      <c r="D11" s="11"/>
      <c r="E11" s="11" t="s">
        <v>24</v>
      </c>
      <c r="F11" s="11"/>
      <c r="G11" s="11" t="s">
        <v>24</v>
      </c>
    </row>
    <row r="12" spans="1:9" x14ac:dyDescent="0.35">
      <c r="C12" s="11">
        <v>0</v>
      </c>
      <c r="D12" s="11"/>
      <c r="E12" s="11">
        <v>1</v>
      </c>
      <c r="F12" s="11"/>
      <c r="G12" s="11">
        <v>2</v>
      </c>
    </row>
    <row r="14" spans="1:9" x14ac:dyDescent="0.35">
      <c r="B14" s="26" t="s">
        <v>26</v>
      </c>
      <c r="C14" s="11" t="s">
        <v>21</v>
      </c>
      <c r="D14" s="11"/>
      <c r="E14" s="11" t="s">
        <v>21</v>
      </c>
      <c r="F14" s="11"/>
      <c r="G14" s="11" t="s">
        <v>21</v>
      </c>
    </row>
    <row r="15" spans="1:9" x14ac:dyDescent="0.35">
      <c r="C15" s="11">
        <f>C4-C12</f>
        <v>5</v>
      </c>
      <c r="D15" s="11"/>
      <c r="E15" s="11">
        <f>C4-E12</f>
        <v>4</v>
      </c>
      <c r="F15" s="11"/>
      <c r="G15" s="11">
        <f>C4-G12</f>
        <v>3</v>
      </c>
    </row>
    <row r="17" spans="2:12" x14ac:dyDescent="0.35">
      <c r="B17" t="s">
        <v>27</v>
      </c>
      <c r="C17" s="11" t="s">
        <v>23</v>
      </c>
      <c r="D17" s="11"/>
      <c r="E17" s="11"/>
      <c r="F17" s="11"/>
      <c r="G17" s="11" t="s">
        <v>25</v>
      </c>
      <c r="I17" s="31" t="s">
        <v>0</v>
      </c>
    </row>
    <row r="18" spans="2:12" x14ac:dyDescent="0.35">
      <c r="C18" s="11">
        <f>E4</f>
        <v>500</v>
      </c>
      <c r="D18" s="11"/>
      <c r="E18" s="11"/>
      <c r="F18" s="11"/>
      <c r="G18" s="11">
        <f>D4*B9</f>
        <v>700</v>
      </c>
      <c r="I18" s="8">
        <f>(G18/C18)^(1/G12)-1</f>
        <v>0.18321595661992318</v>
      </c>
    </row>
    <row r="20" spans="2:12" x14ac:dyDescent="0.35">
      <c r="C20" s="29" t="s">
        <v>48</v>
      </c>
      <c r="D20" s="29"/>
      <c r="E20" s="29" t="s">
        <v>49</v>
      </c>
      <c r="F20" s="29"/>
      <c r="G20" s="29" t="s">
        <v>50</v>
      </c>
      <c r="H20" s="29"/>
      <c r="I20" s="29"/>
      <c r="J20" s="29"/>
      <c r="K20" s="29"/>
      <c r="L20" s="29"/>
    </row>
    <row r="21" spans="2:12" x14ac:dyDescent="0.35">
      <c r="D21" s="29"/>
      <c r="E21" s="29"/>
      <c r="F21" s="29"/>
      <c r="G21" s="29"/>
      <c r="H21" s="29"/>
      <c r="I21" s="29"/>
      <c r="J21" s="29"/>
      <c r="K21" s="29"/>
      <c r="L21" s="29"/>
    </row>
    <row r="22" spans="2:12" x14ac:dyDescent="0.35">
      <c r="C22" s="29" t="s">
        <v>47</v>
      </c>
      <c r="D22" s="29"/>
      <c r="E22" s="29"/>
      <c r="F22" s="29"/>
      <c r="H22" s="29"/>
      <c r="I22" s="29"/>
      <c r="J22" s="29"/>
      <c r="K22" s="29"/>
      <c r="L22"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
  <sheetViews>
    <sheetView topLeftCell="A3" workbookViewId="0">
      <selection activeCell="K21" sqref="K21"/>
    </sheetView>
  </sheetViews>
  <sheetFormatPr defaultRowHeight="14.5" x14ac:dyDescent="0.35"/>
  <sheetData>
    <row r="1" spans="1:10" ht="15.5" x14ac:dyDescent="0.35">
      <c r="C1" s="40" t="s">
        <v>100</v>
      </c>
      <c r="E1" s="39" t="s">
        <v>116</v>
      </c>
    </row>
    <row r="3" spans="1:10" x14ac:dyDescent="0.35">
      <c r="A3" t="s">
        <v>65</v>
      </c>
      <c r="D3" s="1" t="s">
        <v>22</v>
      </c>
      <c r="E3" s="1" t="s">
        <v>7</v>
      </c>
      <c r="F3" s="11" t="s">
        <v>1</v>
      </c>
    </row>
    <row r="4" spans="1:10" ht="16.5" x14ac:dyDescent="0.45">
      <c r="A4" s="1" t="s">
        <v>66</v>
      </c>
      <c r="B4" s="10">
        <v>7.0000000000000007E-2</v>
      </c>
      <c r="D4" s="9">
        <v>100</v>
      </c>
      <c r="E4" s="10">
        <v>0.11</v>
      </c>
      <c r="F4" s="12">
        <v>2</v>
      </c>
    </row>
    <row r="5" spans="1:10" ht="16.5" x14ac:dyDescent="0.45">
      <c r="A5" t="s">
        <v>67</v>
      </c>
      <c r="B5" s="6">
        <v>0.09</v>
      </c>
    </row>
    <row r="7" spans="1:10" x14ac:dyDescent="0.35">
      <c r="B7" s="24" t="s">
        <v>89</v>
      </c>
      <c r="C7" s="24"/>
      <c r="D7" s="24"/>
      <c r="E7" s="24"/>
      <c r="F7" s="24"/>
    </row>
    <row r="9" spans="1:10" x14ac:dyDescent="0.35">
      <c r="B9" t="s">
        <v>113</v>
      </c>
    </row>
    <row r="10" spans="1:10" ht="16.5" x14ac:dyDescent="0.45">
      <c r="B10" s="11" t="s">
        <v>77</v>
      </c>
      <c r="C10" s="11" t="s">
        <v>87</v>
      </c>
      <c r="E10" s="3" t="s">
        <v>21</v>
      </c>
      <c r="F10" s="3" t="s">
        <v>3</v>
      </c>
      <c r="G10" s="3" t="s">
        <v>4</v>
      </c>
      <c r="H10" s="1" t="s">
        <v>9</v>
      </c>
      <c r="J10" s="29" t="s">
        <v>112</v>
      </c>
    </row>
    <row r="11" spans="1:10" x14ac:dyDescent="0.35">
      <c r="B11" s="11"/>
      <c r="C11" s="11"/>
      <c r="E11" s="3">
        <v>1</v>
      </c>
      <c r="F11" s="11">
        <f>D4*(1+E4)</f>
        <v>111.00000000000001</v>
      </c>
      <c r="G11" s="32">
        <f>C16</f>
        <v>0.89583413529652822</v>
      </c>
      <c r="H11" s="33">
        <f>F11*G11</f>
        <v>99.437589017914647</v>
      </c>
    </row>
    <row r="12" spans="1:10" ht="16.5" x14ac:dyDescent="0.45">
      <c r="B12" s="11" t="s">
        <v>87</v>
      </c>
      <c r="C12" s="22">
        <f>2*B5-1*B4</f>
        <v>0.10999999999999999</v>
      </c>
    </row>
    <row r="13" spans="1:10" x14ac:dyDescent="0.35">
      <c r="H13" s="35" t="s">
        <v>91</v>
      </c>
    </row>
    <row r="14" spans="1:10" ht="16.5" x14ac:dyDescent="0.45">
      <c r="B14" s="11" t="s">
        <v>77</v>
      </c>
      <c r="C14" s="22">
        <f>C12</f>
        <v>0.10999999999999999</v>
      </c>
      <c r="H14" s="34">
        <f>H11+H12</f>
        <v>99.437589017914647</v>
      </c>
    </row>
    <row r="15" spans="1:10" x14ac:dyDescent="0.35">
      <c r="B15" s="11"/>
    </row>
    <row r="16" spans="1:10" ht="16.5" x14ac:dyDescent="0.45">
      <c r="B16" s="11" t="s">
        <v>68</v>
      </c>
      <c r="C16">
        <f>EXP(-C14)</f>
        <v>0.89583413529652822</v>
      </c>
    </row>
    <row r="17" spans="2:3" x14ac:dyDescent="0.35">
      <c r="B17" s="11"/>
      <c r="C17" s="28"/>
    </row>
    <row r="18" spans="2:3" x14ac:dyDescent="0.35">
      <c r="B18" s="29" t="s">
        <v>114</v>
      </c>
    </row>
    <row r="19" spans="2:3" x14ac:dyDescent="0.35">
      <c r="B19" s="11"/>
      <c r="C19" s="28"/>
    </row>
    <row r="20" spans="2:3" x14ac:dyDescent="0.35">
      <c r="B20" s="11"/>
      <c r="C20"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5"/>
  <sheetViews>
    <sheetView topLeftCell="A12" workbookViewId="0">
      <selection activeCell="K28" sqref="K28"/>
    </sheetView>
  </sheetViews>
  <sheetFormatPr defaultRowHeight="14.5" x14ac:dyDescent="0.35"/>
  <sheetData>
    <row r="1" spans="1:8" ht="15.5" x14ac:dyDescent="0.35">
      <c r="C1" s="40" t="s">
        <v>100</v>
      </c>
      <c r="E1" s="39" t="s">
        <v>115</v>
      </c>
    </row>
    <row r="3" spans="1:8" ht="16.5" x14ac:dyDescent="0.45">
      <c r="A3" s="11" t="s">
        <v>74</v>
      </c>
      <c r="B3" s="25">
        <v>0.92</v>
      </c>
      <c r="D3" s="1" t="s">
        <v>22</v>
      </c>
      <c r="E3" s="1" t="s">
        <v>7</v>
      </c>
      <c r="F3" s="11" t="s">
        <v>1</v>
      </c>
    </row>
    <row r="4" spans="1:8" ht="16.5" x14ac:dyDescent="0.45">
      <c r="A4" s="11" t="s">
        <v>75</v>
      </c>
      <c r="B4" s="25">
        <v>0.81</v>
      </c>
      <c r="D4" s="9">
        <v>1000</v>
      </c>
      <c r="E4" s="10" t="s">
        <v>2</v>
      </c>
      <c r="F4" s="12">
        <v>3</v>
      </c>
    </row>
    <row r="5" spans="1:8" ht="16.5" x14ac:dyDescent="0.45">
      <c r="A5" s="11" t="s">
        <v>76</v>
      </c>
      <c r="B5" s="25">
        <v>0.7</v>
      </c>
    </row>
    <row r="7" spans="1:8" x14ac:dyDescent="0.35">
      <c r="B7" s="24" t="s">
        <v>89</v>
      </c>
      <c r="C7" s="24"/>
      <c r="D7" s="24"/>
      <c r="E7" s="24"/>
      <c r="F7" s="24"/>
    </row>
    <row r="9" spans="1:8" x14ac:dyDescent="0.35">
      <c r="B9" t="s">
        <v>30</v>
      </c>
    </row>
    <row r="10" spans="1:8" ht="16.5" x14ac:dyDescent="0.45">
      <c r="B10" s="11" t="s">
        <v>77</v>
      </c>
      <c r="C10" s="11" t="s">
        <v>87</v>
      </c>
      <c r="E10" s="3" t="s">
        <v>21</v>
      </c>
      <c r="F10" s="3" t="s">
        <v>3</v>
      </c>
      <c r="G10" s="3" t="s">
        <v>4</v>
      </c>
      <c r="H10" s="1" t="s">
        <v>9</v>
      </c>
    </row>
    <row r="11" spans="1:8" ht="16.5" x14ac:dyDescent="0.45">
      <c r="B11" s="11" t="s">
        <v>78</v>
      </c>
      <c r="C11" s="11" t="s">
        <v>88</v>
      </c>
      <c r="E11" s="3">
        <v>2</v>
      </c>
      <c r="F11" s="11">
        <f>D4</f>
        <v>1000</v>
      </c>
      <c r="G11" s="32">
        <f>C22</f>
        <v>0.76086956521739124</v>
      </c>
      <c r="H11" s="33">
        <f>F11*G11</f>
        <v>760.86956521739125</v>
      </c>
    </row>
    <row r="12" spans="1:8" ht="16.5" x14ac:dyDescent="0.45">
      <c r="B12" s="11" t="s">
        <v>79</v>
      </c>
      <c r="C12" s="11" t="s">
        <v>90</v>
      </c>
    </row>
    <row r="13" spans="1:8" x14ac:dyDescent="0.35">
      <c r="H13" s="35" t="s">
        <v>91</v>
      </c>
    </row>
    <row r="14" spans="1:8" ht="16.5" x14ac:dyDescent="0.45">
      <c r="B14" s="11" t="s">
        <v>83</v>
      </c>
      <c r="C14" s="11">
        <f>LN(1/B3)/1</f>
        <v>8.3381608939051E-2</v>
      </c>
      <c r="H14" s="34">
        <f>H11+H12</f>
        <v>760.86956521739125</v>
      </c>
    </row>
    <row r="15" spans="1:8" ht="16.5" x14ac:dyDescent="0.45">
      <c r="B15" s="11" t="s">
        <v>84</v>
      </c>
      <c r="C15" s="11">
        <f>LN(1/B4)/2</f>
        <v>0.10536051565782627</v>
      </c>
    </row>
    <row r="16" spans="1:8" ht="16.5" x14ac:dyDescent="0.45">
      <c r="B16" s="11" t="s">
        <v>85</v>
      </c>
      <c r="C16" s="11">
        <f>LN(1/B5)/3</f>
        <v>0.11889164797957746</v>
      </c>
    </row>
    <row r="17" spans="2:3" x14ac:dyDescent="0.35">
      <c r="C17" s="11"/>
    </row>
    <row r="18" spans="2:3" ht="16.5" x14ac:dyDescent="0.45">
      <c r="B18" s="11" t="s">
        <v>87</v>
      </c>
      <c r="C18" s="36">
        <f>2*C15-C14</f>
        <v>0.12733942237660154</v>
      </c>
    </row>
    <row r="19" spans="2:3" ht="16.5" x14ac:dyDescent="0.45">
      <c r="B19" s="11" t="s">
        <v>88</v>
      </c>
      <c r="C19" s="36">
        <f>(3*C16-C14)/2</f>
        <v>0.1366466674998407</v>
      </c>
    </row>
    <row r="20" spans="2:3" x14ac:dyDescent="0.35">
      <c r="B20" s="11"/>
      <c r="C20" s="36"/>
    </row>
    <row r="21" spans="2:3" ht="16.5" x14ac:dyDescent="0.45">
      <c r="B21" s="11" t="s">
        <v>68</v>
      </c>
      <c r="C21" s="37">
        <f>EXP(-C18*1)</f>
        <v>0.88043478260869568</v>
      </c>
    </row>
    <row r="22" spans="2:3" ht="16.5" x14ac:dyDescent="0.45">
      <c r="B22" s="11" t="s">
        <v>69</v>
      </c>
      <c r="C22" s="37">
        <f>EXP(-C19*2)</f>
        <v>0.76086956521739124</v>
      </c>
    </row>
    <row r="23" spans="2:3" x14ac:dyDescent="0.35">
      <c r="C23" s="11"/>
    </row>
    <row r="24" spans="2:3" ht="16.5" x14ac:dyDescent="0.45">
      <c r="B24" s="11" t="s">
        <v>68</v>
      </c>
      <c r="C24" s="37">
        <f>B4/B3</f>
        <v>0.88043478260869568</v>
      </c>
    </row>
    <row r="25" spans="2:3" ht="16.5" x14ac:dyDescent="0.45">
      <c r="B25" s="11" t="s">
        <v>69</v>
      </c>
      <c r="C25" s="37">
        <f>B5/B3</f>
        <v>0.76086956521739124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6"/>
  <sheetViews>
    <sheetView topLeftCell="A9" zoomScaleNormal="100" workbookViewId="0">
      <selection activeCell="K26" sqref="K26"/>
    </sheetView>
  </sheetViews>
  <sheetFormatPr defaultRowHeight="14.5" x14ac:dyDescent="0.35"/>
  <cols>
    <col min="12" max="12" width="9.81640625" customWidth="1"/>
  </cols>
  <sheetData>
    <row r="1" spans="1:14" ht="15.5" x14ac:dyDescent="0.35">
      <c r="C1" s="40" t="s">
        <v>100</v>
      </c>
      <c r="E1" s="40" t="s">
        <v>51</v>
      </c>
    </row>
    <row r="2" spans="1:14" ht="15.5" x14ac:dyDescent="0.35">
      <c r="E2" s="40" t="s">
        <v>117</v>
      </c>
    </row>
    <row r="3" spans="1:14" ht="16.5" x14ac:dyDescent="0.45">
      <c r="A3" s="11" t="s">
        <v>74</v>
      </c>
      <c r="B3" s="25">
        <v>0.8</v>
      </c>
      <c r="D3" t="s">
        <v>28</v>
      </c>
    </row>
    <row r="4" spans="1:14" ht="16.5" x14ac:dyDescent="0.45">
      <c r="A4" s="11" t="s">
        <v>75</v>
      </c>
      <c r="B4" s="25">
        <v>0.7</v>
      </c>
      <c r="D4" s="1" t="s">
        <v>12</v>
      </c>
      <c r="E4" s="1" t="s">
        <v>7</v>
      </c>
      <c r="F4" s="3" t="s">
        <v>1</v>
      </c>
      <c r="H4" s="24" t="s">
        <v>35</v>
      </c>
      <c r="I4" s="24"/>
      <c r="J4" s="24"/>
      <c r="K4" s="24"/>
      <c r="L4" s="24"/>
      <c r="M4" s="24"/>
      <c r="N4" s="24"/>
    </row>
    <row r="5" spans="1:14" ht="16.5" x14ac:dyDescent="0.45">
      <c r="A5" s="11" t="s">
        <v>76</v>
      </c>
      <c r="B5" s="25">
        <v>0.6</v>
      </c>
      <c r="D5" s="2">
        <v>1000</v>
      </c>
      <c r="E5" s="27">
        <v>0.1</v>
      </c>
      <c r="F5" s="9">
        <v>3</v>
      </c>
      <c r="H5" s="24" t="s">
        <v>32</v>
      </c>
      <c r="I5" s="24"/>
      <c r="J5" s="24"/>
      <c r="K5" s="24"/>
      <c r="L5" s="24"/>
      <c r="M5" s="24"/>
      <c r="N5" s="24"/>
    </row>
    <row r="6" spans="1:14" x14ac:dyDescent="0.35">
      <c r="H6" s="24" t="s">
        <v>33</v>
      </c>
      <c r="I6" s="24"/>
      <c r="J6" s="24"/>
      <c r="K6" s="24"/>
      <c r="L6" s="24"/>
      <c r="M6" s="24"/>
      <c r="N6" s="24"/>
    </row>
    <row r="7" spans="1:14" x14ac:dyDescent="0.35">
      <c r="D7" t="s">
        <v>29</v>
      </c>
      <c r="H7" s="24" t="s">
        <v>34</v>
      </c>
      <c r="I7" s="24"/>
      <c r="J7" s="24"/>
      <c r="K7" s="24"/>
      <c r="L7" s="24"/>
      <c r="M7" s="24"/>
      <c r="N7" s="24"/>
    </row>
    <row r="8" spans="1:14" x14ac:dyDescent="0.35">
      <c r="D8" s="1" t="s">
        <v>12</v>
      </c>
      <c r="E8" s="1" t="s">
        <v>7</v>
      </c>
      <c r="F8" s="3" t="s">
        <v>1</v>
      </c>
    </row>
    <row r="9" spans="1:14" x14ac:dyDescent="0.35">
      <c r="D9" s="2">
        <v>1000</v>
      </c>
      <c r="E9" s="9" t="s">
        <v>2</v>
      </c>
      <c r="F9" s="9">
        <v>2</v>
      </c>
      <c r="H9" s="29"/>
    </row>
    <row r="11" spans="1:14" x14ac:dyDescent="0.35">
      <c r="A11" t="s">
        <v>28</v>
      </c>
      <c r="F11" t="s">
        <v>29</v>
      </c>
    </row>
    <row r="12" spans="1:14" x14ac:dyDescent="0.35">
      <c r="A12" s="3" t="s">
        <v>1</v>
      </c>
      <c r="B12" s="3" t="s">
        <v>3</v>
      </c>
      <c r="C12" s="3" t="s">
        <v>4</v>
      </c>
      <c r="D12" s="1" t="s">
        <v>9</v>
      </c>
      <c r="F12" s="3" t="s">
        <v>1</v>
      </c>
      <c r="G12" s="3" t="s">
        <v>3</v>
      </c>
      <c r="H12" s="3" t="s">
        <v>4</v>
      </c>
      <c r="I12" s="1" t="s">
        <v>9</v>
      </c>
      <c r="K12" s="29" t="s">
        <v>36</v>
      </c>
    </row>
    <row r="13" spans="1:14" x14ac:dyDescent="0.35">
      <c r="A13" s="3">
        <v>1</v>
      </c>
      <c r="B13" s="3">
        <f>D5*E5</f>
        <v>100</v>
      </c>
      <c r="C13" s="13">
        <f>B3</f>
        <v>0.8</v>
      </c>
      <c r="D13" s="5">
        <f>B13*C13</f>
        <v>80</v>
      </c>
      <c r="F13" s="3">
        <v>1</v>
      </c>
      <c r="G13" s="3">
        <f>I5*J5</f>
        <v>0</v>
      </c>
      <c r="H13" s="13">
        <f>B3</f>
        <v>0.8</v>
      </c>
      <c r="I13" s="5">
        <f>G13*H13</f>
        <v>0</v>
      </c>
    </row>
    <row r="14" spans="1:14" x14ac:dyDescent="0.35">
      <c r="A14" s="3">
        <v>2</v>
      </c>
      <c r="B14" s="3">
        <f>D5*E5</f>
        <v>100</v>
      </c>
      <c r="C14" s="13">
        <f t="shared" ref="C14:C15" si="0">B4</f>
        <v>0.7</v>
      </c>
      <c r="D14" s="5">
        <f>B14*C14</f>
        <v>70</v>
      </c>
      <c r="F14" s="3">
        <v>2</v>
      </c>
      <c r="G14" s="3">
        <f>D9</f>
        <v>1000</v>
      </c>
      <c r="H14" s="13">
        <f>B4</f>
        <v>0.7</v>
      </c>
      <c r="I14" s="5">
        <f>G14*H14</f>
        <v>700</v>
      </c>
    </row>
    <row r="15" spans="1:14" x14ac:dyDescent="0.35">
      <c r="A15" s="3">
        <v>3</v>
      </c>
      <c r="B15" s="3">
        <f>D5*E5+D5</f>
        <v>1100</v>
      </c>
      <c r="C15" s="13">
        <f t="shared" si="0"/>
        <v>0.6</v>
      </c>
      <c r="D15" s="5">
        <f>B15*C15</f>
        <v>660</v>
      </c>
    </row>
    <row r="16" spans="1:14" x14ac:dyDescent="0.35">
      <c r="A16" s="1"/>
      <c r="B16" s="1"/>
      <c r="C16" s="1"/>
      <c r="D16" s="1" t="s">
        <v>10</v>
      </c>
      <c r="I16" s="1" t="s">
        <v>10</v>
      </c>
    </row>
    <row r="17" spans="1:12" x14ac:dyDescent="0.35">
      <c r="A17" s="1"/>
      <c r="B17" s="1"/>
      <c r="C17" s="1"/>
      <c r="D17" s="5">
        <f>SUM(D13:D15)</f>
        <v>810</v>
      </c>
      <c r="I17" s="5">
        <f>SUM(I13:I14)</f>
        <v>700</v>
      </c>
    </row>
    <row r="19" spans="1:12" x14ac:dyDescent="0.35">
      <c r="B19" t="s">
        <v>30</v>
      </c>
      <c r="E19" t="s">
        <v>28</v>
      </c>
    </row>
    <row r="20" spans="1:12" ht="16.5" x14ac:dyDescent="0.45">
      <c r="A20" t="s">
        <v>6</v>
      </c>
      <c r="B20" s="11" t="s">
        <v>68</v>
      </c>
      <c r="C20" s="25">
        <v>0.8</v>
      </c>
      <c r="E20" s="3" t="s">
        <v>21</v>
      </c>
      <c r="F20" s="3" t="s">
        <v>3</v>
      </c>
      <c r="G20" s="3" t="s">
        <v>4</v>
      </c>
      <c r="H20" s="1" t="s">
        <v>9</v>
      </c>
    </row>
    <row r="21" spans="1:12" ht="16.5" x14ac:dyDescent="0.45">
      <c r="B21" s="11" t="s">
        <v>69</v>
      </c>
      <c r="C21" s="25">
        <v>0.7</v>
      </c>
      <c r="E21" s="3">
        <v>1</v>
      </c>
      <c r="F21" s="3">
        <f>B14</f>
        <v>100</v>
      </c>
      <c r="G21" s="13">
        <f>C20</f>
        <v>0.8</v>
      </c>
      <c r="H21" s="5">
        <f>F21*G21</f>
        <v>80</v>
      </c>
      <c r="J21" s="29" t="s">
        <v>52</v>
      </c>
    </row>
    <row r="22" spans="1:12" ht="16.5" x14ac:dyDescent="0.45">
      <c r="B22" s="11" t="s">
        <v>70</v>
      </c>
      <c r="C22" s="25">
        <v>0.6</v>
      </c>
      <c r="E22" s="3">
        <v>2</v>
      </c>
      <c r="F22" s="3">
        <f>B15</f>
        <v>1100</v>
      </c>
      <c r="G22" s="13">
        <f>C21</f>
        <v>0.7</v>
      </c>
      <c r="H22" s="5">
        <f>F22*G22</f>
        <v>770</v>
      </c>
      <c r="J22" s="29"/>
      <c r="L22" s="29" t="s">
        <v>46</v>
      </c>
    </row>
    <row r="23" spans="1:12" x14ac:dyDescent="0.35">
      <c r="H23" s="1" t="s">
        <v>10</v>
      </c>
      <c r="J23" t="s">
        <v>20</v>
      </c>
      <c r="L23" t="s">
        <v>0</v>
      </c>
    </row>
    <row r="24" spans="1:12" x14ac:dyDescent="0.35">
      <c r="H24" s="5">
        <f>SUM(H20:H22)</f>
        <v>850</v>
      </c>
      <c r="J24">
        <f>B13</f>
        <v>100</v>
      </c>
      <c r="L24" s="17">
        <f>((H24+J24)/D17)^(A15-E22)-1</f>
        <v>0.17283950617283961</v>
      </c>
    </row>
    <row r="26" spans="1:12" x14ac:dyDescent="0.35">
      <c r="E26" t="s">
        <v>29</v>
      </c>
    </row>
    <row r="27" spans="1:12" x14ac:dyDescent="0.35">
      <c r="E27" s="3" t="s">
        <v>21</v>
      </c>
      <c r="F27" s="3" t="s">
        <v>3</v>
      </c>
      <c r="G27" s="3" t="s">
        <v>4</v>
      </c>
      <c r="H27" s="1" t="s">
        <v>9</v>
      </c>
    </row>
    <row r="28" spans="1:12" x14ac:dyDescent="0.35">
      <c r="E28" s="3">
        <v>1</v>
      </c>
      <c r="F28" s="3">
        <f>G14</f>
        <v>1000</v>
      </c>
      <c r="G28" s="13">
        <f>C20</f>
        <v>0.8</v>
      </c>
      <c r="H28" s="5">
        <f>F28*G28</f>
        <v>800</v>
      </c>
    </row>
    <row r="29" spans="1:12" x14ac:dyDescent="0.35">
      <c r="E29" s="3"/>
      <c r="F29" s="3"/>
      <c r="G29" s="13"/>
      <c r="H29" s="5"/>
    </row>
    <row r="30" spans="1:12" x14ac:dyDescent="0.35">
      <c r="H30" s="1" t="s">
        <v>10</v>
      </c>
      <c r="J30" t="s">
        <v>20</v>
      </c>
      <c r="L30" t="s">
        <v>0</v>
      </c>
    </row>
    <row r="31" spans="1:12" x14ac:dyDescent="0.35">
      <c r="H31" s="5">
        <f>SUM(H27:H29)</f>
        <v>800</v>
      </c>
      <c r="J31">
        <f>G13</f>
        <v>0</v>
      </c>
      <c r="L31" s="17">
        <f>((H31+J31)/I17)^(F14-E28)-1</f>
        <v>0.14285714285714279</v>
      </c>
    </row>
    <row r="33" spans="1:14" x14ac:dyDescent="0.35">
      <c r="B33" t="s">
        <v>30</v>
      </c>
      <c r="E33" t="s">
        <v>28</v>
      </c>
    </row>
    <row r="34" spans="1:14" ht="16.5" x14ac:dyDescent="0.45">
      <c r="A34" t="s">
        <v>5</v>
      </c>
      <c r="B34" s="11" t="s">
        <v>77</v>
      </c>
      <c r="C34" s="25" t="s">
        <v>80</v>
      </c>
      <c r="E34" s="3" t="s">
        <v>21</v>
      </c>
      <c r="F34" s="3" t="s">
        <v>3</v>
      </c>
      <c r="G34" s="3" t="s">
        <v>4</v>
      </c>
      <c r="H34" s="1" t="s">
        <v>9</v>
      </c>
    </row>
    <row r="35" spans="1:14" ht="16.5" x14ac:dyDescent="0.45">
      <c r="B35" s="11" t="s">
        <v>78</v>
      </c>
      <c r="C35" s="25" t="s">
        <v>81</v>
      </c>
      <c r="E35" s="3">
        <v>1</v>
      </c>
      <c r="F35" s="3">
        <f>F21</f>
        <v>100</v>
      </c>
      <c r="G35" s="13">
        <f>C46</f>
        <v>0.76098353960057119</v>
      </c>
      <c r="H35" s="5">
        <f>F35*G35</f>
        <v>76.098353960057125</v>
      </c>
    </row>
    <row r="36" spans="1:14" ht="16.5" x14ac:dyDescent="0.45">
      <c r="B36" s="11" t="s">
        <v>79</v>
      </c>
      <c r="C36" s="25" t="s">
        <v>82</v>
      </c>
      <c r="E36" s="3">
        <v>2</v>
      </c>
      <c r="F36" s="3">
        <f>F22</f>
        <v>1100</v>
      </c>
      <c r="G36" s="13">
        <f>C47</f>
        <v>0.63338619262517171</v>
      </c>
      <c r="H36" s="5">
        <f>F36*G36</f>
        <v>696.72481188768893</v>
      </c>
    </row>
    <row r="37" spans="1:14" x14ac:dyDescent="0.35">
      <c r="B37" s="29" t="s">
        <v>55</v>
      </c>
      <c r="H37" s="1" t="s">
        <v>10</v>
      </c>
      <c r="J37" t="s">
        <v>20</v>
      </c>
      <c r="L37" t="s">
        <v>0</v>
      </c>
    </row>
    <row r="38" spans="1:14" ht="16.5" x14ac:dyDescent="0.45">
      <c r="B38" s="11" t="s">
        <v>83</v>
      </c>
      <c r="C38">
        <f>LN(1/B3)/1</f>
        <v>0.22314355131420976</v>
      </c>
      <c r="H38" s="5">
        <f>SUM(H34:H36)</f>
        <v>772.82316584774605</v>
      </c>
      <c r="J38">
        <f>J24</f>
        <v>100</v>
      </c>
      <c r="L38" s="17">
        <f>((H38+J38)/$D$17)^($A$15-E36)-1</f>
        <v>7.7559464009562928E-2</v>
      </c>
      <c r="N38" s="29" t="s">
        <v>53</v>
      </c>
    </row>
    <row r="39" spans="1:14" ht="16.5" x14ac:dyDescent="0.45">
      <c r="B39" s="11" t="s">
        <v>84</v>
      </c>
      <c r="C39">
        <f>LN(1/B4)/2</f>
        <v>0.1783374719693662</v>
      </c>
      <c r="N39" s="29" t="s">
        <v>54</v>
      </c>
    </row>
    <row r="40" spans="1:14" ht="16.5" x14ac:dyDescent="0.45">
      <c r="B40" s="11" t="s">
        <v>85</v>
      </c>
      <c r="C40">
        <f>LN(1/B5)/3</f>
        <v>0.17027520792199691</v>
      </c>
      <c r="E40" t="s">
        <v>29</v>
      </c>
      <c r="N40" s="29"/>
    </row>
    <row r="41" spans="1:14" x14ac:dyDescent="0.35">
      <c r="E41" s="3" t="s">
        <v>21</v>
      </c>
      <c r="F41" s="3" t="s">
        <v>3</v>
      </c>
      <c r="G41" s="3" t="s">
        <v>4</v>
      </c>
      <c r="H41" s="1" t="s">
        <v>9</v>
      </c>
    </row>
    <row r="42" spans="1:14" ht="16.5" x14ac:dyDescent="0.45">
      <c r="B42" s="11" t="s">
        <v>77</v>
      </c>
      <c r="C42" s="22">
        <f>C38+5%</f>
        <v>0.27314355131420975</v>
      </c>
      <c r="E42" s="3">
        <v>1</v>
      </c>
      <c r="F42" s="3">
        <f>F28</f>
        <v>1000</v>
      </c>
      <c r="G42" s="13">
        <f>C46</f>
        <v>0.76098353960057119</v>
      </c>
      <c r="H42" s="5">
        <f>F42*G42</f>
        <v>760.98353960057113</v>
      </c>
    </row>
    <row r="43" spans="1:14" ht="16.5" x14ac:dyDescent="0.45">
      <c r="B43" s="11" t="s">
        <v>86</v>
      </c>
      <c r="C43" s="22">
        <f t="shared" ref="C43:C44" si="1">C39+5%</f>
        <v>0.22833747196936621</v>
      </c>
      <c r="E43" s="3"/>
      <c r="F43" s="3"/>
      <c r="G43" s="13"/>
      <c r="H43" s="5"/>
    </row>
    <row r="44" spans="1:14" x14ac:dyDescent="0.35">
      <c r="B44" s="11" t="s">
        <v>31</v>
      </c>
      <c r="C44" s="22">
        <f t="shared" si="1"/>
        <v>0.2202752079219969</v>
      </c>
      <c r="H44" s="1" t="s">
        <v>10</v>
      </c>
      <c r="J44" t="s">
        <v>20</v>
      </c>
      <c r="L44" t="s">
        <v>0</v>
      </c>
    </row>
    <row r="45" spans="1:14" x14ac:dyDescent="0.35">
      <c r="H45" s="5">
        <f>SUM(H41:H43)</f>
        <v>760.98353960057113</v>
      </c>
      <c r="J45">
        <f>J31</f>
        <v>0</v>
      </c>
      <c r="L45" s="17">
        <f>((H45+J45)/$I$17)^($F$14-E42)-1</f>
        <v>8.7119342286530177E-2</v>
      </c>
    </row>
    <row r="46" spans="1:14" ht="16.5" x14ac:dyDescent="0.45">
      <c r="B46" s="11" t="s">
        <v>68</v>
      </c>
      <c r="C46">
        <f>EXP(-C42*1)</f>
        <v>0.76098353960057119</v>
      </c>
    </row>
    <row r="47" spans="1:14" ht="16.5" x14ac:dyDescent="0.45">
      <c r="B47" s="11" t="s">
        <v>69</v>
      </c>
      <c r="C47">
        <f>EXP(-C43*2)</f>
        <v>0.63338619262517171</v>
      </c>
    </row>
    <row r="48" spans="1:14" ht="16.5" x14ac:dyDescent="0.45">
      <c r="B48" s="11" t="s">
        <v>70</v>
      </c>
      <c r="C48">
        <f>EXP(-C44*3)</f>
        <v>0.51642478585503471</v>
      </c>
    </row>
    <row r="50" spans="1:14" x14ac:dyDescent="0.35">
      <c r="B50" t="s">
        <v>30</v>
      </c>
      <c r="E50" t="s">
        <v>28</v>
      </c>
    </row>
    <row r="51" spans="1:14" ht="16.5" x14ac:dyDescent="0.45">
      <c r="A51" t="s">
        <v>14</v>
      </c>
      <c r="B51" s="11" t="s">
        <v>77</v>
      </c>
      <c r="C51" s="11" t="s">
        <v>87</v>
      </c>
      <c r="E51" s="3" t="s">
        <v>21</v>
      </c>
      <c r="F51" s="3" t="s">
        <v>3</v>
      </c>
      <c r="G51" s="3" t="s">
        <v>4</v>
      </c>
      <c r="H51" s="1" t="s">
        <v>9</v>
      </c>
    </row>
    <row r="52" spans="1:14" ht="16.5" x14ac:dyDescent="0.45">
      <c r="B52" s="11" t="s">
        <v>78</v>
      </c>
      <c r="C52" s="11" t="s">
        <v>88</v>
      </c>
      <c r="E52" s="3">
        <v>1</v>
      </c>
      <c r="F52" s="3">
        <f>F35</f>
        <v>100</v>
      </c>
      <c r="G52" s="13">
        <f>C62</f>
        <v>0.875</v>
      </c>
      <c r="H52" s="5">
        <f>F52*G52</f>
        <v>87.5</v>
      </c>
    </row>
    <row r="53" spans="1:14" ht="16.5" x14ac:dyDescent="0.45">
      <c r="B53" s="11" t="s">
        <v>79</v>
      </c>
      <c r="C53" s="11" t="s">
        <v>90</v>
      </c>
      <c r="E53" s="3">
        <v>2</v>
      </c>
      <c r="F53" s="3">
        <f>F36</f>
        <v>1100</v>
      </c>
      <c r="G53" s="13">
        <f>C63</f>
        <v>0.75</v>
      </c>
      <c r="H53" s="5">
        <f>F53*G53</f>
        <v>825</v>
      </c>
    </row>
    <row r="54" spans="1:14" x14ac:dyDescent="0.35">
      <c r="H54" s="1" t="s">
        <v>10</v>
      </c>
      <c r="J54" t="s">
        <v>20</v>
      </c>
      <c r="L54" t="s">
        <v>0</v>
      </c>
    </row>
    <row r="55" spans="1:14" ht="16.5" x14ac:dyDescent="0.45">
      <c r="B55" s="11" t="s">
        <v>83</v>
      </c>
      <c r="C55">
        <f>LN(1/B3)/1</f>
        <v>0.22314355131420976</v>
      </c>
      <c r="H55" s="5">
        <f>SUM(H51:H53)</f>
        <v>912.5</v>
      </c>
      <c r="J55">
        <f>J38</f>
        <v>100</v>
      </c>
      <c r="L55" s="17">
        <f>((H55+J55)/$D$17)^($A$15-E53)-1</f>
        <v>0.25</v>
      </c>
      <c r="N55" s="29" t="s">
        <v>56</v>
      </c>
    </row>
    <row r="56" spans="1:14" ht="16.5" x14ac:dyDescent="0.45">
      <c r="B56" s="11" t="s">
        <v>84</v>
      </c>
      <c r="C56">
        <f>LN(1/B4)/2</f>
        <v>0.1783374719693662</v>
      </c>
      <c r="N56" s="29" t="s">
        <v>57</v>
      </c>
    </row>
    <row r="57" spans="1:14" ht="16.5" x14ac:dyDescent="0.45">
      <c r="B57" s="11" t="s">
        <v>85</v>
      </c>
      <c r="C57">
        <f>LN(1/B5)/3</f>
        <v>0.17027520792199691</v>
      </c>
      <c r="E57" t="s">
        <v>29</v>
      </c>
      <c r="N57" s="29"/>
    </row>
    <row r="58" spans="1:14" x14ac:dyDescent="0.35">
      <c r="E58" s="3" t="s">
        <v>21</v>
      </c>
      <c r="F58" s="3" t="s">
        <v>3</v>
      </c>
      <c r="G58" s="3" t="s">
        <v>4</v>
      </c>
      <c r="H58" s="1" t="s">
        <v>9</v>
      </c>
      <c r="N58" s="29"/>
    </row>
    <row r="59" spans="1:14" ht="16.5" x14ac:dyDescent="0.45">
      <c r="B59" s="11" t="s">
        <v>87</v>
      </c>
      <c r="C59" s="22">
        <f>2*C56-C55</f>
        <v>0.13353139262452263</v>
      </c>
      <c r="E59" s="3">
        <v>1</v>
      </c>
      <c r="F59" s="3">
        <f>F42</f>
        <v>1000</v>
      </c>
      <c r="G59" s="13">
        <f>C62</f>
        <v>0.875</v>
      </c>
      <c r="H59" s="5">
        <f>F59*G59</f>
        <v>875</v>
      </c>
      <c r="N59" s="29" t="s">
        <v>58</v>
      </c>
    </row>
    <row r="60" spans="1:14" ht="16.5" x14ac:dyDescent="0.45">
      <c r="B60" s="11" t="s">
        <v>88</v>
      </c>
      <c r="C60" s="22">
        <f>(3*C57-C55)/2</f>
        <v>0.14384103622589048</v>
      </c>
      <c r="E60" s="3"/>
      <c r="F60" s="3"/>
      <c r="G60" s="13"/>
      <c r="H60" s="5"/>
      <c r="N60" s="29" t="s">
        <v>59</v>
      </c>
    </row>
    <row r="61" spans="1:14" x14ac:dyDescent="0.35">
      <c r="B61" s="11"/>
      <c r="C61" s="22"/>
      <c r="H61" s="1" t="s">
        <v>10</v>
      </c>
      <c r="J61" t="s">
        <v>20</v>
      </c>
      <c r="L61" t="s">
        <v>0</v>
      </c>
      <c r="N61" s="29" t="s">
        <v>60</v>
      </c>
    </row>
    <row r="62" spans="1:14" ht="16.5" x14ac:dyDescent="0.45">
      <c r="B62" s="11" t="s">
        <v>68</v>
      </c>
      <c r="C62">
        <f>EXP(-C59*1)</f>
        <v>0.875</v>
      </c>
      <c r="H62" s="5">
        <f>SUM(H58:H60)</f>
        <v>875</v>
      </c>
      <c r="J62">
        <f>J48</f>
        <v>0</v>
      </c>
      <c r="L62" s="17">
        <f>((H62+J62)/$I$17)^($F$14-E59)-1</f>
        <v>0.25</v>
      </c>
      <c r="N62" s="29"/>
    </row>
    <row r="63" spans="1:14" ht="16.5" x14ac:dyDescent="0.45">
      <c r="B63" s="11" t="s">
        <v>69</v>
      </c>
      <c r="C63" s="28">
        <f>EXP(-C60*2)</f>
        <v>0.75</v>
      </c>
    </row>
    <row r="65" spans="2:3" ht="16.5" x14ac:dyDescent="0.45">
      <c r="B65" s="11" t="s">
        <v>68</v>
      </c>
      <c r="C65" s="28">
        <f>C21/C20</f>
        <v>0.87499999999999989</v>
      </c>
    </row>
    <row r="66" spans="2:3" ht="16.5" x14ac:dyDescent="0.45">
      <c r="B66" s="11" t="s">
        <v>69</v>
      </c>
      <c r="C66" s="28">
        <f>C22/C20</f>
        <v>0.74999999999999989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1"/>
  <sheetViews>
    <sheetView tabSelected="1" topLeftCell="A12" workbookViewId="0">
      <selection activeCell="L27" sqref="L27"/>
    </sheetView>
  </sheetViews>
  <sheetFormatPr defaultRowHeight="14.5" x14ac:dyDescent="0.35"/>
  <sheetData>
    <row r="1" spans="1:13" ht="15.5" x14ac:dyDescent="0.35">
      <c r="C1" s="40" t="s">
        <v>100</v>
      </c>
      <c r="E1" s="39" t="s">
        <v>120</v>
      </c>
    </row>
    <row r="3" spans="1:13" x14ac:dyDescent="0.35">
      <c r="A3" t="s">
        <v>65</v>
      </c>
      <c r="D3" t="s">
        <v>28</v>
      </c>
    </row>
    <row r="4" spans="1:13" ht="16.5" x14ac:dyDescent="0.45">
      <c r="A4" s="1" t="s">
        <v>66</v>
      </c>
      <c r="B4" s="10">
        <v>0.06</v>
      </c>
      <c r="D4" s="1" t="s">
        <v>12</v>
      </c>
      <c r="E4" s="1" t="s">
        <v>7</v>
      </c>
      <c r="F4" s="3" t="s">
        <v>1</v>
      </c>
      <c r="H4" s="24" t="s">
        <v>95</v>
      </c>
      <c r="I4" s="24"/>
      <c r="J4" s="24"/>
      <c r="K4" s="24"/>
      <c r="L4" s="24"/>
      <c r="M4" s="24"/>
    </row>
    <row r="5" spans="1:13" ht="16.5" x14ac:dyDescent="0.45">
      <c r="A5" t="s">
        <v>67</v>
      </c>
      <c r="B5" s="6">
        <v>7.0000000000000007E-2</v>
      </c>
      <c r="D5" s="2">
        <v>1000</v>
      </c>
      <c r="E5" s="10" t="s">
        <v>2</v>
      </c>
      <c r="F5" s="9">
        <v>4</v>
      </c>
      <c r="H5" s="24" t="s">
        <v>32</v>
      </c>
      <c r="I5" s="24"/>
      <c r="J5" s="24"/>
      <c r="K5" s="24"/>
      <c r="L5" s="24"/>
      <c r="M5" s="24"/>
    </row>
    <row r="6" spans="1:13" ht="16.5" x14ac:dyDescent="0.45">
      <c r="A6" s="1" t="s">
        <v>92</v>
      </c>
      <c r="B6" s="10">
        <v>0.08</v>
      </c>
      <c r="D6" t="s">
        <v>29</v>
      </c>
      <c r="H6" s="24" t="s">
        <v>94</v>
      </c>
      <c r="I6" s="24"/>
      <c r="J6" s="24"/>
      <c r="K6" s="24"/>
      <c r="L6" s="24"/>
      <c r="M6" s="24"/>
    </row>
    <row r="7" spans="1:13" ht="16.5" x14ac:dyDescent="0.45">
      <c r="A7" t="s">
        <v>93</v>
      </c>
      <c r="B7" s="6">
        <v>0.09</v>
      </c>
      <c r="D7" s="1" t="s">
        <v>12</v>
      </c>
      <c r="E7" s="1" t="s">
        <v>7</v>
      </c>
      <c r="F7" s="3" t="s">
        <v>1</v>
      </c>
    </row>
    <row r="8" spans="1:13" x14ac:dyDescent="0.35">
      <c r="D8" s="2">
        <v>1000</v>
      </c>
      <c r="E8" s="9" t="s">
        <v>2</v>
      </c>
      <c r="F8" s="9">
        <v>2</v>
      </c>
    </row>
    <row r="10" spans="1:13" x14ac:dyDescent="0.35">
      <c r="A10" t="s">
        <v>28</v>
      </c>
      <c r="F10" t="s">
        <v>29</v>
      </c>
    </row>
    <row r="11" spans="1:13" x14ac:dyDescent="0.35">
      <c r="A11" s="3" t="s">
        <v>1</v>
      </c>
      <c r="B11" s="3" t="s">
        <v>3</v>
      </c>
      <c r="C11" s="3" t="s">
        <v>4</v>
      </c>
      <c r="D11" s="1" t="s">
        <v>9</v>
      </c>
      <c r="F11" s="3" t="s">
        <v>1</v>
      </c>
      <c r="G11" s="3" t="s">
        <v>3</v>
      </c>
      <c r="H11" s="3" t="s">
        <v>4</v>
      </c>
      <c r="I11" s="1" t="s">
        <v>9</v>
      </c>
    </row>
    <row r="12" spans="1:13" x14ac:dyDescent="0.35">
      <c r="A12" s="3">
        <v>1</v>
      </c>
      <c r="B12" s="3">
        <v>0</v>
      </c>
      <c r="C12" s="13">
        <f>EXP(-A12*B4)</f>
        <v>0.94176453358424872</v>
      </c>
      <c r="D12" s="5">
        <f>B12*C12</f>
        <v>0</v>
      </c>
      <c r="F12" s="3">
        <v>1</v>
      </c>
      <c r="G12" s="3">
        <f>I4*J4</f>
        <v>0</v>
      </c>
      <c r="H12" s="13">
        <f>B2</f>
        <v>0</v>
      </c>
      <c r="I12" s="5">
        <f>G12*H12</f>
        <v>0</v>
      </c>
      <c r="K12" s="29" t="s">
        <v>36</v>
      </c>
    </row>
    <row r="13" spans="1:13" x14ac:dyDescent="0.35">
      <c r="A13" s="3">
        <v>2</v>
      </c>
      <c r="B13" s="3">
        <v>0</v>
      </c>
      <c r="C13" s="13">
        <f t="shared" ref="C13:C14" si="0">EXP(-A13*B5)</f>
        <v>0.86935823539880586</v>
      </c>
      <c r="D13" s="5">
        <f t="shared" ref="D13:D15" si="1">B13*C13</f>
        <v>0</v>
      </c>
      <c r="F13" s="3">
        <v>2</v>
      </c>
      <c r="G13" s="3">
        <f>D8</f>
        <v>1000</v>
      </c>
      <c r="H13" s="13">
        <f>EXP(-B5*F13)</f>
        <v>0.86935823539880586</v>
      </c>
      <c r="I13" s="5">
        <f>G13*H13</f>
        <v>869.35823539880585</v>
      </c>
    </row>
    <row r="14" spans="1:13" x14ac:dyDescent="0.35">
      <c r="A14" s="3">
        <v>3</v>
      </c>
      <c r="B14" s="3">
        <v>0</v>
      </c>
      <c r="C14" s="13">
        <f t="shared" si="0"/>
        <v>0.78662786106655347</v>
      </c>
      <c r="D14" s="5">
        <f t="shared" si="1"/>
        <v>0</v>
      </c>
      <c r="L14" s="29"/>
    </row>
    <row r="15" spans="1:13" x14ac:dyDescent="0.35">
      <c r="A15" s="3">
        <v>4</v>
      </c>
      <c r="B15" s="3">
        <f>D5</f>
        <v>1000</v>
      </c>
      <c r="C15" s="13">
        <f>EXP(-A15*B7)</f>
        <v>0.69767632607103103</v>
      </c>
      <c r="D15" s="5">
        <f t="shared" si="1"/>
        <v>697.67632607103099</v>
      </c>
      <c r="I15" s="1" t="s">
        <v>10</v>
      </c>
    </row>
    <row r="16" spans="1:13" x14ac:dyDescent="0.35">
      <c r="A16" s="1"/>
      <c r="B16" s="1"/>
      <c r="C16" s="1"/>
      <c r="I16" s="5">
        <f>SUM(I12:I13)</f>
        <v>869.35823539880585</v>
      </c>
    </row>
    <row r="17" spans="1:10" x14ac:dyDescent="0.35">
      <c r="D17" s="1" t="s">
        <v>10</v>
      </c>
    </row>
    <row r="18" spans="1:10" x14ac:dyDescent="0.35">
      <c r="D18" s="5">
        <f>D15</f>
        <v>697.67632607103099</v>
      </c>
    </row>
    <row r="20" spans="1:10" x14ac:dyDescent="0.35">
      <c r="A20" t="s">
        <v>6</v>
      </c>
      <c r="B20" t="s">
        <v>30</v>
      </c>
    </row>
    <row r="21" spans="1:10" ht="16.5" x14ac:dyDescent="0.45">
      <c r="B21" s="1" t="s">
        <v>96</v>
      </c>
      <c r="C21" s="10">
        <v>0.06</v>
      </c>
      <c r="E21" t="s">
        <v>28</v>
      </c>
    </row>
    <row r="22" spans="1:10" ht="16.5" x14ac:dyDescent="0.45">
      <c r="B22" t="s">
        <v>97</v>
      </c>
      <c r="C22" s="6">
        <v>7.0000000000000007E-2</v>
      </c>
      <c r="E22" s="3" t="s">
        <v>21</v>
      </c>
      <c r="F22" s="3" t="s">
        <v>3</v>
      </c>
      <c r="G22" s="3" t="s">
        <v>4</v>
      </c>
      <c r="H22" s="1" t="s">
        <v>9</v>
      </c>
      <c r="J22" s="29" t="s">
        <v>119</v>
      </c>
    </row>
    <row r="23" spans="1:10" ht="16.5" x14ac:dyDescent="0.45">
      <c r="B23" s="1" t="s">
        <v>98</v>
      </c>
      <c r="C23" s="10">
        <v>0.08</v>
      </c>
      <c r="E23" s="11">
        <v>1</v>
      </c>
      <c r="F23" s="11">
        <v>0</v>
      </c>
      <c r="G23" s="13">
        <f t="shared" ref="G23:G24" si="2">C26</f>
        <v>0.94176453358424872</v>
      </c>
      <c r="H23" s="41">
        <f t="shared" ref="H23:H24" si="3">F23*G23</f>
        <v>0</v>
      </c>
    </row>
    <row r="24" spans="1:10" ht="16.5" x14ac:dyDescent="0.45">
      <c r="B24" t="s">
        <v>99</v>
      </c>
      <c r="C24" s="6">
        <v>0.09</v>
      </c>
      <c r="E24" s="11">
        <v>2</v>
      </c>
      <c r="F24" s="11">
        <v>0</v>
      </c>
      <c r="G24" s="13">
        <f t="shared" si="2"/>
        <v>0.86935823539880586</v>
      </c>
      <c r="H24" s="41">
        <f t="shared" si="3"/>
        <v>0</v>
      </c>
    </row>
    <row r="25" spans="1:10" x14ac:dyDescent="0.35">
      <c r="E25" s="3">
        <v>3</v>
      </c>
      <c r="F25" s="3">
        <f>D5</f>
        <v>1000</v>
      </c>
      <c r="G25" s="13">
        <f>C28</f>
        <v>0.78662786106655347</v>
      </c>
      <c r="H25" s="41">
        <f>F25*G25</f>
        <v>786.62786106655346</v>
      </c>
      <c r="J25" s="29"/>
    </row>
    <row r="26" spans="1:10" ht="16.5" x14ac:dyDescent="0.45">
      <c r="B26" s="11" t="s">
        <v>68</v>
      </c>
      <c r="C26" s="32">
        <f>EXP(-C21*1)</f>
        <v>0.94176453358424872</v>
      </c>
      <c r="E26" s="3"/>
      <c r="F26" s="3"/>
      <c r="G26" s="13"/>
      <c r="H26" s="5"/>
      <c r="J26" s="29"/>
    </row>
    <row r="27" spans="1:10" ht="16.5" x14ac:dyDescent="0.45">
      <c r="B27" s="11" t="s">
        <v>69</v>
      </c>
      <c r="C27" s="32">
        <f>EXP(-C22*2)</f>
        <v>0.86935823539880586</v>
      </c>
      <c r="H27" s="1" t="s">
        <v>10</v>
      </c>
      <c r="J27" s="31" t="s">
        <v>0</v>
      </c>
    </row>
    <row r="28" spans="1:10" ht="16.5" x14ac:dyDescent="0.45">
      <c r="B28" s="11" t="s">
        <v>70</v>
      </c>
      <c r="C28" s="32">
        <f>EXP(-C23*3)</f>
        <v>0.78662786106655347</v>
      </c>
      <c r="H28" s="5">
        <f>SUM(H22:H26)</f>
        <v>786.62786106655346</v>
      </c>
      <c r="J28" s="17">
        <f>H28/D18-1</f>
        <v>0.12749685157937596</v>
      </c>
    </row>
    <row r="30" spans="1:10" x14ac:dyDescent="0.35">
      <c r="E30" t="s">
        <v>29</v>
      </c>
    </row>
    <row r="31" spans="1:10" x14ac:dyDescent="0.35">
      <c r="E31" s="3" t="s">
        <v>21</v>
      </c>
      <c r="F31" s="3" t="s">
        <v>3</v>
      </c>
      <c r="G31" s="3" t="s">
        <v>4</v>
      </c>
      <c r="H31" s="1" t="s">
        <v>9</v>
      </c>
      <c r="J31" s="29" t="s">
        <v>118</v>
      </c>
    </row>
    <row r="32" spans="1:10" x14ac:dyDescent="0.35">
      <c r="E32" s="3">
        <v>1</v>
      </c>
      <c r="F32" s="3">
        <f>D8</f>
        <v>1000</v>
      </c>
      <c r="G32" s="13">
        <f>C26</f>
        <v>0.94176453358424872</v>
      </c>
      <c r="H32" s="5">
        <f>F32*G32</f>
        <v>941.76453358424874</v>
      </c>
    </row>
    <row r="33" spans="1:10" x14ac:dyDescent="0.35">
      <c r="E33" s="3"/>
      <c r="F33" s="3"/>
      <c r="G33" s="13"/>
      <c r="H33" s="5"/>
    </row>
    <row r="34" spans="1:10" x14ac:dyDescent="0.35">
      <c r="H34" s="1" t="s">
        <v>10</v>
      </c>
      <c r="J34" s="31" t="s">
        <v>0</v>
      </c>
    </row>
    <row r="35" spans="1:10" x14ac:dyDescent="0.35">
      <c r="H35" s="5">
        <f>SUM(H31:H33)</f>
        <v>941.76453358424874</v>
      </c>
      <c r="J35" s="17">
        <f>H35/I16-1</f>
        <v>8.3287067674958637E-2</v>
      </c>
    </row>
    <row r="37" spans="1:10" x14ac:dyDescent="0.35">
      <c r="A37" t="s">
        <v>5</v>
      </c>
      <c r="B37" s="31" t="s">
        <v>0</v>
      </c>
    </row>
    <row r="38" spans="1:10" x14ac:dyDescent="0.35">
      <c r="B38" s="17">
        <f>C21</f>
        <v>0.06</v>
      </c>
      <c r="C38" s="38"/>
      <c r="D38" s="29" t="s">
        <v>60</v>
      </c>
    </row>
    <row r="39" spans="1:10" x14ac:dyDescent="0.35">
      <c r="C39" s="18"/>
    </row>
    <row r="40" spans="1:10" x14ac:dyDescent="0.35">
      <c r="B40" s="31" t="s">
        <v>0</v>
      </c>
      <c r="C40" s="38"/>
    </row>
    <row r="41" spans="1:10" x14ac:dyDescent="0.35">
      <c r="B41" s="17">
        <f>C21</f>
        <v>0.06</v>
      </c>
      <c r="C41"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9</vt:i4>
      </vt:variant>
    </vt:vector>
  </HeadingPairs>
  <TitlesOfParts>
    <vt:vector size="9" baseType="lpstr">
      <vt:lpstr>Problem4.1</vt:lpstr>
      <vt:lpstr>Problem4.2</vt:lpstr>
      <vt:lpstr>Problem4.3</vt:lpstr>
      <vt:lpstr>Problem4.4</vt:lpstr>
      <vt:lpstr>Problem4.5</vt:lpstr>
      <vt:lpstr>Problem4.6</vt:lpstr>
      <vt:lpstr>Problem4.7</vt:lpstr>
      <vt:lpstr>Problem4.8</vt:lpstr>
      <vt:lpstr>Problem4.9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dc:creator>
  <cp:lastModifiedBy>Badics Milán Csaba</cp:lastModifiedBy>
  <dcterms:created xsi:type="dcterms:W3CDTF">2021-02-16T07:20:52Z</dcterms:created>
  <dcterms:modified xsi:type="dcterms:W3CDTF">2023-10-24T09:06:37Z</dcterms:modified>
</cp:coreProperties>
</file>